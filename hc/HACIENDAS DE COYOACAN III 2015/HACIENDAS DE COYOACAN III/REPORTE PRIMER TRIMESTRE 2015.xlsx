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3715" windowHeight="9525"/>
  </bookViews>
  <sheets>
    <sheet name="Hoja1" sheetId="1" r:id="rId1"/>
    <sheet name="Hoja2" sheetId="2" r:id="rId2"/>
    <sheet name="Hoja3" sheetId="3" r:id="rId3"/>
  </sheets>
  <externalReferences>
    <externalReference r:id="rId4"/>
  </externalReferences>
  <definedNames>
    <definedName name="ABR_2013">[1]recibos!$B$990:$AW$1178</definedName>
    <definedName name="ABR_2014">[1]recibos!$B$3355:$AW$3550</definedName>
    <definedName name="AGO_2013">[1]recibos!$B$1790:$AW$1963</definedName>
    <definedName name="AGO_2014">[1]recibos!$B$4078:$AW$4314</definedName>
    <definedName name="BCO_ABR_2013">[1]chequera!$B$52:$J$60</definedName>
    <definedName name="BCO_AGO_2013">[1]chequera!$B$91:$J$96</definedName>
    <definedName name="BCO_DIC_2013">[1]chequera!$B$117:$J$128</definedName>
    <definedName name="BCO_ENE_2013">[1]chequera!$B$3:$J$22</definedName>
    <definedName name="BCO_FEB_2013">[1]chequera!$B$23:$J$39</definedName>
    <definedName name="BCO_JUL_2013">[1]chequera!$B$83:$J$90</definedName>
    <definedName name="BCO_JUN_2013">[1]chequera!$B$74:$J$82</definedName>
    <definedName name="BCO_MAR_2013">[1]chequera!$B$40:$J$51</definedName>
    <definedName name="BCO_MAY_2013">[1]chequera!$B$61:$J$73</definedName>
    <definedName name="BCO_NOV_2013">[1]chequera!$B$113:$J$116</definedName>
    <definedName name="BCO_OCT_2013">[1]chequera!$B$107:$J$112</definedName>
    <definedName name="BCO_SEP_2013">[1]chequera!$B$97:$J$106</definedName>
    <definedName name="DIC_2012">[1]recibos!$B$4:$AW$263</definedName>
    <definedName name="DIC_2013">[1]recibos!$B$2522:$AW$2722</definedName>
    <definedName name="DIC_2014">[1]recibos!$B$5610:$AW$5802</definedName>
    <definedName name="ENE_2013">[1]recibos!$B$264:$AW$522</definedName>
    <definedName name="ENE_2014">[1]recibos!$B$2723:$AW$2933</definedName>
    <definedName name="ENE_2015">[1]recibos!$B$5803:$BJ$6033</definedName>
    <definedName name="FEB_2013">[1]recibos!$B$523:$AW$747</definedName>
    <definedName name="FEB_2014">[1]recibos!$B$2934:$AW$3142</definedName>
    <definedName name="FEB_2015">[1]recibos!$B$6034:$BJ$6215</definedName>
    <definedName name="G_ABR_2013">[1]Gastos!$B$68:$I$88</definedName>
    <definedName name="G_ABR_2014">[1]Gastos!$B$555:$I$604</definedName>
    <definedName name="G_ADQ">[1]criterios!$D$85:$D$86</definedName>
    <definedName name="G_AGO_2013">[1]Gastos!$B$198:$I$244</definedName>
    <definedName name="G_AGO_2014">[1]Gastos!$B$768:$I$811</definedName>
    <definedName name="G_AGUA">[1]criterios!$D$58:$D$59</definedName>
    <definedName name="G_ALMVG">[1]criterios!$D$61:$D$62</definedName>
    <definedName name="G_ASLE">[1]criterios!$D$124:$D$125</definedName>
    <definedName name="G_CBR">[1]criterios!$D$115:$D$116</definedName>
    <definedName name="G_DIC_2013">[1]Gastos!$B$378:$I$436</definedName>
    <definedName name="G_DIC_2014">[1]Gastos!$B$960:$I$1007</definedName>
    <definedName name="G_DIF">[1]criterios!$D$130:$D$131</definedName>
    <definedName name="G_ENE_2013">[1]Gastos!$B$3:$I$25</definedName>
    <definedName name="G_ENE_2014">[1]Gastos!$B$437:$I$475</definedName>
    <definedName name="G_ENE_2015">[1]Gastos!$B$1008:$I$1048</definedName>
    <definedName name="G_FEB_2013">[1]Gastos!$B$26:$I$46</definedName>
    <definedName name="G_FEB_2014">[1]Gastos!$B$476:$I$510</definedName>
    <definedName name="G_FEB_2015">[1]Gastos!$B$1049:$I$1082</definedName>
    <definedName name="G_HCTB">[1]criterios!$D$118:$D$119</definedName>
    <definedName name="G_HJRD">[1]criterios!$D$121:$D$122</definedName>
    <definedName name="G_INFRA">[1]criterios!$D$76:$D$77</definedName>
    <definedName name="G_JDN">[1]criterios!$D$88:$D$89</definedName>
    <definedName name="G_JUL_2013">[1]Gastos!$B$143:$I$197</definedName>
    <definedName name="G_JUL_2014">[1]Gastos!$B$714:$I$767</definedName>
    <definedName name="G_JUN_2013">[1]Gastos!$B$116:$I$142</definedName>
    <definedName name="G_JUN_2014">[1]Gastos!$B$665:$I$713</definedName>
    <definedName name="G_MAR_2013">[1]Gastos!$B$47:$I$67</definedName>
    <definedName name="G_MAR_2014">[1]Gastos!$B$511:$I$554</definedName>
    <definedName name="G_MAR_2015">[1]Gastos!$B$1083:$I$1120</definedName>
    <definedName name="G_MAY_2013">[1]Gastos!$B$89:$I$115</definedName>
    <definedName name="G_MAY_2014">[1]Gastos!$B$605:$I$664</definedName>
    <definedName name="G_MDC">[1]criterios!$D$67:$D$68</definedName>
    <definedName name="G_MTCBQ">[1]criterios!$D$103:$D$104</definedName>
    <definedName name="G_MTCST">[1]criterios!$D$97:$D$98</definedName>
    <definedName name="G_MTCYP">[1]criterios!$D$94:$D$95</definedName>
    <definedName name="G_MTILM">[1]criterios!$D$100:$D$101</definedName>
    <definedName name="G_MTLPZ">[1]criterios!$D$73:$D$74</definedName>
    <definedName name="G_MTPTA">[1]criterios!$D$106:$D$107</definedName>
    <definedName name="G_NMNVG">[1]criterios!$D$55:$D$56</definedName>
    <definedName name="G_NOV_2013">[1]Gastos!$B$341:$I$377</definedName>
    <definedName name="G_NOV_2014">[1]Gastos!$B$913:$I$958</definedName>
    <definedName name="G_OCT_2013">[1]Gastos!$B$298:$I$340</definedName>
    <definedName name="G_OCT_2014">[1]Gastos!$B$865:$I$912</definedName>
    <definedName name="G_ORG">[1]criterios!$D$127:$D$128</definedName>
    <definedName name="G_P_Fin">[1]criterios!$D$133:$D$134</definedName>
    <definedName name="G_PAPE">[1]criterios!$D$109:$D$110</definedName>
    <definedName name="G_SEP_2013">[1]Gastos!$B$245:$I$297</definedName>
    <definedName name="G_SEP_2014">[1]Gastos!$B$812:$I$864</definedName>
    <definedName name="G_SÑ">[1]criterios!$D$79:$D$80</definedName>
    <definedName name="G_TLF">[1]criterios!$D$112:$D$113</definedName>
    <definedName name="G_TOTAL">[1]criterios!$D$136:$D$137</definedName>
    <definedName name="G_TRSP">[1]criterios!$D$70:$D$71</definedName>
    <definedName name="G_UNF">[1]criterios!$D$64:$D$65</definedName>
    <definedName name="G_USB">[1]criterios!$D$82:$D$83</definedName>
    <definedName name="G_VRS">[1]criterios!$D$91:$D$92</definedName>
    <definedName name="GASTO">[1]Gastos!$G$116</definedName>
    <definedName name="importe">[1]recibos!$H$4</definedName>
    <definedName name="ING_CUOTAS">[1]criterios!$D$31:$D$32</definedName>
    <definedName name="ING_EXTRA">[1]criterios!$E$31:$E$32</definedName>
    <definedName name="ING_LLAVES">[1]criterios!$F$31:$F$32</definedName>
    <definedName name="ING_OTROS">[1]criterios!$J$31:$J$32</definedName>
    <definedName name="ING_TAR">[1]criterios!$H$31:$H$32</definedName>
    <definedName name="ING_TELE">[1]criterios!$G$31:$G$32</definedName>
    <definedName name="IVA">[1]Gastos!$H$116</definedName>
    <definedName name="JUL_2013">[1]recibos!$B$1596:$AW$1789</definedName>
    <definedName name="JUL_2014">[1]recibos!$B$3902:$AW$4077</definedName>
    <definedName name="JUN_2013">[1]recibos!$B$1378:$AW$1595</definedName>
    <definedName name="JUN_2014">[1]recibos!$B$3731:$AW$3901</definedName>
    <definedName name="MAR_2013">[1]recibos!$B$748:$AW$989</definedName>
    <definedName name="MAR_2014">[1]recibos!$B$3143:$AW$3354</definedName>
    <definedName name="MAR_2015">[1]recibos!$B$6216:$BJ$6433</definedName>
    <definedName name="MAY_2013">[1]recibos!$B$1179:$AW$1377</definedName>
    <definedName name="MAY_2014">[1]recibos!$B$3551:$AW$3730</definedName>
    <definedName name="NOV_2013">[1]recibos!$B$2375:$AW$2521</definedName>
    <definedName name="NOV_2014">[1]recibos!$B$5321:$AW$5609</definedName>
    <definedName name="OCT_2013">[1]recibos!$B$2210:$AW$2374</definedName>
    <definedName name="OCT_2014">[1]recibos!$B$5002:$AW$5320</definedName>
    <definedName name="SEP_2013">[1]recibos!$B$1964:$AW$2209</definedName>
    <definedName name="SEP_2014">[1]recibos!$B$4315:$AW$5001</definedName>
  </definedNames>
  <calcPr calcId="145621"/>
</workbook>
</file>

<file path=xl/calcChain.xml><?xml version="1.0" encoding="utf-8"?>
<calcChain xmlns="http://schemas.openxmlformats.org/spreadsheetml/2006/main">
  <c r="E53" i="1" l="1"/>
  <c r="D53" i="1"/>
  <c r="C53" i="1"/>
  <c r="E48" i="1"/>
  <c r="D48" i="1"/>
  <c r="C48" i="1"/>
  <c r="C47" i="1" s="1"/>
  <c r="E47" i="1"/>
  <c r="D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D29" i="1" s="1"/>
  <c r="C30" i="1"/>
  <c r="E28" i="1"/>
  <c r="D28" i="1"/>
  <c r="C28" i="1"/>
  <c r="E27" i="1"/>
  <c r="D27" i="1"/>
  <c r="C27" i="1"/>
  <c r="E26" i="1"/>
  <c r="D26" i="1"/>
  <c r="C26" i="1"/>
  <c r="E25" i="1"/>
  <c r="D25" i="1"/>
  <c r="C25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C16" i="1" s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D16" i="1" l="1"/>
  <c r="C14" i="1"/>
  <c r="E29" i="1"/>
  <c r="E16" i="1"/>
  <c r="E14" i="1"/>
  <c r="E24" i="1"/>
  <c r="E37" i="1"/>
  <c r="D14" i="1"/>
  <c r="D24" i="1"/>
  <c r="C29" i="1"/>
  <c r="C37" i="1"/>
  <c r="C49" i="1" s="1"/>
  <c r="C50" i="1" s="1"/>
  <c r="C24" i="1"/>
  <c r="D37" i="1"/>
  <c r="D49" i="1" l="1"/>
  <c r="D50" i="1" s="1"/>
  <c r="E49" i="1"/>
  <c r="E50" i="1" s="1"/>
  <c r="C52" i="1" l="1"/>
  <c r="C55" i="1" s="1"/>
  <c r="D52" i="1" s="1"/>
  <c r="D55" i="1" s="1"/>
  <c r="E52" i="1" s="1"/>
  <c r="E55" i="1" s="1"/>
</calcChain>
</file>

<file path=xl/sharedStrings.xml><?xml version="1.0" encoding="utf-8"?>
<sst xmlns="http://schemas.openxmlformats.org/spreadsheetml/2006/main" count="58" uniqueCount="56">
  <si>
    <t>Asociación de Colonos
HACIENDAS DE COYOACÁN</t>
  </si>
  <si>
    <t>REPORTE FINANCIERO</t>
  </si>
  <si>
    <t>ENERO - MARZO DE 2015</t>
  </si>
  <si>
    <t>CONCEPTO  /  MES</t>
  </si>
  <si>
    <t>ENE</t>
  </si>
  <si>
    <t>FEB</t>
  </si>
  <si>
    <t>MAR</t>
  </si>
  <si>
    <t>INGRESOS</t>
  </si>
  <si>
    <t>Cuotas de vigilancia</t>
  </si>
  <si>
    <t>Cuotas extraordinarias</t>
  </si>
  <si>
    <t>Venta de llaves</t>
  </si>
  <si>
    <t>Venta de tarjetas electrónicas</t>
  </si>
  <si>
    <t>Venta de tarjetones</t>
  </si>
  <si>
    <t>Otros ingresos</t>
  </si>
  <si>
    <t>SUMA INGRESOS</t>
  </si>
  <si>
    <t>EGRESOS</t>
  </si>
  <si>
    <t>COSTO DE VIGILANCIA</t>
  </si>
  <si>
    <t>Sueldos y bono de puntualidad</t>
  </si>
  <si>
    <t>Agua</t>
  </si>
  <si>
    <t>Alimentos</t>
  </si>
  <si>
    <t>Artículos de limpieza</t>
  </si>
  <si>
    <t>Atención médica</t>
  </si>
  <si>
    <t>Mantenimiento de bicicletas</t>
  </si>
  <si>
    <t>Uniformes</t>
  </si>
  <si>
    <t>INFRAESTRUCTURA Y SUMINISTROS</t>
  </si>
  <si>
    <t>Cámaras de vigilancia</t>
  </si>
  <si>
    <t>Dispositivos, discos y USB</t>
  </si>
  <si>
    <t>Llaves electrónicas y de acceso peatonal</t>
  </si>
  <si>
    <t>Señalización en calles</t>
  </si>
  <si>
    <t>MANTENIMIENTO</t>
  </si>
  <si>
    <t>A calles y banquetas</t>
  </si>
  <si>
    <t>A cámaras de vigilancia y plumas de acceso</t>
  </si>
  <si>
    <t>A casetas</t>
  </si>
  <si>
    <t>A las puertas de acceso peatonal</t>
  </si>
  <si>
    <t>A luminarias</t>
  </si>
  <si>
    <t>Al jardín del fraccionamiento</t>
  </si>
  <si>
    <t>Varios</t>
  </si>
  <si>
    <t>GASTOS ADMINISTRATIVOS</t>
  </si>
  <si>
    <t>Cobranza</t>
  </si>
  <si>
    <t>Gastos de organización</t>
  </si>
  <si>
    <t>Gastos y productos financieros</t>
  </si>
  <si>
    <t>Honorarios contables</t>
  </si>
  <si>
    <t>Honorarios jurídicos</t>
  </si>
  <si>
    <t>Asesoría Legal</t>
  </si>
  <si>
    <t>Papelería y fotocopiado</t>
  </si>
  <si>
    <t>Publicidad</t>
  </si>
  <si>
    <t>Teléfono e Internet</t>
  </si>
  <si>
    <t>IMPUESTOS Y CONTRIBUCIONES</t>
  </si>
  <si>
    <t>I.V.A. Pagado</t>
  </si>
  <si>
    <t>SUMA EGRESOS</t>
  </si>
  <si>
    <t>DÉFICIT / SUPERAVIT DEL MES</t>
  </si>
  <si>
    <t>REMANENTE DEL PERÍODO ANTERIOR</t>
  </si>
  <si>
    <t>Caja</t>
  </si>
  <si>
    <t>Banco</t>
  </si>
  <si>
    <t>REMANENTE AL CIERRE DEL PERÍODO</t>
  </si>
  <si>
    <t>Fondo revolvente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</si>
</sst>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[Red]\(#,##0.0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164" fontId="3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indent="1"/>
    </xf>
    <xf numFmtId="164" fontId="2" fillId="0" borderId="3" xfId="0" applyNumberFormat="1" applyFont="1" applyBorder="1" applyProtection="1">
      <protection hidden="1"/>
    </xf>
    <xf numFmtId="164" fontId="2" fillId="0" borderId="3" xfId="0" applyNumberFormat="1" applyFont="1" applyFill="1" applyBorder="1" applyProtection="1">
      <protection hidden="1"/>
    </xf>
    <xf numFmtId="0" fontId="2" fillId="0" borderId="4" xfId="0" applyFont="1" applyBorder="1" applyAlignment="1">
      <alignment horizontal="left" indent="1"/>
    </xf>
    <xf numFmtId="164" fontId="2" fillId="0" borderId="4" xfId="0" applyNumberFormat="1" applyFont="1" applyBorder="1" applyProtection="1">
      <protection hidden="1"/>
    </xf>
    <xf numFmtId="0" fontId="2" fillId="0" borderId="5" xfId="0" applyFont="1" applyBorder="1" applyAlignment="1">
      <alignment horizontal="left" indent="3"/>
    </xf>
    <xf numFmtId="164" fontId="2" fillId="0" borderId="6" xfId="0" applyNumberFormat="1" applyFont="1" applyBorder="1"/>
    <xf numFmtId="0" fontId="3" fillId="0" borderId="7" xfId="0" applyFont="1" applyFill="1" applyBorder="1" applyAlignment="1">
      <alignment horizontal="left" vertical="center" indent="1"/>
    </xf>
    <xf numFmtId="164" fontId="3" fillId="0" borderId="7" xfId="0" applyNumberFormat="1" applyFont="1" applyBorder="1" applyAlignment="1" applyProtection="1">
      <alignment vertical="center"/>
      <protection hidden="1"/>
    </xf>
    <xf numFmtId="0" fontId="3" fillId="0" borderId="8" xfId="0" applyFont="1" applyBorder="1" applyAlignment="1">
      <alignment horizontal="left" vertical="center" indent="1"/>
    </xf>
    <xf numFmtId="164" fontId="3" fillId="0" borderId="9" xfId="0" applyNumberFormat="1" applyFont="1" applyBorder="1" applyAlignment="1">
      <alignment horizontal="center" vertical="center"/>
    </xf>
    <xf numFmtId="0" fontId="5" fillId="2" borderId="10" xfId="0" applyFont="1" applyFill="1" applyBorder="1" applyAlignment="1">
      <alignment horizontal="left" indent="1"/>
    </xf>
    <xf numFmtId="164" fontId="5" fillId="2" borderId="11" xfId="0" applyNumberFormat="1" applyFont="1" applyFill="1" applyBorder="1"/>
    <xf numFmtId="164" fontId="5" fillId="2" borderId="6" xfId="0" applyNumberFormat="1" applyFont="1" applyFill="1" applyBorder="1"/>
    <xf numFmtId="0" fontId="2" fillId="0" borderId="12" xfId="0" applyFont="1" applyBorder="1" applyAlignment="1">
      <alignment horizontal="left" indent="3"/>
    </xf>
    <xf numFmtId="164" fontId="2" fillId="0" borderId="2" xfId="0" applyNumberFormat="1" applyFont="1" applyFill="1" applyBorder="1" applyProtection="1">
      <protection hidden="1"/>
    </xf>
    <xf numFmtId="0" fontId="2" fillId="0" borderId="3" xfId="0" applyFont="1" applyBorder="1" applyAlignment="1">
      <alignment horizontal="left" indent="3"/>
    </xf>
    <xf numFmtId="0" fontId="2" fillId="0" borderId="4" xfId="0" applyFont="1" applyBorder="1" applyAlignment="1">
      <alignment horizontal="left" indent="3"/>
    </xf>
    <xf numFmtId="164" fontId="2" fillId="0" borderId="4" xfId="0" applyNumberFormat="1" applyFont="1" applyFill="1" applyBorder="1" applyProtection="1">
      <protection hidden="1"/>
    </xf>
    <xf numFmtId="0" fontId="5" fillId="2" borderId="5" xfId="0" applyFont="1" applyFill="1" applyBorder="1" applyAlignment="1">
      <alignment horizontal="left" indent="1"/>
    </xf>
    <xf numFmtId="0" fontId="2" fillId="0" borderId="2" xfId="0" applyFont="1" applyBorder="1" applyAlignment="1">
      <alignment horizontal="left" indent="3"/>
    </xf>
    <xf numFmtId="0" fontId="2" fillId="0" borderId="3" xfId="0" applyFont="1" applyFill="1" applyBorder="1" applyAlignment="1">
      <alignment horizontal="left" indent="3"/>
    </xf>
    <xf numFmtId="0" fontId="2" fillId="0" borderId="1" xfId="0" applyFont="1" applyBorder="1" applyAlignment="1">
      <alignment horizontal="left" indent="3"/>
    </xf>
    <xf numFmtId="164" fontId="6" fillId="0" borderId="13" xfId="0" applyNumberFormat="1" applyFont="1" applyFill="1" applyBorder="1" applyAlignment="1" applyProtection="1">
      <alignment vertical="center"/>
      <protection hidden="1"/>
    </xf>
    <xf numFmtId="0" fontId="3" fillId="0" borderId="14" xfId="0" applyFont="1" applyFill="1" applyBorder="1" applyAlignment="1">
      <alignment horizontal="left" vertical="center" indent="1"/>
    </xf>
    <xf numFmtId="164" fontId="3" fillId="0" borderId="15" xfId="0" applyNumberFormat="1" applyFont="1" applyBorder="1" applyAlignment="1" applyProtection="1">
      <alignment vertical="center"/>
      <protection hidden="1"/>
    </xf>
    <xf numFmtId="0" fontId="3" fillId="0" borderId="16" xfId="0" applyFont="1" applyFill="1" applyBorder="1" applyAlignment="1">
      <alignment horizontal="left" vertical="center" indent="1"/>
    </xf>
    <xf numFmtId="164" fontId="3" fillId="0" borderId="17" xfId="0" applyNumberFormat="1" applyFont="1" applyBorder="1" applyAlignment="1" applyProtection="1">
      <alignment vertical="center"/>
      <protection hidden="1"/>
    </xf>
    <xf numFmtId="164" fontId="2" fillId="0" borderId="18" xfId="0" applyNumberFormat="1" applyFont="1" applyFill="1" applyBorder="1" applyProtection="1">
      <protection hidden="1"/>
    </xf>
    <xf numFmtId="0" fontId="2" fillId="0" borderId="18" xfId="0" applyFont="1" applyBorder="1" applyAlignment="1">
      <alignment horizontal="left" indent="3"/>
    </xf>
    <xf numFmtId="0" fontId="2" fillId="0" borderId="19" xfId="0" applyFont="1" applyBorder="1" applyAlignment="1">
      <alignment horizontal="left" indent="3"/>
    </xf>
    <xf numFmtId="164" fontId="2" fillId="0" borderId="19" xfId="0" applyNumberFormat="1" applyFont="1" applyFill="1" applyBorder="1" applyProtection="1">
      <protection hidden="1"/>
    </xf>
    <xf numFmtId="0" fontId="2" fillId="0" borderId="20" xfId="0" applyFont="1" applyBorder="1" applyAlignment="1">
      <alignment horizontal="left" indent="3"/>
    </xf>
    <xf numFmtId="164" fontId="2" fillId="0" borderId="20" xfId="0" applyNumberFormat="1" applyFont="1" applyFill="1" applyBorder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ACIENDAS%20DE%20COYOACAN%20III/ERNESTO/ERNESTO/2015_01_09_REVISION%20ERNESTO-CA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ibos"/>
      <sheetName val="base"/>
      <sheetName val="criterios"/>
      <sheetName val="cobranza 2013-14"/>
      <sheetName val="estadística"/>
      <sheetName val="chequera"/>
      <sheetName val="Gastos"/>
      <sheetName val="financiero"/>
      <sheetName val="conciliaciones"/>
      <sheetName val="Nómina"/>
      <sheetName val="consulta"/>
    </sheetNames>
    <sheetDataSet>
      <sheetData sheetId="0">
        <row r="4">
          <cell r="B4" t="str">
            <v>NÚMERO</v>
          </cell>
          <cell r="C4" t="str">
            <v>CASA</v>
          </cell>
          <cell r="D4" t="str">
            <v>DOMICILIO</v>
          </cell>
          <cell r="E4" t="str">
            <v>FAMILIA</v>
          </cell>
          <cell r="F4" t="str">
            <v>CUOTA</v>
          </cell>
          <cell r="G4" t="str">
            <v>C_ING</v>
          </cell>
          <cell r="H4" t="str">
            <v>IMPORTE</v>
          </cell>
          <cell r="I4" t="str">
            <v>FECHA</v>
          </cell>
          <cell r="J4" t="str">
            <v>CHK</v>
          </cell>
          <cell r="K4" t="str">
            <v>ENE
2012</v>
          </cell>
          <cell r="L4" t="str">
            <v>FEB
2012</v>
          </cell>
          <cell r="M4" t="str">
            <v>MAR
2012</v>
          </cell>
          <cell r="N4" t="str">
            <v>ABR
2012</v>
          </cell>
          <cell r="O4" t="str">
            <v>MAY
2012</v>
          </cell>
          <cell r="P4" t="str">
            <v>JUN
2012</v>
          </cell>
          <cell r="Q4" t="str">
            <v>JUL
2012</v>
          </cell>
          <cell r="R4" t="str">
            <v>AGO
2012</v>
          </cell>
          <cell r="S4" t="str">
            <v>SEP
2012</v>
          </cell>
          <cell r="T4" t="str">
            <v>OCT
2012</v>
          </cell>
          <cell r="U4" t="str">
            <v>NOV
2012</v>
          </cell>
          <cell r="V4" t="str">
            <v>DIC
2012</v>
          </cell>
          <cell r="W4" t="str">
            <v>SUMA
2012</v>
          </cell>
          <cell r="X4" t="str">
            <v>ENE
2013</v>
          </cell>
          <cell r="Y4" t="str">
            <v>FEB
2013</v>
          </cell>
          <cell r="Z4" t="str">
            <v>MAR
2013</v>
          </cell>
          <cell r="AA4" t="str">
            <v>ABR
2013</v>
          </cell>
          <cell r="AB4" t="str">
            <v>MAY
2013</v>
          </cell>
          <cell r="AC4" t="str">
            <v>JUN
2013</v>
          </cell>
          <cell r="AD4" t="str">
            <v>JUL
2013</v>
          </cell>
          <cell r="AE4" t="str">
            <v>AGO
2013</v>
          </cell>
          <cell r="AF4" t="str">
            <v>SEP
2013</v>
          </cell>
          <cell r="AG4" t="str">
            <v>OCT
2013</v>
          </cell>
          <cell r="AH4" t="str">
            <v>NOV
2013</v>
          </cell>
          <cell r="AI4" t="str">
            <v>DIC
2013</v>
          </cell>
          <cell r="AJ4" t="str">
            <v>SUMA
2013</v>
          </cell>
          <cell r="AK4" t="str">
            <v>ENE
2014</v>
          </cell>
          <cell r="AL4" t="str">
            <v>FEB
2014</v>
          </cell>
          <cell r="AM4" t="str">
            <v>MAR
2014</v>
          </cell>
          <cell r="AN4" t="str">
            <v>ABR
2014</v>
          </cell>
          <cell r="AO4" t="str">
            <v>MAY
2014</v>
          </cell>
          <cell r="AP4" t="str">
            <v>JUN
2014</v>
          </cell>
          <cell r="AQ4" t="str">
            <v>JUL
2014</v>
          </cell>
          <cell r="AR4" t="str">
            <v>AGO
2014</v>
          </cell>
          <cell r="AS4" t="str">
            <v>SEP
2014</v>
          </cell>
          <cell r="AT4" t="str">
            <v>OCT
2014</v>
          </cell>
          <cell r="AU4" t="str">
            <v>NOV
2014</v>
          </cell>
          <cell r="AV4" t="str">
            <v>DIC
2014</v>
          </cell>
          <cell r="AW4" t="str">
            <v>SUMA
2014</v>
          </cell>
        </row>
        <row r="5">
          <cell r="B5">
            <v>3698</v>
          </cell>
          <cell r="C5" t="str">
            <v>UP_32_</v>
          </cell>
          <cell r="D5" t="str">
            <v>Rancho Upácuaro No. 32</v>
          </cell>
          <cell r="E5" t="str">
            <v>Sairafi Carmen</v>
          </cell>
          <cell r="F5">
            <v>300</v>
          </cell>
          <cell r="G5">
            <v>1</v>
          </cell>
          <cell r="H5">
            <v>300</v>
          </cell>
          <cell r="I5">
            <v>41245</v>
          </cell>
          <cell r="J5">
            <v>0</v>
          </cell>
          <cell r="V5">
            <v>300</v>
          </cell>
          <cell r="W5">
            <v>300</v>
          </cell>
          <cell r="AJ5">
            <v>0</v>
          </cell>
          <cell r="AW5">
            <v>0</v>
          </cell>
        </row>
        <row r="6">
          <cell r="B6">
            <v>3699</v>
          </cell>
          <cell r="C6" t="str">
            <v>UP_118_</v>
          </cell>
          <cell r="D6" t="str">
            <v>Rancho Upácuaro No. 118</v>
          </cell>
          <cell r="E6" t="str">
            <v>Siegrist</v>
          </cell>
          <cell r="F6">
            <v>300</v>
          </cell>
          <cell r="G6">
            <v>1</v>
          </cell>
          <cell r="H6">
            <v>600</v>
          </cell>
          <cell r="I6">
            <v>41245</v>
          </cell>
          <cell r="J6">
            <v>0</v>
          </cell>
          <cell r="U6">
            <v>300</v>
          </cell>
          <cell r="V6">
            <v>300</v>
          </cell>
          <cell r="W6">
            <v>600</v>
          </cell>
          <cell r="AJ6">
            <v>0</v>
          </cell>
          <cell r="AW6">
            <v>0</v>
          </cell>
        </row>
        <row r="7">
          <cell r="B7">
            <v>3700</v>
          </cell>
          <cell r="C7" t="str">
            <v>EZ_115_</v>
          </cell>
          <cell r="D7" t="str">
            <v>Rancho Estanzuela No. 115</v>
          </cell>
          <cell r="E7" t="str">
            <v>Frías Solórzano</v>
          </cell>
          <cell r="F7">
            <v>200</v>
          </cell>
          <cell r="G7">
            <v>1</v>
          </cell>
          <cell r="H7">
            <v>400</v>
          </cell>
          <cell r="I7">
            <v>41245</v>
          </cell>
          <cell r="J7">
            <v>0</v>
          </cell>
          <cell r="U7">
            <v>200</v>
          </cell>
          <cell r="V7">
            <v>200</v>
          </cell>
          <cell r="W7">
            <v>400</v>
          </cell>
          <cell r="AJ7">
            <v>0</v>
          </cell>
          <cell r="AW7">
            <v>0</v>
          </cell>
        </row>
        <row r="8">
          <cell r="B8">
            <v>3701</v>
          </cell>
          <cell r="C8" t="str">
            <v>LD_31_</v>
          </cell>
          <cell r="D8" t="str">
            <v>Rancho Landero No. 31</v>
          </cell>
          <cell r="E8" t="str">
            <v>Díaz Hernández</v>
          </cell>
          <cell r="F8">
            <v>200</v>
          </cell>
          <cell r="G8">
            <v>1</v>
          </cell>
          <cell r="H8">
            <v>200</v>
          </cell>
          <cell r="I8">
            <v>41245</v>
          </cell>
          <cell r="J8">
            <v>0</v>
          </cell>
          <cell r="V8">
            <v>200</v>
          </cell>
          <cell r="W8">
            <v>200</v>
          </cell>
          <cell r="AJ8">
            <v>0</v>
          </cell>
          <cell r="AW8">
            <v>0</v>
          </cell>
        </row>
        <row r="9">
          <cell r="B9">
            <v>3702</v>
          </cell>
          <cell r="C9" t="str">
            <v>LD_24_</v>
          </cell>
          <cell r="D9" t="str">
            <v>Rancho Landero No. 24</v>
          </cell>
          <cell r="E9" t="str">
            <v>Vázquez Peralta</v>
          </cell>
          <cell r="F9">
            <v>300</v>
          </cell>
          <cell r="G9">
            <v>1</v>
          </cell>
          <cell r="H9">
            <v>300</v>
          </cell>
          <cell r="I9">
            <v>41245</v>
          </cell>
          <cell r="J9">
            <v>0</v>
          </cell>
          <cell r="V9">
            <v>300</v>
          </cell>
          <cell r="W9">
            <v>300</v>
          </cell>
          <cell r="AJ9">
            <v>0</v>
          </cell>
          <cell r="AW9">
            <v>0</v>
          </cell>
        </row>
        <row r="10">
          <cell r="B10">
            <v>3703</v>
          </cell>
          <cell r="C10" t="str">
            <v>UP_142_</v>
          </cell>
          <cell r="D10" t="str">
            <v>Rancho Upácuaro No. 142</v>
          </cell>
          <cell r="E10" t="str">
            <v>Fierro Villaneda</v>
          </cell>
          <cell r="F10">
            <v>300</v>
          </cell>
          <cell r="G10">
            <v>1</v>
          </cell>
          <cell r="H10">
            <v>300</v>
          </cell>
          <cell r="I10">
            <v>41245</v>
          </cell>
          <cell r="J10">
            <v>0</v>
          </cell>
          <cell r="V10">
            <v>300</v>
          </cell>
          <cell r="W10">
            <v>300</v>
          </cell>
          <cell r="AJ10">
            <v>0</v>
          </cell>
          <cell r="AW10">
            <v>0</v>
          </cell>
        </row>
        <row r="11">
          <cell r="B11">
            <v>3704</v>
          </cell>
          <cell r="C11" t="str">
            <v>EZ_161_1</v>
          </cell>
          <cell r="D11" t="str">
            <v>Rancho Estanzuela No. 161, 1</v>
          </cell>
          <cell r="E11" t="str">
            <v>Guevara</v>
          </cell>
          <cell r="F11">
            <v>150</v>
          </cell>
          <cell r="G11">
            <v>1</v>
          </cell>
          <cell r="H11">
            <v>450</v>
          </cell>
          <cell r="I11">
            <v>41245</v>
          </cell>
          <cell r="J11">
            <v>0</v>
          </cell>
          <cell r="S11">
            <v>150</v>
          </cell>
          <cell r="T11">
            <v>150</v>
          </cell>
          <cell r="U11">
            <v>150</v>
          </cell>
          <cell r="W11">
            <v>450</v>
          </cell>
          <cell r="AJ11">
            <v>0</v>
          </cell>
          <cell r="AW11">
            <v>0</v>
          </cell>
        </row>
        <row r="12">
          <cell r="B12">
            <v>3705</v>
          </cell>
          <cell r="C12" t="str">
            <v>ZB_34_</v>
          </cell>
          <cell r="D12" t="str">
            <v>Rancho Zinamba No. 34</v>
          </cell>
          <cell r="E12" t="str">
            <v>Torres Zavala</v>
          </cell>
          <cell r="F12">
            <v>300</v>
          </cell>
          <cell r="G12">
            <v>1</v>
          </cell>
          <cell r="H12">
            <v>300</v>
          </cell>
          <cell r="I12">
            <v>41244</v>
          </cell>
          <cell r="J12">
            <v>0</v>
          </cell>
          <cell r="V12">
            <v>300</v>
          </cell>
          <cell r="W12">
            <v>300</v>
          </cell>
          <cell r="AJ12">
            <v>0</v>
          </cell>
          <cell r="AW12">
            <v>0</v>
          </cell>
        </row>
        <row r="13">
          <cell r="B13">
            <v>3705</v>
          </cell>
          <cell r="C13" t="str">
            <v>ZB_34_</v>
          </cell>
          <cell r="D13" t="str">
            <v>Rancho Zinamba No. 34</v>
          </cell>
          <cell r="E13" t="str">
            <v>Torres Zavala</v>
          </cell>
          <cell r="F13">
            <v>300</v>
          </cell>
          <cell r="G13">
            <v>4</v>
          </cell>
          <cell r="H13">
            <v>160</v>
          </cell>
          <cell r="I13">
            <v>41244</v>
          </cell>
          <cell r="J13" t="str">
            <v>NO SUMA</v>
          </cell>
          <cell r="W13">
            <v>0</v>
          </cell>
          <cell r="AJ13">
            <v>0</v>
          </cell>
          <cell r="AW13">
            <v>0</v>
          </cell>
        </row>
        <row r="14">
          <cell r="B14">
            <v>3706</v>
          </cell>
          <cell r="C14" t="str">
            <v>UP_106_</v>
          </cell>
          <cell r="D14" t="str">
            <v>Rancho Upácuaro No. 106</v>
          </cell>
          <cell r="E14" t="str">
            <v>Hernández Sánchez</v>
          </cell>
          <cell r="F14">
            <v>300</v>
          </cell>
          <cell r="G14">
            <v>1</v>
          </cell>
          <cell r="H14">
            <v>900</v>
          </cell>
          <cell r="I14">
            <v>41246</v>
          </cell>
          <cell r="J14">
            <v>0</v>
          </cell>
          <cell r="T14">
            <v>300</v>
          </cell>
          <cell r="U14">
            <v>300</v>
          </cell>
          <cell r="V14">
            <v>300</v>
          </cell>
          <cell r="W14">
            <v>900</v>
          </cell>
          <cell r="AJ14">
            <v>0</v>
          </cell>
          <cell r="AW14">
            <v>0</v>
          </cell>
        </row>
        <row r="15">
          <cell r="B15">
            <v>3707</v>
          </cell>
          <cell r="C15" t="str">
            <v>UP_30_</v>
          </cell>
          <cell r="D15" t="str">
            <v>Rancho Upácuaro No. 30</v>
          </cell>
          <cell r="E15" t="str">
            <v>Dorantes</v>
          </cell>
          <cell r="F15">
            <v>300</v>
          </cell>
          <cell r="G15">
            <v>1</v>
          </cell>
          <cell r="H15">
            <v>300</v>
          </cell>
          <cell r="I15">
            <v>41244</v>
          </cell>
          <cell r="J15">
            <v>0</v>
          </cell>
          <cell r="V15">
            <v>300</v>
          </cell>
          <cell r="W15">
            <v>300</v>
          </cell>
          <cell r="AJ15">
            <v>0</v>
          </cell>
          <cell r="AW15">
            <v>0</v>
          </cell>
        </row>
        <row r="16">
          <cell r="B16">
            <v>3707</v>
          </cell>
          <cell r="C16" t="str">
            <v>UP_30_</v>
          </cell>
          <cell r="D16" t="str">
            <v>Rancho Upácuaro No. 30</v>
          </cell>
          <cell r="E16" t="str">
            <v>Dorantes</v>
          </cell>
          <cell r="F16">
            <v>300</v>
          </cell>
          <cell r="G16">
            <v>4</v>
          </cell>
          <cell r="H16">
            <v>160</v>
          </cell>
          <cell r="I16">
            <v>41244</v>
          </cell>
          <cell r="J16" t="str">
            <v>NO SUMA</v>
          </cell>
          <cell r="W16">
            <v>0</v>
          </cell>
          <cell r="AJ16">
            <v>0</v>
          </cell>
          <cell r="AW16">
            <v>0</v>
          </cell>
        </row>
        <row r="17">
          <cell r="B17">
            <v>3708</v>
          </cell>
          <cell r="C17" t="str">
            <v>UP_106_</v>
          </cell>
          <cell r="D17" t="str">
            <v>Rancho Upácuaro No. 106</v>
          </cell>
          <cell r="E17" t="str">
            <v>Hernández Sánchez</v>
          </cell>
          <cell r="F17">
            <v>300</v>
          </cell>
          <cell r="G17">
            <v>5</v>
          </cell>
          <cell r="H17">
            <v>40</v>
          </cell>
          <cell r="I17">
            <v>41244</v>
          </cell>
          <cell r="J17" t="str">
            <v>NO SUMA</v>
          </cell>
          <cell r="W17">
            <v>0</v>
          </cell>
          <cell r="AJ17">
            <v>0</v>
          </cell>
          <cell r="AW17">
            <v>0</v>
          </cell>
        </row>
        <row r="18">
          <cell r="B18">
            <v>3709</v>
          </cell>
          <cell r="C18" t="str">
            <v>EZ_9_A</v>
          </cell>
          <cell r="D18" t="str">
            <v>Rancho Estanzuela No. 9, A</v>
          </cell>
          <cell r="E18" t="str">
            <v>Castañeda</v>
          </cell>
          <cell r="F18">
            <v>100</v>
          </cell>
          <cell r="G18">
            <v>1</v>
          </cell>
          <cell r="H18">
            <v>400</v>
          </cell>
          <cell r="I18">
            <v>41244</v>
          </cell>
          <cell r="J18">
            <v>0</v>
          </cell>
          <cell r="S18">
            <v>100</v>
          </cell>
          <cell r="T18">
            <v>100</v>
          </cell>
          <cell r="U18">
            <v>100</v>
          </cell>
          <cell r="V18">
            <v>100</v>
          </cell>
          <cell r="W18">
            <v>400</v>
          </cell>
          <cell r="AJ18">
            <v>0</v>
          </cell>
          <cell r="AW18">
            <v>0</v>
          </cell>
        </row>
        <row r="19">
          <cell r="B19">
            <v>3710</v>
          </cell>
          <cell r="C19" t="str">
            <v>LD_20_</v>
          </cell>
          <cell r="D19" t="str">
            <v>Rancho Landero No. 20</v>
          </cell>
          <cell r="E19" t="str">
            <v>Velasco</v>
          </cell>
          <cell r="F19">
            <v>300</v>
          </cell>
          <cell r="G19">
            <v>1</v>
          </cell>
          <cell r="H19">
            <v>900</v>
          </cell>
          <cell r="I19">
            <v>41244</v>
          </cell>
          <cell r="J19">
            <v>0</v>
          </cell>
          <cell r="R19">
            <v>300</v>
          </cell>
          <cell r="S19">
            <v>300</v>
          </cell>
          <cell r="T19">
            <v>300</v>
          </cell>
          <cell r="W19">
            <v>900</v>
          </cell>
          <cell r="AJ19">
            <v>0</v>
          </cell>
          <cell r="AW19">
            <v>0</v>
          </cell>
        </row>
        <row r="20">
          <cell r="B20">
            <v>3711</v>
          </cell>
          <cell r="C20" t="str">
            <v>RM_9_A</v>
          </cell>
          <cell r="D20" t="str">
            <v>Rancho Romeral No. 9, A</v>
          </cell>
          <cell r="E20" t="str">
            <v>Quiñones Hernández</v>
          </cell>
          <cell r="F20">
            <v>300</v>
          </cell>
          <cell r="G20">
            <v>1</v>
          </cell>
          <cell r="H20">
            <v>600</v>
          </cell>
          <cell r="I20">
            <v>41244</v>
          </cell>
          <cell r="J20">
            <v>0</v>
          </cell>
          <cell r="U20">
            <v>300</v>
          </cell>
          <cell r="V20">
            <v>300</v>
          </cell>
          <cell r="W20">
            <v>600</v>
          </cell>
          <cell r="AJ20">
            <v>0</v>
          </cell>
          <cell r="AW20">
            <v>0</v>
          </cell>
        </row>
        <row r="21">
          <cell r="B21">
            <v>3712</v>
          </cell>
          <cell r="C21" t="str">
            <v>UP_110_</v>
          </cell>
          <cell r="D21" t="str">
            <v>Rancho Upácuaro No. 110</v>
          </cell>
          <cell r="E21" t="str">
            <v>Ruiz Mijangos</v>
          </cell>
          <cell r="F21">
            <v>300</v>
          </cell>
          <cell r="G21">
            <v>1</v>
          </cell>
          <cell r="H21">
            <v>300</v>
          </cell>
          <cell r="I21">
            <v>41244</v>
          </cell>
          <cell r="J21">
            <v>0</v>
          </cell>
          <cell r="V21">
            <v>300</v>
          </cell>
          <cell r="W21">
            <v>300</v>
          </cell>
          <cell r="AJ21">
            <v>0</v>
          </cell>
          <cell r="AW21">
            <v>0</v>
          </cell>
        </row>
        <row r="22">
          <cell r="B22">
            <v>3713</v>
          </cell>
          <cell r="C22" t="str">
            <v>UP_114_</v>
          </cell>
          <cell r="D22" t="str">
            <v>Rancho Upácuaro No. 114</v>
          </cell>
          <cell r="E22" t="str">
            <v>Hernández Cornejo</v>
          </cell>
          <cell r="F22">
            <v>300</v>
          </cell>
          <cell r="G22">
            <v>1</v>
          </cell>
          <cell r="H22">
            <v>300</v>
          </cell>
          <cell r="I22">
            <v>41244</v>
          </cell>
          <cell r="J22">
            <v>0</v>
          </cell>
          <cell r="V22">
            <v>300</v>
          </cell>
          <cell r="W22">
            <v>300</v>
          </cell>
          <cell r="AJ22">
            <v>0</v>
          </cell>
          <cell r="AW22">
            <v>0</v>
          </cell>
        </row>
        <row r="23">
          <cell r="B23">
            <v>3714</v>
          </cell>
          <cell r="C23" t="str">
            <v>UP_93_</v>
          </cell>
          <cell r="D23" t="str">
            <v>Rancho Upácuaro No. 93</v>
          </cell>
          <cell r="E23" t="str">
            <v>Valdés</v>
          </cell>
          <cell r="F23">
            <v>300</v>
          </cell>
          <cell r="G23">
            <v>1</v>
          </cell>
          <cell r="H23">
            <v>300</v>
          </cell>
          <cell r="I23">
            <v>41244</v>
          </cell>
          <cell r="J23">
            <v>0</v>
          </cell>
          <cell r="V23">
            <v>300</v>
          </cell>
          <cell r="W23">
            <v>300</v>
          </cell>
          <cell r="AJ23">
            <v>0</v>
          </cell>
          <cell r="AW23">
            <v>0</v>
          </cell>
        </row>
        <row r="24">
          <cell r="B24">
            <v>3715</v>
          </cell>
          <cell r="C24" t="str">
            <v>UP_76_</v>
          </cell>
          <cell r="D24" t="str">
            <v>Rancho Upácuaro No. 76</v>
          </cell>
          <cell r="E24" t="str">
            <v>Ruiz de San Pedro</v>
          </cell>
          <cell r="F24">
            <v>300</v>
          </cell>
          <cell r="G24">
            <v>1</v>
          </cell>
          <cell r="H24">
            <v>300</v>
          </cell>
          <cell r="I24">
            <v>41244</v>
          </cell>
          <cell r="J24">
            <v>0</v>
          </cell>
          <cell r="V24">
            <v>300</v>
          </cell>
          <cell r="W24">
            <v>300</v>
          </cell>
          <cell r="AJ24">
            <v>0</v>
          </cell>
          <cell r="AW24">
            <v>0</v>
          </cell>
        </row>
        <row r="25">
          <cell r="B25">
            <v>3716</v>
          </cell>
          <cell r="C25" t="str">
            <v>CL_71_</v>
          </cell>
          <cell r="D25" t="str">
            <v>Rancho La Cuchilla No. 71</v>
          </cell>
          <cell r="E25" t="str">
            <v>Pulido</v>
          </cell>
          <cell r="F25">
            <v>300</v>
          </cell>
          <cell r="G25">
            <v>1</v>
          </cell>
          <cell r="H25">
            <v>300</v>
          </cell>
          <cell r="I25">
            <v>41245</v>
          </cell>
          <cell r="J25">
            <v>0</v>
          </cell>
          <cell r="V25">
            <v>300</v>
          </cell>
          <cell r="W25">
            <v>300</v>
          </cell>
          <cell r="AJ25">
            <v>0</v>
          </cell>
          <cell r="AW25">
            <v>0</v>
          </cell>
        </row>
        <row r="26">
          <cell r="B26">
            <v>3717</v>
          </cell>
          <cell r="C26" t="str">
            <v>CL_7_202</v>
          </cell>
          <cell r="D26" t="str">
            <v>Rancho La Cuchilla No. 7, 202</v>
          </cell>
          <cell r="E26" t="str">
            <v>Carbajal Zayas</v>
          </cell>
          <cell r="F26">
            <v>100</v>
          </cell>
          <cell r="G26">
            <v>1</v>
          </cell>
          <cell r="H26">
            <v>400</v>
          </cell>
          <cell r="I26">
            <v>41244</v>
          </cell>
          <cell r="J26">
            <v>0</v>
          </cell>
          <cell r="S26">
            <v>100</v>
          </cell>
          <cell r="T26">
            <v>100</v>
          </cell>
          <cell r="U26">
            <v>100</v>
          </cell>
          <cell r="V26">
            <v>100</v>
          </cell>
          <cell r="W26">
            <v>400</v>
          </cell>
          <cell r="AJ26">
            <v>0</v>
          </cell>
          <cell r="AW26">
            <v>0</v>
          </cell>
        </row>
        <row r="27">
          <cell r="B27">
            <v>3718</v>
          </cell>
          <cell r="C27" t="str">
            <v>UP_85_</v>
          </cell>
          <cell r="D27" t="str">
            <v>Rancho Upácuaro No. 85</v>
          </cell>
          <cell r="E27" t="str">
            <v>Del Toro Huerta</v>
          </cell>
          <cell r="F27">
            <v>300</v>
          </cell>
          <cell r="G27">
            <v>1</v>
          </cell>
          <cell r="H27">
            <v>300</v>
          </cell>
          <cell r="I27">
            <v>41244</v>
          </cell>
          <cell r="J27">
            <v>0</v>
          </cell>
          <cell r="V27">
            <v>300</v>
          </cell>
          <cell r="W27">
            <v>300</v>
          </cell>
          <cell r="AJ27">
            <v>0</v>
          </cell>
          <cell r="AW27">
            <v>0</v>
          </cell>
        </row>
        <row r="28">
          <cell r="B28">
            <v>3719</v>
          </cell>
          <cell r="C28" t="str">
            <v>UP_85_</v>
          </cell>
          <cell r="D28" t="str">
            <v>Rancho Upácuaro No. 85</v>
          </cell>
          <cell r="E28" t="str">
            <v>Del Toro Huerta</v>
          </cell>
          <cell r="F28">
            <v>300</v>
          </cell>
          <cell r="G28">
            <v>2</v>
          </cell>
          <cell r="H28">
            <v>300</v>
          </cell>
          <cell r="I28">
            <v>41244</v>
          </cell>
          <cell r="J28" t="str">
            <v>NO SUMA</v>
          </cell>
          <cell r="W28">
            <v>0</v>
          </cell>
          <cell r="AJ28">
            <v>0</v>
          </cell>
          <cell r="AW28">
            <v>0</v>
          </cell>
        </row>
        <row r="29">
          <cell r="B29">
            <v>3720</v>
          </cell>
          <cell r="C29" t="str">
            <v>CL_89_</v>
          </cell>
          <cell r="D29" t="str">
            <v>Rancho La Cuchilla No. 89</v>
          </cell>
          <cell r="E29" t="str">
            <v>Gálvez</v>
          </cell>
          <cell r="F29">
            <v>300</v>
          </cell>
          <cell r="G29">
            <v>1</v>
          </cell>
          <cell r="H29">
            <v>300</v>
          </cell>
          <cell r="I29">
            <v>41244</v>
          </cell>
          <cell r="J29">
            <v>0</v>
          </cell>
          <cell r="V29">
            <v>300</v>
          </cell>
          <cell r="W29">
            <v>300</v>
          </cell>
          <cell r="AJ29">
            <v>0</v>
          </cell>
          <cell r="AW29">
            <v>0</v>
          </cell>
        </row>
        <row r="30">
          <cell r="B30">
            <v>3721</v>
          </cell>
          <cell r="C30" t="str">
            <v>RV_175_0</v>
          </cell>
          <cell r="D30" t="str">
            <v>Rancho Recoveco No. 175</v>
          </cell>
          <cell r="E30" t="str">
            <v>Ramírez</v>
          </cell>
          <cell r="F30">
            <v>300</v>
          </cell>
          <cell r="G30">
            <v>1</v>
          </cell>
          <cell r="H30">
            <v>300</v>
          </cell>
          <cell r="I30">
            <v>41244</v>
          </cell>
          <cell r="J30">
            <v>0</v>
          </cell>
          <cell r="V30">
            <v>300</v>
          </cell>
          <cell r="W30">
            <v>300</v>
          </cell>
          <cell r="AJ30">
            <v>0</v>
          </cell>
          <cell r="AW30">
            <v>0</v>
          </cell>
        </row>
        <row r="31">
          <cell r="B31">
            <v>3722</v>
          </cell>
          <cell r="C31" t="str">
            <v>LD_42_</v>
          </cell>
          <cell r="D31" t="str">
            <v>Rancho Landero No. 42</v>
          </cell>
          <cell r="E31" t="str">
            <v>Ávila Fidel</v>
          </cell>
          <cell r="F31">
            <v>300</v>
          </cell>
          <cell r="G31">
            <v>1</v>
          </cell>
          <cell r="H31">
            <v>300</v>
          </cell>
          <cell r="I31">
            <v>41244</v>
          </cell>
          <cell r="J31">
            <v>0</v>
          </cell>
          <cell r="V31">
            <v>300</v>
          </cell>
          <cell r="W31">
            <v>300</v>
          </cell>
          <cell r="AJ31">
            <v>0</v>
          </cell>
          <cell r="AW31">
            <v>0</v>
          </cell>
        </row>
        <row r="32">
          <cell r="B32">
            <v>3723</v>
          </cell>
          <cell r="C32" t="str">
            <v>LD_21_</v>
          </cell>
          <cell r="D32" t="str">
            <v>Rancho Landero No. 21</v>
          </cell>
          <cell r="E32" t="str">
            <v>Meza</v>
          </cell>
          <cell r="F32">
            <v>300</v>
          </cell>
          <cell r="G32">
            <v>1</v>
          </cell>
          <cell r="H32">
            <v>300</v>
          </cell>
          <cell r="I32">
            <v>41244</v>
          </cell>
          <cell r="J32">
            <v>0</v>
          </cell>
          <cell r="V32">
            <v>300</v>
          </cell>
          <cell r="W32">
            <v>300</v>
          </cell>
          <cell r="AJ32">
            <v>0</v>
          </cell>
          <cell r="AW32">
            <v>0</v>
          </cell>
        </row>
        <row r="33">
          <cell r="B33">
            <v>3724</v>
          </cell>
          <cell r="C33" t="str">
            <v>LD_21_</v>
          </cell>
          <cell r="D33" t="str">
            <v>Rancho Landero No. 21</v>
          </cell>
          <cell r="E33" t="str">
            <v>Meza</v>
          </cell>
          <cell r="F33">
            <v>300</v>
          </cell>
          <cell r="G33">
            <v>2</v>
          </cell>
          <cell r="H33">
            <v>300</v>
          </cell>
          <cell r="I33">
            <v>41244</v>
          </cell>
          <cell r="J33" t="str">
            <v>NO SUMA</v>
          </cell>
          <cell r="W33">
            <v>0</v>
          </cell>
          <cell r="AJ33">
            <v>0</v>
          </cell>
          <cell r="AW33">
            <v>0</v>
          </cell>
        </row>
        <row r="34">
          <cell r="B34">
            <v>3725</v>
          </cell>
          <cell r="C34" t="str">
            <v>EZ_89_</v>
          </cell>
          <cell r="D34" t="str">
            <v>Rancho Estanzuela No. 89</v>
          </cell>
          <cell r="E34" t="str">
            <v>Romero Ortiz</v>
          </cell>
          <cell r="F34">
            <v>300</v>
          </cell>
          <cell r="G34">
            <v>1</v>
          </cell>
          <cell r="H34">
            <v>300</v>
          </cell>
          <cell r="I34">
            <v>41244</v>
          </cell>
          <cell r="J34">
            <v>0</v>
          </cell>
          <cell r="V34">
            <v>300</v>
          </cell>
          <cell r="W34">
            <v>300</v>
          </cell>
          <cell r="AJ34">
            <v>0</v>
          </cell>
          <cell r="AW34">
            <v>0</v>
          </cell>
        </row>
        <row r="35">
          <cell r="B35">
            <v>3726</v>
          </cell>
          <cell r="C35" t="str">
            <v>UP_18_</v>
          </cell>
          <cell r="D35" t="str">
            <v>Rancho Upácuaro No. 18</v>
          </cell>
          <cell r="E35" t="str">
            <v>Guzmán</v>
          </cell>
          <cell r="F35">
            <v>300</v>
          </cell>
          <cell r="G35">
            <v>1</v>
          </cell>
          <cell r="H35">
            <v>300</v>
          </cell>
          <cell r="I35">
            <v>41244</v>
          </cell>
          <cell r="J35">
            <v>0</v>
          </cell>
          <cell r="V35">
            <v>300</v>
          </cell>
          <cell r="W35">
            <v>300</v>
          </cell>
          <cell r="AJ35">
            <v>0</v>
          </cell>
          <cell r="AW35">
            <v>0</v>
          </cell>
        </row>
        <row r="36">
          <cell r="B36">
            <v>3727</v>
          </cell>
          <cell r="C36" t="str">
            <v>UP_108_</v>
          </cell>
          <cell r="D36" t="str">
            <v>Rancho Upácuaro No. 108</v>
          </cell>
          <cell r="E36" t="str">
            <v>Mejía</v>
          </cell>
          <cell r="F36">
            <v>300</v>
          </cell>
          <cell r="G36">
            <v>1</v>
          </cell>
          <cell r="H36">
            <v>300</v>
          </cell>
          <cell r="I36">
            <v>41244</v>
          </cell>
          <cell r="J36">
            <v>0</v>
          </cell>
          <cell r="U36">
            <v>300</v>
          </cell>
          <cell r="W36">
            <v>300</v>
          </cell>
          <cell r="AJ36">
            <v>0</v>
          </cell>
          <cell r="AW36">
            <v>0</v>
          </cell>
        </row>
        <row r="37">
          <cell r="B37">
            <v>3728</v>
          </cell>
          <cell r="C37" t="str">
            <v>CL_53_</v>
          </cell>
          <cell r="D37" t="str">
            <v>Rancho La Cuchilla No. 53</v>
          </cell>
          <cell r="E37" t="str">
            <v>Loyo Ochoa</v>
          </cell>
          <cell r="F37">
            <v>300</v>
          </cell>
          <cell r="G37">
            <v>1</v>
          </cell>
          <cell r="H37">
            <v>600</v>
          </cell>
          <cell r="I37">
            <v>41244</v>
          </cell>
          <cell r="J37">
            <v>0</v>
          </cell>
          <cell r="T37">
            <v>300</v>
          </cell>
          <cell r="U37">
            <v>300</v>
          </cell>
          <cell r="W37">
            <v>600</v>
          </cell>
          <cell r="AJ37">
            <v>0</v>
          </cell>
          <cell r="AW37">
            <v>0</v>
          </cell>
        </row>
        <row r="38">
          <cell r="B38">
            <v>3729</v>
          </cell>
          <cell r="C38" t="str">
            <v>UP_87_</v>
          </cell>
          <cell r="D38" t="str">
            <v>Rancho Upácuaro No. 87</v>
          </cell>
          <cell r="E38" t="str">
            <v>Rodríguez Parés</v>
          </cell>
          <cell r="F38">
            <v>300</v>
          </cell>
          <cell r="G38">
            <v>1</v>
          </cell>
          <cell r="H38">
            <v>300</v>
          </cell>
          <cell r="I38">
            <v>41244</v>
          </cell>
          <cell r="J38">
            <v>0</v>
          </cell>
          <cell r="V38">
            <v>300</v>
          </cell>
          <cell r="W38">
            <v>300</v>
          </cell>
          <cell r="AJ38">
            <v>0</v>
          </cell>
          <cell r="AW38">
            <v>0</v>
          </cell>
        </row>
        <row r="39">
          <cell r="B39">
            <v>3730</v>
          </cell>
          <cell r="C39" t="str">
            <v>UP_47_</v>
          </cell>
          <cell r="D39" t="str">
            <v>Rancho Upácuaro No. 47</v>
          </cell>
          <cell r="E39" t="str">
            <v>Flores Muñoz</v>
          </cell>
          <cell r="F39">
            <v>300</v>
          </cell>
          <cell r="G39">
            <v>1</v>
          </cell>
          <cell r="H39">
            <v>600</v>
          </cell>
          <cell r="I39">
            <v>41244</v>
          </cell>
          <cell r="J39">
            <v>0</v>
          </cell>
          <cell r="U39">
            <v>300</v>
          </cell>
          <cell r="V39">
            <v>300</v>
          </cell>
          <cell r="W39">
            <v>600</v>
          </cell>
          <cell r="AJ39">
            <v>0</v>
          </cell>
          <cell r="AW39">
            <v>0</v>
          </cell>
        </row>
        <row r="40">
          <cell r="B40">
            <v>3730</v>
          </cell>
          <cell r="C40" t="str">
            <v>UP_47_</v>
          </cell>
          <cell r="D40" t="str">
            <v>Rancho Upácuaro No. 47</v>
          </cell>
          <cell r="E40" t="str">
            <v>Flores Muñoz</v>
          </cell>
          <cell r="F40">
            <v>300</v>
          </cell>
          <cell r="G40">
            <v>2</v>
          </cell>
          <cell r="H40">
            <v>300</v>
          </cell>
          <cell r="I40">
            <v>41244</v>
          </cell>
          <cell r="J40" t="str">
            <v>NO SUMA</v>
          </cell>
          <cell r="W40">
            <v>0</v>
          </cell>
          <cell r="AJ40">
            <v>0</v>
          </cell>
          <cell r="AW40">
            <v>0</v>
          </cell>
        </row>
        <row r="41">
          <cell r="B41">
            <v>3731</v>
          </cell>
          <cell r="C41" t="str">
            <v>LD_93_</v>
          </cell>
          <cell r="D41" t="str">
            <v>Rancho Landero No. 93</v>
          </cell>
          <cell r="E41" t="str">
            <v>Ortega López</v>
          </cell>
          <cell r="F41">
            <v>300</v>
          </cell>
          <cell r="G41">
            <v>1</v>
          </cell>
          <cell r="H41">
            <v>300</v>
          </cell>
          <cell r="I41">
            <v>41244</v>
          </cell>
          <cell r="J41">
            <v>0</v>
          </cell>
          <cell r="V41">
            <v>300</v>
          </cell>
          <cell r="W41">
            <v>300</v>
          </cell>
          <cell r="AJ41">
            <v>0</v>
          </cell>
          <cell r="AW41">
            <v>0</v>
          </cell>
        </row>
        <row r="42">
          <cell r="B42">
            <v>3731</v>
          </cell>
          <cell r="C42" t="str">
            <v>LD_93_</v>
          </cell>
          <cell r="D42" t="str">
            <v>Rancho Landero No. 93</v>
          </cell>
          <cell r="E42" t="str">
            <v>Ortega López</v>
          </cell>
          <cell r="F42">
            <v>300</v>
          </cell>
          <cell r="G42">
            <v>2</v>
          </cell>
          <cell r="H42">
            <v>300</v>
          </cell>
          <cell r="I42">
            <v>41244</v>
          </cell>
          <cell r="J42" t="str">
            <v>NO SUMA</v>
          </cell>
          <cell r="W42">
            <v>0</v>
          </cell>
          <cell r="AJ42">
            <v>0</v>
          </cell>
          <cell r="AW42">
            <v>0</v>
          </cell>
        </row>
        <row r="43">
          <cell r="B43">
            <v>3732</v>
          </cell>
          <cell r="C43" t="str">
            <v>CL_131_</v>
          </cell>
          <cell r="D43" t="str">
            <v>Rancho La Cuchilla No. 131</v>
          </cell>
          <cell r="E43" t="str">
            <v>Cabrera Esc.</v>
          </cell>
          <cell r="F43">
            <v>300</v>
          </cell>
          <cell r="G43">
            <v>1</v>
          </cell>
          <cell r="H43">
            <v>300</v>
          </cell>
          <cell r="I43">
            <v>41244</v>
          </cell>
          <cell r="J43">
            <v>0</v>
          </cell>
          <cell r="V43">
            <v>300</v>
          </cell>
          <cell r="W43">
            <v>300</v>
          </cell>
          <cell r="AJ43">
            <v>0</v>
          </cell>
          <cell r="AW43">
            <v>0</v>
          </cell>
        </row>
        <row r="44">
          <cell r="B44">
            <v>3733</v>
          </cell>
          <cell r="C44" t="str">
            <v>RV_197_</v>
          </cell>
          <cell r="D44" t="str">
            <v>Rancho Recoveco No. 197</v>
          </cell>
          <cell r="E44" t="str">
            <v>Colín González</v>
          </cell>
          <cell r="F44">
            <v>300</v>
          </cell>
          <cell r="G44">
            <v>1</v>
          </cell>
          <cell r="H44">
            <v>300</v>
          </cell>
          <cell r="I44">
            <v>41244</v>
          </cell>
          <cell r="J44">
            <v>0</v>
          </cell>
          <cell r="V44">
            <v>300</v>
          </cell>
          <cell r="W44">
            <v>300</v>
          </cell>
          <cell r="AJ44">
            <v>0</v>
          </cell>
          <cell r="AW44">
            <v>0</v>
          </cell>
        </row>
        <row r="45">
          <cell r="B45">
            <v>3734</v>
          </cell>
          <cell r="C45" t="str">
            <v>EZ_91_</v>
          </cell>
          <cell r="D45" t="str">
            <v>Rancho Estanzuela No. 91</v>
          </cell>
          <cell r="E45" t="str">
            <v>Lobato Torres</v>
          </cell>
          <cell r="F45">
            <v>300</v>
          </cell>
          <cell r="G45">
            <v>1</v>
          </cell>
          <cell r="H45">
            <v>900</v>
          </cell>
          <cell r="I45">
            <v>41244</v>
          </cell>
          <cell r="J45">
            <v>0</v>
          </cell>
          <cell r="T45">
            <v>300</v>
          </cell>
          <cell r="U45">
            <v>300</v>
          </cell>
          <cell r="V45">
            <v>300</v>
          </cell>
          <cell r="W45">
            <v>900</v>
          </cell>
          <cell r="AJ45">
            <v>0</v>
          </cell>
          <cell r="AW45">
            <v>0</v>
          </cell>
        </row>
        <row r="46">
          <cell r="B46">
            <v>3734</v>
          </cell>
          <cell r="C46" t="str">
            <v>EZ_91_</v>
          </cell>
          <cell r="D46" t="str">
            <v>Rancho Estanzuela No. 91</v>
          </cell>
          <cell r="E46" t="str">
            <v>Lobato Torres</v>
          </cell>
          <cell r="F46">
            <v>300</v>
          </cell>
          <cell r="G46">
            <v>2</v>
          </cell>
          <cell r="H46">
            <v>300</v>
          </cell>
          <cell r="I46">
            <v>41244</v>
          </cell>
          <cell r="J46" t="str">
            <v>NO SUMA</v>
          </cell>
          <cell r="W46">
            <v>0</v>
          </cell>
          <cell r="AJ46">
            <v>0</v>
          </cell>
          <cell r="AW46">
            <v>0</v>
          </cell>
        </row>
        <row r="47">
          <cell r="B47">
            <v>3735</v>
          </cell>
          <cell r="C47" t="str">
            <v>EZ_35_</v>
          </cell>
          <cell r="D47" t="str">
            <v>Rancho Estanzuela No. 35</v>
          </cell>
          <cell r="E47" t="str">
            <v>Rodríguez</v>
          </cell>
          <cell r="F47">
            <v>300</v>
          </cell>
          <cell r="G47">
            <v>1</v>
          </cell>
          <cell r="H47">
            <v>300</v>
          </cell>
          <cell r="I47">
            <v>41244</v>
          </cell>
          <cell r="J47">
            <v>0</v>
          </cell>
          <cell r="V47">
            <v>300</v>
          </cell>
          <cell r="W47">
            <v>300</v>
          </cell>
          <cell r="AJ47">
            <v>0</v>
          </cell>
          <cell r="AW47">
            <v>0</v>
          </cell>
        </row>
        <row r="48">
          <cell r="B48">
            <v>3736</v>
          </cell>
          <cell r="C48" t="str">
            <v>CL_43_B</v>
          </cell>
          <cell r="D48" t="str">
            <v>Rancho La Cuchilla No. 43, B</v>
          </cell>
          <cell r="E48" t="str">
            <v>Luna Albertano</v>
          </cell>
          <cell r="F48">
            <v>125</v>
          </cell>
          <cell r="G48">
            <v>1</v>
          </cell>
          <cell r="H48">
            <v>125</v>
          </cell>
          <cell r="I48">
            <v>41245</v>
          </cell>
          <cell r="J48">
            <v>0</v>
          </cell>
          <cell r="V48">
            <v>125</v>
          </cell>
          <cell r="W48">
            <v>125</v>
          </cell>
          <cell r="AJ48">
            <v>0</v>
          </cell>
          <cell r="AW48">
            <v>0</v>
          </cell>
        </row>
        <row r="49">
          <cell r="B49">
            <v>3737</v>
          </cell>
          <cell r="C49" t="str">
            <v>LD_80_</v>
          </cell>
          <cell r="D49" t="str">
            <v>Rancho Landero No. 80</v>
          </cell>
          <cell r="E49" t="str">
            <v>Villaseñor</v>
          </cell>
          <cell r="F49">
            <v>300</v>
          </cell>
          <cell r="G49">
            <v>1</v>
          </cell>
          <cell r="H49">
            <v>300</v>
          </cell>
          <cell r="I49">
            <v>41245</v>
          </cell>
          <cell r="J49">
            <v>0</v>
          </cell>
          <cell r="V49">
            <v>300</v>
          </cell>
          <cell r="W49">
            <v>300</v>
          </cell>
          <cell r="AJ49">
            <v>0</v>
          </cell>
          <cell r="AW49">
            <v>0</v>
          </cell>
        </row>
        <row r="50">
          <cell r="B50">
            <v>3738</v>
          </cell>
          <cell r="C50" t="str">
            <v>ZB_68_</v>
          </cell>
          <cell r="D50" t="str">
            <v>Rancho Zinamba No. 68</v>
          </cell>
          <cell r="E50" t="str">
            <v>Rivera Villicaña</v>
          </cell>
          <cell r="F50">
            <v>300</v>
          </cell>
          <cell r="G50">
            <v>1</v>
          </cell>
          <cell r="H50">
            <v>300</v>
          </cell>
          <cell r="I50">
            <v>41245</v>
          </cell>
          <cell r="J50">
            <v>0</v>
          </cell>
          <cell r="V50">
            <v>300</v>
          </cell>
          <cell r="W50">
            <v>300</v>
          </cell>
          <cell r="AJ50">
            <v>0</v>
          </cell>
          <cell r="AW50">
            <v>0</v>
          </cell>
        </row>
        <row r="51">
          <cell r="B51">
            <v>3739</v>
          </cell>
          <cell r="C51" t="str">
            <v>EZ_9_B</v>
          </cell>
          <cell r="D51" t="str">
            <v>Rancho Estanzuela No. 9, B</v>
          </cell>
          <cell r="E51" t="str">
            <v>Velasco Rojas</v>
          </cell>
          <cell r="F51">
            <v>200</v>
          </cell>
          <cell r="G51">
            <v>1</v>
          </cell>
          <cell r="H51">
            <v>200</v>
          </cell>
          <cell r="I51">
            <v>41245</v>
          </cell>
          <cell r="J51">
            <v>0</v>
          </cell>
          <cell r="V51">
            <v>200</v>
          </cell>
          <cell r="W51">
            <v>200</v>
          </cell>
          <cell r="AJ51">
            <v>0</v>
          </cell>
          <cell r="AW51">
            <v>0</v>
          </cell>
        </row>
        <row r="52">
          <cell r="B52">
            <v>3740</v>
          </cell>
          <cell r="C52" t="str">
            <v>EZ_9_B</v>
          </cell>
          <cell r="D52" t="str">
            <v>Rancho Estanzuela No. 9, B</v>
          </cell>
          <cell r="E52" t="str">
            <v>Velasco Rojas</v>
          </cell>
          <cell r="F52">
            <v>200</v>
          </cell>
          <cell r="G52">
            <v>4</v>
          </cell>
          <cell r="H52">
            <v>160</v>
          </cell>
          <cell r="I52">
            <v>41245</v>
          </cell>
          <cell r="J52" t="str">
            <v>NO SUMA</v>
          </cell>
          <cell r="W52">
            <v>0</v>
          </cell>
          <cell r="AJ52">
            <v>0</v>
          </cell>
          <cell r="AW52">
            <v>0</v>
          </cell>
        </row>
        <row r="53">
          <cell r="B53">
            <v>3741</v>
          </cell>
          <cell r="C53" t="str">
            <v>CL_40_</v>
          </cell>
          <cell r="D53" t="str">
            <v>Rancho La Cuchilla No. 40</v>
          </cell>
          <cell r="E53" t="str">
            <v>López Pico</v>
          </cell>
          <cell r="F53">
            <v>300</v>
          </cell>
          <cell r="G53">
            <v>1</v>
          </cell>
          <cell r="H53">
            <v>300</v>
          </cell>
          <cell r="I53">
            <v>41244</v>
          </cell>
          <cell r="J53">
            <v>0</v>
          </cell>
          <cell r="V53">
            <v>300</v>
          </cell>
          <cell r="W53">
            <v>300</v>
          </cell>
          <cell r="AJ53">
            <v>0</v>
          </cell>
          <cell r="AW53">
            <v>0</v>
          </cell>
        </row>
        <row r="54">
          <cell r="B54">
            <v>3742</v>
          </cell>
          <cell r="C54" t="str">
            <v>UP_120_</v>
          </cell>
          <cell r="D54" t="str">
            <v>Rancho Upácuaro No. 120</v>
          </cell>
          <cell r="E54" t="str">
            <v>Rayas Rivera</v>
          </cell>
          <cell r="F54">
            <v>300</v>
          </cell>
          <cell r="G54">
            <v>1</v>
          </cell>
          <cell r="H54">
            <v>300</v>
          </cell>
          <cell r="I54">
            <v>41244</v>
          </cell>
          <cell r="J54">
            <v>0</v>
          </cell>
          <cell r="V54">
            <v>300</v>
          </cell>
          <cell r="W54">
            <v>300</v>
          </cell>
          <cell r="AJ54">
            <v>0</v>
          </cell>
          <cell r="AW54">
            <v>0</v>
          </cell>
        </row>
        <row r="55">
          <cell r="B55">
            <v>3743</v>
          </cell>
          <cell r="C55" t="str">
            <v>UP_24_</v>
          </cell>
          <cell r="D55" t="str">
            <v>Rancho Upácuaro No. 24</v>
          </cell>
          <cell r="E55" t="str">
            <v>Parra</v>
          </cell>
          <cell r="F55">
            <v>300</v>
          </cell>
          <cell r="G55">
            <v>1</v>
          </cell>
          <cell r="H55">
            <v>900</v>
          </cell>
          <cell r="I55">
            <v>41253</v>
          </cell>
          <cell r="J55">
            <v>0</v>
          </cell>
          <cell r="Q55">
            <v>300</v>
          </cell>
          <cell r="R55">
            <v>300</v>
          </cell>
          <cell r="S55">
            <v>300</v>
          </cell>
          <cell r="W55">
            <v>900</v>
          </cell>
          <cell r="AJ55">
            <v>0</v>
          </cell>
          <cell r="AW55">
            <v>0</v>
          </cell>
        </row>
        <row r="56">
          <cell r="B56">
            <v>3744</v>
          </cell>
          <cell r="C56" t="str">
            <v>CL_20_</v>
          </cell>
          <cell r="D56" t="str">
            <v>Rancho La Cuchilla No. 20</v>
          </cell>
          <cell r="E56" t="str">
            <v>Sánchez López</v>
          </cell>
          <cell r="F56">
            <v>300</v>
          </cell>
          <cell r="G56">
            <v>1</v>
          </cell>
          <cell r="H56">
            <v>300</v>
          </cell>
          <cell r="I56">
            <v>41244</v>
          </cell>
          <cell r="J56">
            <v>0</v>
          </cell>
          <cell r="V56">
            <v>300</v>
          </cell>
          <cell r="W56">
            <v>300</v>
          </cell>
          <cell r="AJ56">
            <v>0</v>
          </cell>
          <cell r="AW56">
            <v>0</v>
          </cell>
        </row>
        <row r="57">
          <cell r="B57">
            <v>3745</v>
          </cell>
          <cell r="C57" t="str">
            <v>UP_64_</v>
          </cell>
          <cell r="D57" t="str">
            <v>Rancho Upácuaro No. 64</v>
          </cell>
          <cell r="E57" t="str">
            <v>Méndez Oliva</v>
          </cell>
          <cell r="F57">
            <v>300</v>
          </cell>
          <cell r="G57">
            <v>1</v>
          </cell>
          <cell r="H57">
            <v>300</v>
          </cell>
          <cell r="I57">
            <v>41244</v>
          </cell>
          <cell r="J57">
            <v>0</v>
          </cell>
          <cell r="V57">
            <v>300</v>
          </cell>
          <cell r="W57">
            <v>300</v>
          </cell>
          <cell r="AJ57">
            <v>0</v>
          </cell>
          <cell r="AW57">
            <v>0</v>
          </cell>
        </row>
        <row r="58">
          <cell r="B58">
            <v>3746</v>
          </cell>
          <cell r="C58" t="str">
            <v>CL_81_A</v>
          </cell>
          <cell r="D58" t="str">
            <v>Rancho La Cuchilla No. 81, A</v>
          </cell>
          <cell r="E58" t="str">
            <v>Barrientos López</v>
          </cell>
          <cell r="F58">
            <v>300</v>
          </cell>
          <cell r="G58">
            <v>1</v>
          </cell>
          <cell r="H58">
            <v>300</v>
          </cell>
          <cell r="I58">
            <v>41244</v>
          </cell>
          <cell r="J58">
            <v>0</v>
          </cell>
          <cell r="V58">
            <v>300</v>
          </cell>
          <cell r="W58">
            <v>300</v>
          </cell>
          <cell r="AJ58">
            <v>0</v>
          </cell>
          <cell r="AW58">
            <v>0</v>
          </cell>
        </row>
        <row r="59">
          <cell r="B59">
            <v>3747</v>
          </cell>
          <cell r="C59" t="str">
            <v>CL_33_</v>
          </cell>
          <cell r="D59" t="str">
            <v>Rancho La Cuchilla No. 33</v>
          </cell>
          <cell r="E59" t="str">
            <v>Tanús</v>
          </cell>
          <cell r="F59">
            <v>300</v>
          </cell>
          <cell r="G59">
            <v>1</v>
          </cell>
          <cell r="H59">
            <v>300</v>
          </cell>
          <cell r="I59">
            <v>41244</v>
          </cell>
          <cell r="J59">
            <v>0</v>
          </cell>
          <cell r="V59">
            <v>300</v>
          </cell>
          <cell r="W59">
            <v>300</v>
          </cell>
          <cell r="AJ59">
            <v>0</v>
          </cell>
          <cell r="AW59">
            <v>0</v>
          </cell>
        </row>
        <row r="60">
          <cell r="B60">
            <v>3747</v>
          </cell>
          <cell r="C60" t="str">
            <v>CL_33_</v>
          </cell>
          <cell r="D60" t="str">
            <v>Rancho La Cuchilla No. 33</v>
          </cell>
          <cell r="E60" t="str">
            <v>Tanús</v>
          </cell>
          <cell r="F60">
            <v>300</v>
          </cell>
          <cell r="G60">
            <v>2</v>
          </cell>
          <cell r="H60">
            <v>300</v>
          </cell>
          <cell r="I60">
            <v>41244</v>
          </cell>
          <cell r="J60" t="str">
            <v>NO SUMA</v>
          </cell>
          <cell r="W60">
            <v>0</v>
          </cell>
          <cell r="AJ60">
            <v>0</v>
          </cell>
          <cell r="AW60">
            <v>0</v>
          </cell>
        </row>
        <row r="61">
          <cell r="B61">
            <v>3748</v>
          </cell>
          <cell r="C61" t="str">
            <v>EZ_61_</v>
          </cell>
          <cell r="D61" t="str">
            <v>Rancho Estanzuela No. 61</v>
          </cell>
          <cell r="E61" t="str">
            <v>González Almazán</v>
          </cell>
          <cell r="F61">
            <v>300</v>
          </cell>
          <cell r="G61">
            <v>1</v>
          </cell>
          <cell r="H61">
            <v>300</v>
          </cell>
          <cell r="I61">
            <v>41244</v>
          </cell>
          <cell r="J61">
            <v>0</v>
          </cell>
          <cell r="V61">
            <v>300</v>
          </cell>
          <cell r="W61">
            <v>300</v>
          </cell>
          <cell r="AJ61">
            <v>0</v>
          </cell>
          <cell r="AW61">
            <v>0</v>
          </cell>
        </row>
        <row r="62">
          <cell r="B62">
            <v>3748</v>
          </cell>
          <cell r="C62" t="str">
            <v>EZ_61_</v>
          </cell>
          <cell r="D62" t="str">
            <v>Rancho Estanzuela No. 61</v>
          </cell>
          <cell r="E62" t="str">
            <v>González Almazán</v>
          </cell>
          <cell r="F62">
            <v>300</v>
          </cell>
          <cell r="G62">
            <v>2</v>
          </cell>
          <cell r="H62">
            <v>300</v>
          </cell>
          <cell r="I62">
            <v>41244</v>
          </cell>
          <cell r="J62" t="str">
            <v>NO SUMA</v>
          </cell>
          <cell r="W62">
            <v>0</v>
          </cell>
          <cell r="AJ62">
            <v>0</v>
          </cell>
          <cell r="AW62">
            <v>0</v>
          </cell>
        </row>
        <row r="63">
          <cell r="B63">
            <v>3749</v>
          </cell>
          <cell r="C63" t="str">
            <v>EZ_31_</v>
          </cell>
          <cell r="D63" t="str">
            <v>Rancho Estanzuela No. 31</v>
          </cell>
          <cell r="E63" t="str">
            <v>Chávez Valdés</v>
          </cell>
          <cell r="F63">
            <v>300</v>
          </cell>
          <cell r="G63">
            <v>1</v>
          </cell>
          <cell r="H63">
            <v>300</v>
          </cell>
          <cell r="I63">
            <v>41244</v>
          </cell>
          <cell r="J63">
            <v>0</v>
          </cell>
          <cell r="V63">
            <v>300</v>
          </cell>
          <cell r="W63">
            <v>300</v>
          </cell>
          <cell r="AJ63">
            <v>0</v>
          </cell>
          <cell r="AW63">
            <v>0</v>
          </cell>
        </row>
        <row r="64">
          <cell r="B64">
            <v>3750</v>
          </cell>
          <cell r="C64" t="str">
            <v>EZ_25_</v>
          </cell>
          <cell r="D64" t="str">
            <v>Rancho Estanzuela No. 25</v>
          </cell>
          <cell r="E64" t="str">
            <v>Contreras Figueroa</v>
          </cell>
          <cell r="F64">
            <v>300</v>
          </cell>
          <cell r="G64">
            <v>1</v>
          </cell>
          <cell r="H64">
            <v>300</v>
          </cell>
          <cell r="I64">
            <v>41245</v>
          </cell>
          <cell r="J64">
            <v>0</v>
          </cell>
          <cell r="V64">
            <v>300</v>
          </cell>
          <cell r="W64">
            <v>300</v>
          </cell>
          <cell r="AJ64">
            <v>0</v>
          </cell>
          <cell r="AW64">
            <v>0</v>
          </cell>
        </row>
        <row r="65">
          <cell r="B65">
            <v>3751</v>
          </cell>
          <cell r="C65" t="str">
            <v>UP_33_</v>
          </cell>
          <cell r="D65" t="str">
            <v>Rancho Upácuaro No. 33</v>
          </cell>
          <cell r="E65" t="str">
            <v>Ulloa Miranda</v>
          </cell>
          <cell r="F65">
            <v>300</v>
          </cell>
          <cell r="G65">
            <v>1</v>
          </cell>
          <cell r="H65">
            <v>300</v>
          </cell>
          <cell r="I65">
            <v>41245</v>
          </cell>
          <cell r="J65">
            <v>0</v>
          </cell>
          <cell r="V65">
            <v>300</v>
          </cell>
          <cell r="W65">
            <v>300</v>
          </cell>
          <cell r="AJ65">
            <v>0</v>
          </cell>
          <cell r="AW65">
            <v>0</v>
          </cell>
        </row>
        <row r="66">
          <cell r="B66">
            <v>3752</v>
          </cell>
          <cell r="C66" t="str">
            <v>LD_91_</v>
          </cell>
          <cell r="D66" t="str">
            <v>Rancho Landero No. 91</v>
          </cell>
          <cell r="E66" t="str">
            <v>Llaca</v>
          </cell>
          <cell r="F66">
            <v>300</v>
          </cell>
          <cell r="G66">
            <v>1</v>
          </cell>
          <cell r="H66">
            <v>300</v>
          </cell>
          <cell r="I66">
            <v>41244</v>
          </cell>
          <cell r="J66">
            <v>0</v>
          </cell>
          <cell r="V66">
            <v>300</v>
          </cell>
          <cell r="W66">
            <v>300</v>
          </cell>
          <cell r="AJ66">
            <v>0</v>
          </cell>
          <cell r="AW66">
            <v>0</v>
          </cell>
        </row>
        <row r="67">
          <cell r="B67">
            <v>3753</v>
          </cell>
          <cell r="C67" t="str">
            <v>CL_46_</v>
          </cell>
          <cell r="D67" t="str">
            <v>Rancho La Cuchilla No. 46</v>
          </cell>
          <cell r="E67" t="str">
            <v>Cruz López</v>
          </cell>
          <cell r="F67">
            <v>300</v>
          </cell>
          <cell r="G67">
            <v>1</v>
          </cell>
          <cell r="H67">
            <v>600</v>
          </cell>
          <cell r="I67">
            <v>41244</v>
          </cell>
          <cell r="J67">
            <v>0</v>
          </cell>
          <cell r="U67">
            <v>300</v>
          </cell>
          <cell r="V67">
            <v>300</v>
          </cell>
          <cell r="W67">
            <v>600</v>
          </cell>
          <cell r="AJ67">
            <v>0</v>
          </cell>
          <cell r="AW67">
            <v>0</v>
          </cell>
        </row>
        <row r="68">
          <cell r="B68">
            <v>3754</v>
          </cell>
          <cell r="C68" t="str">
            <v>LD_69_</v>
          </cell>
          <cell r="D68" t="str">
            <v>Rancho Landero No. 69</v>
          </cell>
          <cell r="E68" t="str">
            <v>Gómez Ayala</v>
          </cell>
          <cell r="F68">
            <v>300</v>
          </cell>
          <cell r="G68">
            <v>1</v>
          </cell>
          <cell r="H68">
            <v>900</v>
          </cell>
          <cell r="I68">
            <v>41245</v>
          </cell>
          <cell r="J68">
            <v>0</v>
          </cell>
          <cell r="T68">
            <v>300</v>
          </cell>
          <cell r="U68">
            <v>300</v>
          </cell>
          <cell r="V68">
            <v>300</v>
          </cell>
          <cell r="W68">
            <v>900</v>
          </cell>
          <cell r="AJ68">
            <v>0</v>
          </cell>
          <cell r="AW68">
            <v>0</v>
          </cell>
        </row>
        <row r="69">
          <cell r="B69">
            <v>3754</v>
          </cell>
          <cell r="C69" t="str">
            <v>LD_69_</v>
          </cell>
          <cell r="D69" t="str">
            <v>Rancho Landero No. 69</v>
          </cell>
          <cell r="E69" t="str">
            <v>Gómez Ayala</v>
          </cell>
          <cell r="F69">
            <v>300</v>
          </cell>
          <cell r="G69">
            <v>2</v>
          </cell>
          <cell r="H69">
            <v>300</v>
          </cell>
          <cell r="I69">
            <v>41245</v>
          </cell>
          <cell r="J69" t="str">
            <v>NO SUMA</v>
          </cell>
          <cell r="W69">
            <v>0</v>
          </cell>
          <cell r="AJ69">
            <v>0</v>
          </cell>
          <cell r="AW69">
            <v>0</v>
          </cell>
        </row>
        <row r="70">
          <cell r="B70">
            <v>3755</v>
          </cell>
          <cell r="C70" t="str">
            <v>CL_87_</v>
          </cell>
          <cell r="D70" t="str">
            <v>Rancho La Cuchilla No. 87</v>
          </cell>
          <cell r="E70" t="str">
            <v>Villanueva S.</v>
          </cell>
          <cell r="F70">
            <v>300</v>
          </cell>
          <cell r="G70">
            <v>1</v>
          </cell>
          <cell r="H70">
            <v>300</v>
          </cell>
          <cell r="I70">
            <v>41244</v>
          </cell>
          <cell r="J70">
            <v>0</v>
          </cell>
          <cell r="V70">
            <v>300</v>
          </cell>
          <cell r="W70">
            <v>300</v>
          </cell>
          <cell r="AJ70">
            <v>0</v>
          </cell>
          <cell r="AW70">
            <v>0</v>
          </cell>
        </row>
        <row r="71">
          <cell r="B71">
            <v>3756</v>
          </cell>
          <cell r="C71" t="str">
            <v>CL_87_</v>
          </cell>
          <cell r="D71" t="str">
            <v>Rancho La Cuchilla No. 87</v>
          </cell>
          <cell r="E71" t="str">
            <v>Villanueva S.</v>
          </cell>
          <cell r="F71">
            <v>300</v>
          </cell>
          <cell r="G71">
            <v>1</v>
          </cell>
          <cell r="H71">
            <v>300</v>
          </cell>
          <cell r="I71">
            <v>41244</v>
          </cell>
          <cell r="J71">
            <v>0</v>
          </cell>
          <cell r="U71">
            <v>300</v>
          </cell>
          <cell r="W71">
            <v>300</v>
          </cell>
          <cell r="AJ71">
            <v>0</v>
          </cell>
          <cell r="AW71">
            <v>0</v>
          </cell>
        </row>
        <row r="72">
          <cell r="B72">
            <v>3757</v>
          </cell>
          <cell r="C72" t="str">
            <v>ZB_56_</v>
          </cell>
          <cell r="D72" t="str">
            <v>Rancho Zinamba No. 56</v>
          </cell>
          <cell r="E72" t="str">
            <v>Aguado</v>
          </cell>
          <cell r="F72">
            <v>250</v>
          </cell>
          <cell r="G72">
            <v>2</v>
          </cell>
          <cell r="H72">
            <v>300</v>
          </cell>
          <cell r="I72">
            <v>41244</v>
          </cell>
          <cell r="J72" t="str">
            <v>NO SUMA</v>
          </cell>
          <cell r="W72">
            <v>0</v>
          </cell>
          <cell r="AJ72">
            <v>0</v>
          </cell>
          <cell r="AW72">
            <v>0</v>
          </cell>
        </row>
        <row r="73">
          <cell r="B73">
            <v>3758</v>
          </cell>
          <cell r="C73" t="str">
            <v>ZB_56_</v>
          </cell>
          <cell r="D73" t="str">
            <v>Rancho Zinamba No. 56</v>
          </cell>
          <cell r="E73" t="str">
            <v>Aguado</v>
          </cell>
          <cell r="F73">
            <v>250</v>
          </cell>
          <cell r="G73">
            <v>1</v>
          </cell>
          <cell r="H73">
            <v>250</v>
          </cell>
          <cell r="I73">
            <v>41244</v>
          </cell>
          <cell r="J73">
            <v>0</v>
          </cell>
          <cell r="V73">
            <v>250</v>
          </cell>
          <cell r="W73">
            <v>250</v>
          </cell>
          <cell r="AJ73">
            <v>0</v>
          </cell>
          <cell r="AW73">
            <v>0</v>
          </cell>
        </row>
        <row r="74">
          <cell r="B74">
            <v>3759</v>
          </cell>
          <cell r="C74" t="str">
            <v>LD_92_</v>
          </cell>
          <cell r="D74" t="str">
            <v>Rancho Landero No. 92</v>
          </cell>
          <cell r="E74" t="str">
            <v>Ruiz Velasco</v>
          </cell>
          <cell r="F74">
            <v>300</v>
          </cell>
          <cell r="G74">
            <v>1</v>
          </cell>
          <cell r="H74">
            <v>300</v>
          </cell>
          <cell r="I74">
            <v>41244</v>
          </cell>
          <cell r="J74">
            <v>0</v>
          </cell>
          <cell r="V74">
            <v>300</v>
          </cell>
          <cell r="W74">
            <v>300</v>
          </cell>
          <cell r="AJ74">
            <v>0</v>
          </cell>
          <cell r="AW74">
            <v>0</v>
          </cell>
        </row>
        <row r="75">
          <cell r="B75">
            <v>3760</v>
          </cell>
          <cell r="C75" t="str">
            <v>LD_92_</v>
          </cell>
          <cell r="D75" t="str">
            <v>Rancho Landero No. 92</v>
          </cell>
          <cell r="E75" t="str">
            <v>Ruiz Velasco</v>
          </cell>
          <cell r="F75">
            <v>300</v>
          </cell>
          <cell r="G75">
            <v>2</v>
          </cell>
          <cell r="H75">
            <v>300</v>
          </cell>
          <cell r="I75">
            <v>41244</v>
          </cell>
          <cell r="J75" t="str">
            <v>NO SUMA</v>
          </cell>
          <cell r="W75">
            <v>0</v>
          </cell>
          <cell r="AJ75">
            <v>0</v>
          </cell>
          <cell r="AW75">
            <v>0</v>
          </cell>
        </row>
        <row r="76">
          <cell r="B76">
            <v>3761</v>
          </cell>
          <cell r="C76" t="str">
            <v>EZ_99_</v>
          </cell>
          <cell r="D76" t="str">
            <v>Rancho Estanzuela No. 99</v>
          </cell>
          <cell r="E76" t="str">
            <v>García López</v>
          </cell>
          <cell r="F76">
            <v>300</v>
          </cell>
          <cell r="G76">
            <v>1</v>
          </cell>
          <cell r="H76">
            <v>300</v>
          </cell>
          <cell r="I76">
            <v>41244</v>
          </cell>
          <cell r="J76">
            <v>0</v>
          </cell>
          <cell r="U76">
            <v>300</v>
          </cell>
          <cell r="W76">
            <v>300</v>
          </cell>
          <cell r="AJ76">
            <v>0</v>
          </cell>
          <cell r="AW76">
            <v>0</v>
          </cell>
        </row>
        <row r="77">
          <cell r="B77">
            <v>3762</v>
          </cell>
          <cell r="C77" t="str">
            <v>LD_45_</v>
          </cell>
          <cell r="D77" t="str">
            <v>Rancho Landero No. 45</v>
          </cell>
          <cell r="E77" t="str">
            <v>Almazán</v>
          </cell>
          <cell r="F77">
            <v>250</v>
          </cell>
          <cell r="G77">
            <v>1</v>
          </cell>
          <cell r="H77">
            <v>250</v>
          </cell>
          <cell r="I77">
            <v>41246</v>
          </cell>
          <cell r="J77">
            <v>0</v>
          </cell>
          <cell r="V77">
            <v>250</v>
          </cell>
          <cell r="W77">
            <v>250</v>
          </cell>
          <cell r="AJ77">
            <v>0</v>
          </cell>
          <cell r="AW77">
            <v>0</v>
          </cell>
        </row>
        <row r="78">
          <cell r="B78">
            <v>3763</v>
          </cell>
          <cell r="C78" t="str">
            <v>CL_139_</v>
          </cell>
          <cell r="D78" t="str">
            <v>Rancho La Cuchilla No. 139</v>
          </cell>
          <cell r="E78" t="str">
            <v>Gloria García</v>
          </cell>
          <cell r="F78">
            <v>200</v>
          </cell>
          <cell r="G78">
            <v>1</v>
          </cell>
          <cell r="H78">
            <v>200</v>
          </cell>
          <cell r="I78">
            <v>41247</v>
          </cell>
          <cell r="J78">
            <v>0</v>
          </cell>
          <cell r="V78">
            <v>200</v>
          </cell>
          <cell r="W78">
            <v>200</v>
          </cell>
          <cell r="AJ78">
            <v>0</v>
          </cell>
          <cell r="AW78">
            <v>0</v>
          </cell>
        </row>
        <row r="79">
          <cell r="B79">
            <v>3764</v>
          </cell>
          <cell r="C79" t="str">
            <v>LD_85_</v>
          </cell>
          <cell r="D79" t="str">
            <v>Rancho Landero No. 85</v>
          </cell>
          <cell r="E79" t="str">
            <v>Martínez Olague</v>
          </cell>
          <cell r="F79">
            <v>300</v>
          </cell>
          <cell r="G79">
            <v>1</v>
          </cell>
          <cell r="H79">
            <v>300</v>
          </cell>
          <cell r="I79">
            <v>41247</v>
          </cell>
          <cell r="J79">
            <v>0</v>
          </cell>
          <cell r="V79">
            <v>300</v>
          </cell>
          <cell r="W79">
            <v>300</v>
          </cell>
          <cell r="AJ79">
            <v>0</v>
          </cell>
          <cell r="AW79">
            <v>0</v>
          </cell>
        </row>
        <row r="80">
          <cell r="B80">
            <v>3765</v>
          </cell>
          <cell r="C80" t="str">
            <v>CL_19_</v>
          </cell>
          <cell r="D80" t="str">
            <v>Rancho La Cuchilla No. 19</v>
          </cell>
          <cell r="E80" t="str">
            <v>Tapia Vázquez</v>
          </cell>
          <cell r="F80">
            <v>300</v>
          </cell>
          <cell r="G80">
            <v>1</v>
          </cell>
          <cell r="H80">
            <v>300</v>
          </cell>
          <cell r="I80">
            <v>41247</v>
          </cell>
          <cell r="J80">
            <v>0</v>
          </cell>
          <cell r="V80">
            <v>300</v>
          </cell>
          <cell r="W80">
            <v>300</v>
          </cell>
          <cell r="AJ80">
            <v>0</v>
          </cell>
          <cell r="AW80">
            <v>0</v>
          </cell>
        </row>
        <row r="81">
          <cell r="B81">
            <v>3766</v>
          </cell>
          <cell r="D81" t="str">
            <v/>
          </cell>
          <cell r="E81" t="str">
            <v/>
          </cell>
          <cell r="F81" t="str">
            <v/>
          </cell>
          <cell r="G81">
            <v>8</v>
          </cell>
          <cell r="I81">
            <v>41247</v>
          </cell>
          <cell r="J81" t="str">
            <v>NO SUMA</v>
          </cell>
          <cell r="W81">
            <v>0</v>
          </cell>
          <cell r="AJ81">
            <v>0</v>
          </cell>
          <cell r="AW81">
            <v>0</v>
          </cell>
        </row>
        <row r="82">
          <cell r="B82">
            <v>3767</v>
          </cell>
          <cell r="C82" t="str">
            <v>EZ_123_</v>
          </cell>
          <cell r="D82" t="str">
            <v>Rancho Estanzuela No. 123</v>
          </cell>
          <cell r="E82" t="str">
            <v>Bueno Rendón</v>
          </cell>
          <cell r="F82">
            <v>150</v>
          </cell>
          <cell r="G82">
            <v>1</v>
          </cell>
          <cell r="H82">
            <v>150</v>
          </cell>
          <cell r="I82">
            <v>41248</v>
          </cell>
          <cell r="J82">
            <v>0</v>
          </cell>
          <cell r="V82">
            <v>150</v>
          </cell>
          <cell r="W82">
            <v>150</v>
          </cell>
          <cell r="AJ82">
            <v>0</v>
          </cell>
          <cell r="AW82">
            <v>0</v>
          </cell>
        </row>
        <row r="83">
          <cell r="B83">
            <v>3768</v>
          </cell>
          <cell r="C83" t="str">
            <v>CL_15_</v>
          </cell>
          <cell r="D83" t="str">
            <v>Rancho La Cuchilla No. 15</v>
          </cell>
          <cell r="E83" t="str">
            <v>Guerrero Ponce</v>
          </cell>
          <cell r="F83">
            <v>300</v>
          </cell>
          <cell r="G83">
            <v>3</v>
          </cell>
          <cell r="H83">
            <v>150</v>
          </cell>
          <cell r="I83">
            <v>41249</v>
          </cell>
          <cell r="J83" t="str">
            <v>NO SUMA</v>
          </cell>
          <cell r="W83">
            <v>0</v>
          </cell>
          <cell r="AJ83">
            <v>0</v>
          </cell>
          <cell r="AW83">
            <v>0</v>
          </cell>
        </row>
        <row r="84">
          <cell r="B84">
            <v>3769</v>
          </cell>
          <cell r="C84" t="str">
            <v>CL_90_</v>
          </cell>
          <cell r="D84" t="str">
            <v>Rancho La Cuchilla No. 90</v>
          </cell>
          <cell r="E84" t="str">
            <v>Porras Fuentes</v>
          </cell>
          <cell r="F84">
            <v>150</v>
          </cell>
          <cell r="G84">
            <v>1</v>
          </cell>
          <cell r="H84">
            <v>300</v>
          </cell>
          <cell r="I84">
            <v>41249</v>
          </cell>
          <cell r="J84">
            <v>0</v>
          </cell>
          <cell r="U84">
            <v>150</v>
          </cell>
          <cell r="V84">
            <v>150</v>
          </cell>
          <cell r="W84">
            <v>300</v>
          </cell>
          <cell r="AJ84">
            <v>0</v>
          </cell>
          <cell r="AW84">
            <v>0</v>
          </cell>
        </row>
        <row r="85">
          <cell r="B85">
            <v>3770</v>
          </cell>
          <cell r="C85" t="str">
            <v>CL_75_</v>
          </cell>
          <cell r="D85" t="str">
            <v>Rancho La Cuchilla No. 75</v>
          </cell>
          <cell r="E85" t="str">
            <v>Sosa Lucio</v>
          </cell>
          <cell r="F85">
            <v>300</v>
          </cell>
          <cell r="G85">
            <v>1</v>
          </cell>
          <cell r="H85">
            <v>300</v>
          </cell>
          <cell r="I85">
            <v>41249</v>
          </cell>
          <cell r="J85">
            <v>0</v>
          </cell>
          <cell r="V85">
            <v>300</v>
          </cell>
          <cell r="W85">
            <v>300</v>
          </cell>
          <cell r="AJ85">
            <v>0</v>
          </cell>
          <cell r="AW85">
            <v>0</v>
          </cell>
        </row>
        <row r="86">
          <cell r="B86">
            <v>3770</v>
          </cell>
          <cell r="C86" t="str">
            <v>CL_75_</v>
          </cell>
          <cell r="D86" t="str">
            <v>Rancho La Cuchilla No. 75</v>
          </cell>
          <cell r="E86" t="str">
            <v>Sosa Lucio</v>
          </cell>
          <cell r="F86">
            <v>300</v>
          </cell>
          <cell r="G86">
            <v>5</v>
          </cell>
          <cell r="H86">
            <v>40</v>
          </cell>
          <cell r="I86">
            <v>41249</v>
          </cell>
          <cell r="J86" t="str">
            <v>NO SUMA</v>
          </cell>
          <cell r="W86">
            <v>0</v>
          </cell>
          <cell r="AJ86">
            <v>0</v>
          </cell>
          <cell r="AW86">
            <v>0</v>
          </cell>
        </row>
        <row r="87">
          <cell r="B87">
            <v>3770</v>
          </cell>
          <cell r="C87" t="str">
            <v>CL_75_</v>
          </cell>
          <cell r="D87" t="str">
            <v>Rancho La Cuchilla No. 75</v>
          </cell>
          <cell r="E87" t="str">
            <v>Sosa Lucio</v>
          </cell>
          <cell r="F87">
            <v>300</v>
          </cell>
          <cell r="G87">
            <v>4</v>
          </cell>
          <cell r="H87">
            <v>160</v>
          </cell>
          <cell r="I87">
            <v>41249</v>
          </cell>
          <cell r="J87" t="str">
            <v>NO SUMA</v>
          </cell>
          <cell r="W87">
            <v>0</v>
          </cell>
          <cell r="AJ87">
            <v>0</v>
          </cell>
          <cell r="AW87">
            <v>0</v>
          </cell>
        </row>
        <row r="88">
          <cell r="B88">
            <v>3771</v>
          </cell>
          <cell r="C88" t="str">
            <v>CL_90_</v>
          </cell>
          <cell r="D88" t="str">
            <v>Rancho La Cuchilla No. 90</v>
          </cell>
          <cell r="E88" t="str">
            <v>Porras Fuentes</v>
          </cell>
          <cell r="F88">
            <v>150</v>
          </cell>
          <cell r="G88">
            <v>5</v>
          </cell>
          <cell r="H88">
            <v>40</v>
          </cell>
          <cell r="I88">
            <v>41249</v>
          </cell>
          <cell r="J88" t="str">
            <v>NO SUMA</v>
          </cell>
          <cell r="W88">
            <v>0</v>
          </cell>
          <cell r="AJ88">
            <v>0</v>
          </cell>
          <cell r="AW88">
            <v>0</v>
          </cell>
        </row>
        <row r="89">
          <cell r="B89">
            <v>3772</v>
          </cell>
          <cell r="C89" t="str">
            <v>LD_89_</v>
          </cell>
          <cell r="D89" t="str">
            <v>Rancho Landero No. 89</v>
          </cell>
          <cell r="E89" t="str">
            <v>Del Pozo Solís</v>
          </cell>
          <cell r="F89">
            <v>300</v>
          </cell>
          <cell r="G89">
            <v>1</v>
          </cell>
          <cell r="H89">
            <v>300</v>
          </cell>
          <cell r="I89">
            <v>41250</v>
          </cell>
          <cell r="J89">
            <v>0</v>
          </cell>
          <cell r="V89">
            <v>300</v>
          </cell>
          <cell r="W89">
            <v>300</v>
          </cell>
          <cell r="AJ89">
            <v>0</v>
          </cell>
          <cell r="AW89">
            <v>0</v>
          </cell>
        </row>
        <row r="90">
          <cell r="B90">
            <v>3773</v>
          </cell>
          <cell r="C90" t="str">
            <v>LD_40_</v>
          </cell>
          <cell r="D90" t="str">
            <v>Rancho Landero No. 40</v>
          </cell>
          <cell r="E90" t="str">
            <v>Almaguer Mireles</v>
          </cell>
          <cell r="F90">
            <v>300</v>
          </cell>
          <cell r="G90">
            <v>1</v>
          </cell>
          <cell r="H90">
            <v>1800</v>
          </cell>
          <cell r="I90">
            <v>41250</v>
          </cell>
          <cell r="J90">
            <v>0</v>
          </cell>
          <cell r="Q90">
            <v>300</v>
          </cell>
          <cell r="R90">
            <v>300</v>
          </cell>
          <cell r="S90">
            <v>300</v>
          </cell>
          <cell r="T90">
            <v>300</v>
          </cell>
          <cell r="U90">
            <v>300</v>
          </cell>
          <cell r="V90">
            <v>300</v>
          </cell>
          <cell r="W90">
            <v>1800</v>
          </cell>
          <cell r="AJ90">
            <v>0</v>
          </cell>
          <cell r="AW90">
            <v>0</v>
          </cell>
        </row>
        <row r="91">
          <cell r="B91">
            <v>3774</v>
          </cell>
          <cell r="C91" t="str">
            <v>UP_65_</v>
          </cell>
          <cell r="D91" t="str">
            <v>Rancho Upácuaro No. 65</v>
          </cell>
          <cell r="E91" t="str">
            <v>Olguín</v>
          </cell>
          <cell r="F91">
            <v>300</v>
          </cell>
          <cell r="G91">
            <v>1</v>
          </cell>
          <cell r="H91">
            <v>300</v>
          </cell>
          <cell r="I91">
            <v>41252</v>
          </cell>
          <cell r="J91">
            <v>0</v>
          </cell>
          <cell r="V91">
            <v>300</v>
          </cell>
          <cell r="W91">
            <v>300</v>
          </cell>
          <cell r="AJ91">
            <v>0</v>
          </cell>
          <cell r="AW91">
            <v>0</v>
          </cell>
        </row>
        <row r="92">
          <cell r="B92">
            <v>3775</v>
          </cell>
          <cell r="C92" t="str">
            <v>UP_65_</v>
          </cell>
          <cell r="D92" t="str">
            <v>Rancho Upácuaro No. 65</v>
          </cell>
          <cell r="E92" t="str">
            <v>Olguín</v>
          </cell>
          <cell r="F92">
            <v>300</v>
          </cell>
          <cell r="G92">
            <v>2</v>
          </cell>
          <cell r="H92">
            <v>300</v>
          </cell>
          <cell r="I92">
            <v>41252</v>
          </cell>
          <cell r="J92" t="str">
            <v>NO SUMA</v>
          </cell>
          <cell r="W92">
            <v>0</v>
          </cell>
          <cell r="AJ92">
            <v>0</v>
          </cell>
          <cell r="AW92">
            <v>0</v>
          </cell>
        </row>
        <row r="93">
          <cell r="B93">
            <v>3776</v>
          </cell>
          <cell r="C93" t="str">
            <v>CL_77_</v>
          </cell>
          <cell r="D93" t="str">
            <v>Rancho La Cuchilla No. 77</v>
          </cell>
          <cell r="E93" t="str">
            <v>Loperena</v>
          </cell>
          <cell r="F93">
            <v>300</v>
          </cell>
          <cell r="G93">
            <v>1</v>
          </cell>
          <cell r="H93">
            <v>600</v>
          </cell>
          <cell r="I93">
            <v>41252</v>
          </cell>
          <cell r="J93">
            <v>0</v>
          </cell>
          <cell r="T93">
            <v>300</v>
          </cell>
          <cell r="U93">
            <v>300</v>
          </cell>
          <cell r="W93">
            <v>600</v>
          </cell>
          <cell r="AJ93">
            <v>0</v>
          </cell>
          <cell r="AW93">
            <v>0</v>
          </cell>
        </row>
        <row r="94">
          <cell r="B94">
            <v>3777</v>
          </cell>
          <cell r="C94" t="str">
            <v>EZ_47_</v>
          </cell>
          <cell r="D94" t="str">
            <v>Rancho Estanzuela No. 47</v>
          </cell>
          <cell r="E94" t="str">
            <v>Bussey García</v>
          </cell>
          <cell r="F94">
            <v>300</v>
          </cell>
          <cell r="G94">
            <v>1</v>
          </cell>
          <cell r="H94">
            <v>300</v>
          </cell>
          <cell r="I94">
            <v>41252</v>
          </cell>
          <cell r="J94">
            <v>0</v>
          </cell>
          <cell r="V94">
            <v>300</v>
          </cell>
          <cell r="W94">
            <v>300</v>
          </cell>
          <cell r="AJ94">
            <v>0</v>
          </cell>
          <cell r="AW94">
            <v>0</v>
          </cell>
        </row>
        <row r="95">
          <cell r="B95">
            <v>3778</v>
          </cell>
          <cell r="C95" t="str">
            <v>ZB_26_</v>
          </cell>
          <cell r="D95" t="str">
            <v>Rancho Zinamba No. 26</v>
          </cell>
          <cell r="E95" t="str">
            <v>Ayala</v>
          </cell>
          <cell r="F95">
            <v>300</v>
          </cell>
          <cell r="G95">
            <v>1</v>
          </cell>
          <cell r="H95">
            <v>300</v>
          </cell>
          <cell r="I95">
            <v>41252</v>
          </cell>
          <cell r="J95">
            <v>0</v>
          </cell>
          <cell r="V95">
            <v>300</v>
          </cell>
          <cell r="W95">
            <v>300</v>
          </cell>
          <cell r="AJ95">
            <v>0</v>
          </cell>
          <cell r="AW95">
            <v>0</v>
          </cell>
        </row>
        <row r="96">
          <cell r="B96">
            <v>3778</v>
          </cell>
          <cell r="C96" t="str">
            <v>ZB_26_</v>
          </cell>
          <cell r="D96" t="str">
            <v>Rancho Zinamba No. 26</v>
          </cell>
          <cell r="E96" t="str">
            <v>Ayala</v>
          </cell>
          <cell r="F96">
            <v>300</v>
          </cell>
          <cell r="G96">
            <v>3</v>
          </cell>
          <cell r="H96">
            <v>150</v>
          </cell>
          <cell r="I96">
            <v>41252</v>
          </cell>
          <cell r="J96" t="str">
            <v>NO SUMA</v>
          </cell>
          <cell r="W96">
            <v>0</v>
          </cell>
          <cell r="AJ96">
            <v>0</v>
          </cell>
          <cell r="AW96">
            <v>0</v>
          </cell>
        </row>
        <row r="97">
          <cell r="B97">
            <v>3779</v>
          </cell>
          <cell r="C97" t="str">
            <v>LD_38_</v>
          </cell>
          <cell r="D97" t="str">
            <v>Rancho Landero No. 38</v>
          </cell>
          <cell r="E97" t="str">
            <v>Sánchez Peña</v>
          </cell>
          <cell r="F97">
            <v>300</v>
          </cell>
          <cell r="G97">
            <v>1</v>
          </cell>
          <cell r="H97">
            <v>300</v>
          </cell>
          <cell r="I97">
            <v>41252</v>
          </cell>
          <cell r="J97">
            <v>0</v>
          </cell>
          <cell r="V97">
            <v>300</v>
          </cell>
          <cell r="W97">
            <v>300</v>
          </cell>
          <cell r="AJ97">
            <v>0</v>
          </cell>
          <cell r="AW97">
            <v>0</v>
          </cell>
        </row>
        <row r="98">
          <cell r="B98">
            <v>3780</v>
          </cell>
          <cell r="C98" t="str">
            <v>LD_38_</v>
          </cell>
          <cell r="D98" t="str">
            <v>Rancho Landero No. 38</v>
          </cell>
          <cell r="E98" t="str">
            <v>Sánchez Peña</v>
          </cell>
          <cell r="F98">
            <v>300</v>
          </cell>
          <cell r="G98">
            <v>2</v>
          </cell>
          <cell r="H98">
            <v>200</v>
          </cell>
          <cell r="I98">
            <v>41252</v>
          </cell>
          <cell r="J98" t="str">
            <v>NO SUMA</v>
          </cell>
          <cell r="W98">
            <v>0</v>
          </cell>
          <cell r="AJ98">
            <v>0</v>
          </cell>
          <cell r="AW98">
            <v>0</v>
          </cell>
        </row>
        <row r="99">
          <cell r="B99">
            <v>3781</v>
          </cell>
          <cell r="C99" t="str">
            <v>EZ_119_2</v>
          </cell>
          <cell r="D99" t="str">
            <v>Rancho Estanzuela No. 119, 2</v>
          </cell>
          <cell r="E99" t="str">
            <v>García Medina</v>
          </cell>
          <cell r="F99">
            <v>300</v>
          </cell>
          <cell r="G99">
            <v>3</v>
          </cell>
          <cell r="H99">
            <v>150</v>
          </cell>
          <cell r="I99">
            <v>41252</v>
          </cell>
          <cell r="J99" t="str">
            <v>NO SUMA</v>
          </cell>
          <cell r="W99">
            <v>0</v>
          </cell>
          <cell r="AJ99">
            <v>0</v>
          </cell>
          <cell r="AW99">
            <v>0</v>
          </cell>
        </row>
        <row r="100">
          <cell r="B100">
            <v>3782</v>
          </cell>
          <cell r="C100" t="str">
            <v>RV_173_</v>
          </cell>
          <cell r="D100" t="str">
            <v>Rancho Recoveco No. 173</v>
          </cell>
          <cell r="E100" t="str">
            <v>Velarde</v>
          </cell>
          <cell r="F100">
            <v>300</v>
          </cell>
          <cell r="G100">
            <v>2</v>
          </cell>
          <cell r="H100">
            <v>2200</v>
          </cell>
          <cell r="I100">
            <v>41252</v>
          </cell>
          <cell r="J100" t="str">
            <v>NO SUMA</v>
          </cell>
          <cell r="W100">
            <v>0</v>
          </cell>
          <cell r="AJ100">
            <v>0</v>
          </cell>
          <cell r="AW100">
            <v>0</v>
          </cell>
        </row>
        <row r="101">
          <cell r="B101">
            <v>3783</v>
          </cell>
          <cell r="C101" t="str">
            <v>EZ_151_</v>
          </cell>
          <cell r="D101" t="str">
            <v>Rancho Estanzuela No. 151</v>
          </cell>
          <cell r="E101" t="str">
            <v>Pérez Salazar</v>
          </cell>
          <cell r="F101">
            <v>300</v>
          </cell>
          <cell r="G101">
            <v>1</v>
          </cell>
          <cell r="H101">
            <v>300</v>
          </cell>
          <cell r="I101">
            <v>41252</v>
          </cell>
          <cell r="J101">
            <v>0</v>
          </cell>
          <cell r="V101">
            <v>300</v>
          </cell>
          <cell r="W101">
            <v>300</v>
          </cell>
          <cell r="AJ101">
            <v>0</v>
          </cell>
          <cell r="AW101">
            <v>0</v>
          </cell>
        </row>
        <row r="102">
          <cell r="B102">
            <v>3784</v>
          </cell>
          <cell r="C102" t="str">
            <v>EZ_151_</v>
          </cell>
          <cell r="D102" t="str">
            <v>Rancho Estanzuela No. 151</v>
          </cell>
          <cell r="E102" t="str">
            <v>Pérez Salazar</v>
          </cell>
          <cell r="F102">
            <v>300</v>
          </cell>
          <cell r="G102">
            <v>2</v>
          </cell>
          <cell r="H102">
            <v>300</v>
          </cell>
          <cell r="I102">
            <v>41252</v>
          </cell>
          <cell r="J102" t="str">
            <v>NO SUMA</v>
          </cell>
          <cell r="W102">
            <v>0</v>
          </cell>
          <cell r="AJ102">
            <v>0</v>
          </cell>
          <cell r="AW102">
            <v>0</v>
          </cell>
        </row>
        <row r="103">
          <cell r="B103">
            <v>3784</v>
          </cell>
          <cell r="C103" t="str">
            <v>EZ_151_</v>
          </cell>
          <cell r="D103" t="str">
            <v>Rancho Estanzuela No. 151</v>
          </cell>
          <cell r="E103" t="str">
            <v>Pérez Salazar</v>
          </cell>
          <cell r="F103">
            <v>300</v>
          </cell>
          <cell r="G103">
            <v>4</v>
          </cell>
          <cell r="H103">
            <v>160</v>
          </cell>
          <cell r="I103">
            <v>41252</v>
          </cell>
          <cell r="J103" t="str">
            <v>NO SUMA</v>
          </cell>
          <cell r="W103">
            <v>0</v>
          </cell>
          <cell r="AJ103">
            <v>0</v>
          </cell>
          <cell r="AW103">
            <v>0</v>
          </cell>
        </row>
        <row r="104">
          <cell r="B104">
            <v>3785</v>
          </cell>
          <cell r="C104" t="str">
            <v>CL_107_</v>
          </cell>
          <cell r="D104" t="str">
            <v>Rancho La Cuchilla No. 107</v>
          </cell>
          <cell r="E104" t="str">
            <v>Olivares Rivera</v>
          </cell>
          <cell r="F104">
            <v>300</v>
          </cell>
          <cell r="G104">
            <v>1</v>
          </cell>
          <cell r="H104">
            <v>300</v>
          </cell>
          <cell r="I104">
            <v>41252</v>
          </cell>
          <cell r="J104">
            <v>0</v>
          </cell>
          <cell r="V104">
            <v>300</v>
          </cell>
          <cell r="W104">
            <v>300</v>
          </cell>
          <cell r="AJ104">
            <v>0</v>
          </cell>
          <cell r="AW104">
            <v>0</v>
          </cell>
        </row>
        <row r="105">
          <cell r="B105">
            <v>3785</v>
          </cell>
          <cell r="C105" t="str">
            <v>CL_107_</v>
          </cell>
          <cell r="D105" t="str">
            <v>Rancho La Cuchilla No. 107</v>
          </cell>
          <cell r="E105" t="str">
            <v>Olivares Rivera</v>
          </cell>
          <cell r="F105">
            <v>300</v>
          </cell>
          <cell r="G105">
            <v>2</v>
          </cell>
          <cell r="H105">
            <v>200</v>
          </cell>
          <cell r="I105">
            <v>41252</v>
          </cell>
          <cell r="J105" t="str">
            <v>NO SUMA</v>
          </cell>
          <cell r="W105">
            <v>0</v>
          </cell>
          <cell r="AJ105">
            <v>0</v>
          </cell>
          <cell r="AW105">
            <v>0</v>
          </cell>
        </row>
        <row r="106">
          <cell r="B106">
            <v>3786</v>
          </cell>
          <cell r="C106" t="str">
            <v>CL_72_</v>
          </cell>
          <cell r="D106" t="str">
            <v>Rancho La Cuchilla No. 72</v>
          </cell>
          <cell r="E106" t="str">
            <v>Ortiz González</v>
          </cell>
          <cell r="F106">
            <v>300</v>
          </cell>
          <cell r="G106">
            <v>1</v>
          </cell>
          <cell r="H106">
            <v>300</v>
          </cell>
          <cell r="I106">
            <v>41252</v>
          </cell>
          <cell r="J106">
            <v>0</v>
          </cell>
          <cell r="V106">
            <v>300</v>
          </cell>
          <cell r="W106">
            <v>300</v>
          </cell>
          <cell r="AJ106">
            <v>0</v>
          </cell>
          <cell r="AW106">
            <v>0</v>
          </cell>
        </row>
        <row r="107">
          <cell r="B107">
            <v>3787</v>
          </cell>
          <cell r="C107" t="str">
            <v>RV_175_A</v>
          </cell>
          <cell r="D107" t="str">
            <v>Rancho Recoveco No. 175, A</v>
          </cell>
          <cell r="E107" t="str">
            <v>Pérez</v>
          </cell>
          <cell r="F107">
            <v>300</v>
          </cell>
          <cell r="G107">
            <v>1</v>
          </cell>
          <cell r="H107">
            <v>600</v>
          </cell>
          <cell r="I107">
            <v>41252</v>
          </cell>
          <cell r="J107">
            <v>0</v>
          </cell>
          <cell r="U107">
            <v>300</v>
          </cell>
          <cell r="V107">
            <v>300</v>
          </cell>
          <cell r="W107">
            <v>600</v>
          </cell>
          <cell r="AJ107">
            <v>0</v>
          </cell>
          <cell r="AW107">
            <v>0</v>
          </cell>
        </row>
        <row r="108">
          <cell r="B108">
            <v>3788</v>
          </cell>
          <cell r="C108" t="str">
            <v>CL_42_</v>
          </cell>
          <cell r="D108" t="str">
            <v>Rancho La Cuchilla No. 42</v>
          </cell>
          <cell r="E108" t="str">
            <v>Mac Kinney</v>
          </cell>
          <cell r="F108">
            <v>300</v>
          </cell>
          <cell r="G108">
            <v>1</v>
          </cell>
          <cell r="H108">
            <v>300</v>
          </cell>
          <cell r="I108">
            <v>41252</v>
          </cell>
          <cell r="J108">
            <v>0</v>
          </cell>
          <cell r="V108">
            <v>300</v>
          </cell>
          <cell r="W108">
            <v>300</v>
          </cell>
          <cell r="AJ108">
            <v>0</v>
          </cell>
          <cell r="AW108">
            <v>0</v>
          </cell>
        </row>
        <row r="109">
          <cell r="B109">
            <v>3789</v>
          </cell>
          <cell r="C109" t="str">
            <v>UP_37_</v>
          </cell>
          <cell r="D109" t="str">
            <v>Rancho Upácuaro No. 37</v>
          </cell>
          <cell r="E109" t="str">
            <v>García Valdés</v>
          </cell>
          <cell r="F109">
            <v>300</v>
          </cell>
          <cell r="G109">
            <v>1</v>
          </cell>
          <cell r="H109">
            <v>600</v>
          </cell>
          <cell r="I109">
            <v>41252</v>
          </cell>
          <cell r="J109">
            <v>0</v>
          </cell>
          <cell r="U109">
            <v>300</v>
          </cell>
          <cell r="V109">
            <v>300</v>
          </cell>
          <cell r="W109">
            <v>600</v>
          </cell>
          <cell r="AJ109">
            <v>0</v>
          </cell>
          <cell r="AW109">
            <v>0</v>
          </cell>
        </row>
        <row r="110">
          <cell r="B110">
            <v>3790</v>
          </cell>
          <cell r="C110" t="str">
            <v>LD_18_</v>
          </cell>
          <cell r="D110" t="str">
            <v>Rancho Landero No. 18</v>
          </cell>
          <cell r="E110" t="str">
            <v>Rosado</v>
          </cell>
          <cell r="F110">
            <v>250</v>
          </cell>
          <cell r="G110">
            <v>1</v>
          </cell>
          <cell r="H110">
            <v>250</v>
          </cell>
          <cell r="I110">
            <v>41252</v>
          </cell>
          <cell r="J110">
            <v>0</v>
          </cell>
          <cell r="V110">
            <v>250</v>
          </cell>
          <cell r="W110">
            <v>250</v>
          </cell>
          <cell r="AJ110">
            <v>0</v>
          </cell>
          <cell r="AW110">
            <v>0</v>
          </cell>
        </row>
        <row r="111">
          <cell r="B111">
            <v>3791</v>
          </cell>
          <cell r="C111" t="str">
            <v>LD_25_</v>
          </cell>
          <cell r="D111" t="str">
            <v>Rancho Landero No. 25</v>
          </cell>
          <cell r="E111" t="str">
            <v>Escamilla Martínez</v>
          </cell>
          <cell r="F111">
            <v>300</v>
          </cell>
          <cell r="G111">
            <v>1</v>
          </cell>
          <cell r="H111">
            <v>300</v>
          </cell>
          <cell r="I111">
            <v>41252</v>
          </cell>
          <cell r="J111">
            <v>0</v>
          </cell>
          <cell r="U111">
            <v>300</v>
          </cell>
          <cell r="W111">
            <v>300</v>
          </cell>
          <cell r="AJ111">
            <v>0</v>
          </cell>
          <cell r="AW111">
            <v>0</v>
          </cell>
        </row>
        <row r="112">
          <cell r="B112">
            <v>3792</v>
          </cell>
          <cell r="C112" t="str">
            <v>EZ_69_</v>
          </cell>
          <cell r="D112" t="str">
            <v>Rancho Estanzuela No. 69</v>
          </cell>
          <cell r="E112" t="str">
            <v>Apaez</v>
          </cell>
          <cell r="F112">
            <v>300</v>
          </cell>
          <cell r="G112">
            <v>1</v>
          </cell>
          <cell r="H112">
            <v>300</v>
          </cell>
          <cell r="I112">
            <v>41252</v>
          </cell>
          <cell r="J112">
            <v>0</v>
          </cell>
          <cell r="V112">
            <v>300</v>
          </cell>
          <cell r="W112">
            <v>300</v>
          </cell>
          <cell r="AJ112">
            <v>0</v>
          </cell>
          <cell r="AW112">
            <v>0</v>
          </cell>
        </row>
        <row r="113">
          <cell r="B113">
            <v>3793</v>
          </cell>
          <cell r="C113" t="str">
            <v>UP_75_</v>
          </cell>
          <cell r="D113" t="str">
            <v>Rancho Upácuaro No. 75</v>
          </cell>
          <cell r="E113" t="str">
            <v>Montaño Zetina</v>
          </cell>
          <cell r="F113">
            <v>300</v>
          </cell>
          <cell r="G113">
            <v>1</v>
          </cell>
          <cell r="H113">
            <v>900</v>
          </cell>
          <cell r="I113">
            <v>41252</v>
          </cell>
          <cell r="J113">
            <v>0</v>
          </cell>
          <cell r="U113">
            <v>300</v>
          </cell>
          <cell r="V113">
            <v>300</v>
          </cell>
          <cell r="W113">
            <v>600</v>
          </cell>
          <cell r="X113">
            <v>300</v>
          </cell>
          <cell r="AJ113">
            <v>300</v>
          </cell>
          <cell r="AW113">
            <v>0</v>
          </cell>
        </row>
        <row r="114">
          <cell r="B114">
            <v>3794</v>
          </cell>
          <cell r="C114" t="str">
            <v>EZ_19_</v>
          </cell>
          <cell r="D114" t="str">
            <v>Rancho Estanzuela No. 19</v>
          </cell>
          <cell r="E114" t="str">
            <v>Robles</v>
          </cell>
          <cell r="F114">
            <v>300</v>
          </cell>
          <cell r="G114">
            <v>1</v>
          </cell>
          <cell r="H114">
            <v>300</v>
          </cell>
          <cell r="I114">
            <v>41252</v>
          </cell>
          <cell r="J114">
            <v>0</v>
          </cell>
          <cell r="V114">
            <v>300</v>
          </cell>
          <cell r="W114">
            <v>300</v>
          </cell>
          <cell r="AJ114">
            <v>0</v>
          </cell>
          <cell r="AW114">
            <v>0</v>
          </cell>
        </row>
        <row r="115">
          <cell r="B115">
            <v>3795</v>
          </cell>
          <cell r="C115" t="str">
            <v>LD_40_</v>
          </cell>
          <cell r="D115" t="str">
            <v>Rancho Landero No. 40</v>
          </cell>
          <cell r="E115" t="str">
            <v>Almaguer Mireles</v>
          </cell>
          <cell r="F115">
            <v>300</v>
          </cell>
          <cell r="G115">
            <v>3</v>
          </cell>
          <cell r="H115">
            <v>150</v>
          </cell>
          <cell r="I115">
            <v>41252</v>
          </cell>
          <cell r="J115" t="str">
            <v>NO SUMA</v>
          </cell>
          <cell r="W115">
            <v>0</v>
          </cell>
          <cell r="AJ115">
            <v>0</v>
          </cell>
          <cell r="AW115">
            <v>0</v>
          </cell>
        </row>
        <row r="116">
          <cell r="B116">
            <v>3796</v>
          </cell>
          <cell r="C116" t="str">
            <v>RV_173_</v>
          </cell>
          <cell r="D116" t="str">
            <v>Rancho Recoveco No. 173</v>
          </cell>
          <cell r="E116" t="str">
            <v>Velarde</v>
          </cell>
          <cell r="F116">
            <v>300</v>
          </cell>
          <cell r="G116">
            <v>1</v>
          </cell>
          <cell r="H116">
            <v>300</v>
          </cell>
          <cell r="I116">
            <v>41252</v>
          </cell>
          <cell r="J116">
            <v>0</v>
          </cell>
          <cell r="V116">
            <v>300</v>
          </cell>
          <cell r="W116">
            <v>300</v>
          </cell>
          <cell r="AJ116">
            <v>0</v>
          </cell>
          <cell r="AW116">
            <v>0</v>
          </cell>
        </row>
        <row r="117">
          <cell r="B117">
            <v>3797</v>
          </cell>
          <cell r="C117" t="str">
            <v>CL_110_</v>
          </cell>
          <cell r="D117" t="str">
            <v>Rancho La Cuchilla No. 110</v>
          </cell>
          <cell r="E117" t="str">
            <v>Domínguez Canudas</v>
          </cell>
          <cell r="F117">
            <v>300</v>
          </cell>
          <cell r="G117">
            <v>1</v>
          </cell>
          <cell r="H117">
            <v>300</v>
          </cell>
          <cell r="I117">
            <v>41252</v>
          </cell>
          <cell r="J117">
            <v>0</v>
          </cell>
          <cell r="V117">
            <v>300</v>
          </cell>
          <cell r="W117">
            <v>300</v>
          </cell>
          <cell r="AJ117">
            <v>0</v>
          </cell>
          <cell r="AW117">
            <v>0</v>
          </cell>
        </row>
        <row r="118">
          <cell r="B118">
            <v>3798</v>
          </cell>
          <cell r="C118" t="str">
            <v>CL_41_</v>
          </cell>
          <cell r="D118" t="str">
            <v>Rancho La Cuchilla No. 41</v>
          </cell>
          <cell r="E118" t="str">
            <v>Arriaga Lemus</v>
          </cell>
          <cell r="F118">
            <v>250</v>
          </cell>
          <cell r="G118">
            <v>1</v>
          </cell>
          <cell r="H118">
            <v>250</v>
          </cell>
          <cell r="I118">
            <v>41252</v>
          </cell>
          <cell r="J118">
            <v>0</v>
          </cell>
          <cell r="V118">
            <v>250</v>
          </cell>
          <cell r="W118">
            <v>250</v>
          </cell>
          <cell r="AJ118">
            <v>0</v>
          </cell>
          <cell r="AW118">
            <v>0</v>
          </cell>
        </row>
        <row r="119">
          <cell r="B119">
            <v>3799</v>
          </cell>
          <cell r="C119" t="str">
            <v>ZB_44_</v>
          </cell>
          <cell r="D119" t="str">
            <v>Rancho Zinamba No. 44</v>
          </cell>
          <cell r="E119" t="str">
            <v>Canales</v>
          </cell>
          <cell r="F119">
            <v>300</v>
          </cell>
          <cell r="G119">
            <v>1</v>
          </cell>
          <cell r="H119">
            <v>300</v>
          </cell>
          <cell r="I119">
            <v>41252</v>
          </cell>
          <cell r="J119">
            <v>0</v>
          </cell>
          <cell r="V119">
            <v>300</v>
          </cell>
          <cell r="W119">
            <v>300</v>
          </cell>
          <cell r="AJ119">
            <v>0</v>
          </cell>
          <cell r="AW119">
            <v>0</v>
          </cell>
        </row>
        <row r="120">
          <cell r="B120">
            <v>3800</v>
          </cell>
          <cell r="C120" t="str">
            <v>ZB_44_</v>
          </cell>
          <cell r="D120" t="str">
            <v>Rancho Zinamba No. 44</v>
          </cell>
          <cell r="E120" t="str">
            <v>Canales</v>
          </cell>
          <cell r="F120">
            <v>300</v>
          </cell>
          <cell r="G120">
            <v>2</v>
          </cell>
          <cell r="H120">
            <v>300</v>
          </cell>
          <cell r="I120">
            <v>41252</v>
          </cell>
          <cell r="J120" t="str">
            <v>NO SUMA</v>
          </cell>
          <cell r="W120">
            <v>0</v>
          </cell>
          <cell r="AJ120">
            <v>0</v>
          </cell>
          <cell r="AW120">
            <v>0</v>
          </cell>
        </row>
        <row r="121">
          <cell r="B121">
            <v>3801</v>
          </cell>
          <cell r="C121" t="str">
            <v>UP_108_</v>
          </cell>
          <cell r="D121" t="str">
            <v>Rancho Upácuaro No. 108</v>
          </cell>
          <cell r="E121" t="str">
            <v>Mejía</v>
          </cell>
          <cell r="F121">
            <v>300</v>
          </cell>
          <cell r="G121">
            <v>1</v>
          </cell>
          <cell r="H121">
            <v>300</v>
          </cell>
          <cell r="I121">
            <v>41252</v>
          </cell>
          <cell r="J121">
            <v>0</v>
          </cell>
          <cell r="V121">
            <v>300</v>
          </cell>
          <cell r="W121">
            <v>300</v>
          </cell>
          <cell r="AJ121">
            <v>0</v>
          </cell>
          <cell r="AW121">
            <v>0</v>
          </cell>
        </row>
        <row r="122">
          <cell r="B122">
            <v>3802</v>
          </cell>
          <cell r="C122" t="str">
            <v>LD_7_</v>
          </cell>
          <cell r="D122" t="str">
            <v>Rancho Landero No. 7</v>
          </cell>
          <cell r="E122" t="str">
            <v>Robles</v>
          </cell>
          <cell r="F122">
            <v>150</v>
          </cell>
          <cell r="G122">
            <v>1</v>
          </cell>
          <cell r="H122">
            <v>150</v>
          </cell>
          <cell r="I122">
            <v>41252</v>
          </cell>
          <cell r="J122">
            <v>0</v>
          </cell>
          <cell r="V122">
            <v>150</v>
          </cell>
          <cell r="W122">
            <v>150</v>
          </cell>
          <cell r="AJ122">
            <v>0</v>
          </cell>
          <cell r="AW122">
            <v>0</v>
          </cell>
        </row>
        <row r="123">
          <cell r="B123">
            <v>3803</v>
          </cell>
          <cell r="C123" t="str">
            <v>LD_84_</v>
          </cell>
          <cell r="D123" t="str">
            <v>Rancho Landero No. 84</v>
          </cell>
          <cell r="E123" t="str">
            <v>Alcántara</v>
          </cell>
          <cell r="F123">
            <v>300</v>
          </cell>
          <cell r="G123">
            <v>1</v>
          </cell>
          <cell r="H123">
            <v>300</v>
          </cell>
          <cell r="I123">
            <v>41252</v>
          </cell>
          <cell r="J123">
            <v>0</v>
          </cell>
          <cell r="V123">
            <v>300</v>
          </cell>
          <cell r="W123">
            <v>300</v>
          </cell>
          <cell r="AJ123">
            <v>0</v>
          </cell>
          <cell r="AW123">
            <v>0</v>
          </cell>
        </row>
        <row r="124">
          <cell r="B124">
            <v>3804</v>
          </cell>
          <cell r="C124" t="str">
            <v>LD_90_</v>
          </cell>
          <cell r="D124" t="str">
            <v>Rancho Landero No. 90</v>
          </cell>
          <cell r="E124" t="str">
            <v>Córdova Reséndiz</v>
          </cell>
          <cell r="F124">
            <v>300</v>
          </cell>
          <cell r="G124">
            <v>1</v>
          </cell>
          <cell r="H124">
            <v>1200</v>
          </cell>
          <cell r="I124">
            <v>41252</v>
          </cell>
          <cell r="J124">
            <v>0</v>
          </cell>
          <cell r="S124">
            <v>300</v>
          </cell>
          <cell r="T124">
            <v>300</v>
          </cell>
          <cell r="U124">
            <v>300</v>
          </cell>
          <cell r="V124">
            <v>300</v>
          </cell>
          <cell r="W124">
            <v>1200</v>
          </cell>
          <cell r="AJ124">
            <v>0</v>
          </cell>
          <cell r="AW124">
            <v>0</v>
          </cell>
        </row>
        <row r="125">
          <cell r="B125">
            <v>3805</v>
          </cell>
          <cell r="C125" t="str">
            <v>LD_90_</v>
          </cell>
          <cell r="D125" t="str">
            <v>Rancho Landero No. 90</v>
          </cell>
          <cell r="E125" t="str">
            <v>Córdova Reséndiz</v>
          </cell>
          <cell r="F125">
            <v>300</v>
          </cell>
          <cell r="G125">
            <v>3</v>
          </cell>
          <cell r="H125">
            <v>150</v>
          </cell>
          <cell r="I125">
            <v>41252</v>
          </cell>
          <cell r="J125" t="str">
            <v>NO SUMA</v>
          </cell>
          <cell r="W125">
            <v>0</v>
          </cell>
          <cell r="AJ125">
            <v>0</v>
          </cell>
          <cell r="AW125">
            <v>0</v>
          </cell>
        </row>
        <row r="126">
          <cell r="B126">
            <v>3806</v>
          </cell>
          <cell r="C126" t="str">
            <v>CL_93_</v>
          </cell>
          <cell r="D126" t="str">
            <v>Rancho La Cuchilla No. 93</v>
          </cell>
          <cell r="E126" t="str">
            <v>Alcántara Silva</v>
          </cell>
          <cell r="F126">
            <v>300</v>
          </cell>
          <cell r="G126">
            <v>1</v>
          </cell>
          <cell r="H126">
            <v>300</v>
          </cell>
          <cell r="I126">
            <v>41252</v>
          </cell>
          <cell r="J126">
            <v>0</v>
          </cell>
          <cell r="V126">
            <v>300</v>
          </cell>
          <cell r="W126">
            <v>300</v>
          </cell>
          <cell r="AJ126">
            <v>0</v>
          </cell>
          <cell r="AW126">
            <v>0</v>
          </cell>
        </row>
        <row r="127">
          <cell r="B127">
            <v>3807</v>
          </cell>
          <cell r="C127" t="str">
            <v>UP_60_</v>
          </cell>
          <cell r="D127" t="str">
            <v>Rancho Upácuaro No. 60</v>
          </cell>
          <cell r="E127" t="str">
            <v>Zavala</v>
          </cell>
          <cell r="F127">
            <v>300</v>
          </cell>
          <cell r="G127">
            <v>1</v>
          </cell>
          <cell r="H127">
            <v>300</v>
          </cell>
          <cell r="I127">
            <v>41252</v>
          </cell>
          <cell r="J127">
            <v>0</v>
          </cell>
          <cell r="V127">
            <v>300</v>
          </cell>
          <cell r="W127">
            <v>300</v>
          </cell>
          <cell r="AJ127">
            <v>0</v>
          </cell>
          <cell r="AW127">
            <v>0</v>
          </cell>
        </row>
        <row r="128">
          <cell r="B128">
            <v>3808</v>
          </cell>
          <cell r="C128" t="str">
            <v>CL_112_PB</v>
          </cell>
          <cell r="D128" t="str">
            <v>Rancho La Cuchilla No. 112, PB</v>
          </cell>
          <cell r="E128" t="str">
            <v>Soreque</v>
          </cell>
          <cell r="F128">
            <v>150</v>
          </cell>
          <cell r="G128">
            <v>1</v>
          </cell>
          <cell r="H128">
            <v>150</v>
          </cell>
          <cell r="I128">
            <v>41252</v>
          </cell>
          <cell r="J128">
            <v>0</v>
          </cell>
          <cell r="V128">
            <v>150</v>
          </cell>
          <cell r="W128">
            <v>150</v>
          </cell>
          <cell r="AJ128">
            <v>0</v>
          </cell>
          <cell r="AW128">
            <v>0</v>
          </cell>
        </row>
        <row r="129">
          <cell r="B129">
            <v>3809</v>
          </cell>
          <cell r="C129" t="str">
            <v>UP_140_</v>
          </cell>
          <cell r="D129" t="str">
            <v>Rancho Upácuaro No. 140</v>
          </cell>
          <cell r="E129" t="str">
            <v>Gozain</v>
          </cell>
          <cell r="F129">
            <v>300</v>
          </cell>
          <cell r="G129">
            <v>1</v>
          </cell>
          <cell r="H129">
            <v>300</v>
          </cell>
          <cell r="I129">
            <v>41252</v>
          </cell>
          <cell r="J129">
            <v>0</v>
          </cell>
          <cell r="V129">
            <v>300</v>
          </cell>
          <cell r="W129">
            <v>300</v>
          </cell>
          <cell r="AJ129">
            <v>0</v>
          </cell>
          <cell r="AW129">
            <v>0</v>
          </cell>
        </row>
        <row r="130">
          <cell r="B130">
            <v>3810</v>
          </cell>
          <cell r="C130" t="str">
            <v>CL_59_</v>
          </cell>
          <cell r="D130" t="str">
            <v>Rancho La Cuchilla No. 59</v>
          </cell>
          <cell r="E130" t="str">
            <v>Ortega Vega</v>
          </cell>
          <cell r="F130">
            <v>300</v>
          </cell>
          <cell r="G130">
            <v>1</v>
          </cell>
          <cell r="H130">
            <v>300</v>
          </cell>
          <cell r="I130">
            <v>41252</v>
          </cell>
          <cell r="J130">
            <v>0</v>
          </cell>
          <cell r="V130">
            <v>300</v>
          </cell>
          <cell r="W130">
            <v>300</v>
          </cell>
          <cell r="AJ130">
            <v>0</v>
          </cell>
          <cell r="AW130">
            <v>0</v>
          </cell>
        </row>
        <row r="131">
          <cell r="B131">
            <v>3811</v>
          </cell>
          <cell r="C131" t="str">
            <v>EZ_65_</v>
          </cell>
          <cell r="D131" t="str">
            <v>Rancho Estanzuela No. 65</v>
          </cell>
          <cell r="E131" t="str">
            <v>López Becerril</v>
          </cell>
          <cell r="F131">
            <v>300</v>
          </cell>
          <cell r="G131">
            <v>1</v>
          </cell>
          <cell r="H131">
            <v>300</v>
          </cell>
          <cell r="I131">
            <v>41252</v>
          </cell>
          <cell r="J131">
            <v>0</v>
          </cell>
          <cell r="V131">
            <v>300</v>
          </cell>
          <cell r="W131">
            <v>300</v>
          </cell>
          <cell r="AJ131">
            <v>0</v>
          </cell>
          <cell r="AW131">
            <v>0</v>
          </cell>
        </row>
        <row r="132">
          <cell r="B132">
            <v>3812</v>
          </cell>
          <cell r="C132" t="str">
            <v>CL_7_101</v>
          </cell>
          <cell r="D132" t="str">
            <v>Rancho La Cuchilla No. 7, 101</v>
          </cell>
          <cell r="E132" t="str">
            <v>Olivares</v>
          </cell>
          <cell r="F132">
            <v>100</v>
          </cell>
          <cell r="G132">
            <v>1</v>
          </cell>
          <cell r="H132">
            <v>100</v>
          </cell>
          <cell r="I132">
            <v>41252</v>
          </cell>
          <cell r="J132">
            <v>0</v>
          </cell>
          <cell r="V132">
            <v>100</v>
          </cell>
          <cell r="W132">
            <v>100</v>
          </cell>
          <cell r="AJ132">
            <v>0</v>
          </cell>
          <cell r="AW132">
            <v>0</v>
          </cell>
        </row>
        <row r="133">
          <cell r="B133">
            <v>3813</v>
          </cell>
          <cell r="C133" t="str">
            <v>LD_19_</v>
          </cell>
          <cell r="D133" t="str">
            <v>Rancho Landero No. 19</v>
          </cell>
          <cell r="E133" t="str">
            <v>Jiménez Guadarrama</v>
          </cell>
          <cell r="F133">
            <v>300</v>
          </cell>
          <cell r="G133">
            <v>1</v>
          </cell>
          <cell r="H133">
            <v>600</v>
          </cell>
          <cell r="I133">
            <v>41252</v>
          </cell>
          <cell r="J133">
            <v>0</v>
          </cell>
          <cell r="U133">
            <v>300</v>
          </cell>
          <cell r="V133">
            <v>300</v>
          </cell>
          <cell r="W133">
            <v>600</v>
          </cell>
          <cell r="AJ133">
            <v>0</v>
          </cell>
          <cell r="AW133">
            <v>0</v>
          </cell>
        </row>
        <row r="134">
          <cell r="B134">
            <v>3814</v>
          </cell>
          <cell r="C134" t="str">
            <v>CL_111_</v>
          </cell>
          <cell r="D134" t="str">
            <v>Rancho La Cuchilla No. 111</v>
          </cell>
          <cell r="E134" t="str">
            <v>García Santos O.</v>
          </cell>
          <cell r="F134">
            <v>150</v>
          </cell>
          <cell r="G134">
            <v>1</v>
          </cell>
          <cell r="H134">
            <v>150</v>
          </cell>
          <cell r="I134">
            <v>41252</v>
          </cell>
          <cell r="J134">
            <v>0</v>
          </cell>
          <cell r="V134">
            <v>150</v>
          </cell>
          <cell r="W134">
            <v>150</v>
          </cell>
          <cell r="AJ134">
            <v>0</v>
          </cell>
          <cell r="AW134">
            <v>0</v>
          </cell>
        </row>
        <row r="135">
          <cell r="B135">
            <v>3814</v>
          </cell>
          <cell r="C135" t="str">
            <v>CL_111_</v>
          </cell>
          <cell r="D135" t="str">
            <v>Rancho La Cuchilla No. 111</v>
          </cell>
          <cell r="E135" t="str">
            <v>García Santos O.</v>
          </cell>
          <cell r="F135">
            <v>150</v>
          </cell>
          <cell r="G135">
            <v>2</v>
          </cell>
          <cell r="H135">
            <v>150</v>
          </cell>
          <cell r="I135">
            <v>41252</v>
          </cell>
          <cell r="J135" t="str">
            <v>NO SUMA</v>
          </cell>
          <cell r="W135">
            <v>0</v>
          </cell>
          <cell r="AJ135">
            <v>0</v>
          </cell>
          <cell r="AW135">
            <v>0</v>
          </cell>
        </row>
        <row r="136">
          <cell r="B136">
            <v>3815</v>
          </cell>
          <cell r="C136" t="str">
            <v>CL_94_</v>
          </cell>
          <cell r="D136" t="str">
            <v>Rancho La Cuchilla No. 94</v>
          </cell>
          <cell r="E136" t="str">
            <v>Sánchez Márquez</v>
          </cell>
          <cell r="F136">
            <v>300</v>
          </cell>
          <cell r="G136">
            <v>1</v>
          </cell>
          <cell r="H136">
            <v>300</v>
          </cell>
          <cell r="I136">
            <v>41252</v>
          </cell>
          <cell r="J136">
            <v>0</v>
          </cell>
          <cell r="V136">
            <v>300</v>
          </cell>
          <cell r="W136">
            <v>300</v>
          </cell>
          <cell r="AJ136">
            <v>0</v>
          </cell>
          <cell r="AW136">
            <v>0</v>
          </cell>
        </row>
        <row r="137">
          <cell r="B137">
            <v>3816</v>
          </cell>
          <cell r="C137" t="str">
            <v>LD_87_</v>
          </cell>
          <cell r="D137" t="str">
            <v>Rancho Landero No. 87</v>
          </cell>
          <cell r="E137" t="str">
            <v>Fey Lafferla</v>
          </cell>
          <cell r="F137">
            <v>300</v>
          </cell>
          <cell r="G137">
            <v>1</v>
          </cell>
          <cell r="H137">
            <v>300</v>
          </cell>
          <cell r="I137">
            <v>41252</v>
          </cell>
          <cell r="J137">
            <v>0</v>
          </cell>
          <cell r="V137">
            <v>300</v>
          </cell>
          <cell r="W137">
            <v>300</v>
          </cell>
          <cell r="AJ137">
            <v>0</v>
          </cell>
          <cell r="AW137">
            <v>0</v>
          </cell>
        </row>
        <row r="138">
          <cell r="B138">
            <v>3817</v>
          </cell>
          <cell r="C138" t="str">
            <v>UP_79_</v>
          </cell>
          <cell r="D138" t="str">
            <v>Rancho Upácuaro No. 79</v>
          </cell>
          <cell r="E138" t="str">
            <v>Macías</v>
          </cell>
          <cell r="F138">
            <v>300</v>
          </cell>
          <cell r="G138">
            <v>1</v>
          </cell>
          <cell r="H138">
            <v>600</v>
          </cell>
          <cell r="I138">
            <v>41252</v>
          </cell>
          <cell r="J138">
            <v>0</v>
          </cell>
          <cell r="V138">
            <v>300</v>
          </cell>
          <cell r="W138">
            <v>300</v>
          </cell>
          <cell r="X138">
            <v>300</v>
          </cell>
          <cell r="AJ138">
            <v>300</v>
          </cell>
          <cell r="AW138">
            <v>0</v>
          </cell>
        </row>
        <row r="139">
          <cell r="B139">
            <v>3818</v>
          </cell>
          <cell r="C139" t="str">
            <v>EZ_139_</v>
          </cell>
          <cell r="D139" t="str">
            <v>Rancho Estanzuela No. 139</v>
          </cell>
          <cell r="E139" t="str">
            <v>Ortiz</v>
          </cell>
          <cell r="F139">
            <v>300</v>
          </cell>
          <cell r="G139">
            <v>1</v>
          </cell>
          <cell r="H139">
            <v>300</v>
          </cell>
          <cell r="I139">
            <v>41252</v>
          </cell>
          <cell r="J139">
            <v>0</v>
          </cell>
          <cell r="V139">
            <v>300</v>
          </cell>
          <cell r="W139">
            <v>300</v>
          </cell>
          <cell r="AJ139">
            <v>0</v>
          </cell>
          <cell r="AW139">
            <v>0</v>
          </cell>
        </row>
        <row r="140">
          <cell r="B140">
            <v>3819</v>
          </cell>
          <cell r="C140" t="str">
            <v>UP_19_</v>
          </cell>
          <cell r="D140" t="str">
            <v>Rancho Upácuaro No. 19</v>
          </cell>
          <cell r="E140" t="str">
            <v>Peña Inclán</v>
          </cell>
          <cell r="F140">
            <v>200</v>
          </cell>
          <cell r="G140">
            <v>1</v>
          </cell>
          <cell r="H140">
            <v>200</v>
          </cell>
          <cell r="I140">
            <v>41252</v>
          </cell>
          <cell r="J140">
            <v>0</v>
          </cell>
          <cell r="V140">
            <v>200</v>
          </cell>
          <cell r="W140">
            <v>200</v>
          </cell>
          <cell r="AJ140">
            <v>0</v>
          </cell>
          <cell r="AW140">
            <v>0</v>
          </cell>
        </row>
        <row r="141">
          <cell r="B141">
            <v>3820</v>
          </cell>
          <cell r="C141" t="str">
            <v>ZB_88_</v>
          </cell>
          <cell r="D141" t="str">
            <v>Rancho Zinamba No. 88</v>
          </cell>
          <cell r="E141" t="str">
            <v>Martínez</v>
          </cell>
          <cell r="F141">
            <v>250</v>
          </cell>
          <cell r="G141">
            <v>1</v>
          </cell>
          <cell r="H141">
            <v>250</v>
          </cell>
          <cell r="I141">
            <v>41252</v>
          </cell>
          <cell r="J141">
            <v>0</v>
          </cell>
          <cell r="V141">
            <v>250</v>
          </cell>
          <cell r="W141">
            <v>250</v>
          </cell>
          <cell r="AJ141">
            <v>0</v>
          </cell>
          <cell r="AW141">
            <v>0</v>
          </cell>
        </row>
        <row r="142">
          <cell r="B142">
            <v>3821</v>
          </cell>
          <cell r="C142" t="str">
            <v>LD_22_</v>
          </cell>
          <cell r="D142" t="str">
            <v>Rancho Landero No. 22</v>
          </cell>
          <cell r="E142" t="str">
            <v>Reyes</v>
          </cell>
          <cell r="F142">
            <v>150</v>
          </cell>
          <cell r="G142">
            <v>1</v>
          </cell>
          <cell r="H142">
            <v>150</v>
          </cell>
          <cell r="I142">
            <v>41252</v>
          </cell>
          <cell r="J142">
            <v>0</v>
          </cell>
          <cell r="V142">
            <v>150</v>
          </cell>
          <cell r="W142">
            <v>150</v>
          </cell>
          <cell r="AJ142">
            <v>0</v>
          </cell>
          <cell r="AW142">
            <v>0</v>
          </cell>
        </row>
        <row r="143">
          <cell r="B143">
            <v>3822</v>
          </cell>
          <cell r="C143" t="str">
            <v>UP_54_</v>
          </cell>
          <cell r="D143" t="str">
            <v>Rancho Upácuaro No. 54</v>
          </cell>
          <cell r="E143" t="str">
            <v>García Rueda</v>
          </cell>
          <cell r="F143">
            <v>200</v>
          </cell>
          <cell r="G143">
            <v>1</v>
          </cell>
          <cell r="H143">
            <v>200</v>
          </cell>
          <cell r="I143">
            <v>41252</v>
          </cell>
          <cell r="J143">
            <v>0</v>
          </cell>
          <cell r="V143">
            <v>200</v>
          </cell>
          <cell r="W143">
            <v>200</v>
          </cell>
          <cell r="AJ143">
            <v>0</v>
          </cell>
          <cell r="AW143">
            <v>0</v>
          </cell>
        </row>
        <row r="144">
          <cell r="B144">
            <v>3823</v>
          </cell>
          <cell r="C144" t="str">
            <v>UP_23_</v>
          </cell>
          <cell r="D144" t="str">
            <v>Rancho Upácuaro No. 23</v>
          </cell>
          <cell r="E144" t="str">
            <v>Arredondo</v>
          </cell>
          <cell r="F144">
            <v>300</v>
          </cell>
          <cell r="G144">
            <v>1</v>
          </cell>
          <cell r="H144">
            <v>300</v>
          </cell>
          <cell r="I144">
            <v>41252</v>
          </cell>
          <cell r="J144">
            <v>0</v>
          </cell>
          <cell r="W144">
            <v>0</v>
          </cell>
          <cell r="X144">
            <v>300</v>
          </cell>
          <cell r="AJ144">
            <v>300</v>
          </cell>
          <cell r="AW144">
            <v>0</v>
          </cell>
        </row>
        <row r="145">
          <cell r="B145">
            <v>3823</v>
          </cell>
          <cell r="C145" t="str">
            <v>UP_23_</v>
          </cell>
          <cell r="D145" t="str">
            <v>Rancho Upácuaro No. 23</v>
          </cell>
          <cell r="E145" t="str">
            <v>Arredondo</v>
          </cell>
          <cell r="F145">
            <v>300</v>
          </cell>
          <cell r="G145">
            <v>2</v>
          </cell>
          <cell r="H145">
            <v>300</v>
          </cell>
          <cell r="I145">
            <v>41252</v>
          </cell>
          <cell r="J145" t="str">
            <v>NO SUMA</v>
          </cell>
          <cell r="W145">
            <v>0</v>
          </cell>
          <cell r="AJ145">
            <v>0</v>
          </cell>
          <cell r="AW145">
            <v>0</v>
          </cell>
        </row>
        <row r="146">
          <cell r="B146">
            <v>3824</v>
          </cell>
          <cell r="C146" t="str">
            <v>CL_132_</v>
          </cell>
          <cell r="D146" t="str">
            <v>Rancho La Cuchilla No. 132</v>
          </cell>
          <cell r="E146" t="str">
            <v>Téllez Girón</v>
          </cell>
          <cell r="F146">
            <v>300</v>
          </cell>
          <cell r="G146">
            <v>1</v>
          </cell>
          <cell r="H146">
            <v>300</v>
          </cell>
          <cell r="I146">
            <v>41252</v>
          </cell>
          <cell r="J146">
            <v>0</v>
          </cell>
          <cell r="V146">
            <v>300</v>
          </cell>
          <cell r="W146">
            <v>300</v>
          </cell>
          <cell r="AJ146">
            <v>0</v>
          </cell>
          <cell r="AW146">
            <v>0</v>
          </cell>
        </row>
        <row r="147">
          <cell r="B147">
            <v>3825</v>
          </cell>
          <cell r="C147" t="str">
            <v>CL_38_</v>
          </cell>
          <cell r="D147" t="str">
            <v>Rancho La Cuchilla No. 38</v>
          </cell>
          <cell r="E147" t="str">
            <v>Cerecedo</v>
          </cell>
          <cell r="F147">
            <v>300</v>
          </cell>
          <cell r="G147">
            <v>1</v>
          </cell>
          <cell r="H147">
            <v>600</v>
          </cell>
          <cell r="I147">
            <v>41252</v>
          </cell>
          <cell r="J147">
            <v>0</v>
          </cell>
          <cell r="Q147">
            <v>300</v>
          </cell>
          <cell r="R147">
            <v>300</v>
          </cell>
          <cell r="W147">
            <v>600</v>
          </cell>
          <cell r="AJ147">
            <v>0</v>
          </cell>
          <cell r="AW147">
            <v>0</v>
          </cell>
        </row>
        <row r="148">
          <cell r="B148">
            <v>3826</v>
          </cell>
          <cell r="C148" t="str">
            <v>LD_70_</v>
          </cell>
          <cell r="D148" t="str">
            <v>Rancho Landero No. 70</v>
          </cell>
          <cell r="E148" t="str">
            <v>Olguín</v>
          </cell>
          <cell r="F148">
            <v>100</v>
          </cell>
          <cell r="G148">
            <v>1</v>
          </cell>
          <cell r="H148">
            <v>200</v>
          </cell>
          <cell r="I148">
            <v>41252</v>
          </cell>
          <cell r="J148">
            <v>0</v>
          </cell>
          <cell r="T148">
            <v>100</v>
          </cell>
          <cell r="U148">
            <v>100</v>
          </cell>
          <cell r="W148">
            <v>200</v>
          </cell>
          <cell r="AJ148">
            <v>0</v>
          </cell>
          <cell r="AW148">
            <v>0</v>
          </cell>
        </row>
        <row r="149">
          <cell r="B149">
            <v>3827</v>
          </cell>
          <cell r="C149" t="str">
            <v>EZ_7_A</v>
          </cell>
          <cell r="D149" t="str">
            <v>Rancho Estanzuela No. 7, A</v>
          </cell>
          <cell r="E149" t="str">
            <v>Herrera Izquierdo</v>
          </cell>
          <cell r="F149">
            <v>150</v>
          </cell>
          <cell r="G149">
            <v>1</v>
          </cell>
          <cell r="H149">
            <v>150</v>
          </cell>
          <cell r="I149">
            <v>41252</v>
          </cell>
          <cell r="J149">
            <v>0</v>
          </cell>
          <cell r="V149">
            <v>150</v>
          </cell>
          <cell r="W149">
            <v>150</v>
          </cell>
          <cell r="AJ149">
            <v>0</v>
          </cell>
          <cell r="AW149">
            <v>0</v>
          </cell>
        </row>
        <row r="150">
          <cell r="B150">
            <v>3828</v>
          </cell>
          <cell r="C150" t="str">
            <v>UP_108_</v>
          </cell>
          <cell r="D150" t="str">
            <v>Rancho Upácuaro No. 108</v>
          </cell>
          <cell r="E150" t="str">
            <v>Mejía</v>
          </cell>
          <cell r="F150">
            <v>300</v>
          </cell>
          <cell r="G150">
            <v>3</v>
          </cell>
          <cell r="H150">
            <v>150</v>
          </cell>
          <cell r="I150">
            <v>41252</v>
          </cell>
          <cell r="J150" t="str">
            <v>NO SUMA</v>
          </cell>
          <cell r="W150">
            <v>0</v>
          </cell>
          <cell r="AJ150">
            <v>0</v>
          </cell>
          <cell r="AW150">
            <v>0</v>
          </cell>
        </row>
        <row r="151">
          <cell r="B151">
            <v>3829</v>
          </cell>
          <cell r="C151" t="str">
            <v>CL_47_</v>
          </cell>
          <cell r="D151" t="str">
            <v>Rancho La Cuchilla No. 47</v>
          </cell>
          <cell r="E151" t="str">
            <v>López</v>
          </cell>
          <cell r="F151">
            <v>300</v>
          </cell>
          <cell r="G151">
            <v>1</v>
          </cell>
          <cell r="H151">
            <v>600</v>
          </cell>
          <cell r="I151">
            <v>41252</v>
          </cell>
          <cell r="J151">
            <v>0</v>
          </cell>
          <cell r="U151">
            <v>300</v>
          </cell>
          <cell r="V151">
            <v>300</v>
          </cell>
          <cell r="W151">
            <v>600</v>
          </cell>
          <cell r="AJ151">
            <v>0</v>
          </cell>
          <cell r="AW151">
            <v>0</v>
          </cell>
        </row>
        <row r="152">
          <cell r="B152">
            <v>3830</v>
          </cell>
          <cell r="C152" t="str">
            <v>CL_47_</v>
          </cell>
          <cell r="D152" t="str">
            <v>Rancho La Cuchilla No. 47</v>
          </cell>
          <cell r="E152" t="str">
            <v>López</v>
          </cell>
          <cell r="F152">
            <v>300</v>
          </cell>
          <cell r="G152">
            <v>2</v>
          </cell>
          <cell r="H152">
            <v>300</v>
          </cell>
          <cell r="I152">
            <v>41252</v>
          </cell>
          <cell r="J152" t="str">
            <v>NO SUMA</v>
          </cell>
          <cell r="W152">
            <v>0</v>
          </cell>
          <cell r="AJ152">
            <v>0</v>
          </cell>
          <cell r="AW152">
            <v>0</v>
          </cell>
        </row>
        <row r="153">
          <cell r="B153">
            <v>3831</v>
          </cell>
          <cell r="C153" t="str">
            <v>CL_36_</v>
          </cell>
          <cell r="D153" t="str">
            <v>Rancho La Cuchilla No. 36</v>
          </cell>
          <cell r="E153" t="str">
            <v>Castillo</v>
          </cell>
          <cell r="F153">
            <v>300</v>
          </cell>
          <cell r="G153">
            <v>1</v>
          </cell>
          <cell r="H153">
            <v>300</v>
          </cell>
          <cell r="I153">
            <v>41252</v>
          </cell>
          <cell r="J153">
            <v>0</v>
          </cell>
          <cell r="V153">
            <v>300</v>
          </cell>
          <cell r="W153">
            <v>300</v>
          </cell>
          <cell r="AJ153">
            <v>0</v>
          </cell>
          <cell r="AW153">
            <v>0</v>
          </cell>
        </row>
        <row r="154">
          <cell r="B154">
            <v>3832</v>
          </cell>
          <cell r="C154" t="str">
            <v>EZ_100_</v>
          </cell>
          <cell r="D154" t="str">
            <v>Rancho Estanzuela No. 100</v>
          </cell>
          <cell r="E154" t="str">
            <v>Arias Monter</v>
          </cell>
          <cell r="F154">
            <v>300</v>
          </cell>
          <cell r="G154">
            <v>1</v>
          </cell>
          <cell r="H154">
            <v>300</v>
          </cell>
          <cell r="I154">
            <v>41252</v>
          </cell>
          <cell r="J154">
            <v>0</v>
          </cell>
          <cell r="V154">
            <v>300</v>
          </cell>
          <cell r="W154">
            <v>300</v>
          </cell>
          <cell r="AJ154">
            <v>0</v>
          </cell>
          <cell r="AW154">
            <v>0</v>
          </cell>
        </row>
        <row r="155">
          <cell r="B155">
            <v>3832</v>
          </cell>
          <cell r="C155" t="str">
            <v>EZ_100_</v>
          </cell>
          <cell r="D155" t="str">
            <v>Rancho Estanzuela No. 100</v>
          </cell>
          <cell r="E155" t="str">
            <v>Arias Monter</v>
          </cell>
          <cell r="F155">
            <v>300</v>
          </cell>
          <cell r="G155">
            <v>5</v>
          </cell>
          <cell r="H155">
            <v>40</v>
          </cell>
          <cell r="I155">
            <v>41252</v>
          </cell>
          <cell r="J155" t="str">
            <v>NO SUMA</v>
          </cell>
          <cell r="W155">
            <v>0</v>
          </cell>
          <cell r="AJ155">
            <v>0</v>
          </cell>
          <cell r="AW155">
            <v>0</v>
          </cell>
        </row>
        <row r="156">
          <cell r="B156">
            <v>3833</v>
          </cell>
          <cell r="C156" t="str">
            <v>EZ_3_</v>
          </cell>
          <cell r="D156" t="str">
            <v>Rancho Estanzuela No. 3</v>
          </cell>
          <cell r="E156" t="str">
            <v>Villanueva</v>
          </cell>
          <cell r="F156">
            <v>150</v>
          </cell>
          <cell r="G156">
            <v>1</v>
          </cell>
          <cell r="H156">
            <v>150</v>
          </cell>
          <cell r="I156">
            <v>41252</v>
          </cell>
          <cell r="J156">
            <v>0</v>
          </cell>
          <cell r="V156">
            <v>150</v>
          </cell>
          <cell r="W156">
            <v>150</v>
          </cell>
          <cell r="AJ156">
            <v>0</v>
          </cell>
          <cell r="AW156">
            <v>0</v>
          </cell>
        </row>
        <row r="157">
          <cell r="B157">
            <v>3834</v>
          </cell>
          <cell r="C157" t="str">
            <v>EZ_3_</v>
          </cell>
          <cell r="D157" t="str">
            <v>Rancho Estanzuela No. 3</v>
          </cell>
          <cell r="E157" t="str">
            <v>Villanueva</v>
          </cell>
          <cell r="F157">
            <v>150</v>
          </cell>
          <cell r="G157">
            <v>1</v>
          </cell>
          <cell r="H157">
            <v>150</v>
          </cell>
          <cell r="I157">
            <v>41252</v>
          </cell>
          <cell r="J157">
            <v>0</v>
          </cell>
          <cell r="W157">
            <v>0</v>
          </cell>
          <cell r="X157">
            <v>150</v>
          </cell>
          <cell r="AJ157">
            <v>150</v>
          </cell>
          <cell r="AW157">
            <v>0</v>
          </cell>
        </row>
        <row r="158">
          <cell r="B158">
            <v>3835</v>
          </cell>
          <cell r="C158" t="str">
            <v>RV_179_</v>
          </cell>
          <cell r="D158" t="str">
            <v>Rancho Recoveco No. 179</v>
          </cell>
          <cell r="E158" t="str">
            <v>Flores Delgado</v>
          </cell>
          <cell r="F158">
            <v>300</v>
          </cell>
          <cell r="G158">
            <v>1</v>
          </cell>
          <cell r="H158">
            <v>300</v>
          </cell>
          <cell r="I158">
            <v>41252</v>
          </cell>
          <cell r="J158">
            <v>0</v>
          </cell>
          <cell r="V158">
            <v>300</v>
          </cell>
          <cell r="W158">
            <v>300</v>
          </cell>
          <cell r="AJ158">
            <v>0</v>
          </cell>
          <cell r="AW158">
            <v>0</v>
          </cell>
        </row>
        <row r="159">
          <cell r="B159">
            <v>3836</v>
          </cell>
          <cell r="C159" t="str">
            <v>EZ_161_1</v>
          </cell>
          <cell r="D159" t="str">
            <v>Rancho Estanzuela No. 161, 1</v>
          </cell>
          <cell r="E159" t="str">
            <v>Guevara</v>
          </cell>
          <cell r="F159">
            <v>150</v>
          </cell>
          <cell r="G159">
            <v>1</v>
          </cell>
          <cell r="H159">
            <v>150</v>
          </cell>
          <cell r="I159">
            <v>41252</v>
          </cell>
          <cell r="J159">
            <v>0</v>
          </cell>
          <cell r="V159">
            <v>150</v>
          </cell>
          <cell r="W159">
            <v>150</v>
          </cell>
          <cell r="AJ159">
            <v>0</v>
          </cell>
          <cell r="AW159">
            <v>0</v>
          </cell>
        </row>
        <row r="160">
          <cell r="B160">
            <v>3837</v>
          </cell>
          <cell r="C160" t="str">
            <v>CL_46_</v>
          </cell>
          <cell r="D160" t="str">
            <v>Rancho La Cuchilla No. 46</v>
          </cell>
          <cell r="E160" t="str">
            <v>Cruz López</v>
          </cell>
          <cell r="F160">
            <v>300</v>
          </cell>
          <cell r="G160">
            <v>4</v>
          </cell>
          <cell r="H160">
            <v>320</v>
          </cell>
          <cell r="I160">
            <v>41252</v>
          </cell>
          <cell r="J160" t="str">
            <v>NO SUMA</v>
          </cell>
          <cell r="W160">
            <v>0</v>
          </cell>
          <cell r="AJ160">
            <v>0</v>
          </cell>
          <cell r="AW160">
            <v>0</v>
          </cell>
        </row>
        <row r="161">
          <cell r="B161">
            <v>3838</v>
          </cell>
          <cell r="C161" t="str">
            <v>LD_30_</v>
          </cell>
          <cell r="D161" t="str">
            <v>Rancho Landero No. 30</v>
          </cell>
          <cell r="E161" t="str">
            <v>Torres Guzmán</v>
          </cell>
          <cell r="F161">
            <v>300</v>
          </cell>
          <cell r="G161">
            <v>1</v>
          </cell>
          <cell r="H161">
            <v>600</v>
          </cell>
          <cell r="I161">
            <v>41252</v>
          </cell>
          <cell r="J161">
            <v>0</v>
          </cell>
          <cell r="V161">
            <v>300</v>
          </cell>
          <cell r="W161">
            <v>300</v>
          </cell>
          <cell r="X161">
            <v>300</v>
          </cell>
          <cell r="AJ161">
            <v>300</v>
          </cell>
          <cell r="AW161">
            <v>0</v>
          </cell>
        </row>
        <row r="162">
          <cell r="B162">
            <v>3839</v>
          </cell>
          <cell r="C162" t="str">
            <v>UP_34_</v>
          </cell>
          <cell r="D162" t="str">
            <v>Rancho Upácuaro No. 34</v>
          </cell>
          <cell r="E162" t="str">
            <v>Gómez González</v>
          </cell>
          <cell r="F162">
            <v>300</v>
          </cell>
          <cell r="G162">
            <v>1</v>
          </cell>
          <cell r="H162">
            <v>300</v>
          </cell>
          <cell r="I162">
            <v>41253</v>
          </cell>
          <cell r="J162">
            <v>0</v>
          </cell>
          <cell r="V162">
            <v>300</v>
          </cell>
          <cell r="W162">
            <v>300</v>
          </cell>
          <cell r="AJ162">
            <v>0</v>
          </cell>
          <cell r="AW162">
            <v>0</v>
          </cell>
        </row>
        <row r="163">
          <cell r="B163">
            <v>3840</v>
          </cell>
          <cell r="C163" t="str">
            <v>UP_34_</v>
          </cell>
          <cell r="D163" t="str">
            <v>Rancho Upácuaro No. 34</v>
          </cell>
          <cell r="E163" t="str">
            <v>Gómez González</v>
          </cell>
          <cell r="F163">
            <v>300</v>
          </cell>
          <cell r="G163">
            <v>4</v>
          </cell>
          <cell r="H163">
            <v>160</v>
          </cell>
          <cell r="I163">
            <v>41253</v>
          </cell>
          <cell r="J163" t="str">
            <v>NO SUMA</v>
          </cell>
          <cell r="W163">
            <v>0</v>
          </cell>
          <cell r="AJ163">
            <v>0</v>
          </cell>
          <cell r="AW163">
            <v>0</v>
          </cell>
        </row>
        <row r="164">
          <cell r="B164">
            <v>3841</v>
          </cell>
          <cell r="C164" t="str">
            <v>EZ_111_</v>
          </cell>
          <cell r="D164" t="str">
            <v>Rancho Estanzuela No. 111</v>
          </cell>
          <cell r="E164" t="str">
            <v>Flores Pérez</v>
          </cell>
          <cell r="F164">
            <v>300</v>
          </cell>
          <cell r="G164">
            <v>1</v>
          </cell>
          <cell r="H164">
            <v>300</v>
          </cell>
          <cell r="I164">
            <v>41253</v>
          </cell>
          <cell r="J164">
            <v>0</v>
          </cell>
          <cell r="V164">
            <v>300</v>
          </cell>
          <cell r="W164">
            <v>300</v>
          </cell>
          <cell r="AJ164">
            <v>0</v>
          </cell>
          <cell r="AW164">
            <v>0</v>
          </cell>
        </row>
        <row r="165">
          <cell r="B165">
            <v>3841</v>
          </cell>
          <cell r="C165" t="str">
            <v>EZ_111_</v>
          </cell>
          <cell r="D165" t="str">
            <v>Rancho Estanzuela No. 111</v>
          </cell>
          <cell r="E165" t="str">
            <v>Flores Pérez</v>
          </cell>
          <cell r="F165">
            <v>300</v>
          </cell>
          <cell r="G165">
            <v>4</v>
          </cell>
          <cell r="H165">
            <v>160</v>
          </cell>
          <cell r="I165">
            <v>41253</v>
          </cell>
          <cell r="J165" t="str">
            <v>NO SUMA</v>
          </cell>
          <cell r="W165">
            <v>0</v>
          </cell>
          <cell r="AJ165">
            <v>0</v>
          </cell>
          <cell r="AW165">
            <v>0</v>
          </cell>
        </row>
        <row r="166">
          <cell r="B166">
            <v>3842</v>
          </cell>
          <cell r="C166" t="str">
            <v>HS_828_</v>
          </cell>
          <cell r="D166" t="str">
            <v>Calzada del Hueso No. 828</v>
          </cell>
          <cell r="E166" t="str">
            <v>Cervantes, Miguel</v>
          </cell>
          <cell r="F166">
            <v>300</v>
          </cell>
          <cell r="G166">
            <v>1</v>
          </cell>
          <cell r="H166">
            <v>300</v>
          </cell>
          <cell r="I166">
            <v>41254</v>
          </cell>
          <cell r="J166">
            <v>0</v>
          </cell>
          <cell r="V166">
            <v>300</v>
          </cell>
          <cell r="W166">
            <v>300</v>
          </cell>
          <cell r="AJ166">
            <v>0</v>
          </cell>
          <cell r="AW166">
            <v>0</v>
          </cell>
        </row>
        <row r="167">
          <cell r="B167">
            <v>3843</v>
          </cell>
          <cell r="C167" t="str">
            <v>UP_79_</v>
          </cell>
          <cell r="D167" t="str">
            <v>Rancho Upácuaro No. 79</v>
          </cell>
          <cell r="E167" t="str">
            <v>Macías</v>
          </cell>
          <cell r="F167">
            <v>300</v>
          </cell>
          <cell r="G167">
            <v>3</v>
          </cell>
          <cell r="H167">
            <v>300</v>
          </cell>
          <cell r="I167">
            <v>41256</v>
          </cell>
          <cell r="J167" t="str">
            <v>NO SUMA</v>
          </cell>
          <cell r="W167">
            <v>0</v>
          </cell>
          <cell r="AJ167">
            <v>0</v>
          </cell>
          <cell r="AW167">
            <v>0</v>
          </cell>
        </row>
        <row r="168">
          <cell r="B168">
            <v>3844</v>
          </cell>
          <cell r="C168" t="str">
            <v>UP_104_</v>
          </cell>
          <cell r="D168" t="str">
            <v>Rancho Upácuaro No. 104</v>
          </cell>
          <cell r="E168" t="str">
            <v>Jiménez Almazo</v>
          </cell>
          <cell r="F168">
            <v>300</v>
          </cell>
          <cell r="G168">
            <v>1</v>
          </cell>
          <cell r="H168">
            <v>300</v>
          </cell>
          <cell r="I168">
            <v>41253</v>
          </cell>
          <cell r="J168">
            <v>0</v>
          </cell>
          <cell r="V168">
            <v>300</v>
          </cell>
          <cell r="W168">
            <v>300</v>
          </cell>
          <cell r="AJ168">
            <v>0</v>
          </cell>
          <cell r="AW168">
            <v>0</v>
          </cell>
        </row>
        <row r="169">
          <cell r="B169">
            <v>3845</v>
          </cell>
          <cell r="C169" t="str">
            <v>RV_175_B</v>
          </cell>
          <cell r="D169" t="str">
            <v>Rancho Recoveco No. 175, B</v>
          </cell>
          <cell r="E169" t="str">
            <v>García Calderón</v>
          </cell>
          <cell r="F169">
            <v>150</v>
          </cell>
          <cell r="G169">
            <v>1</v>
          </cell>
          <cell r="H169">
            <v>150</v>
          </cell>
          <cell r="I169">
            <v>41256</v>
          </cell>
          <cell r="J169">
            <v>0</v>
          </cell>
          <cell r="V169">
            <v>150</v>
          </cell>
          <cell r="W169">
            <v>150</v>
          </cell>
          <cell r="AJ169">
            <v>0</v>
          </cell>
          <cell r="AW169">
            <v>0</v>
          </cell>
        </row>
        <row r="170">
          <cell r="B170">
            <v>3846</v>
          </cell>
          <cell r="C170" t="str">
            <v>LD_83_</v>
          </cell>
          <cell r="D170" t="str">
            <v>Rancho Landero No. 83</v>
          </cell>
          <cell r="E170" t="str">
            <v>Aguilar</v>
          </cell>
          <cell r="F170">
            <v>300</v>
          </cell>
          <cell r="G170">
            <v>1</v>
          </cell>
          <cell r="H170">
            <v>300</v>
          </cell>
          <cell r="I170">
            <v>41257</v>
          </cell>
          <cell r="J170">
            <v>0</v>
          </cell>
          <cell r="V170">
            <v>300</v>
          </cell>
          <cell r="W170">
            <v>300</v>
          </cell>
          <cell r="AJ170">
            <v>0</v>
          </cell>
          <cell r="AW170">
            <v>0</v>
          </cell>
        </row>
        <row r="171">
          <cell r="B171">
            <v>3847</v>
          </cell>
          <cell r="C171" t="str">
            <v>CL_130_</v>
          </cell>
          <cell r="D171" t="str">
            <v>Rancho La Cuchilla No. 130</v>
          </cell>
          <cell r="E171" t="str">
            <v>De la Huerta</v>
          </cell>
          <cell r="F171">
            <v>300</v>
          </cell>
          <cell r="G171">
            <v>1</v>
          </cell>
          <cell r="H171">
            <v>300</v>
          </cell>
          <cell r="I171">
            <v>41259</v>
          </cell>
          <cell r="J171">
            <v>0</v>
          </cell>
          <cell r="V171">
            <v>300</v>
          </cell>
          <cell r="W171">
            <v>300</v>
          </cell>
          <cell r="AJ171">
            <v>0</v>
          </cell>
          <cell r="AW171">
            <v>0</v>
          </cell>
        </row>
        <row r="172">
          <cell r="B172">
            <v>3848</v>
          </cell>
          <cell r="C172" t="str">
            <v>LD_47_</v>
          </cell>
          <cell r="D172" t="str">
            <v>Rancho Landero No. 47</v>
          </cell>
          <cell r="E172" t="str">
            <v>García González</v>
          </cell>
          <cell r="F172">
            <v>300</v>
          </cell>
          <cell r="G172">
            <v>1</v>
          </cell>
          <cell r="H172">
            <v>300</v>
          </cell>
          <cell r="I172">
            <v>41259</v>
          </cell>
          <cell r="J172">
            <v>0</v>
          </cell>
          <cell r="V172">
            <v>300</v>
          </cell>
          <cell r="W172">
            <v>300</v>
          </cell>
          <cell r="AJ172">
            <v>0</v>
          </cell>
          <cell r="AW172">
            <v>0</v>
          </cell>
        </row>
        <row r="173">
          <cell r="B173">
            <v>3849</v>
          </cell>
          <cell r="C173" t="str">
            <v>CL_81_B</v>
          </cell>
          <cell r="D173" t="str">
            <v>Rancho La Cuchilla No. 81, B</v>
          </cell>
          <cell r="E173" t="str">
            <v>Suárez</v>
          </cell>
          <cell r="F173">
            <v>300</v>
          </cell>
          <cell r="G173">
            <v>1</v>
          </cell>
          <cell r="H173">
            <v>3300</v>
          </cell>
          <cell r="I173">
            <v>41259</v>
          </cell>
          <cell r="J173">
            <v>0</v>
          </cell>
          <cell r="W173">
            <v>0</v>
          </cell>
          <cell r="X173">
            <v>300</v>
          </cell>
          <cell r="Y173">
            <v>300</v>
          </cell>
          <cell r="Z173">
            <v>300</v>
          </cell>
          <cell r="AA173">
            <v>300</v>
          </cell>
          <cell r="AB173">
            <v>300</v>
          </cell>
          <cell r="AC173">
            <v>300</v>
          </cell>
          <cell r="AD173">
            <v>300</v>
          </cell>
          <cell r="AE173">
            <v>300</v>
          </cell>
          <cell r="AF173">
            <v>300</v>
          </cell>
          <cell r="AG173">
            <v>300</v>
          </cell>
          <cell r="AH173">
            <v>300</v>
          </cell>
          <cell r="AJ173">
            <v>3300</v>
          </cell>
          <cell r="AW173">
            <v>0</v>
          </cell>
        </row>
        <row r="174">
          <cell r="B174">
            <v>3850</v>
          </cell>
          <cell r="C174" t="str">
            <v>LD_35_</v>
          </cell>
          <cell r="D174" t="str">
            <v>Rancho Landero No. 35</v>
          </cell>
          <cell r="E174" t="str">
            <v>Loperena</v>
          </cell>
          <cell r="F174">
            <v>300</v>
          </cell>
          <cell r="G174">
            <v>1</v>
          </cell>
          <cell r="H174">
            <v>900</v>
          </cell>
          <cell r="I174">
            <v>41259</v>
          </cell>
          <cell r="J174">
            <v>0</v>
          </cell>
          <cell r="T174">
            <v>300</v>
          </cell>
          <cell r="U174">
            <v>300</v>
          </cell>
          <cell r="V174">
            <v>300</v>
          </cell>
          <cell r="W174">
            <v>900</v>
          </cell>
          <cell r="AJ174">
            <v>0</v>
          </cell>
          <cell r="AW174">
            <v>0</v>
          </cell>
        </row>
        <row r="175">
          <cell r="B175">
            <v>3851</v>
          </cell>
          <cell r="C175" t="str">
            <v>LD_76_</v>
          </cell>
          <cell r="D175" t="str">
            <v>Rancho Landero No. 76</v>
          </cell>
          <cell r="E175" t="str">
            <v>Ugarte</v>
          </cell>
          <cell r="F175">
            <v>300</v>
          </cell>
          <cell r="G175">
            <v>1</v>
          </cell>
          <cell r="H175">
            <v>300</v>
          </cell>
          <cell r="I175">
            <v>41259</v>
          </cell>
          <cell r="J175">
            <v>0</v>
          </cell>
          <cell r="V175">
            <v>300</v>
          </cell>
          <cell r="W175">
            <v>300</v>
          </cell>
          <cell r="AJ175">
            <v>0</v>
          </cell>
          <cell r="AW175">
            <v>0</v>
          </cell>
        </row>
        <row r="176">
          <cell r="B176">
            <v>3852</v>
          </cell>
          <cell r="C176" t="str">
            <v>UP_136_</v>
          </cell>
          <cell r="D176" t="str">
            <v>Rancho Upácuaro No. 136</v>
          </cell>
          <cell r="E176" t="str">
            <v>López Lena</v>
          </cell>
          <cell r="F176">
            <v>300</v>
          </cell>
          <cell r="G176">
            <v>1</v>
          </cell>
          <cell r="H176">
            <v>300</v>
          </cell>
          <cell r="I176">
            <v>41259</v>
          </cell>
          <cell r="J176">
            <v>0</v>
          </cell>
          <cell r="V176">
            <v>300</v>
          </cell>
          <cell r="W176">
            <v>300</v>
          </cell>
          <cell r="AJ176">
            <v>0</v>
          </cell>
          <cell r="AW176">
            <v>0</v>
          </cell>
        </row>
        <row r="177">
          <cell r="B177">
            <v>3853</v>
          </cell>
          <cell r="C177" t="str">
            <v>ZB_80_</v>
          </cell>
          <cell r="D177" t="str">
            <v>Rancho Zinamba No. 80</v>
          </cell>
          <cell r="E177" t="str">
            <v>Vázquez</v>
          </cell>
          <cell r="F177">
            <v>250</v>
          </cell>
          <cell r="G177">
            <v>1</v>
          </cell>
          <cell r="H177">
            <v>250</v>
          </cell>
          <cell r="I177">
            <v>41259</v>
          </cell>
          <cell r="J177">
            <v>0</v>
          </cell>
          <cell r="V177">
            <v>250</v>
          </cell>
          <cell r="W177">
            <v>250</v>
          </cell>
          <cell r="AJ177">
            <v>0</v>
          </cell>
          <cell r="AW177">
            <v>0</v>
          </cell>
        </row>
        <row r="178">
          <cell r="B178">
            <v>3854</v>
          </cell>
          <cell r="C178" t="str">
            <v>UP_24_</v>
          </cell>
          <cell r="D178" t="str">
            <v>Rancho Upácuaro No. 24</v>
          </cell>
          <cell r="E178" t="str">
            <v>Parra</v>
          </cell>
          <cell r="F178">
            <v>300</v>
          </cell>
          <cell r="G178">
            <v>1</v>
          </cell>
          <cell r="H178">
            <v>900</v>
          </cell>
          <cell r="I178">
            <v>41259</v>
          </cell>
          <cell r="J178">
            <v>0</v>
          </cell>
          <cell r="T178">
            <v>300</v>
          </cell>
          <cell r="U178">
            <v>300</v>
          </cell>
          <cell r="V178">
            <v>300</v>
          </cell>
          <cell r="W178">
            <v>900</v>
          </cell>
          <cell r="AJ178">
            <v>0</v>
          </cell>
          <cell r="AW178">
            <v>0</v>
          </cell>
        </row>
        <row r="179">
          <cell r="B179">
            <v>3854</v>
          </cell>
          <cell r="C179" t="str">
            <v>UP_24_</v>
          </cell>
          <cell r="D179" t="str">
            <v>Rancho Upácuaro No. 24</v>
          </cell>
          <cell r="E179" t="str">
            <v>Parra</v>
          </cell>
          <cell r="F179">
            <v>300</v>
          </cell>
          <cell r="G179">
            <v>4</v>
          </cell>
          <cell r="H179">
            <v>320</v>
          </cell>
          <cell r="I179">
            <v>41259</v>
          </cell>
          <cell r="J179" t="str">
            <v>NO SUMA</v>
          </cell>
          <cell r="W179">
            <v>0</v>
          </cell>
          <cell r="AJ179">
            <v>0</v>
          </cell>
          <cell r="AW179">
            <v>0</v>
          </cell>
        </row>
        <row r="180">
          <cell r="B180">
            <v>3855</v>
          </cell>
          <cell r="C180" t="str">
            <v>CL_66_</v>
          </cell>
          <cell r="D180" t="str">
            <v>Rancho La Cuchilla No. 66</v>
          </cell>
          <cell r="E180" t="str">
            <v>Prieto</v>
          </cell>
          <cell r="F180">
            <v>300</v>
          </cell>
          <cell r="G180">
            <v>1</v>
          </cell>
          <cell r="H180">
            <v>900</v>
          </cell>
          <cell r="I180">
            <v>41259</v>
          </cell>
          <cell r="J180">
            <v>0</v>
          </cell>
          <cell r="T180">
            <v>300</v>
          </cell>
          <cell r="U180">
            <v>300</v>
          </cell>
          <cell r="V180">
            <v>300</v>
          </cell>
          <cell r="W180">
            <v>900</v>
          </cell>
          <cell r="AJ180">
            <v>0</v>
          </cell>
          <cell r="AW180">
            <v>0</v>
          </cell>
        </row>
        <row r="181">
          <cell r="B181">
            <v>3856</v>
          </cell>
          <cell r="C181" t="str">
            <v>ZB_8_</v>
          </cell>
          <cell r="D181" t="str">
            <v>Rancho Zinamba No. 8</v>
          </cell>
          <cell r="E181" t="str">
            <v>Florido</v>
          </cell>
          <cell r="F181">
            <v>300</v>
          </cell>
          <cell r="G181">
            <v>1</v>
          </cell>
          <cell r="H181">
            <v>300</v>
          </cell>
          <cell r="I181">
            <v>41259</v>
          </cell>
          <cell r="J181">
            <v>0</v>
          </cell>
          <cell r="V181">
            <v>300</v>
          </cell>
          <cell r="W181">
            <v>300</v>
          </cell>
          <cell r="AJ181">
            <v>0</v>
          </cell>
          <cell r="AW181">
            <v>0</v>
          </cell>
        </row>
        <row r="182">
          <cell r="B182">
            <v>3857</v>
          </cell>
          <cell r="D182" t="str">
            <v/>
          </cell>
          <cell r="E182" t="str">
            <v/>
          </cell>
          <cell r="F182" t="str">
            <v/>
          </cell>
          <cell r="G182">
            <v>8</v>
          </cell>
          <cell r="I182">
            <v>41259</v>
          </cell>
          <cell r="J182" t="str">
            <v>NO SUMA</v>
          </cell>
          <cell r="W182">
            <v>0</v>
          </cell>
          <cell r="AJ182">
            <v>0</v>
          </cell>
          <cell r="AW182">
            <v>0</v>
          </cell>
        </row>
        <row r="183">
          <cell r="B183">
            <v>3858</v>
          </cell>
          <cell r="C183" t="str">
            <v>EZ_57_</v>
          </cell>
          <cell r="D183" t="str">
            <v>Rancho Estanzuela No. 57</v>
          </cell>
          <cell r="E183" t="str">
            <v>Olivares</v>
          </cell>
          <cell r="F183">
            <v>300</v>
          </cell>
          <cell r="G183">
            <v>1</v>
          </cell>
          <cell r="H183">
            <v>900</v>
          </cell>
          <cell r="I183">
            <v>41259</v>
          </cell>
          <cell r="J183">
            <v>0</v>
          </cell>
          <cell r="Q183">
            <v>300</v>
          </cell>
          <cell r="R183">
            <v>300</v>
          </cell>
          <cell r="S183">
            <v>300</v>
          </cell>
          <cell r="W183">
            <v>900</v>
          </cell>
          <cell r="AJ183">
            <v>0</v>
          </cell>
          <cell r="AW183">
            <v>0</v>
          </cell>
        </row>
        <row r="184">
          <cell r="B184">
            <v>3859</v>
          </cell>
          <cell r="C184" t="str">
            <v>LD_65_</v>
          </cell>
          <cell r="D184" t="str">
            <v>Rancho Landero No. 65</v>
          </cell>
          <cell r="E184" t="str">
            <v>Alpizar</v>
          </cell>
          <cell r="F184">
            <v>300</v>
          </cell>
          <cell r="G184">
            <v>1</v>
          </cell>
          <cell r="H184">
            <v>900</v>
          </cell>
          <cell r="I184">
            <v>41259</v>
          </cell>
          <cell r="J184">
            <v>0</v>
          </cell>
          <cell r="T184">
            <v>300</v>
          </cell>
          <cell r="U184">
            <v>300</v>
          </cell>
          <cell r="V184">
            <v>300</v>
          </cell>
          <cell r="W184">
            <v>900</v>
          </cell>
          <cell r="AJ184">
            <v>0</v>
          </cell>
          <cell r="AW184">
            <v>0</v>
          </cell>
        </row>
        <row r="185">
          <cell r="B185">
            <v>3860</v>
          </cell>
          <cell r="C185" t="str">
            <v>CL_43_A</v>
          </cell>
          <cell r="D185" t="str">
            <v>Rancho La Cuchilla No. 43, A</v>
          </cell>
          <cell r="E185" t="str">
            <v>De la Rosa</v>
          </cell>
          <cell r="F185">
            <v>200</v>
          </cell>
          <cell r="G185">
            <v>1</v>
          </cell>
          <cell r="H185">
            <v>200</v>
          </cell>
          <cell r="I185">
            <v>41259</v>
          </cell>
          <cell r="J185">
            <v>0</v>
          </cell>
          <cell r="V185">
            <v>200</v>
          </cell>
          <cell r="W185">
            <v>200</v>
          </cell>
          <cell r="AJ185">
            <v>0</v>
          </cell>
          <cell r="AW185">
            <v>0</v>
          </cell>
        </row>
        <row r="186">
          <cell r="B186">
            <v>3861</v>
          </cell>
          <cell r="C186" t="str">
            <v>UP_140_</v>
          </cell>
          <cell r="D186" t="str">
            <v>Rancho Upácuaro No. 140</v>
          </cell>
          <cell r="E186" t="str">
            <v>Gozain</v>
          </cell>
          <cell r="F186">
            <v>300</v>
          </cell>
          <cell r="G186">
            <v>3</v>
          </cell>
          <cell r="H186">
            <v>300</v>
          </cell>
          <cell r="I186">
            <v>41259</v>
          </cell>
          <cell r="J186" t="str">
            <v>NO SUMA</v>
          </cell>
          <cell r="W186">
            <v>0</v>
          </cell>
          <cell r="AJ186">
            <v>0</v>
          </cell>
          <cell r="AW186">
            <v>0</v>
          </cell>
        </row>
        <row r="187">
          <cell r="B187">
            <v>3861</v>
          </cell>
          <cell r="C187" t="str">
            <v>UP_140_</v>
          </cell>
          <cell r="D187" t="str">
            <v>Rancho Upácuaro No. 140</v>
          </cell>
          <cell r="E187" t="str">
            <v>Gozain</v>
          </cell>
          <cell r="F187">
            <v>300</v>
          </cell>
          <cell r="G187">
            <v>4</v>
          </cell>
          <cell r="H187">
            <v>320</v>
          </cell>
          <cell r="I187">
            <v>41259</v>
          </cell>
          <cell r="J187" t="str">
            <v>NO SUMA</v>
          </cell>
          <cell r="W187">
            <v>0</v>
          </cell>
          <cell r="AJ187">
            <v>0</v>
          </cell>
          <cell r="AW187">
            <v>0</v>
          </cell>
        </row>
        <row r="188">
          <cell r="B188">
            <v>3862</v>
          </cell>
          <cell r="C188" t="str">
            <v>EZ_73_</v>
          </cell>
          <cell r="D188" t="str">
            <v>Rancho Estanzuela No. 73</v>
          </cell>
          <cell r="E188" t="str">
            <v>García María del C.</v>
          </cell>
          <cell r="F188">
            <v>300</v>
          </cell>
          <cell r="G188">
            <v>1</v>
          </cell>
          <cell r="H188">
            <v>300</v>
          </cell>
          <cell r="I188">
            <v>41259</v>
          </cell>
          <cell r="J188">
            <v>0</v>
          </cell>
          <cell r="V188">
            <v>300</v>
          </cell>
          <cell r="W188">
            <v>300</v>
          </cell>
          <cell r="AJ188">
            <v>0</v>
          </cell>
          <cell r="AW188">
            <v>0</v>
          </cell>
        </row>
        <row r="189">
          <cell r="B189">
            <v>3863</v>
          </cell>
          <cell r="C189" t="str">
            <v>UP_116_</v>
          </cell>
          <cell r="D189" t="str">
            <v>Rancho Upácuaro No. 116</v>
          </cell>
          <cell r="E189" t="str">
            <v>García Zamudio</v>
          </cell>
          <cell r="F189">
            <v>300</v>
          </cell>
          <cell r="G189">
            <v>1</v>
          </cell>
          <cell r="H189">
            <v>300</v>
          </cell>
          <cell r="I189">
            <v>41259</v>
          </cell>
          <cell r="J189">
            <v>0</v>
          </cell>
          <cell r="V189">
            <v>300</v>
          </cell>
          <cell r="W189">
            <v>300</v>
          </cell>
          <cell r="AJ189">
            <v>0</v>
          </cell>
          <cell r="AW189">
            <v>0</v>
          </cell>
        </row>
        <row r="190">
          <cell r="B190">
            <v>3864</v>
          </cell>
          <cell r="C190" t="str">
            <v>ZB_36_</v>
          </cell>
          <cell r="D190" t="str">
            <v>Rancho Zinamba No. 36</v>
          </cell>
          <cell r="E190" t="str">
            <v>Rodríguez Ortiz</v>
          </cell>
          <cell r="F190">
            <v>300</v>
          </cell>
          <cell r="G190">
            <v>1</v>
          </cell>
          <cell r="H190">
            <v>300</v>
          </cell>
          <cell r="I190">
            <v>41259</v>
          </cell>
          <cell r="J190">
            <v>0</v>
          </cell>
          <cell r="W190">
            <v>0</v>
          </cell>
          <cell r="X190">
            <v>300</v>
          </cell>
          <cell r="AJ190">
            <v>300</v>
          </cell>
          <cell r="AW190">
            <v>0</v>
          </cell>
        </row>
        <row r="191">
          <cell r="B191">
            <v>3865</v>
          </cell>
          <cell r="C191" t="str">
            <v>UP_21_</v>
          </cell>
          <cell r="D191" t="str">
            <v>Rancho Upácuaro No. 21</v>
          </cell>
          <cell r="E191" t="str">
            <v>Fierro Betancourt</v>
          </cell>
          <cell r="F191">
            <v>150</v>
          </cell>
          <cell r="G191">
            <v>1</v>
          </cell>
          <cell r="H191">
            <v>150</v>
          </cell>
          <cell r="I191">
            <v>41259</v>
          </cell>
          <cell r="J191">
            <v>0</v>
          </cell>
          <cell r="V191">
            <v>150</v>
          </cell>
          <cell r="W191">
            <v>150</v>
          </cell>
          <cell r="AJ191">
            <v>0</v>
          </cell>
          <cell r="AW191">
            <v>0</v>
          </cell>
        </row>
        <row r="192">
          <cell r="B192">
            <v>3866</v>
          </cell>
          <cell r="C192" t="str">
            <v>CL_97_</v>
          </cell>
          <cell r="D192" t="str">
            <v>Rancho La Cuchilla No. 97</v>
          </cell>
          <cell r="E192" t="str">
            <v>López Ruiz</v>
          </cell>
          <cell r="F192">
            <v>300</v>
          </cell>
          <cell r="G192">
            <v>1</v>
          </cell>
          <cell r="H192">
            <v>300</v>
          </cell>
          <cell r="I192">
            <v>41259</v>
          </cell>
          <cell r="J192">
            <v>0</v>
          </cell>
          <cell r="V192">
            <v>300</v>
          </cell>
          <cell r="W192">
            <v>300</v>
          </cell>
          <cell r="AJ192">
            <v>0</v>
          </cell>
          <cell r="AW192">
            <v>0</v>
          </cell>
        </row>
        <row r="193">
          <cell r="B193">
            <v>3867</v>
          </cell>
          <cell r="C193" t="str">
            <v>CL_120_</v>
          </cell>
          <cell r="D193" t="str">
            <v>Rancho La Cuchilla No. 120</v>
          </cell>
          <cell r="E193" t="str">
            <v>Pozos Vilchis</v>
          </cell>
          <cell r="F193">
            <v>300</v>
          </cell>
          <cell r="G193">
            <v>1</v>
          </cell>
          <cell r="H193">
            <v>300</v>
          </cell>
          <cell r="I193">
            <v>41259</v>
          </cell>
          <cell r="J193">
            <v>0</v>
          </cell>
          <cell r="V193">
            <v>300</v>
          </cell>
          <cell r="W193">
            <v>300</v>
          </cell>
          <cell r="AJ193">
            <v>0</v>
          </cell>
          <cell r="AW193">
            <v>0</v>
          </cell>
        </row>
        <row r="194">
          <cell r="B194">
            <v>3868</v>
          </cell>
          <cell r="C194" t="str">
            <v>CL_55_</v>
          </cell>
          <cell r="D194" t="str">
            <v>Rancho La Cuchilla No. 55</v>
          </cell>
          <cell r="E194" t="str">
            <v>López Velázquez</v>
          </cell>
          <cell r="F194">
            <v>300</v>
          </cell>
          <cell r="G194">
            <v>1</v>
          </cell>
          <cell r="H194">
            <v>300</v>
          </cell>
          <cell r="I194">
            <v>41259</v>
          </cell>
          <cell r="J194">
            <v>0</v>
          </cell>
          <cell r="V194">
            <v>300</v>
          </cell>
          <cell r="W194">
            <v>300</v>
          </cell>
          <cell r="AJ194">
            <v>0</v>
          </cell>
          <cell r="AW194">
            <v>0</v>
          </cell>
        </row>
        <row r="195">
          <cell r="B195">
            <v>3869</v>
          </cell>
          <cell r="C195" t="str">
            <v>CL_12_</v>
          </cell>
          <cell r="D195" t="str">
            <v>Rancho La Cuchilla No. 12</v>
          </cell>
          <cell r="E195" t="str">
            <v>Rivera Flores</v>
          </cell>
          <cell r="F195">
            <v>250</v>
          </cell>
          <cell r="G195">
            <v>1</v>
          </cell>
          <cell r="H195">
            <v>250</v>
          </cell>
          <cell r="I195">
            <v>41259</v>
          </cell>
          <cell r="J195">
            <v>0</v>
          </cell>
          <cell r="V195">
            <v>250</v>
          </cell>
          <cell r="W195">
            <v>250</v>
          </cell>
          <cell r="AJ195">
            <v>0</v>
          </cell>
          <cell r="AW195">
            <v>0</v>
          </cell>
        </row>
        <row r="196">
          <cell r="B196">
            <v>3870</v>
          </cell>
          <cell r="C196" t="str">
            <v>LD_51_</v>
          </cell>
          <cell r="D196" t="str">
            <v>Rancho Landero No. 51</v>
          </cell>
          <cell r="E196" t="str">
            <v>H. Robles Tamayo</v>
          </cell>
          <cell r="F196">
            <v>300</v>
          </cell>
          <cell r="G196">
            <v>1</v>
          </cell>
          <cell r="H196">
            <v>300</v>
          </cell>
          <cell r="I196">
            <v>41259</v>
          </cell>
          <cell r="J196">
            <v>0</v>
          </cell>
          <cell r="V196">
            <v>300</v>
          </cell>
          <cell r="W196">
            <v>300</v>
          </cell>
          <cell r="AJ196">
            <v>0</v>
          </cell>
          <cell r="AW196">
            <v>0</v>
          </cell>
        </row>
        <row r="197">
          <cell r="B197">
            <v>3871</v>
          </cell>
          <cell r="C197" t="str">
            <v>UP_93_</v>
          </cell>
          <cell r="D197" t="str">
            <v>Rancho Upácuaro No. 93</v>
          </cell>
          <cell r="E197" t="str">
            <v>Valdés</v>
          </cell>
          <cell r="F197">
            <v>300</v>
          </cell>
          <cell r="G197">
            <v>1</v>
          </cell>
          <cell r="H197">
            <v>300</v>
          </cell>
          <cell r="I197">
            <v>41259</v>
          </cell>
          <cell r="J197">
            <v>0</v>
          </cell>
          <cell r="W197">
            <v>0</v>
          </cell>
          <cell r="X197">
            <v>300</v>
          </cell>
          <cell r="AJ197">
            <v>300</v>
          </cell>
          <cell r="AW197">
            <v>0</v>
          </cell>
        </row>
        <row r="198">
          <cell r="B198">
            <v>3872</v>
          </cell>
          <cell r="C198" t="str">
            <v>RV_195_</v>
          </cell>
          <cell r="D198" t="str">
            <v>Rancho Recoveco No. 195</v>
          </cell>
          <cell r="E198" t="str">
            <v>Sandoval</v>
          </cell>
          <cell r="F198">
            <v>300</v>
          </cell>
          <cell r="G198">
            <v>1</v>
          </cell>
          <cell r="H198">
            <v>600</v>
          </cell>
          <cell r="I198">
            <v>41259</v>
          </cell>
          <cell r="J198">
            <v>0</v>
          </cell>
          <cell r="U198">
            <v>300</v>
          </cell>
          <cell r="V198">
            <v>300</v>
          </cell>
          <cell r="W198">
            <v>600</v>
          </cell>
          <cell r="AJ198">
            <v>0</v>
          </cell>
          <cell r="AW198">
            <v>0</v>
          </cell>
        </row>
        <row r="199">
          <cell r="B199">
            <v>3873</v>
          </cell>
          <cell r="C199" t="str">
            <v>EZ_99_</v>
          </cell>
          <cell r="D199" t="str">
            <v>Rancho Estanzuela No. 99</v>
          </cell>
          <cell r="E199" t="str">
            <v>García López</v>
          </cell>
          <cell r="F199">
            <v>300</v>
          </cell>
          <cell r="G199">
            <v>1</v>
          </cell>
          <cell r="H199">
            <v>300</v>
          </cell>
          <cell r="I199">
            <v>41259</v>
          </cell>
          <cell r="J199">
            <v>0</v>
          </cell>
          <cell r="V199">
            <v>300</v>
          </cell>
          <cell r="W199">
            <v>300</v>
          </cell>
          <cell r="AJ199">
            <v>0</v>
          </cell>
          <cell r="AW199">
            <v>0</v>
          </cell>
        </row>
        <row r="200">
          <cell r="B200">
            <v>3874</v>
          </cell>
          <cell r="C200" t="str">
            <v>ZB_50_</v>
          </cell>
          <cell r="D200" t="str">
            <v>Rancho Zinamba No. 50</v>
          </cell>
          <cell r="E200" t="str">
            <v>Del Castillo</v>
          </cell>
          <cell r="F200">
            <v>300</v>
          </cell>
          <cell r="G200">
            <v>1</v>
          </cell>
          <cell r="H200">
            <v>300</v>
          </cell>
          <cell r="I200">
            <v>41259</v>
          </cell>
          <cell r="J200">
            <v>0</v>
          </cell>
          <cell r="V200">
            <v>300</v>
          </cell>
          <cell r="W200">
            <v>300</v>
          </cell>
          <cell r="AJ200">
            <v>0</v>
          </cell>
          <cell r="AW200">
            <v>0</v>
          </cell>
        </row>
        <row r="201">
          <cell r="B201">
            <v>3875</v>
          </cell>
          <cell r="C201" t="str">
            <v>EZ_55_</v>
          </cell>
          <cell r="D201" t="str">
            <v>Rancho Estanzuela No. 55</v>
          </cell>
          <cell r="E201" t="str">
            <v>Rodríguez Acevedo</v>
          </cell>
          <cell r="F201">
            <v>300</v>
          </cell>
          <cell r="G201">
            <v>1</v>
          </cell>
          <cell r="H201">
            <v>300</v>
          </cell>
          <cell r="I201">
            <v>41259</v>
          </cell>
          <cell r="J201">
            <v>0</v>
          </cell>
          <cell r="V201">
            <v>300</v>
          </cell>
          <cell r="W201">
            <v>300</v>
          </cell>
          <cell r="AJ201">
            <v>0</v>
          </cell>
          <cell r="AW201">
            <v>0</v>
          </cell>
        </row>
        <row r="202">
          <cell r="B202">
            <v>3876</v>
          </cell>
          <cell r="C202" t="str">
            <v>UP_26_</v>
          </cell>
          <cell r="D202" t="str">
            <v>Rancho Upácuaro No. 26</v>
          </cell>
          <cell r="E202" t="str">
            <v>Salazar</v>
          </cell>
          <cell r="F202">
            <v>300</v>
          </cell>
          <cell r="G202">
            <v>1</v>
          </cell>
          <cell r="H202">
            <v>300</v>
          </cell>
          <cell r="I202">
            <v>41259</v>
          </cell>
          <cell r="J202">
            <v>0</v>
          </cell>
          <cell r="V202">
            <v>300</v>
          </cell>
          <cell r="W202">
            <v>300</v>
          </cell>
          <cell r="AJ202">
            <v>0</v>
          </cell>
          <cell r="AW202">
            <v>0</v>
          </cell>
        </row>
        <row r="203">
          <cell r="B203">
            <v>3877</v>
          </cell>
          <cell r="C203" t="str">
            <v>EZ_11_B</v>
          </cell>
          <cell r="D203" t="str">
            <v>Rancho Estanzuela No. 11, B</v>
          </cell>
          <cell r="E203" t="str">
            <v>Gómez Miguel</v>
          </cell>
          <cell r="F203">
            <v>200</v>
          </cell>
          <cell r="G203">
            <v>1</v>
          </cell>
          <cell r="H203">
            <v>200</v>
          </cell>
          <cell r="I203">
            <v>41259</v>
          </cell>
          <cell r="J203">
            <v>0</v>
          </cell>
          <cell r="V203">
            <v>200</v>
          </cell>
          <cell r="W203">
            <v>200</v>
          </cell>
          <cell r="AJ203">
            <v>0</v>
          </cell>
          <cell r="AW203">
            <v>0</v>
          </cell>
        </row>
        <row r="204">
          <cell r="B204">
            <v>3878</v>
          </cell>
          <cell r="C204" t="str">
            <v>LD_73_</v>
          </cell>
          <cell r="D204" t="str">
            <v>Rancho Landero No. 73</v>
          </cell>
          <cell r="E204" t="str">
            <v>Islas Palacios</v>
          </cell>
          <cell r="F204">
            <v>300</v>
          </cell>
          <cell r="G204">
            <v>1</v>
          </cell>
          <cell r="H204">
            <v>300</v>
          </cell>
          <cell r="I204">
            <v>41259</v>
          </cell>
          <cell r="J204">
            <v>0</v>
          </cell>
          <cell r="V204">
            <v>300</v>
          </cell>
          <cell r="W204">
            <v>300</v>
          </cell>
          <cell r="AJ204">
            <v>0</v>
          </cell>
          <cell r="AW204">
            <v>0</v>
          </cell>
        </row>
        <row r="205">
          <cell r="B205">
            <v>3879</v>
          </cell>
          <cell r="C205" t="str">
            <v>CL_129_</v>
          </cell>
          <cell r="D205" t="str">
            <v>Rancho La Cuchilla No. 129</v>
          </cell>
          <cell r="E205" t="str">
            <v>Gamboa Rueda</v>
          </cell>
          <cell r="F205">
            <v>200</v>
          </cell>
          <cell r="G205">
            <v>1</v>
          </cell>
          <cell r="H205">
            <v>400</v>
          </cell>
          <cell r="I205">
            <v>41259</v>
          </cell>
          <cell r="J205">
            <v>0</v>
          </cell>
          <cell r="U205">
            <v>200</v>
          </cell>
          <cell r="V205">
            <v>200</v>
          </cell>
          <cell r="W205">
            <v>400</v>
          </cell>
          <cell r="AJ205">
            <v>0</v>
          </cell>
          <cell r="AW205">
            <v>0</v>
          </cell>
        </row>
        <row r="206">
          <cell r="B206">
            <v>3880</v>
          </cell>
          <cell r="C206" t="str">
            <v>CL_53_</v>
          </cell>
          <cell r="D206" t="str">
            <v>Rancho La Cuchilla No. 53</v>
          </cell>
          <cell r="E206" t="str">
            <v>Loyo Ochoa</v>
          </cell>
          <cell r="F206">
            <v>300</v>
          </cell>
          <cell r="G206">
            <v>1</v>
          </cell>
          <cell r="H206">
            <v>300</v>
          </cell>
          <cell r="I206">
            <v>41259</v>
          </cell>
          <cell r="J206">
            <v>0</v>
          </cell>
          <cell r="V206">
            <v>300</v>
          </cell>
          <cell r="W206">
            <v>300</v>
          </cell>
          <cell r="AJ206">
            <v>0</v>
          </cell>
          <cell r="AW206">
            <v>0</v>
          </cell>
        </row>
        <row r="207">
          <cell r="B207">
            <v>3881</v>
          </cell>
          <cell r="C207" t="str">
            <v>CL_49_</v>
          </cell>
          <cell r="D207" t="str">
            <v>Rancho La Cuchilla No. 49</v>
          </cell>
          <cell r="E207" t="str">
            <v>Orozco Castelazo</v>
          </cell>
          <cell r="F207">
            <v>300</v>
          </cell>
          <cell r="G207">
            <v>5</v>
          </cell>
          <cell r="H207">
            <v>20</v>
          </cell>
          <cell r="I207">
            <v>41259</v>
          </cell>
          <cell r="J207" t="str">
            <v>NO SUMA</v>
          </cell>
          <cell r="W207">
            <v>0</v>
          </cell>
          <cell r="AJ207">
            <v>0</v>
          </cell>
          <cell r="AW207">
            <v>0</v>
          </cell>
        </row>
        <row r="208">
          <cell r="B208">
            <v>3882</v>
          </cell>
          <cell r="C208" t="str">
            <v>CL_35_</v>
          </cell>
          <cell r="D208" t="str">
            <v>Rancho La Cuchilla No. 35</v>
          </cell>
          <cell r="E208" t="str">
            <v>Mendoza</v>
          </cell>
          <cell r="F208">
            <v>150</v>
          </cell>
          <cell r="G208">
            <v>1</v>
          </cell>
          <cell r="H208">
            <v>150</v>
          </cell>
          <cell r="I208">
            <v>41259</v>
          </cell>
          <cell r="J208">
            <v>0</v>
          </cell>
          <cell r="V208">
            <v>150</v>
          </cell>
          <cell r="W208">
            <v>150</v>
          </cell>
          <cell r="AJ208">
            <v>0</v>
          </cell>
          <cell r="AW208">
            <v>0</v>
          </cell>
        </row>
        <row r="209">
          <cell r="B209">
            <v>3883</v>
          </cell>
          <cell r="C209" t="str">
            <v>LD_70_</v>
          </cell>
          <cell r="D209" t="str">
            <v>Rancho Landero No. 70</v>
          </cell>
          <cell r="E209" t="str">
            <v>Olguín</v>
          </cell>
          <cell r="F209">
            <v>100</v>
          </cell>
          <cell r="G209">
            <v>1</v>
          </cell>
          <cell r="H209">
            <v>100</v>
          </cell>
          <cell r="I209">
            <v>41259</v>
          </cell>
          <cell r="J209">
            <v>0</v>
          </cell>
          <cell r="V209">
            <v>100</v>
          </cell>
          <cell r="W209">
            <v>100</v>
          </cell>
          <cell r="AJ209">
            <v>0</v>
          </cell>
          <cell r="AW209">
            <v>0</v>
          </cell>
        </row>
        <row r="210">
          <cell r="B210">
            <v>3884</v>
          </cell>
          <cell r="C210" t="str">
            <v>UP_68_</v>
          </cell>
          <cell r="D210" t="str">
            <v>Rancho Upácuaro No. 68</v>
          </cell>
          <cell r="E210" t="str">
            <v>Romero o Lezama</v>
          </cell>
          <cell r="F210">
            <v>300</v>
          </cell>
          <cell r="G210">
            <v>1</v>
          </cell>
          <cell r="H210">
            <v>300</v>
          </cell>
          <cell r="I210">
            <v>41259</v>
          </cell>
          <cell r="J210">
            <v>0</v>
          </cell>
          <cell r="V210">
            <v>300</v>
          </cell>
          <cell r="W210">
            <v>300</v>
          </cell>
          <cell r="AJ210">
            <v>0</v>
          </cell>
          <cell r="AW210">
            <v>0</v>
          </cell>
        </row>
        <row r="211">
          <cell r="B211">
            <v>3885</v>
          </cell>
          <cell r="C211" t="str">
            <v>CL_95_</v>
          </cell>
          <cell r="D211" t="str">
            <v>Rancho La Cuchilla No. 95</v>
          </cell>
          <cell r="E211" t="str">
            <v>Gutiérrez Sánchez</v>
          </cell>
          <cell r="F211">
            <v>300</v>
          </cell>
          <cell r="G211">
            <v>1</v>
          </cell>
          <cell r="H211">
            <v>300</v>
          </cell>
          <cell r="I211">
            <v>41259</v>
          </cell>
          <cell r="J211">
            <v>0</v>
          </cell>
          <cell r="V211">
            <v>300</v>
          </cell>
          <cell r="W211">
            <v>300</v>
          </cell>
          <cell r="AJ211">
            <v>0</v>
          </cell>
          <cell r="AW211">
            <v>0</v>
          </cell>
        </row>
        <row r="212">
          <cell r="B212">
            <v>3886</v>
          </cell>
          <cell r="C212" t="str">
            <v>UP_71_</v>
          </cell>
          <cell r="D212" t="str">
            <v>Rancho Upácuaro No. 71</v>
          </cell>
          <cell r="E212" t="str">
            <v>Trejo Méndez</v>
          </cell>
          <cell r="F212">
            <v>300</v>
          </cell>
          <cell r="G212">
            <v>1</v>
          </cell>
          <cell r="H212">
            <v>300</v>
          </cell>
          <cell r="I212">
            <v>41259</v>
          </cell>
          <cell r="J212">
            <v>0</v>
          </cell>
          <cell r="V212">
            <v>300</v>
          </cell>
          <cell r="W212">
            <v>300</v>
          </cell>
          <cell r="AJ212">
            <v>0</v>
          </cell>
          <cell r="AW212">
            <v>0</v>
          </cell>
        </row>
        <row r="213">
          <cell r="B213">
            <v>3887</v>
          </cell>
          <cell r="C213" t="str">
            <v>LD_14_</v>
          </cell>
          <cell r="D213" t="str">
            <v>Rancho Landero No. 14</v>
          </cell>
          <cell r="E213" t="str">
            <v>Rivera</v>
          </cell>
          <cell r="F213">
            <v>300</v>
          </cell>
          <cell r="G213">
            <v>1</v>
          </cell>
          <cell r="H213">
            <v>1500</v>
          </cell>
          <cell r="I213">
            <v>41259</v>
          </cell>
          <cell r="J213">
            <v>0</v>
          </cell>
          <cell r="R213">
            <v>300</v>
          </cell>
          <cell r="S213">
            <v>300</v>
          </cell>
          <cell r="T213">
            <v>300</v>
          </cell>
          <cell r="U213">
            <v>300</v>
          </cell>
          <cell r="V213">
            <v>300</v>
          </cell>
          <cell r="W213">
            <v>1500</v>
          </cell>
          <cell r="AJ213">
            <v>0</v>
          </cell>
          <cell r="AW213">
            <v>0</v>
          </cell>
        </row>
        <row r="214">
          <cell r="B214">
            <v>3888</v>
          </cell>
          <cell r="C214" t="str">
            <v>EZ_141_</v>
          </cell>
          <cell r="D214" t="str">
            <v>Rancho Estanzuela No. 141</v>
          </cell>
          <cell r="E214" t="str">
            <v>Castillo Toledano</v>
          </cell>
          <cell r="F214">
            <v>300</v>
          </cell>
          <cell r="G214">
            <v>1</v>
          </cell>
          <cell r="H214">
            <v>1200</v>
          </cell>
          <cell r="I214">
            <v>41261</v>
          </cell>
          <cell r="J214">
            <v>0</v>
          </cell>
          <cell r="S214">
            <v>300</v>
          </cell>
          <cell r="T214">
            <v>300</v>
          </cell>
          <cell r="U214">
            <v>300</v>
          </cell>
          <cell r="V214">
            <v>300</v>
          </cell>
          <cell r="W214">
            <v>1200</v>
          </cell>
          <cell r="AJ214">
            <v>0</v>
          </cell>
          <cell r="AW214">
            <v>0</v>
          </cell>
        </row>
        <row r="215">
          <cell r="B215">
            <v>3889</v>
          </cell>
          <cell r="C215" t="str">
            <v>RV_3_</v>
          </cell>
          <cell r="D215" t="str">
            <v>Rancho Recoveco No. 3</v>
          </cell>
          <cell r="E215" t="str">
            <v>Garduño</v>
          </cell>
          <cell r="F215">
            <v>300</v>
          </cell>
          <cell r="G215">
            <v>1</v>
          </cell>
          <cell r="H215">
            <v>300</v>
          </cell>
          <cell r="I215">
            <v>41261</v>
          </cell>
          <cell r="J215">
            <v>0</v>
          </cell>
          <cell r="V215">
            <v>300</v>
          </cell>
          <cell r="W215">
            <v>300</v>
          </cell>
          <cell r="AJ215">
            <v>0</v>
          </cell>
          <cell r="AW215">
            <v>0</v>
          </cell>
        </row>
        <row r="216">
          <cell r="B216">
            <v>3890</v>
          </cell>
          <cell r="C216" t="str">
            <v>LD_12_</v>
          </cell>
          <cell r="D216" t="str">
            <v>Rancho Landero No. 12</v>
          </cell>
          <cell r="E216" t="str">
            <v>Guzmán Silva</v>
          </cell>
          <cell r="F216">
            <v>300</v>
          </cell>
          <cell r="G216">
            <v>1</v>
          </cell>
          <cell r="H216">
            <v>300</v>
          </cell>
          <cell r="I216">
            <v>41262</v>
          </cell>
          <cell r="J216">
            <v>0</v>
          </cell>
          <cell r="V216">
            <v>300</v>
          </cell>
          <cell r="W216">
            <v>300</v>
          </cell>
          <cell r="AJ216">
            <v>0</v>
          </cell>
          <cell r="AW216">
            <v>0</v>
          </cell>
        </row>
        <row r="217">
          <cell r="B217">
            <v>3891</v>
          </cell>
          <cell r="C217" t="str">
            <v>UP_42_</v>
          </cell>
          <cell r="D217" t="str">
            <v>Rancho Upácuaro No. 42</v>
          </cell>
          <cell r="E217" t="str">
            <v>García Ramírez</v>
          </cell>
          <cell r="F217">
            <v>300</v>
          </cell>
          <cell r="G217">
            <v>1</v>
          </cell>
          <cell r="H217">
            <v>300</v>
          </cell>
          <cell r="I217">
            <v>41262</v>
          </cell>
          <cell r="J217">
            <v>0</v>
          </cell>
          <cell r="V217">
            <v>300</v>
          </cell>
          <cell r="W217">
            <v>300</v>
          </cell>
          <cell r="AJ217">
            <v>0</v>
          </cell>
          <cell r="AW217">
            <v>0</v>
          </cell>
        </row>
        <row r="218">
          <cell r="B218">
            <v>3892</v>
          </cell>
          <cell r="C218" t="str">
            <v>UP_10_</v>
          </cell>
          <cell r="D218" t="str">
            <v>Rancho Upácuaro No. 10</v>
          </cell>
          <cell r="E218" t="str">
            <v>Fernández García</v>
          </cell>
          <cell r="F218">
            <v>300</v>
          </cell>
          <cell r="G218">
            <v>1</v>
          </cell>
          <cell r="H218">
            <v>300</v>
          </cell>
          <cell r="I218">
            <v>41262</v>
          </cell>
          <cell r="J218">
            <v>0</v>
          </cell>
          <cell r="V218">
            <v>300</v>
          </cell>
          <cell r="W218">
            <v>300</v>
          </cell>
          <cell r="AJ218">
            <v>0</v>
          </cell>
          <cell r="AW218">
            <v>0</v>
          </cell>
        </row>
        <row r="219">
          <cell r="B219">
            <v>3893</v>
          </cell>
          <cell r="C219" t="str">
            <v>CL_32_</v>
          </cell>
          <cell r="D219" t="str">
            <v>Rancho La Cuchilla No. 32</v>
          </cell>
          <cell r="E219" t="str">
            <v>Hernández</v>
          </cell>
          <cell r="F219">
            <v>300</v>
          </cell>
          <cell r="G219">
            <v>1</v>
          </cell>
          <cell r="H219">
            <v>600</v>
          </cell>
          <cell r="I219">
            <v>41263</v>
          </cell>
          <cell r="J219">
            <v>0</v>
          </cell>
          <cell r="S219">
            <v>300</v>
          </cell>
          <cell r="T219">
            <v>300</v>
          </cell>
          <cell r="W219">
            <v>600</v>
          </cell>
          <cell r="AJ219">
            <v>0</v>
          </cell>
          <cell r="AW219">
            <v>0</v>
          </cell>
        </row>
        <row r="220">
          <cell r="B220">
            <v>3894</v>
          </cell>
          <cell r="C220" t="str">
            <v>EZ_100_</v>
          </cell>
          <cell r="D220" t="str">
            <v>Rancho Estanzuela No. 100</v>
          </cell>
          <cell r="E220" t="str">
            <v>Arias Monter</v>
          </cell>
          <cell r="F220">
            <v>300</v>
          </cell>
          <cell r="G220">
            <v>2</v>
          </cell>
          <cell r="H220">
            <v>300</v>
          </cell>
          <cell r="I220">
            <v>41264</v>
          </cell>
          <cell r="J220" t="str">
            <v>NO SUMA</v>
          </cell>
          <cell r="W220">
            <v>0</v>
          </cell>
          <cell r="AJ220">
            <v>0</v>
          </cell>
          <cell r="AW220">
            <v>0</v>
          </cell>
        </row>
        <row r="221">
          <cell r="B221">
            <v>3895</v>
          </cell>
          <cell r="C221" t="str">
            <v>EZ_130_B</v>
          </cell>
          <cell r="D221" t="str">
            <v>Rancho Estanzuela No. 130, B</v>
          </cell>
          <cell r="E221" t="str">
            <v>Morales</v>
          </cell>
          <cell r="F221">
            <v>300</v>
          </cell>
          <cell r="G221">
            <v>7</v>
          </cell>
          <cell r="H221">
            <v>1000</v>
          </cell>
          <cell r="I221">
            <v>41264</v>
          </cell>
          <cell r="J221" t="str">
            <v>NO SUMA</v>
          </cell>
          <cell r="W221">
            <v>0</v>
          </cell>
          <cell r="AJ221">
            <v>0</v>
          </cell>
          <cell r="AW221">
            <v>0</v>
          </cell>
        </row>
        <row r="222">
          <cell r="B222">
            <v>3896</v>
          </cell>
          <cell r="C222" t="str">
            <v>UP_88_</v>
          </cell>
          <cell r="D222" t="str">
            <v>Rancho Upácuaro No. 88</v>
          </cell>
          <cell r="E222" t="str">
            <v>Millán Núñez</v>
          </cell>
          <cell r="F222">
            <v>300</v>
          </cell>
          <cell r="G222">
            <v>1</v>
          </cell>
          <cell r="H222">
            <v>300</v>
          </cell>
          <cell r="I222">
            <v>41265</v>
          </cell>
          <cell r="J222">
            <v>0</v>
          </cell>
          <cell r="V222">
            <v>300</v>
          </cell>
          <cell r="W222">
            <v>300</v>
          </cell>
          <cell r="AJ222">
            <v>0</v>
          </cell>
          <cell r="AW222">
            <v>0</v>
          </cell>
        </row>
        <row r="223">
          <cell r="B223">
            <v>3897</v>
          </cell>
          <cell r="C223" t="str">
            <v>CT_1770</v>
          </cell>
          <cell r="G223">
            <v>1</v>
          </cell>
          <cell r="H223">
            <v>300</v>
          </cell>
          <cell r="I223">
            <v>41266</v>
          </cell>
          <cell r="J223">
            <v>-300</v>
          </cell>
          <cell r="W223">
            <v>0</v>
          </cell>
          <cell r="AJ223">
            <v>0</v>
          </cell>
          <cell r="AW223">
            <v>0</v>
          </cell>
        </row>
        <row r="224">
          <cell r="B224">
            <v>3898</v>
          </cell>
          <cell r="C224" t="str">
            <v>CL_82_</v>
          </cell>
          <cell r="D224" t="str">
            <v>Rancho La Cuchilla No. 82</v>
          </cell>
          <cell r="E224" t="str">
            <v>Cruz</v>
          </cell>
          <cell r="F224">
            <v>300</v>
          </cell>
          <cell r="G224">
            <v>1</v>
          </cell>
          <cell r="H224">
            <v>600</v>
          </cell>
          <cell r="I224">
            <v>41266</v>
          </cell>
          <cell r="J224">
            <v>0</v>
          </cell>
          <cell r="U224">
            <v>300</v>
          </cell>
          <cell r="V224">
            <v>300</v>
          </cell>
          <cell r="W224">
            <v>600</v>
          </cell>
          <cell r="AJ224">
            <v>0</v>
          </cell>
          <cell r="AW224">
            <v>0</v>
          </cell>
        </row>
        <row r="225">
          <cell r="B225">
            <v>3898</v>
          </cell>
          <cell r="C225" t="str">
            <v>CL_82_</v>
          </cell>
          <cell r="D225" t="str">
            <v>Rancho La Cuchilla No. 82</v>
          </cell>
          <cell r="E225" t="str">
            <v>Cruz</v>
          </cell>
          <cell r="F225">
            <v>300</v>
          </cell>
          <cell r="G225">
            <v>2</v>
          </cell>
          <cell r="H225">
            <v>300</v>
          </cell>
          <cell r="I225">
            <v>41266</v>
          </cell>
          <cell r="J225" t="str">
            <v>NO SUMA</v>
          </cell>
          <cell r="W225">
            <v>0</v>
          </cell>
          <cell r="AJ225">
            <v>0</v>
          </cell>
          <cell r="AW225">
            <v>0</v>
          </cell>
        </row>
        <row r="226">
          <cell r="B226">
            <v>3899</v>
          </cell>
          <cell r="C226" t="str">
            <v>EZ_119_1</v>
          </cell>
          <cell r="D226" t="str">
            <v>Rancho Estanzuela No. 119</v>
          </cell>
          <cell r="E226" t="str">
            <v>López Tovar</v>
          </cell>
          <cell r="F226">
            <v>250</v>
          </cell>
          <cell r="G226">
            <v>1</v>
          </cell>
          <cell r="H226">
            <v>500</v>
          </cell>
          <cell r="I226">
            <v>41266</v>
          </cell>
          <cell r="J226">
            <v>0</v>
          </cell>
          <cell r="T226">
            <v>250</v>
          </cell>
          <cell r="U226">
            <v>250</v>
          </cell>
          <cell r="W226">
            <v>500</v>
          </cell>
          <cell r="AJ226">
            <v>0</v>
          </cell>
          <cell r="AW226">
            <v>0</v>
          </cell>
        </row>
        <row r="227">
          <cell r="B227">
            <v>3900</v>
          </cell>
          <cell r="C227" t="str">
            <v>RM_9_B</v>
          </cell>
          <cell r="D227" t="str">
            <v>Rancho Romeral No. 9, B</v>
          </cell>
          <cell r="E227" t="str">
            <v>Morales Macías</v>
          </cell>
          <cell r="F227">
            <v>100</v>
          </cell>
          <cell r="G227">
            <v>1</v>
          </cell>
          <cell r="H227">
            <v>100</v>
          </cell>
          <cell r="I227">
            <v>41266</v>
          </cell>
          <cell r="J227">
            <v>0</v>
          </cell>
          <cell r="V227">
            <v>100</v>
          </cell>
          <cell r="W227">
            <v>100</v>
          </cell>
          <cell r="AJ227">
            <v>0</v>
          </cell>
          <cell r="AW227">
            <v>0</v>
          </cell>
        </row>
        <row r="228">
          <cell r="B228">
            <v>3901</v>
          </cell>
          <cell r="C228" t="str">
            <v>ZB_24_</v>
          </cell>
          <cell r="D228" t="str">
            <v>Rancho Zinamba No. 24</v>
          </cell>
          <cell r="E228" t="str">
            <v>Monroy García</v>
          </cell>
          <cell r="F228">
            <v>300</v>
          </cell>
          <cell r="G228">
            <v>1</v>
          </cell>
          <cell r="H228">
            <v>300</v>
          </cell>
          <cell r="I228">
            <v>41266</v>
          </cell>
          <cell r="J228">
            <v>0</v>
          </cell>
          <cell r="V228">
            <v>300</v>
          </cell>
          <cell r="W228">
            <v>300</v>
          </cell>
          <cell r="AJ228">
            <v>0</v>
          </cell>
          <cell r="AW228">
            <v>0</v>
          </cell>
        </row>
        <row r="229">
          <cell r="B229">
            <v>3902</v>
          </cell>
          <cell r="C229" t="str">
            <v>UP_14_</v>
          </cell>
          <cell r="D229" t="str">
            <v>Rancho Upácuaro No. 14</v>
          </cell>
          <cell r="E229" t="str">
            <v>Guerrero</v>
          </cell>
          <cell r="F229">
            <v>300</v>
          </cell>
          <cell r="G229">
            <v>1</v>
          </cell>
          <cell r="H229">
            <v>300</v>
          </cell>
          <cell r="I229">
            <v>41266</v>
          </cell>
          <cell r="J229">
            <v>0</v>
          </cell>
          <cell r="U229">
            <v>300</v>
          </cell>
          <cell r="W229">
            <v>300</v>
          </cell>
          <cell r="AJ229">
            <v>0</v>
          </cell>
          <cell r="AW229">
            <v>0</v>
          </cell>
        </row>
        <row r="230">
          <cell r="B230">
            <v>3903</v>
          </cell>
          <cell r="C230" t="str">
            <v>EP_22_A</v>
          </cell>
          <cell r="D230" t="str">
            <v>Rancho Estopila No. 22, A</v>
          </cell>
          <cell r="E230" t="str">
            <v>Ayala Carranza</v>
          </cell>
          <cell r="F230">
            <v>150</v>
          </cell>
          <cell r="G230">
            <v>1</v>
          </cell>
          <cell r="H230">
            <v>150</v>
          </cell>
          <cell r="I230">
            <v>41266</v>
          </cell>
          <cell r="J230">
            <v>0</v>
          </cell>
          <cell r="V230">
            <v>150</v>
          </cell>
          <cell r="W230">
            <v>150</v>
          </cell>
          <cell r="AJ230">
            <v>0</v>
          </cell>
          <cell r="AW230">
            <v>0</v>
          </cell>
        </row>
        <row r="231">
          <cell r="B231">
            <v>3904</v>
          </cell>
          <cell r="C231" t="str">
            <v>LD_34_</v>
          </cell>
          <cell r="D231" t="str">
            <v>Rancho Landero No. 34</v>
          </cell>
          <cell r="E231" t="str">
            <v>Barro</v>
          </cell>
          <cell r="F231">
            <v>300</v>
          </cell>
          <cell r="G231">
            <v>1</v>
          </cell>
          <cell r="H231">
            <v>900</v>
          </cell>
          <cell r="I231">
            <v>41266</v>
          </cell>
          <cell r="J231">
            <v>0</v>
          </cell>
          <cell r="T231">
            <v>300</v>
          </cell>
          <cell r="U231">
            <v>300</v>
          </cell>
          <cell r="V231">
            <v>300</v>
          </cell>
          <cell r="W231">
            <v>900</v>
          </cell>
          <cell r="AJ231">
            <v>0</v>
          </cell>
          <cell r="AW231">
            <v>0</v>
          </cell>
        </row>
        <row r="232">
          <cell r="B232">
            <v>3905</v>
          </cell>
          <cell r="C232" t="str">
            <v>EZ_75_</v>
          </cell>
          <cell r="D232" t="str">
            <v>Rancho Estanzuela No. 75</v>
          </cell>
          <cell r="E232" t="str">
            <v>Candela Pons</v>
          </cell>
          <cell r="F232">
            <v>150</v>
          </cell>
          <cell r="G232">
            <v>1</v>
          </cell>
          <cell r="H232">
            <v>450</v>
          </cell>
          <cell r="I232">
            <v>41266</v>
          </cell>
          <cell r="J232">
            <v>0</v>
          </cell>
          <cell r="T232">
            <v>150</v>
          </cell>
          <cell r="U232">
            <v>150</v>
          </cell>
          <cell r="V232">
            <v>150</v>
          </cell>
          <cell r="W232">
            <v>450</v>
          </cell>
          <cell r="AJ232">
            <v>0</v>
          </cell>
          <cell r="AW232">
            <v>0</v>
          </cell>
        </row>
        <row r="233">
          <cell r="B233">
            <v>3905</v>
          </cell>
          <cell r="C233" t="str">
            <v>EZ_75_</v>
          </cell>
          <cell r="D233" t="str">
            <v>Rancho Estanzuela No. 75</v>
          </cell>
          <cell r="E233" t="str">
            <v>Candela Pons</v>
          </cell>
          <cell r="F233">
            <v>300</v>
          </cell>
          <cell r="G233">
            <v>2</v>
          </cell>
          <cell r="H233">
            <v>300</v>
          </cell>
          <cell r="I233">
            <v>41266</v>
          </cell>
          <cell r="J233" t="str">
            <v>NO SUMA</v>
          </cell>
          <cell r="W233">
            <v>0</v>
          </cell>
          <cell r="AJ233">
            <v>0</v>
          </cell>
          <cell r="AW233">
            <v>0</v>
          </cell>
        </row>
        <row r="234">
          <cell r="B234">
            <v>3906</v>
          </cell>
          <cell r="C234" t="str">
            <v>EZ_63_</v>
          </cell>
          <cell r="D234" t="str">
            <v>Rancho Estanzuela No. 63</v>
          </cell>
          <cell r="E234" t="str">
            <v>Mendoza Q.</v>
          </cell>
          <cell r="F234">
            <v>300</v>
          </cell>
          <cell r="G234">
            <v>1</v>
          </cell>
          <cell r="H234">
            <v>600</v>
          </cell>
          <cell r="I234">
            <v>41266</v>
          </cell>
          <cell r="J234">
            <v>0</v>
          </cell>
          <cell r="R234">
            <v>300</v>
          </cell>
          <cell r="S234">
            <v>300</v>
          </cell>
          <cell r="W234">
            <v>600</v>
          </cell>
          <cell r="AJ234">
            <v>0</v>
          </cell>
          <cell r="AW234">
            <v>0</v>
          </cell>
        </row>
        <row r="235">
          <cell r="B235">
            <v>3907</v>
          </cell>
          <cell r="C235" t="str">
            <v>LD_37_</v>
          </cell>
          <cell r="D235" t="str">
            <v>Rancho Landero No. 37</v>
          </cell>
          <cell r="E235" t="str">
            <v>Hernández</v>
          </cell>
          <cell r="F235">
            <v>300</v>
          </cell>
          <cell r="G235">
            <v>1</v>
          </cell>
          <cell r="H235">
            <v>600</v>
          </cell>
          <cell r="I235">
            <v>41266</v>
          </cell>
          <cell r="J235">
            <v>0</v>
          </cell>
          <cell r="U235">
            <v>300</v>
          </cell>
          <cell r="V235">
            <v>300</v>
          </cell>
          <cell r="W235">
            <v>600</v>
          </cell>
          <cell r="AJ235">
            <v>0</v>
          </cell>
          <cell r="AW235">
            <v>0</v>
          </cell>
        </row>
        <row r="236">
          <cell r="B236">
            <v>3908</v>
          </cell>
          <cell r="C236" t="str">
            <v>RM_17_</v>
          </cell>
          <cell r="D236" t="str">
            <v>Rancho Romeral No. 17</v>
          </cell>
          <cell r="E236" t="str">
            <v>Aguilar Lomelí</v>
          </cell>
          <cell r="F236">
            <v>300</v>
          </cell>
          <cell r="G236">
            <v>1</v>
          </cell>
          <cell r="H236">
            <v>900</v>
          </cell>
          <cell r="I236">
            <v>41266</v>
          </cell>
          <cell r="J236">
            <v>0</v>
          </cell>
          <cell r="T236">
            <v>300</v>
          </cell>
          <cell r="U236">
            <v>300</v>
          </cell>
          <cell r="V236">
            <v>300</v>
          </cell>
          <cell r="W236">
            <v>900</v>
          </cell>
          <cell r="AJ236">
            <v>0</v>
          </cell>
          <cell r="AW236">
            <v>0</v>
          </cell>
        </row>
        <row r="237">
          <cell r="B237">
            <v>3909</v>
          </cell>
          <cell r="C237" t="str">
            <v>CL_148_</v>
          </cell>
          <cell r="D237" t="str">
            <v>Rancho La Cuchilla No. 148</v>
          </cell>
          <cell r="E237" t="str">
            <v>Vázquez Vázquez</v>
          </cell>
          <cell r="F237">
            <v>300</v>
          </cell>
          <cell r="G237">
            <v>1</v>
          </cell>
          <cell r="H237">
            <v>300</v>
          </cell>
          <cell r="I237">
            <v>41266</v>
          </cell>
          <cell r="J237">
            <v>0</v>
          </cell>
          <cell r="V237">
            <v>300</v>
          </cell>
          <cell r="W237">
            <v>300</v>
          </cell>
          <cell r="AJ237">
            <v>0</v>
          </cell>
          <cell r="AW237">
            <v>0</v>
          </cell>
        </row>
        <row r="238">
          <cell r="B238">
            <v>3910</v>
          </cell>
          <cell r="C238" t="str">
            <v>LD_25_</v>
          </cell>
          <cell r="D238" t="str">
            <v>Rancho Landero No. 25</v>
          </cell>
          <cell r="E238" t="str">
            <v>Escamilla Martínez</v>
          </cell>
          <cell r="F238">
            <v>300</v>
          </cell>
          <cell r="G238">
            <v>1</v>
          </cell>
          <cell r="H238">
            <v>300</v>
          </cell>
          <cell r="I238">
            <v>41266</v>
          </cell>
          <cell r="J238">
            <v>0</v>
          </cell>
          <cell r="V238">
            <v>300</v>
          </cell>
          <cell r="W238">
            <v>300</v>
          </cell>
          <cell r="AJ238">
            <v>0</v>
          </cell>
          <cell r="AW238">
            <v>0</v>
          </cell>
        </row>
        <row r="239">
          <cell r="B239">
            <v>3911</v>
          </cell>
          <cell r="C239" t="str">
            <v>UP_80_</v>
          </cell>
          <cell r="D239" t="str">
            <v>Rancho Upácuaro No. 80</v>
          </cell>
          <cell r="E239" t="str">
            <v>De los Ríos</v>
          </cell>
          <cell r="F239">
            <v>300</v>
          </cell>
          <cell r="G239">
            <v>1</v>
          </cell>
          <cell r="H239">
            <v>600</v>
          </cell>
          <cell r="I239">
            <v>41266</v>
          </cell>
          <cell r="J239">
            <v>0</v>
          </cell>
          <cell r="V239">
            <v>300</v>
          </cell>
          <cell r="W239">
            <v>300</v>
          </cell>
          <cell r="X239">
            <v>300</v>
          </cell>
          <cell r="AJ239">
            <v>300</v>
          </cell>
          <cell r="AW239">
            <v>0</v>
          </cell>
        </row>
        <row r="240">
          <cell r="B240">
            <v>3911</v>
          </cell>
          <cell r="C240" t="str">
            <v>UP_80_</v>
          </cell>
          <cell r="D240" t="str">
            <v>Rancho Upácuaro No. 80</v>
          </cell>
          <cell r="E240" t="str">
            <v>De los Ríos</v>
          </cell>
          <cell r="F240">
            <v>300</v>
          </cell>
          <cell r="G240">
            <v>5</v>
          </cell>
          <cell r="H240">
            <v>20</v>
          </cell>
          <cell r="I240">
            <v>41266</v>
          </cell>
          <cell r="J240" t="str">
            <v>NO SUMA</v>
          </cell>
          <cell r="W240">
            <v>0</v>
          </cell>
          <cell r="AJ240">
            <v>0</v>
          </cell>
          <cell r="AW240">
            <v>0</v>
          </cell>
        </row>
        <row r="241">
          <cell r="B241">
            <v>3912</v>
          </cell>
          <cell r="C241" t="str">
            <v>EZ_11_A</v>
          </cell>
          <cell r="D241" t="str">
            <v>Rancho Estanzuela No. 11, A</v>
          </cell>
          <cell r="E241" t="str">
            <v>Evans González</v>
          </cell>
          <cell r="F241">
            <v>300</v>
          </cell>
          <cell r="G241">
            <v>1</v>
          </cell>
          <cell r="H241">
            <v>300</v>
          </cell>
          <cell r="I241">
            <v>41266</v>
          </cell>
          <cell r="J241">
            <v>0</v>
          </cell>
          <cell r="V241">
            <v>300</v>
          </cell>
          <cell r="W241">
            <v>300</v>
          </cell>
          <cell r="AJ241">
            <v>0</v>
          </cell>
          <cell r="AW241">
            <v>0</v>
          </cell>
        </row>
        <row r="242">
          <cell r="B242">
            <v>3913</v>
          </cell>
          <cell r="C242" t="str">
            <v>EZ_11_A</v>
          </cell>
          <cell r="D242" t="str">
            <v>Rancho Estanzuela No. 11, A</v>
          </cell>
          <cell r="E242" t="str">
            <v>Evans González</v>
          </cell>
          <cell r="F242">
            <v>300</v>
          </cell>
          <cell r="G242">
            <v>2</v>
          </cell>
          <cell r="H242">
            <v>300</v>
          </cell>
          <cell r="I242">
            <v>41266</v>
          </cell>
          <cell r="J242" t="str">
            <v>NO SUMA</v>
          </cell>
          <cell r="W242">
            <v>0</v>
          </cell>
          <cell r="AJ242">
            <v>0</v>
          </cell>
          <cell r="AW242">
            <v>0</v>
          </cell>
        </row>
        <row r="243">
          <cell r="B243">
            <v>3914</v>
          </cell>
          <cell r="C243" t="str">
            <v>EZ_101_</v>
          </cell>
          <cell r="D243" t="str">
            <v>Rancho Estanzuela No. 101</v>
          </cell>
          <cell r="E243" t="str">
            <v>Calderón Celis</v>
          </cell>
          <cell r="F243">
            <v>300</v>
          </cell>
          <cell r="G243">
            <v>1</v>
          </cell>
          <cell r="H243">
            <v>300</v>
          </cell>
          <cell r="I243">
            <v>41266</v>
          </cell>
          <cell r="J243">
            <v>0</v>
          </cell>
          <cell r="V243">
            <v>300</v>
          </cell>
          <cell r="W243">
            <v>300</v>
          </cell>
          <cell r="AJ243">
            <v>0</v>
          </cell>
          <cell r="AW243">
            <v>0</v>
          </cell>
        </row>
        <row r="244">
          <cell r="B244">
            <v>3915</v>
          </cell>
          <cell r="C244" t="str">
            <v>CL_139_</v>
          </cell>
          <cell r="D244" t="str">
            <v>Rancho La Cuchilla No. 139</v>
          </cell>
          <cell r="E244" t="str">
            <v>Gloria García</v>
          </cell>
          <cell r="F244">
            <v>200</v>
          </cell>
          <cell r="G244">
            <v>5</v>
          </cell>
          <cell r="H244">
            <v>20</v>
          </cell>
          <cell r="I244">
            <v>41266</v>
          </cell>
          <cell r="J244" t="str">
            <v>NO SUMA</v>
          </cell>
          <cell r="W244">
            <v>0</v>
          </cell>
          <cell r="AJ244">
            <v>0</v>
          </cell>
          <cell r="AW244">
            <v>0</v>
          </cell>
        </row>
        <row r="245">
          <cell r="B245">
            <v>3916</v>
          </cell>
          <cell r="C245" t="str">
            <v>UP_96_</v>
          </cell>
          <cell r="D245" t="str">
            <v>Rancho Upácuaro No. 96</v>
          </cell>
          <cell r="E245" t="str">
            <v>Daza Gutiérrez</v>
          </cell>
          <cell r="F245">
            <v>300</v>
          </cell>
          <cell r="G245">
            <v>1</v>
          </cell>
          <cell r="H245">
            <v>1200</v>
          </cell>
          <cell r="I245">
            <v>41266</v>
          </cell>
          <cell r="J245">
            <v>0</v>
          </cell>
          <cell r="S245">
            <v>300</v>
          </cell>
          <cell r="T245">
            <v>300</v>
          </cell>
          <cell r="U245">
            <v>300</v>
          </cell>
          <cell r="V245">
            <v>300</v>
          </cell>
          <cell r="W245">
            <v>1200</v>
          </cell>
          <cell r="AJ245">
            <v>0</v>
          </cell>
          <cell r="AW245">
            <v>0</v>
          </cell>
        </row>
        <row r="246">
          <cell r="B246">
            <v>3916</v>
          </cell>
          <cell r="C246" t="str">
            <v>UP_96_</v>
          </cell>
          <cell r="D246" t="str">
            <v>Rancho Upácuaro No. 96</v>
          </cell>
          <cell r="E246" t="str">
            <v>Daza Gutiérrez</v>
          </cell>
          <cell r="F246">
            <v>300</v>
          </cell>
          <cell r="G246">
            <v>2</v>
          </cell>
          <cell r="H246">
            <v>300</v>
          </cell>
          <cell r="I246">
            <v>41266</v>
          </cell>
          <cell r="J246" t="str">
            <v>NO SUMA</v>
          </cell>
          <cell r="W246">
            <v>0</v>
          </cell>
          <cell r="AJ246">
            <v>0</v>
          </cell>
          <cell r="AW246">
            <v>0</v>
          </cell>
        </row>
        <row r="247">
          <cell r="B247">
            <v>3917</v>
          </cell>
          <cell r="C247" t="str">
            <v>LD_95_</v>
          </cell>
          <cell r="D247" t="str">
            <v>Rancho Landero No. 95</v>
          </cell>
          <cell r="E247" t="str">
            <v>Rivas Rangel</v>
          </cell>
          <cell r="F247">
            <v>300</v>
          </cell>
          <cell r="G247">
            <v>5</v>
          </cell>
          <cell r="H247">
            <v>20</v>
          </cell>
          <cell r="I247">
            <v>41266</v>
          </cell>
          <cell r="J247" t="str">
            <v>NO SUMA</v>
          </cell>
          <cell r="W247">
            <v>0</v>
          </cell>
          <cell r="AJ247">
            <v>0</v>
          </cell>
          <cell r="AW247">
            <v>0</v>
          </cell>
        </row>
        <row r="248">
          <cell r="B248">
            <v>3918</v>
          </cell>
          <cell r="C248" t="str">
            <v>CL_68_</v>
          </cell>
          <cell r="D248" t="str">
            <v>Rancho La Cuchilla No. 68</v>
          </cell>
          <cell r="E248" t="str">
            <v>Montesinos</v>
          </cell>
          <cell r="F248">
            <v>300</v>
          </cell>
          <cell r="G248">
            <v>1</v>
          </cell>
          <cell r="H248">
            <v>600</v>
          </cell>
          <cell r="I248">
            <v>41266</v>
          </cell>
          <cell r="J248">
            <v>0</v>
          </cell>
          <cell r="U248">
            <v>300</v>
          </cell>
          <cell r="V248">
            <v>300</v>
          </cell>
          <cell r="W248">
            <v>600</v>
          </cell>
          <cell r="AJ248">
            <v>0</v>
          </cell>
          <cell r="AW248">
            <v>0</v>
          </cell>
        </row>
        <row r="249">
          <cell r="B249">
            <v>3919</v>
          </cell>
          <cell r="C249" t="str">
            <v>UP_73_B</v>
          </cell>
          <cell r="D249" t="str">
            <v>Rancho Upácuaro No. 73, B</v>
          </cell>
          <cell r="E249" t="str">
            <v>Chávez</v>
          </cell>
          <cell r="F249">
            <v>200</v>
          </cell>
          <cell r="G249">
            <v>1</v>
          </cell>
          <cell r="H249">
            <v>800</v>
          </cell>
          <cell r="I249">
            <v>41270</v>
          </cell>
          <cell r="J249">
            <v>0</v>
          </cell>
          <cell r="S249">
            <v>200</v>
          </cell>
          <cell r="T249">
            <v>200</v>
          </cell>
          <cell r="U249">
            <v>200</v>
          </cell>
          <cell r="V249">
            <v>200</v>
          </cell>
          <cell r="W249">
            <v>800</v>
          </cell>
          <cell r="AJ249">
            <v>0</v>
          </cell>
          <cell r="AW249">
            <v>0</v>
          </cell>
        </row>
        <row r="250">
          <cell r="B250">
            <v>3920</v>
          </cell>
          <cell r="C250" t="str">
            <v>CL_45_</v>
          </cell>
          <cell r="D250" t="str">
            <v>Rancho La Cuchilla No. 45</v>
          </cell>
          <cell r="E250" t="str">
            <v>Estévez Hernández</v>
          </cell>
          <cell r="F250">
            <v>300</v>
          </cell>
          <cell r="G250">
            <v>1</v>
          </cell>
          <cell r="H250">
            <v>600</v>
          </cell>
          <cell r="I250">
            <v>41272</v>
          </cell>
          <cell r="J250">
            <v>0</v>
          </cell>
          <cell r="U250">
            <v>300</v>
          </cell>
          <cell r="V250">
            <v>300</v>
          </cell>
          <cell r="W250">
            <v>600</v>
          </cell>
          <cell r="AJ250">
            <v>0</v>
          </cell>
          <cell r="AW250">
            <v>0</v>
          </cell>
        </row>
        <row r="251">
          <cell r="B251">
            <v>3921</v>
          </cell>
          <cell r="C251" t="str">
            <v>CL_32_</v>
          </cell>
          <cell r="D251" t="str">
            <v>Rancho La Cuchilla No. 32</v>
          </cell>
          <cell r="E251" t="str">
            <v>Hernández</v>
          </cell>
          <cell r="F251">
            <v>300</v>
          </cell>
          <cell r="G251">
            <v>1</v>
          </cell>
          <cell r="H251">
            <v>600</v>
          </cell>
          <cell r="I251">
            <v>41273</v>
          </cell>
          <cell r="J251">
            <v>0</v>
          </cell>
          <cell r="U251">
            <v>300</v>
          </cell>
          <cell r="V251">
            <v>300</v>
          </cell>
          <cell r="W251">
            <v>600</v>
          </cell>
          <cell r="AJ251">
            <v>0</v>
          </cell>
          <cell r="AW251">
            <v>0</v>
          </cell>
        </row>
        <row r="252">
          <cell r="B252">
            <v>3922</v>
          </cell>
          <cell r="C252" t="str">
            <v>ZB_8_</v>
          </cell>
          <cell r="D252" t="str">
            <v>Rancho Zinamba No. 8</v>
          </cell>
          <cell r="E252" t="str">
            <v>Florido</v>
          </cell>
          <cell r="F252">
            <v>300</v>
          </cell>
          <cell r="G252">
            <v>1</v>
          </cell>
          <cell r="H252">
            <v>300</v>
          </cell>
          <cell r="I252">
            <v>41273</v>
          </cell>
          <cell r="J252">
            <v>0</v>
          </cell>
          <cell r="W252">
            <v>0</v>
          </cell>
          <cell r="X252">
            <v>300</v>
          </cell>
          <cell r="AJ252">
            <v>300</v>
          </cell>
          <cell r="AW252">
            <v>0</v>
          </cell>
        </row>
        <row r="253">
          <cell r="B253">
            <v>3923</v>
          </cell>
          <cell r="C253" t="str">
            <v>EZ_95_</v>
          </cell>
          <cell r="D253" t="str">
            <v>Rancho Estanzuela No. 95</v>
          </cell>
          <cell r="E253" t="str">
            <v>Castro Puente</v>
          </cell>
          <cell r="F253">
            <v>300</v>
          </cell>
          <cell r="G253">
            <v>1</v>
          </cell>
          <cell r="H253">
            <v>300</v>
          </cell>
          <cell r="I253">
            <v>41273</v>
          </cell>
          <cell r="J253">
            <v>0</v>
          </cell>
          <cell r="V253">
            <v>300</v>
          </cell>
          <cell r="W253">
            <v>300</v>
          </cell>
          <cell r="AJ253">
            <v>0</v>
          </cell>
          <cell r="AW253">
            <v>0</v>
          </cell>
        </row>
        <row r="254">
          <cell r="B254">
            <v>3924</v>
          </cell>
          <cell r="C254" t="str">
            <v>UP_138_</v>
          </cell>
          <cell r="D254" t="str">
            <v>Rancho Upácuaro No. 138</v>
          </cell>
          <cell r="E254" t="str">
            <v>Ramírez Valencia</v>
          </cell>
          <cell r="F254">
            <v>300</v>
          </cell>
          <cell r="G254">
            <v>5</v>
          </cell>
          <cell r="H254">
            <v>20</v>
          </cell>
          <cell r="I254">
            <v>41273</v>
          </cell>
          <cell r="J254" t="str">
            <v>NO SUMA</v>
          </cell>
          <cell r="W254">
            <v>0</v>
          </cell>
          <cell r="AJ254">
            <v>0</v>
          </cell>
          <cell r="AW254">
            <v>0</v>
          </cell>
        </row>
        <row r="255">
          <cell r="B255">
            <v>3925</v>
          </cell>
          <cell r="C255" t="str">
            <v>LD_2_A</v>
          </cell>
          <cell r="D255" t="str">
            <v>Rancho Landero No. 2, A</v>
          </cell>
          <cell r="E255" t="str">
            <v>Zepeda</v>
          </cell>
          <cell r="F255">
            <v>150</v>
          </cell>
          <cell r="G255">
            <v>1</v>
          </cell>
          <cell r="H255">
            <v>150</v>
          </cell>
          <cell r="I255">
            <v>41273</v>
          </cell>
          <cell r="J255">
            <v>0</v>
          </cell>
          <cell r="W255">
            <v>0</v>
          </cell>
          <cell r="X255">
            <v>150</v>
          </cell>
          <cell r="AJ255">
            <v>150</v>
          </cell>
          <cell r="AW255">
            <v>0</v>
          </cell>
        </row>
        <row r="256">
          <cell r="B256">
            <v>3925</v>
          </cell>
          <cell r="C256" t="str">
            <v>LD_2_A</v>
          </cell>
          <cell r="D256" t="str">
            <v>Rancho Landero No. 2, A</v>
          </cell>
          <cell r="E256" t="str">
            <v>Zepeda</v>
          </cell>
          <cell r="F256">
            <v>150</v>
          </cell>
          <cell r="G256">
            <v>5</v>
          </cell>
          <cell r="H256">
            <v>20</v>
          </cell>
          <cell r="I256">
            <v>41273</v>
          </cell>
          <cell r="J256" t="str">
            <v>NO SUMA</v>
          </cell>
          <cell r="W256">
            <v>0</v>
          </cell>
          <cell r="AJ256">
            <v>0</v>
          </cell>
          <cell r="AW256">
            <v>0</v>
          </cell>
        </row>
        <row r="257">
          <cell r="B257">
            <v>3926</v>
          </cell>
          <cell r="C257" t="str">
            <v>LD_8_</v>
          </cell>
          <cell r="D257" t="str">
            <v>Rancho Landero No. 8</v>
          </cell>
          <cell r="E257" t="str">
            <v>Peña Torres</v>
          </cell>
          <cell r="F257">
            <v>250</v>
          </cell>
          <cell r="G257">
            <v>1</v>
          </cell>
          <cell r="H257">
            <v>750</v>
          </cell>
          <cell r="I257">
            <v>41273</v>
          </cell>
          <cell r="J257">
            <v>0</v>
          </cell>
          <cell r="U257">
            <v>250</v>
          </cell>
          <cell r="V257">
            <v>250</v>
          </cell>
          <cell r="W257">
            <v>500</v>
          </cell>
          <cell r="X257">
            <v>250</v>
          </cell>
          <cell r="AJ257">
            <v>250</v>
          </cell>
          <cell r="AW257">
            <v>0</v>
          </cell>
        </row>
        <row r="258">
          <cell r="B258">
            <v>3927</v>
          </cell>
          <cell r="C258" t="str">
            <v>ZB_34_</v>
          </cell>
          <cell r="D258" t="str">
            <v>Rancho Zinamba No. 34</v>
          </cell>
          <cell r="E258" t="str">
            <v>Torres Zavala</v>
          </cell>
          <cell r="F258">
            <v>300</v>
          </cell>
          <cell r="G258">
            <v>1</v>
          </cell>
          <cell r="H258">
            <v>300</v>
          </cell>
          <cell r="I258">
            <v>41273</v>
          </cell>
          <cell r="J258">
            <v>0</v>
          </cell>
          <cell r="W258">
            <v>0</v>
          </cell>
          <cell r="X258">
            <v>300</v>
          </cell>
          <cell r="AJ258">
            <v>300</v>
          </cell>
          <cell r="AW258">
            <v>0</v>
          </cell>
        </row>
        <row r="259">
          <cell r="B259">
            <v>3928</v>
          </cell>
          <cell r="C259" t="str">
            <v>UP_100_</v>
          </cell>
          <cell r="D259" t="str">
            <v>Rancho Upácuaro No. 100</v>
          </cell>
          <cell r="E259" t="str">
            <v>Mancera Rodríguez</v>
          </cell>
          <cell r="F259">
            <v>300</v>
          </cell>
          <cell r="G259">
            <v>1</v>
          </cell>
          <cell r="H259">
            <v>300</v>
          </cell>
          <cell r="I259">
            <v>41273</v>
          </cell>
          <cell r="J259">
            <v>0</v>
          </cell>
          <cell r="W259">
            <v>0</v>
          </cell>
          <cell r="X259">
            <v>300</v>
          </cell>
          <cell r="AJ259">
            <v>300</v>
          </cell>
          <cell r="AW259">
            <v>0</v>
          </cell>
        </row>
        <row r="260">
          <cell r="B260">
            <v>3928</v>
          </cell>
          <cell r="C260" t="str">
            <v>UP_100_</v>
          </cell>
          <cell r="D260" t="str">
            <v>Rancho Upácuaro No. 100</v>
          </cell>
          <cell r="E260" t="str">
            <v>Mancera Rodríguez</v>
          </cell>
          <cell r="F260">
            <v>300</v>
          </cell>
          <cell r="G260">
            <v>5</v>
          </cell>
          <cell r="H260">
            <v>40</v>
          </cell>
          <cell r="I260">
            <v>41273</v>
          </cell>
          <cell r="J260" t="str">
            <v>NO SUMA</v>
          </cell>
          <cell r="W260">
            <v>0</v>
          </cell>
          <cell r="AJ260">
            <v>0</v>
          </cell>
          <cell r="AW260">
            <v>0</v>
          </cell>
        </row>
        <row r="261">
          <cell r="B261">
            <v>3929</v>
          </cell>
          <cell r="C261" t="str">
            <v>LD_95_</v>
          </cell>
          <cell r="D261" t="str">
            <v>Rancho Landero No. 95</v>
          </cell>
          <cell r="E261" t="str">
            <v>Rivas Rangel</v>
          </cell>
          <cell r="F261">
            <v>300</v>
          </cell>
          <cell r="G261">
            <v>1</v>
          </cell>
          <cell r="H261">
            <v>900</v>
          </cell>
          <cell r="I261">
            <v>41273</v>
          </cell>
          <cell r="J261">
            <v>0</v>
          </cell>
          <cell r="T261">
            <v>300</v>
          </cell>
          <cell r="U261">
            <v>300</v>
          </cell>
          <cell r="V261">
            <v>300</v>
          </cell>
          <cell r="W261">
            <v>900</v>
          </cell>
          <cell r="AJ261">
            <v>0</v>
          </cell>
          <cell r="AW261">
            <v>0</v>
          </cell>
        </row>
        <row r="262">
          <cell r="B262">
            <v>3930</v>
          </cell>
          <cell r="C262" t="str">
            <v>UP_73_A</v>
          </cell>
          <cell r="D262" t="str">
            <v>Rancho Upácuaro No. 73, A</v>
          </cell>
          <cell r="E262" t="str">
            <v>Ortega</v>
          </cell>
          <cell r="F262">
            <v>150</v>
          </cell>
          <cell r="G262">
            <v>1</v>
          </cell>
          <cell r="H262">
            <v>150</v>
          </cell>
          <cell r="I262">
            <v>41273</v>
          </cell>
          <cell r="J262">
            <v>0</v>
          </cell>
          <cell r="V262">
            <v>150</v>
          </cell>
          <cell r="W262">
            <v>150</v>
          </cell>
          <cell r="AJ262">
            <v>0</v>
          </cell>
          <cell r="AW262">
            <v>0</v>
          </cell>
        </row>
        <row r="263">
          <cell r="B263">
            <v>3931</v>
          </cell>
          <cell r="C263" t="str">
            <v>UP_70_</v>
          </cell>
          <cell r="D263" t="str">
            <v>Rancho Upácuaro No. 70</v>
          </cell>
          <cell r="E263" t="str">
            <v>Ramírez Tejeda</v>
          </cell>
          <cell r="F263">
            <v>300</v>
          </cell>
          <cell r="G263">
            <v>1</v>
          </cell>
          <cell r="H263">
            <v>300</v>
          </cell>
          <cell r="I263">
            <v>41273</v>
          </cell>
          <cell r="J263">
            <v>0</v>
          </cell>
          <cell r="W263">
            <v>0</v>
          </cell>
          <cell r="X263">
            <v>300</v>
          </cell>
          <cell r="AJ263">
            <v>300</v>
          </cell>
          <cell r="AW263">
            <v>0</v>
          </cell>
        </row>
        <row r="264">
          <cell r="B264" t="str">
            <v>NÚMERO</v>
          </cell>
          <cell r="C264" t="str">
            <v>CASA</v>
          </cell>
          <cell r="D264" t="str">
            <v>DOMICILIO</v>
          </cell>
          <cell r="E264" t="str">
            <v>FAMILIA</v>
          </cell>
          <cell r="F264" t="str">
            <v>CUOTA</v>
          </cell>
          <cell r="G264" t="str">
            <v>C_ING</v>
          </cell>
          <cell r="H264" t="str">
            <v>IMPORTE</v>
          </cell>
          <cell r="I264" t="str">
            <v>FECHA</v>
          </cell>
          <cell r="J264" t="str">
            <v>CHK</v>
          </cell>
          <cell r="K264" t="str">
            <v>ENE
2012</v>
          </cell>
          <cell r="L264" t="str">
            <v>FEB
2012</v>
          </cell>
          <cell r="M264" t="str">
            <v>MAR
2012</v>
          </cell>
          <cell r="N264" t="str">
            <v>ABR
2012</v>
          </cell>
          <cell r="O264" t="str">
            <v>MAY
2012</v>
          </cell>
          <cell r="P264" t="str">
            <v>JUN
2012</v>
          </cell>
          <cell r="Q264" t="str">
            <v>JUL
2012</v>
          </cell>
          <cell r="R264" t="str">
            <v>AGO
2012</v>
          </cell>
          <cell r="S264" t="str">
            <v>SEP
2012</v>
          </cell>
          <cell r="T264" t="str">
            <v>OCT
2012</v>
          </cell>
          <cell r="U264" t="str">
            <v>NOV
2012</v>
          </cell>
          <cell r="V264" t="str">
            <v>DIC
2012</v>
          </cell>
          <cell r="W264" t="str">
            <v>SUMA
2012</v>
          </cell>
          <cell r="X264" t="str">
            <v>ENE
2013</v>
          </cell>
          <cell r="Y264" t="str">
            <v>FEB
2013</v>
          </cell>
          <cell r="Z264" t="str">
            <v>MAR
2013</v>
          </cell>
          <cell r="AA264" t="str">
            <v>ABR
2013</v>
          </cell>
          <cell r="AB264" t="str">
            <v>MAY
2013</v>
          </cell>
          <cell r="AC264" t="str">
            <v>JUN
2013</v>
          </cell>
          <cell r="AD264" t="str">
            <v>JUL
2013</v>
          </cell>
          <cell r="AE264" t="str">
            <v>AGO
2013</v>
          </cell>
          <cell r="AF264" t="str">
            <v>SEP
2013</v>
          </cell>
          <cell r="AG264" t="str">
            <v>OCT
2013</v>
          </cell>
          <cell r="AH264" t="str">
            <v>NOV
2013</v>
          </cell>
          <cell r="AI264" t="str">
            <v>DIC
2013</v>
          </cell>
          <cell r="AJ264" t="str">
            <v>SUMA
2013</v>
          </cell>
          <cell r="AK264" t="str">
            <v>ENE
2014</v>
          </cell>
          <cell r="AL264" t="str">
            <v>FEB
2014</v>
          </cell>
          <cell r="AM264" t="str">
            <v>MAR
2014</v>
          </cell>
          <cell r="AN264" t="str">
            <v>ABR
2014</v>
          </cell>
          <cell r="AO264" t="str">
            <v>MAY
2014</v>
          </cell>
          <cell r="AP264" t="str">
            <v>JUN
2014</v>
          </cell>
          <cell r="AQ264" t="str">
            <v>JUL
2014</v>
          </cell>
          <cell r="AR264" t="str">
            <v>AGO
2014</v>
          </cell>
          <cell r="AS264" t="str">
            <v>SEP
2014</v>
          </cell>
          <cell r="AT264" t="str">
            <v>OCT
2014</v>
          </cell>
          <cell r="AU264" t="str">
            <v>NOV
2014</v>
          </cell>
          <cell r="AV264" t="str">
            <v>DIC
2014</v>
          </cell>
          <cell r="AW264" t="str">
            <v>SUMA
2014</v>
          </cell>
        </row>
        <row r="265">
          <cell r="B265">
            <v>3932</v>
          </cell>
          <cell r="C265" t="str">
            <v>RV_187_</v>
          </cell>
          <cell r="D265" t="str">
            <v>Rancho Recoveco No. 187</v>
          </cell>
          <cell r="E265" t="str">
            <v>Moreno</v>
          </cell>
          <cell r="F265">
            <v>300</v>
          </cell>
          <cell r="G265">
            <v>1</v>
          </cell>
          <cell r="H265">
            <v>600</v>
          </cell>
          <cell r="I265">
            <v>41276</v>
          </cell>
          <cell r="J265">
            <v>0</v>
          </cell>
          <cell r="W265">
            <v>0</v>
          </cell>
          <cell r="X265">
            <v>300</v>
          </cell>
          <cell r="Y265">
            <v>300</v>
          </cell>
          <cell r="AJ265">
            <v>600</v>
          </cell>
          <cell r="AW265">
            <v>0</v>
          </cell>
        </row>
        <row r="266">
          <cell r="B266">
            <v>3933</v>
          </cell>
          <cell r="C266" t="str">
            <v>CL_96_</v>
          </cell>
          <cell r="D266" t="str">
            <v>Rancho La Cuchilla No. 96</v>
          </cell>
          <cell r="E266" t="str">
            <v>Valdez Álvarez</v>
          </cell>
          <cell r="F266">
            <v>300</v>
          </cell>
          <cell r="G266">
            <v>1</v>
          </cell>
          <cell r="H266">
            <v>1800</v>
          </cell>
          <cell r="I266">
            <v>41277</v>
          </cell>
          <cell r="J266">
            <v>0</v>
          </cell>
          <cell r="Q266">
            <v>300</v>
          </cell>
          <cell r="R266">
            <v>300</v>
          </cell>
          <cell r="S266">
            <v>300</v>
          </cell>
          <cell r="T266">
            <v>300</v>
          </cell>
          <cell r="U266">
            <v>300</v>
          </cell>
          <cell r="V266">
            <v>300</v>
          </cell>
          <cell r="W266">
            <v>1800</v>
          </cell>
          <cell r="AJ266">
            <v>0</v>
          </cell>
          <cell r="AW266">
            <v>0</v>
          </cell>
        </row>
        <row r="267">
          <cell r="B267">
            <v>3933</v>
          </cell>
          <cell r="C267" t="str">
            <v>CL_96_</v>
          </cell>
          <cell r="D267" t="str">
            <v>Rancho La Cuchilla No. 96</v>
          </cell>
          <cell r="E267" t="str">
            <v>Valdez Álvarez</v>
          </cell>
          <cell r="F267">
            <v>300</v>
          </cell>
          <cell r="G267">
            <v>4</v>
          </cell>
          <cell r="H267">
            <v>160</v>
          </cell>
          <cell r="I267">
            <v>41277</v>
          </cell>
          <cell r="J267" t="str">
            <v>NO SUMA</v>
          </cell>
          <cell r="W267">
            <v>0</v>
          </cell>
          <cell r="AJ267">
            <v>0</v>
          </cell>
          <cell r="AW267">
            <v>0</v>
          </cell>
        </row>
        <row r="268">
          <cell r="B268">
            <v>3934</v>
          </cell>
          <cell r="C268" t="str">
            <v>EP_18_</v>
          </cell>
          <cell r="D268" t="str">
            <v>Rancho Estopila No. 18</v>
          </cell>
          <cell r="E268" t="str">
            <v>Aguilar Zarmeño</v>
          </cell>
          <cell r="F268">
            <v>300</v>
          </cell>
          <cell r="G268">
            <v>1</v>
          </cell>
          <cell r="H268">
            <v>600</v>
          </cell>
          <cell r="I268">
            <v>41277</v>
          </cell>
          <cell r="J268">
            <v>0</v>
          </cell>
          <cell r="V268">
            <v>300</v>
          </cell>
          <cell r="W268">
            <v>300</v>
          </cell>
          <cell r="X268">
            <v>300</v>
          </cell>
          <cell r="AJ268">
            <v>300</v>
          </cell>
          <cell r="AW268">
            <v>0</v>
          </cell>
        </row>
        <row r="269">
          <cell r="B269">
            <v>3935</v>
          </cell>
          <cell r="D269" t="str">
            <v/>
          </cell>
          <cell r="E269" t="str">
            <v/>
          </cell>
          <cell r="F269">
            <v>0</v>
          </cell>
          <cell r="G269">
            <v>8</v>
          </cell>
          <cell r="H269">
            <v>0</v>
          </cell>
          <cell r="I269">
            <v>41277</v>
          </cell>
          <cell r="J269" t="str">
            <v>NO SUMA</v>
          </cell>
          <cell r="W269">
            <v>0</v>
          </cell>
          <cell r="AJ269">
            <v>0</v>
          </cell>
          <cell r="AW269">
            <v>0</v>
          </cell>
        </row>
        <row r="270">
          <cell r="B270">
            <v>3936</v>
          </cell>
          <cell r="C270" t="str">
            <v>UP_101_</v>
          </cell>
          <cell r="D270" t="str">
            <v>Rancho Upácuaro No. 101</v>
          </cell>
          <cell r="E270" t="str">
            <v>Chávez, Arturo</v>
          </cell>
          <cell r="F270">
            <v>300</v>
          </cell>
          <cell r="G270">
            <v>1</v>
          </cell>
          <cell r="H270">
            <v>300</v>
          </cell>
          <cell r="I270">
            <v>41278</v>
          </cell>
          <cell r="J270">
            <v>0</v>
          </cell>
          <cell r="W270">
            <v>0</v>
          </cell>
          <cell r="X270">
            <v>300</v>
          </cell>
          <cell r="AJ270">
            <v>300</v>
          </cell>
          <cell r="AW270">
            <v>0</v>
          </cell>
        </row>
        <row r="271">
          <cell r="B271">
            <v>3937</v>
          </cell>
          <cell r="C271" t="str">
            <v>UP_87_</v>
          </cell>
          <cell r="D271" t="str">
            <v>Rancho Upácuaro No. 87</v>
          </cell>
          <cell r="E271" t="str">
            <v>Rodríguez Pares</v>
          </cell>
          <cell r="F271">
            <v>300</v>
          </cell>
          <cell r="G271">
            <v>1</v>
          </cell>
          <cell r="H271">
            <v>300</v>
          </cell>
          <cell r="I271">
            <v>41276</v>
          </cell>
          <cell r="J271">
            <v>0</v>
          </cell>
          <cell r="W271">
            <v>0</v>
          </cell>
          <cell r="X271">
            <v>300</v>
          </cell>
          <cell r="AJ271">
            <v>300</v>
          </cell>
          <cell r="AW271">
            <v>0</v>
          </cell>
        </row>
        <row r="272">
          <cell r="B272">
            <v>3938</v>
          </cell>
          <cell r="C272" t="str">
            <v>CL_75_</v>
          </cell>
          <cell r="D272" t="str">
            <v>Rancho La Cuchilla No. 75</v>
          </cell>
          <cell r="E272" t="str">
            <v>Sosa Lucio</v>
          </cell>
          <cell r="F272">
            <v>300</v>
          </cell>
          <cell r="G272">
            <v>1</v>
          </cell>
          <cell r="H272">
            <v>300</v>
          </cell>
          <cell r="I272">
            <v>41278</v>
          </cell>
          <cell r="J272">
            <v>0</v>
          </cell>
          <cell r="U272">
            <v>300</v>
          </cell>
          <cell r="W272">
            <v>300</v>
          </cell>
          <cell r="AJ272">
            <v>0</v>
          </cell>
          <cell r="AW272">
            <v>0</v>
          </cell>
        </row>
        <row r="273">
          <cell r="B273">
            <v>3939</v>
          </cell>
          <cell r="C273" t="str">
            <v>LD_85_</v>
          </cell>
          <cell r="D273" t="str">
            <v>Rancho Landero No. 85</v>
          </cell>
          <cell r="E273" t="str">
            <v>Martínez Olague</v>
          </cell>
          <cell r="F273">
            <v>300</v>
          </cell>
          <cell r="G273">
            <v>1</v>
          </cell>
          <cell r="H273">
            <v>300</v>
          </cell>
          <cell r="I273">
            <v>41278</v>
          </cell>
          <cell r="J273">
            <v>0</v>
          </cell>
          <cell r="W273">
            <v>0</v>
          </cell>
          <cell r="X273">
            <v>300</v>
          </cell>
          <cell r="AJ273">
            <v>300</v>
          </cell>
          <cell r="AW273">
            <v>0</v>
          </cell>
        </row>
        <row r="274">
          <cell r="B274">
            <v>3940</v>
          </cell>
          <cell r="C274" t="str">
            <v>CL_75_</v>
          </cell>
          <cell r="D274" t="str">
            <v>Rancho La Cuchilla No. 75</v>
          </cell>
          <cell r="E274" t="str">
            <v>Sosa Lucio</v>
          </cell>
          <cell r="F274">
            <v>300</v>
          </cell>
          <cell r="G274">
            <v>1</v>
          </cell>
          <cell r="H274">
            <v>300</v>
          </cell>
          <cell r="I274">
            <v>41278</v>
          </cell>
          <cell r="J274">
            <v>0</v>
          </cell>
          <cell r="W274">
            <v>0</v>
          </cell>
          <cell r="X274">
            <v>300</v>
          </cell>
          <cell r="AJ274">
            <v>300</v>
          </cell>
          <cell r="AW274">
            <v>0</v>
          </cell>
        </row>
        <row r="275">
          <cell r="B275">
            <v>3941</v>
          </cell>
          <cell r="C275" t="str">
            <v>ZB_14_</v>
          </cell>
          <cell r="D275" t="str">
            <v>Rancho Zinamba No. 14</v>
          </cell>
          <cell r="E275" t="str">
            <v>Gutiérrez García</v>
          </cell>
          <cell r="F275">
            <v>300</v>
          </cell>
          <cell r="G275">
            <v>1</v>
          </cell>
          <cell r="H275">
            <v>300</v>
          </cell>
          <cell r="I275">
            <v>41279</v>
          </cell>
          <cell r="J275">
            <v>0</v>
          </cell>
          <cell r="V275">
            <v>300</v>
          </cell>
          <cell r="W275">
            <v>300</v>
          </cell>
          <cell r="AJ275">
            <v>0</v>
          </cell>
          <cell r="AW275">
            <v>0</v>
          </cell>
        </row>
        <row r="276">
          <cell r="B276">
            <v>3941</v>
          </cell>
          <cell r="C276" t="str">
            <v>ZB_14_</v>
          </cell>
          <cell r="D276" t="str">
            <v>Rancho Zinamba No. 14</v>
          </cell>
          <cell r="E276" t="str">
            <v>Gutiérrez García</v>
          </cell>
          <cell r="F276">
            <v>300</v>
          </cell>
          <cell r="G276">
            <v>3</v>
          </cell>
          <cell r="H276">
            <v>160</v>
          </cell>
          <cell r="I276">
            <v>41279</v>
          </cell>
          <cell r="J276" t="str">
            <v>NO SUMA</v>
          </cell>
          <cell r="W276">
            <v>0</v>
          </cell>
          <cell r="AJ276">
            <v>0</v>
          </cell>
          <cell r="AW276">
            <v>0</v>
          </cell>
        </row>
        <row r="277">
          <cell r="B277">
            <v>3942</v>
          </cell>
          <cell r="C277" t="str">
            <v>EZ_79_</v>
          </cell>
          <cell r="D277" t="str">
            <v>Rancho Estanzuela No. 79</v>
          </cell>
          <cell r="E277" t="str">
            <v>Mendoza</v>
          </cell>
          <cell r="F277">
            <v>300</v>
          </cell>
          <cell r="G277">
            <v>1</v>
          </cell>
          <cell r="H277">
            <v>300</v>
          </cell>
          <cell r="I277">
            <v>41280</v>
          </cell>
          <cell r="J277">
            <v>0</v>
          </cell>
          <cell r="U277">
            <v>300</v>
          </cell>
          <cell r="W277">
            <v>300</v>
          </cell>
          <cell r="AJ277">
            <v>0</v>
          </cell>
          <cell r="AW277">
            <v>0</v>
          </cell>
        </row>
        <row r="278">
          <cell r="B278">
            <v>3943</v>
          </cell>
          <cell r="C278" t="str">
            <v>UP_94_</v>
          </cell>
          <cell r="D278" t="str">
            <v>Rancho Upácuaro No. 94</v>
          </cell>
          <cell r="E278" t="str">
            <v>Juárez Patiño</v>
          </cell>
          <cell r="F278">
            <v>300</v>
          </cell>
          <cell r="G278">
            <v>1</v>
          </cell>
          <cell r="H278">
            <v>300</v>
          </cell>
          <cell r="I278">
            <v>41280</v>
          </cell>
          <cell r="J278">
            <v>0</v>
          </cell>
          <cell r="U278">
            <v>300</v>
          </cell>
          <cell r="W278">
            <v>300</v>
          </cell>
          <cell r="AJ278">
            <v>0</v>
          </cell>
          <cell r="AW278">
            <v>0</v>
          </cell>
        </row>
        <row r="279">
          <cell r="B279">
            <v>3944</v>
          </cell>
          <cell r="C279" t="str">
            <v>LD_42_</v>
          </cell>
          <cell r="D279" t="str">
            <v>Rancho Landero No. 42</v>
          </cell>
          <cell r="E279" t="str">
            <v>Ávila Fidel</v>
          </cell>
          <cell r="F279">
            <v>300</v>
          </cell>
          <cell r="G279">
            <v>1</v>
          </cell>
          <cell r="H279">
            <v>300</v>
          </cell>
          <cell r="I279">
            <v>41280</v>
          </cell>
          <cell r="J279">
            <v>0</v>
          </cell>
          <cell r="W279">
            <v>0</v>
          </cell>
          <cell r="X279">
            <v>300</v>
          </cell>
          <cell r="AJ279">
            <v>300</v>
          </cell>
          <cell r="AW279">
            <v>0</v>
          </cell>
        </row>
        <row r="280">
          <cell r="B280">
            <v>3945</v>
          </cell>
          <cell r="C280" t="str">
            <v>EZ_47_</v>
          </cell>
          <cell r="D280" t="str">
            <v>Rancho Estanzuela No. 47</v>
          </cell>
          <cell r="E280" t="str">
            <v>Bussey García</v>
          </cell>
          <cell r="F280">
            <v>300</v>
          </cell>
          <cell r="G280">
            <v>1</v>
          </cell>
          <cell r="H280">
            <v>300</v>
          </cell>
          <cell r="I280">
            <v>41280</v>
          </cell>
          <cell r="J280">
            <v>0</v>
          </cell>
          <cell r="W280">
            <v>0</v>
          </cell>
          <cell r="X280">
            <v>300</v>
          </cell>
          <cell r="AJ280">
            <v>300</v>
          </cell>
          <cell r="AW280">
            <v>0</v>
          </cell>
        </row>
        <row r="281">
          <cell r="B281">
            <v>3945</v>
          </cell>
          <cell r="C281" t="str">
            <v>EZ_47_</v>
          </cell>
          <cell r="D281" t="str">
            <v>Rancho Estanzuela No. 47</v>
          </cell>
          <cell r="E281" t="str">
            <v>Bussey García</v>
          </cell>
          <cell r="F281">
            <v>300</v>
          </cell>
          <cell r="G281">
            <v>4</v>
          </cell>
          <cell r="H281">
            <v>160</v>
          </cell>
          <cell r="I281">
            <v>41280</v>
          </cell>
          <cell r="J281" t="str">
            <v>NO SUMA</v>
          </cell>
          <cell r="W281">
            <v>0</v>
          </cell>
          <cell r="AJ281">
            <v>0</v>
          </cell>
          <cell r="AW281">
            <v>0</v>
          </cell>
        </row>
        <row r="282">
          <cell r="B282">
            <v>3946</v>
          </cell>
          <cell r="C282" t="str">
            <v>UP_40_</v>
          </cell>
          <cell r="D282" t="str">
            <v>Rancho Upácuaro No. 40</v>
          </cell>
          <cell r="E282" t="str">
            <v>López Ramírez</v>
          </cell>
          <cell r="F282">
            <v>300</v>
          </cell>
          <cell r="G282">
            <v>1</v>
          </cell>
          <cell r="H282">
            <v>300</v>
          </cell>
          <cell r="I282">
            <v>41280</v>
          </cell>
          <cell r="J282">
            <v>0</v>
          </cell>
          <cell r="W282">
            <v>0</v>
          </cell>
          <cell r="X282">
            <v>300</v>
          </cell>
          <cell r="AJ282">
            <v>300</v>
          </cell>
          <cell r="AW282">
            <v>0</v>
          </cell>
        </row>
        <row r="283">
          <cell r="B283">
            <v>3947</v>
          </cell>
          <cell r="C283" t="str">
            <v>UP_96_</v>
          </cell>
          <cell r="D283" t="str">
            <v>Rancho Upácuaro No. 96</v>
          </cell>
          <cell r="E283" t="str">
            <v>Daza Gutiérrez</v>
          </cell>
          <cell r="F283">
            <v>300</v>
          </cell>
          <cell r="G283">
            <v>1</v>
          </cell>
          <cell r="H283">
            <v>300</v>
          </cell>
          <cell r="I283">
            <v>41280</v>
          </cell>
          <cell r="J283">
            <v>0</v>
          </cell>
          <cell r="W283">
            <v>0</v>
          </cell>
          <cell r="X283">
            <v>300</v>
          </cell>
          <cell r="AJ283">
            <v>300</v>
          </cell>
          <cell r="AW283">
            <v>0</v>
          </cell>
        </row>
        <row r="284">
          <cell r="B284">
            <v>3948</v>
          </cell>
          <cell r="C284" t="str">
            <v>UP_51_2</v>
          </cell>
          <cell r="D284" t="str">
            <v>Rancho Upácuaro No. 51, 2</v>
          </cell>
          <cell r="E284" t="str">
            <v>Santoyo</v>
          </cell>
          <cell r="F284">
            <v>300</v>
          </cell>
          <cell r="G284">
            <v>1</v>
          </cell>
          <cell r="H284">
            <v>600</v>
          </cell>
          <cell r="I284">
            <v>41280</v>
          </cell>
          <cell r="J284">
            <v>0</v>
          </cell>
          <cell r="V284">
            <v>300</v>
          </cell>
          <cell r="W284">
            <v>300</v>
          </cell>
          <cell r="X284">
            <v>300</v>
          </cell>
          <cell r="AJ284">
            <v>300</v>
          </cell>
          <cell r="AW284">
            <v>0</v>
          </cell>
        </row>
        <row r="285">
          <cell r="B285">
            <v>3949</v>
          </cell>
          <cell r="D285" t="str">
            <v/>
          </cell>
          <cell r="E285" t="str">
            <v/>
          </cell>
          <cell r="F285">
            <v>0</v>
          </cell>
          <cell r="G285">
            <v>8</v>
          </cell>
          <cell r="I285">
            <v>41280</v>
          </cell>
          <cell r="J285" t="str">
            <v>NO SUMA</v>
          </cell>
          <cell r="W285">
            <v>0</v>
          </cell>
          <cell r="AJ285">
            <v>0</v>
          </cell>
          <cell r="AW285">
            <v>0</v>
          </cell>
        </row>
        <row r="286">
          <cell r="B286">
            <v>3950</v>
          </cell>
          <cell r="C286" t="str">
            <v>CL_41_</v>
          </cell>
          <cell r="D286" t="str">
            <v>Rancho La Cuchilla No. 41</v>
          </cell>
          <cell r="E286" t="str">
            <v>Arriaga Lemus</v>
          </cell>
          <cell r="F286">
            <v>250</v>
          </cell>
          <cell r="G286">
            <v>1</v>
          </cell>
          <cell r="H286">
            <v>250</v>
          </cell>
          <cell r="I286">
            <v>41280</v>
          </cell>
          <cell r="J286">
            <v>0</v>
          </cell>
          <cell r="W286">
            <v>0</v>
          </cell>
          <cell r="X286">
            <v>250</v>
          </cell>
          <cell r="AJ286">
            <v>250</v>
          </cell>
          <cell r="AW286">
            <v>0</v>
          </cell>
        </row>
        <row r="287">
          <cell r="B287">
            <v>3951</v>
          </cell>
          <cell r="C287" t="str">
            <v>UP_34_</v>
          </cell>
          <cell r="D287" t="str">
            <v>Rancho Upácuaro No. 34</v>
          </cell>
          <cell r="E287" t="str">
            <v>Gómez</v>
          </cell>
          <cell r="F287">
            <v>300</v>
          </cell>
          <cell r="G287">
            <v>1</v>
          </cell>
          <cell r="H287">
            <v>300</v>
          </cell>
          <cell r="I287">
            <v>41280</v>
          </cell>
          <cell r="J287">
            <v>0</v>
          </cell>
          <cell r="W287">
            <v>0</v>
          </cell>
          <cell r="X287">
            <v>300</v>
          </cell>
          <cell r="AJ287">
            <v>300</v>
          </cell>
          <cell r="AW287">
            <v>0</v>
          </cell>
        </row>
        <row r="288">
          <cell r="B288">
            <v>3952</v>
          </cell>
          <cell r="C288" t="str">
            <v>LD_31_</v>
          </cell>
          <cell r="D288" t="str">
            <v>Rancho Landero No. 31</v>
          </cell>
          <cell r="E288" t="str">
            <v>Díaz Hernández</v>
          </cell>
          <cell r="F288">
            <v>200</v>
          </cell>
          <cell r="G288">
            <v>1</v>
          </cell>
          <cell r="H288">
            <v>200</v>
          </cell>
          <cell r="I288">
            <v>41280</v>
          </cell>
          <cell r="J288">
            <v>0</v>
          </cell>
          <cell r="W288">
            <v>0</v>
          </cell>
          <cell r="X288">
            <v>200</v>
          </cell>
          <cell r="AJ288">
            <v>200</v>
          </cell>
          <cell r="AW288">
            <v>0</v>
          </cell>
        </row>
        <row r="289">
          <cell r="B289">
            <v>3953</v>
          </cell>
          <cell r="C289" t="str">
            <v>LD_71_</v>
          </cell>
          <cell r="D289" t="str">
            <v>Rancho Landero No. 71</v>
          </cell>
          <cell r="E289" t="str">
            <v>Cabrera Balcázar</v>
          </cell>
          <cell r="F289">
            <v>300</v>
          </cell>
          <cell r="G289">
            <v>1</v>
          </cell>
          <cell r="H289">
            <v>300</v>
          </cell>
          <cell r="I289">
            <v>41280</v>
          </cell>
          <cell r="J289">
            <v>0</v>
          </cell>
          <cell r="V289">
            <v>300</v>
          </cell>
          <cell r="W289">
            <v>300</v>
          </cell>
          <cell r="AJ289">
            <v>0</v>
          </cell>
          <cell r="AW289">
            <v>0</v>
          </cell>
        </row>
        <row r="290">
          <cell r="B290">
            <v>3954</v>
          </cell>
          <cell r="C290" t="str">
            <v>EZ_100_</v>
          </cell>
          <cell r="D290" t="str">
            <v>Rancho Estanzuela No. 100</v>
          </cell>
          <cell r="E290" t="str">
            <v>Arias Monter</v>
          </cell>
          <cell r="F290">
            <v>300</v>
          </cell>
          <cell r="G290">
            <v>1</v>
          </cell>
          <cell r="H290">
            <v>300</v>
          </cell>
          <cell r="I290">
            <v>41280</v>
          </cell>
          <cell r="J290">
            <v>0</v>
          </cell>
          <cell r="W290">
            <v>0</v>
          </cell>
          <cell r="X290">
            <v>300</v>
          </cell>
          <cell r="AJ290">
            <v>300</v>
          </cell>
          <cell r="AW290">
            <v>0</v>
          </cell>
        </row>
        <row r="291">
          <cell r="B291">
            <v>3955</v>
          </cell>
          <cell r="C291" t="str">
            <v>RM_10_A</v>
          </cell>
          <cell r="D291" t="str">
            <v>Rancho Romeral No. 10, A</v>
          </cell>
          <cell r="E291" t="str">
            <v>Casillas Álvarez</v>
          </cell>
          <cell r="F291">
            <v>150</v>
          </cell>
          <cell r="G291">
            <v>1</v>
          </cell>
          <cell r="H291">
            <v>150</v>
          </cell>
          <cell r="I291">
            <v>41280</v>
          </cell>
          <cell r="J291">
            <v>0</v>
          </cell>
          <cell r="W291">
            <v>0</v>
          </cell>
          <cell r="X291">
            <v>150</v>
          </cell>
          <cell r="AJ291">
            <v>150</v>
          </cell>
          <cell r="AW291">
            <v>0</v>
          </cell>
        </row>
        <row r="292">
          <cell r="B292">
            <v>3956</v>
          </cell>
          <cell r="C292" t="str">
            <v>EZ_157_1</v>
          </cell>
          <cell r="D292" t="str">
            <v>Rancho Estanzuela No. 157, 1</v>
          </cell>
          <cell r="E292" t="str">
            <v>Anzures</v>
          </cell>
          <cell r="F292">
            <v>450</v>
          </cell>
          <cell r="G292">
            <v>1</v>
          </cell>
          <cell r="H292">
            <v>900</v>
          </cell>
          <cell r="I292">
            <v>41280</v>
          </cell>
          <cell r="J292">
            <v>0</v>
          </cell>
          <cell r="U292">
            <v>450</v>
          </cell>
          <cell r="V292">
            <v>450</v>
          </cell>
          <cell r="W292">
            <v>900</v>
          </cell>
          <cell r="AJ292">
            <v>0</v>
          </cell>
          <cell r="AW292">
            <v>0</v>
          </cell>
        </row>
        <row r="293">
          <cell r="B293">
            <v>3957</v>
          </cell>
          <cell r="C293" t="str">
            <v>CL_40_</v>
          </cell>
          <cell r="D293" t="str">
            <v>Rancho La Cuchilla No. 40</v>
          </cell>
          <cell r="E293" t="str">
            <v>López Pico</v>
          </cell>
          <cell r="F293">
            <v>300</v>
          </cell>
          <cell r="G293">
            <v>1</v>
          </cell>
          <cell r="H293">
            <v>300</v>
          </cell>
          <cell r="I293">
            <v>41280</v>
          </cell>
          <cell r="J293">
            <v>0</v>
          </cell>
          <cell r="W293">
            <v>0</v>
          </cell>
          <cell r="X293">
            <v>300</v>
          </cell>
          <cell r="AJ293">
            <v>300</v>
          </cell>
          <cell r="AW293">
            <v>0</v>
          </cell>
        </row>
        <row r="294">
          <cell r="B294">
            <v>3958</v>
          </cell>
          <cell r="C294" t="str">
            <v>CL_72_</v>
          </cell>
          <cell r="D294" t="str">
            <v>Rancho La Cuchilla No. 72</v>
          </cell>
          <cell r="E294" t="str">
            <v>Ortiz González</v>
          </cell>
          <cell r="F294">
            <v>300</v>
          </cell>
          <cell r="G294">
            <v>1</v>
          </cell>
          <cell r="H294">
            <v>300</v>
          </cell>
          <cell r="I294">
            <v>41280</v>
          </cell>
          <cell r="J294">
            <v>0</v>
          </cell>
          <cell r="W294">
            <v>0</v>
          </cell>
          <cell r="X294">
            <v>300</v>
          </cell>
          <cell r="AJ294">
            <v>300</v>
          </cell>
          <cell r="AW294">
            <v>0</v>
          </cell>
        </row>
        <row r="295">
          <cell r="B295">
            <v>3959</v>
          </cell>
          <cell r="C295" t="str">
            <v>LD_35_</v>
          </cell>
          <cell r="D295" t="str">
            <v>Rancho Landero No. 35</v>
          </cell>
          <cell r="E295" t="str">
            <v>Loperena</v>
          </cell>
          <cell r="F295">
            <v>300</v>
          </cell>
          <cell r="G295">
            <v>1</v>
          </cell>
          <cell r="H295">
            <v>300</v>
          </cell>
          <cell r="I295">
            <v>41280</v>
          </cell>
          <cell r="J295">
            <v>0</v>
          </cell>
          <cell r="W295">
            <v>0</v>
          </cell>
          <cell r="X295">
            <v>300</v>
          </cell>
          <cell r="AJ295">
            <v>300</v>
          </cell>
          <cell r="AW295">
            <v>0</v>
          </cell>
        </row>
        <row r="296">
          <cell r="B296">
            <v>3960</v>
          </cell>
          <cell r="C296" t="str">
            <v>CL_131_</v>
          </cell>
          <cell r="D296" t="str">
            <v>Rancho La Cuchilla No. 131</v>
          </cell>
          <cell r="E296" t="str">
            <v>Cabrera Esc.</v>
          </cell>
          <cell r="F296">
            <v>300</v>
          </cell>
          <cell r="G296">
            <v>1</v>
          </cell>
          <cell r="H296">
            <v>600</v>
          </cell>
          <cell r="I296">
            <v>41280</v>
          </cell>
          <cell r="J296">
            <v>0</v>
          </cell>
          <cell r="W296">
            <v>0</v>
          </cell>
          <cell r="X296">
            <v>300</v>
          </cell>
          <cell r="Y296">
            <v>300</v>
          </cell>
          <cell r="AJ296">
            <v>600</v>
          </cell>
          <cell r="AW296">
            <v>0</v>
          </cell>
        </row>
        <row r="297">
          <cell r="B297">
            <v>3961</v>
          </cell>
          <cell r="C297" t="str">
            <v>CL_139_</v>
          </cell>
          <cell r="D297" t="str">
            <v>Rancho La Cuchilla No. 139</v>
          </cell>
          <cell r="E297" t="str">
            <v>Gloria García</v>
          </cell>
          <cell r="F297">
            <v>200</v>
          </cell>
          <cell r="G297">
            <v>1</v>
          </cell>
          <cell r="H297">
            <v>200</v>
          </cell>
          <cell r="I297">
            <v>41280</v>
          </cell>
          <cell r="J297">
            <v>0</v>
          </cell>
          <cell r="W297">
            <v>0</v>
          </cell>
          <cell r="X297">
            <v>200</v>
          </cell>
          <cell r="AJ297">
            <v>200</v>
          </cell>
          <cell r="AW297">
            <v>0</v>
          </cell>
        </row>
        <row r="298">
          <cell r="B298">
            <v>3962</v>
          </cell>
          <cell r="C298" t="str">
            <v>UP_47_</v>
          </cell>
          <cell r="D298" t="str">
            <v>Rancho Upácuaro No. 47</v>
          </cell>
          <cell r="E298" t="str">
            <v>Flores Muñoz</v>
          </cell>
          <cell r="F298">
            <v>300</v>
          </cell>
          <cell r="G298">
            <v>1</v>
          </cell>
          <cell r="H298">
            <v>300</v>
          </cell>
          <cell r="I298">
            <v>41280</v>
          </cell>
          <cell r="J298">
            <v>0</v>
          </cell>
          <cell r="W298">
            <v>0</v>
          </cell>
          <cell r="X298">
            <v>300</v>
          </cell>
          <cell r="AJ298">
            <v>300</v>
          </cell>
          <cell r="AW298">
            <v>0</v>
          </cell>
        </row>
        <row r="299">
          <cell r="B299">
            <v>3963</v>
          </cell>
          <cell r="C299" t="str">
            <v>CL_89_</v>
          </cell>
          <cell r="D299" t="str">
            <v>Rancho La Cuchilla No. 89</v>
          </cell>
          <cell r="E299" t="str">
            <v>Gálvez</v>
          </cell>
          <cell r="F299">
            <v>300</v>
          </cell>
          <cell r="G299">
            <v>1</v>
          </cell>
          <cell r="H299">
            <v>300</v>
          </cell>
          <cell r="I299">
            <v>41280</v>
          </cell>
          <cell r="J299">
            <v>0</v>
          </cell>
          <cell r="W299">
            <v>0</v>
          </cell>
          <cell r="X299">
            <v>300</v>
          </cell>
          <cell r="AJ299">
            <v>300</v>
          </cell>
          <cell r="AW299">
            <v>0</v>
          </cell>
        </row>
        <row r="300">
          <cell r="B300">
            <v>3964</v>
          </cell>
          <cell r="C300" t="str">
            <v>EZ_49_</v>
          </cell>
          <cell r="D300" t="str">
            <v>Rancho Estanzuela No. 49</v>
          </cell>
          <cell r="E300" t="str">
            <v>Sánchez Zamora</v>
          </cell>
          <cell r="F300">
            <v>300</v>
          </cell>
          <cell r="G300">
            <v>1</v>
          </cell>
          <cell r="H300">
            <v>600</v>
          </cell>
          <cell r="I300">
            <v>41280</v>
          </cell>
          <cell r="J300">
            <v>0</v>
          </cell>
          <cell r="R300">
            <v>300</v>
          </cell>
          <cell r="S300">
            <v>300</v>
          </cell>
          <cell r="W300">
            <v>600</v>
          </cell>
          <cell r="AJ300">
            <v>0</v>
          </cell>
          <cell r="AW300">
            <v>0</v>
          </cell>
        </row>
        <row r="301">
          <cell r="B301">
            <v>3965</v>
          </cell>
          <cell r="C301" t="str">
            <v>ZB_68_</v>
          </cell>
          <cell r="D301" t="str">
            <v>Rancho Zinamba No. 68</v>
          </cell>
          <cell r="E301" t="str">
            <v>Rivera Villicaña</v>
          </cell>
          <cell r="F301">
            <v>300</v>
          </cell>
          <cell r="G301">
            <v>1</v>
          </cell>
          <cell r="H301">
            <v>300</v>
          </cell>
          <cell r="I301">
            <v>41280</v>
          </cell>
          <cell r="J301">
            <v>0</v>
          </cell>
          <cell r="W301">
            <v>0</v>
          </cell>
          <cell r="X301">
            <v>300</v>
          </cell>
          <cell r="AJ301">
            <v>300</v>
          </cell>
          <cell r="AW301">
            <v>0</v>
          </cell>
        </row>
        <row r="302">
          <cell r="B302">
            <v>3966</v>
          </cell>
          <cell r="C302" t="str">
            <v>UP_32_</v>
          </cell>
          <cell r="D302" t="str">
            <v>Rancho Upácuaro No. 32</v>
          </cell>
          <cell r="E302" t="str">
            <v>Sairafi Carmen</v>
          </cell>
          <cell r="F302">
            <v>300</v>
          </cell>
          <cell r="G302">
            <v>1</v>
          </cell>
          <cell r="H302">
            <v>300</v>
          </cell>
          <cell r="I302">
            <v>41280</v>
          </cell>
          <cell r="J302">
            <v>0</v>
          </cell>
          <cell r="W302">
            <v>0</v>
          </cell>
          <cell r="X302">
            <v>300</v>
          </cell>
          <cell r="AJ302">
            <v>300</v>
          </cell>
          <cell r="AW302">
            <v>0</v>
          </cell>
        </row>
        <row r="303">
          <cell r="B303">
            <v>3967</v>
          </cell>
          <cell r="C303" t="str">
            <v>LD_21_</v>
          </cell>
          <cell r="D303" t="str">
            <v>Rancho Landero No. 21</v>
          </cell>
          <cell r="E303" t="str">
            <v>Meza</v>
          </cell>
          <cell r="F303">
            <v>300</v>
          </cell>
          <cell r="G303">
            <v>1</v>
          </cell>
          <cell r="H303">
            <v>300</v>
          </cell>
          <cell r="I303">
            <v>41280</v>
          </cell>
          <cell r="J303">
            <v>0</v>
          </cell>
          <cell r="W303">
            <v>0</v>
          </cell>
          <cell r="X303">
            <v>300</v>
          </cell>
          <cell r="AJ303">
            <v>300</v>
          </cell>
          <cell r="AW303">
            <v>0</v>
          </cell>
        </row>
        <row r="304">
          <cell r="B304">
            <v>3968</v>
          </cell>
          <cell r="C304" t="str">
            <v>EZ_55_</v>
          </cell>
          <cell r="D304" t="str">
            <v>Rancho Estanzuela No. 55</v>
          </cell>
          <cell r="E304" t="str">
            <v>Rodríguez Acevedo</v>
          </cell>
          <cell r="F304">
            <v>300</v>
          </cell>
          <cell r="G304">
            <v>1</v>
          </cell>
          <cell r="H304">
            <v>300</v>
          </cell>
          <cell r="I304">
            <v>41280</v>
          </cell>
          <cell r="J304">
            <v>0</v>
          </cell>
          <cell r="W304">
            <v>0</v>
          </cell>
          <cell r="X304">
            <v>300</v>
          </cell>
          <cell r="AJ304">
            <v>300</v>
          </cell>
          <cell r="AW304">
            <v>0</v>
          </cell>
        </row>
        <row r="305">
          <cell r="B305">
            <v>3969</v>
          </cell>
          <cell r="C305" t="str">
            <v>LD_38_</v>
          </cell>
          <cell r="D305" t="str">
            <v>Rancho Landero No. 38</v>
          </cell>
          <cell r="E305" t="str">
            <v>Sánchez Peña</v>
          </cell>
          <cell r="F305">
            <v>300</v>
          </cell>
          <cell r="G305">
            <v>1</v>
          </cell>
          <cell r="H305">
            <v>300</v>
          </cell>
          <cell r="I305">
            <v>41280</v>
          </cell>
          <cell r="J305">
            <v>0</v>
          </cell>
          <cell r="W305">
            <v>0</v>
          </cell>
          <cell r="X305">
            <v>300</v>
          </cell>
          <cell r="AJ305">
            <v>300</v>
          </cell>
          <cell r="AW305">
            <v>0</v>
          </cell>
        </row>
        <row r="306">
          <cell r="B306">
            <v>3970</v>
          </cell>
          <cell r="C306" t="str">
            <v>UP_18_</v>
          </cell>
          <cell r="D306" t="str">
            <v>Rancho Upácuaro No. 18</v>
          </cell>
          <cell r="E306" t="str">
            <v>Guzmán</v>
          </cell>
          <cell r="F306">
            <v>300</v>
          </cell>
          <cell r="G306">
            <v>1</v>
          </cell>
          <cell r="H306">
            <v>300</v>
          </cell>
          <cell r="I306">
            <v>41280</v>
          </cell>
          <cell r="J306">
            <v>0</v>
          </cell>
          <cell r="W306">
            <v>0</v>
          </cell>
          <cell r="X306">
            <v>300</v>
          </cell>
          <cell r="AJ306">
            <v>300</v>
          </cell>
          <cell r="AW306">
            <v>0</v>
          </cell>
        </row>
        <row r="307">
          <cell r="B307">
            <v>3971</v>
          </cell>
          <cell r="C307" t="str">
            <v>UP_30_</v>
          </cell>
          <cell r="D307" t="str">
            <v>Rancho Upácuaro No. 30</v>
          </cell>
          <cell r="E307" t="str">
            <v>Dorantes</v>
          </cell>
          <cell r="F307">
            <v>300</v>
          </cell>
          <cell r="G307">
            <v>1</v>
          </cell>
          <cell r="H307">
            <v>300</v>
          </cell>
          <cell r="I307">
            <v>41280</v>
          </cell>
          <cell r="J307">
            <v>0</v>
          </cell>
          <cell r="W307">
            <v>0</v>
          </cell>
          <cell r="X307">
            <v>300</v>
          </cell>
          <cell r="AJ307">
            <v>300</v>
          </cell>
          <cell r="AW307">
            <v>0</v>
          </cell>
        </row>
        <row r="308">
          <cell r="B308">
            <v>3971</v>
          </cell>
          <cell r="C308" t="str">
            <v>UP_30_</v>
          </cell>
          <cell r="D308" t="str">
            <v>Rancho Upácuaro No. 30</v>
          </cell>
          <cell r="E308" t="str">
            <v>Dorantes</v>
          </cell>
          <cell r="F308">
            <v>300</v>
          </cell>
          <cell r="G308">
            <v>3</v>
          </cell>
          <cell r="H308">
            <v>300</v>
          </cell>
          <cell r="I308">
            <v>41280</v>
          </cell>
          <cell r="J308" t="str">
            <v>NO SUMA</v>
          </cell>
          <cell r="W308">
            <v>0</v>
          </cell>
          <cell r="AJ308">
            <v>0</v>
          </cell>
          <cell r="AW308">
            <v>0</v>
          </cell>
        </row>
        <row r="309">
          <cell r="B309">
            <v>3972</v>
          </cell>
          <cell r="C309" t="str">
            <v>EZ_163_</v>
          </cell>
          <cell r="D309" t="str">
            <v>Rancho Estanzuela No. 163</v>
          </cell>
          <cell r="E309" t="str">
            <v>González Rodríguez</v>
          </cell>
          <cell r="F309">
            <v>300</v>
          </cell>
          <cell r="G309">
            <v>1</v>
          </cell>
          <cell r="H309">
            <v>300</v>
          </cell>
          <cell r="I309">
            <v>41280</v>
          </cell>
          <cell r="J309">
            <v>0</v>
          </cell>
          <cell r="U309">
            <v>300</v>
          </cell>
          <cell r="W309">
            <v>300</v>
          </cell>
          <cell r="AJ309">
            <v>0</v>
          </cell>
          <cell r="AW309">
            <v>0</v>
          </cell>
        </row>
        <row r="310">
          <cell r="B310">
            <v>3973</v>
          </cell>
          <cell r="C310" t="str">
            <v>LD_65_</v>
          </cell>
          <cell r="D310" t="str">
            <v>Rancho Landero No. 65</v>
          </cell>
          <cell r="E310" t="str">
            <v>Alpizar</v>
          </cell>
          <cell r="F310">
            <v>300</v>
          </cell>
          <cell r="G310">
            <v>1</v>
          </cell>
          <cell r="H310">
            <v>300</v>
          </cell>
          <cell r="I310">
            <v>41280</v>
          </cell>
          <cell r="J310">
            <v>0</v>
          </cell>
          <cell r="W310">
            <v>0</v>
          </cell>
          <cell r="X310">
            <v>300</v>
          </cell>
          <cell r="AJ310">
            <v>300</v>
          </cell>
          <cell r="AW310">
            <v>0</v>
          </cell>
        </row>
        <row r="311">
          <cell r="B311">
            <v>3974</v>
          </cell>
          <cell r="C311" t="str">
            <v>EZ_31_</v>
          </cell>
          <cell r="D311" t="str">
            <v>Rancho Estanzuela No. 31</v>
          </cell>
          <cell r="E311" t="str">
            <v>Chávez Valdés</v>
          </cell>
          <cell r="F311">
            <v>300</v>
          </cell>
          <cell r="G311">
            <v>1</v>
          </cell>
          <cell r="H311">
            <v>300</v>
          </cell>
          <cell r="I311">
            <v>41280</v>
          </cell>
          <cell r="J311">
            <v>0</v>
          </cell>
          <cell r="W311">
            <v>0</v>
          </cell>
          <cell r="X311">
            <v>300</v>
          </cell>
          <cell r="AJ311">
            <v>300</v>
          </cell>
          <cell r="AW311">
            <v>0</v>
          </cell>
        </row>
        <row r="312">
          <cell r="B312">
            <v>3974</v>
          </cell>
          <cell r="C312" t="str">
            <v>EZ_31_</v>
          </cell>
          <cell r="D312" t="str">
            <v>Rancho Estanzuela No. 31</v>
          </cell>
          <cell r="E312" t="str">
            <v>Chávez Valdés</v>
          </cell>
          <cell r="F312">
            <v>300</v>
          </cell>
          <cell r="G312">
            <v>4</v>
          </cell>
          <cell r="H312">
            <v>160</v>
          </cell>
          <cell r="I312">
            <v>41280</v>
          </cell>
          <cell r="J312" t="str">
            <v>NO SUMA</v>
          </cell>
          <cell r="W312">
            <v>0</v>
          </cell>
          <cell r="AJ312">
            <v>0</v>
          </cell>
          <cell r="AW312">
            <v>0</v>
          </cell>
        </row>
        <row r="313">
          <cell r="B313">
            <v>3975</v>
          </cell>
          <cell r="C313" t="str">
            <v>EZ_119_1</v>
          </cell>
          <cell r="D313" t="str">
            <v>Rancho Estanzuela No. 119</v>
          </cell>
          <cell r="E313" t="str">
            <v>López Tovar</v>
          </cell>
          <cell r="F313">
            <v>300</v>
          </cell>
          <cell r="G313">
            <v>1</v>
          </cell>
          <cell r="H313">
            <v>300</v>
          </cell>
          <cell r="I313">
            <v>41280</v>
          </cell>
          <cell r="J313">
            <v>0</v>
          </cell>
          <cell r="V313">
            <v>300</v>
          </cell>
          <cell r="W313">
            <v>300</v>
          </cell>
          <cell r="AJ313">
            <v>0</v>
          </cell>
          <cell r="AW313">
            <v>0</v>
          </cell>
        </row>
        <row r="314">
          <cell r="B314">
            <v>3976</v>
          </cell>
          <cell r="C314" t="str">
            <v>UP_140_</v>
          </cell>
          <cell r="D314" t="str">
            <v>Rancho Upácuaro No. 140</v>
          </cell>
          <cell r="E314" t="str">
            <v>Gozain</v>
          </cell>
          <cell r="F314">
            <v>300</v>
          </cell>
          <cell r="G314">
            <v>1</v>
          </cell>
          <cell r="H314">
            <v>300</v>
          </cell>
          <cell r="I314">
            <v>41280</v>
          </cell>
          <cell r="J314">
            <v>0</v>
          </cell>
          <cell r="W314">
            <v>0</v>
          </cell>
          <cell r="X314">
            <v>300</v>
          </cell>
          <cell r="AJ314">
            <v>300</v>
          </cell>
          <cell r="AW314">
            <v>0</v>
          </cell>
        </row>
        <row r="315">
          <cell r="B315">
            <v>3977</v>
          </cell>
          <cell r="C315" t="str">
            <v>ZB_30_</v>
          </cell>
          <cell r="D315" t="str">
            <v>Rancho Zinamba No. 30</v>
          </cell>
          <cell r="E315" t="str">
            <v xml:space="preserve">Arroyo </v>
          </cell>
          <cell r="F315">
            <v>300</v>
          </cell>
          <cell r="G315">
            <v>1</v>
          </cell>
          <cell r="H315">
            <v>1800</v>
          </cell>
          <cell r="I315">
            <v>41280</v>
          </cell>
          <cell r="J315">
            <v>0</v>
          </cell>
          <cell r="W315">
            <v>0</v>
          </cell>
          <cell r="X315">
            <v>300</v>
          </cell>
          <cell r="Y315">
            <v>300</v>
          </cell>
          <cell r="Z315">
            <v>300</v>
          </cell>
          <cell r="AA315">
            <v>300</v>
          </cell>
          <cell r="AB315">
            <v>300</v>
          </cell>
          <cell r="AC315">
            <v>300</v>
          </cell>
          <cell r="AJ315">
            <v>1800</v>
          </cell>
          <cell r="AW315">
            <v>0</v>
          </cell>
        </row>
        <row r="316">
          <cell r="B316">
            <v>3978</v>
          </cell>
          <cell r="C316" t="str">
            <v>CL_20_</v>
          </cell>
          <cell r="D316" t="str">
            <v>Rancho La Cuchilla No. 20</v>
          </cell>
          <cell r="E316" t="str">
            <v>Sánchez López</v>
          </cell>
          <cell r="F316">
            <v>300</v>
          </cell>
          <cell r="G316">
            <v>1</v>
          </cell>
          <cell r="H316">
            <v>300</v>
          </cell>
          <cell r="I316">
            <v>41280</v>
          </cell>
          <cell r="J316">
            <v>0</v>
          </cell>
          <cell r="W316">
            <v>0</v>
          </cell>
          <cell r="X316">
            <v>300</v>
          </cell>
          <cell r="AJ316">
            <v>300</v>
          </cell>
          <cell r="AW316">
            <v>0</v>
          </cell>
        </row>
        <row r="317">
          <cell r="B317">
            <v>3979</v>
          </cell>
          <cell r="C317" t="str">
            <v>CL_111_</v>
          </cell>
          <cell r="D317" t="str">
            <v>Rancho La Cuchilla No. 111</v>
          </cell>
          <cell r="E317" t="str">
            <v>García Santos O.</v>
          </cell>
          <cell r="F317">
            <v>150</v>
          </cell>
          <cell r="G317">
            <v>1</v>
          </cell>
          <cell r="H317">
            <v>150</v>
          </cell>
          <cell r="I317">
            <v>41280</v>
          </cell>
          <cell r="J317">
            <v>0</v>
          </cell>
          <cell r="W317">
            <v>0</v>
          </cell>
          <cell r="X317">
            <v>150</v>
          </cell>
          <cell r="AJ317">
            <v>150</v>
          </cell>
          <cell r="AW317">
            <v>0</v>
          </cell>
        </row>
        <row r="318">
          <cell r="B318">
            <v>3980</v>
          </cell>
          <cell r="C318" t="str">
            <v>CL_12_</v>
          </cell>
          <cell r="D318" t="str">
            <v>Rancho La Cuchilla No. 12</v>
          </cell>
          <cell r="E318" t="str">
            <v>Rivera Flores</v>
          </cell>
          <cell r="F318">
            <v>300</v>
          </cell>
          <cell r="G318">
            <v>1</v>
          </cell>
          <cell r="H318">
            <v>300</v>
          </cell>
          <cell r="I318">
            <v>41280</v>
          </cell>
          <cell r="J318">
            <v>0</v>
          </cell>
          <cell r="W318">
            <v>0</v>
          </cell>
          <cell r="X318">
            <v>300</v>
          </cell>
          <cell r="AJ318">
            <v>300</v>
          </cell>
          <cell r="AW318">
            <v>0</v>
          </cell>
        </row>
        <row r="319">
          <cell r="B319">
            <v>3980</v>
          </cell>
          <cell r="C319" t="str">
            <v>CL_12_</v>
          </cell>
          <cell r="D319" t="str">
            <v>Rancho La Cuchilla No. 12</v>
          </cell>
          <cell r="E319" t="str">
            <v>Rivera Flores</v>
          </cell>
          <cell r="F319">
            <v>300</v>
          </cell>
          <cell r="G319">
            <v>2</v>
          </cell>
          <cell r="H319">
            <v>300</v>
          </cell>
          <cell r="I319">
            <v>41280</v>
          </cell>
          <cell r="J319" t="str">
            <v>NO SUMA</v>
          </cell>
          <cell r="W319">
            <v>0</v>
          </cell>
          <cell r="AJ319">
            <v>0</v>
          </cell>
          <cell r="AW319">
            <v>0</v>
          </cell>
        </row>
        <row r="320">
          <cell r="B320">
            <v>3981</v>
          </cell>
          <cell r="C320" t="str">
            <v>ZB_44_</v>
          </cell>
          <cell r="D320" t="str">
            <v>Rancho Zinamba No. 44</v>
          </cell>
          <cell r="E320" t="str">
            <v>Canales</v>
          </cell>
          <cell r="F320">
            <v>300</v>
          </cell>
          <cell r="G320">
            <v>1</v>
          </cell>
          <cell r="H320">
            <v>300</v>
          </cell>
          <cell r="I320">
            <v>41280</v>
          </cell>
          <cell r="J320">
            <v>0</v>
          </cell>
          <cell r="W320">
            <v>0</v>
          </cell>
          <cell r="X320">
            <v>300</v>
          </cell>
          <cell r="AJ320">
            <v>300</v>
          </cell>
          <cell r="AW320">
            <v>0</v>
          </cell>
        </row>
        <row r="321">
          <cell r="B321">
            <v>3982</v>
          </cell>
          <cell r="C321" t="str">
            <v>UP_60_</v>
          </cell>
          <cell r="D321" t="str">
            <v>Rancho Upácuaro No. 60</v>
          </cell>
          <cell r="E321" t="str">
            <v>Zavala</v>
          </cell>
          <cell r="F321">
            <v>300</v>
          </cell>
          <cell r="G321">
            <v>1</v>
          </cell>
          <cell r="H321">
            <v>300</v>
          </cell>
          <cell r="I321">
            <v>41280</v>
          </cell>
          <cell r="J321">
            <v>0</v>
          </cell>
          <cell r="W321">
            <v>0</v>
          </cell>
          <cell r="X321">
            <v>300</v>
          </cell>
          <cell r="AJ321">
            <v>300</v>
          </cell>
          <cell r="AW321">
            <v>0</v>
          </cell>
        </row>
        <row r="322">
          <cell r="B322">
            <v>3983</v>
          </cell>
          <cell r="C322" t="str">
            <v>UP_33_</v>
          </cell>
          <cell r="D322" t="str">
            <v>Rancho Upácuaro No. 33</v>
          </cell>
          <cell r="E322" t="str">
            <v>Ulloa Miranda</v>
          </cell>
          <cell r="F322">
            <v>300</v>
          </cell>
          <cell r="G322">
            <v>1</v>
          </cell>
          <cell r="H322">
            <v>300</v>
          </cell>
          <cell r="I322">
            <v>41280</v>
          </cell>
          <cell r="J322">
            <v>0</v>
          </cell>
          <cell r="W322">
            <v>0</v>
          </cell>
          <cell r="X322">
            <v>300</v>
          </cell>
          <cell r="AJ322">
            <v>300</v>
          </cell>
          <cell r="AW322">
            <v>0</v>
          </cell>
        </row>
        <row r="323">
          <cell r="B323">
            <v>3984</v>
          </cell>
          <cell r="C323" t="str">
            <v>CL_43_B</v>
          </cell>
          <cell r="D323" t="str">
            <v>Rancho La Cuchilla No. 43, B</v>
          </cell>
          <cell r="E323" t="str">
            <v>Luna Albertano</v>
          </cell>
          <cell r="F323">
            <v>125</v>
          </cell>
          <cell r="G323">
            <v>1</v>
          </cell>
          <cell r="H323">
            <v>125</v>
          </cell>
          <cell r="I323">
            <v>41280</v>
          </cell>
          <cell r="J323">
            <v>0</v>
          </cell>
          <cell r="W323">
            <v>0</v>
          </cell>
          <cell r="X323">
            <v>125</v>
          </cell>
          <cell r="AJ323">
            <v>125</v>
          </cell>
          <cell r="AW323">
            <v>0</v>
          </cell>
        </row>
        <row r="324">
          <cell r="B324">
            <v>3985</v>
          </cell>
          <cell r="C324" t="str">
            <v>LD_20_</v>
          </cell>
          <cell r="D324" t="str">
            <v>Rancho Landero No. 20</v>
          </cell>
          <cell r="E324" t="str">
            <v>Velasco</v>
          </cell>
          <cell r="F324">
            <v>300</v>
          </cell>
          <cell r="G324">
            <v>1</v>
          </cell>
          <cell r="H324">
            <v>600</v>
          </cell>
          <cell r="I324">
            <v>41280</v>
          </cell>
          <cell r="J324">
            <v>0</v>
          </cell>
          <cell r="U324">
            <v>300</v>
          </cell>
          <cell r="V324">
            <v>300</v>
          </cell>
          <cell r="W324">
            <v>600</v>
          </cell>
          <cell r="AJ324">
            <v>0</v>
          </cell>
          <cell r="AW324">
            <v>0</v>
          </cell>
        </row>
        <row r="325">
          <cell r="B325">
            <v>3986</v>
          </cell>
          <cell r="C325" t="str">
            <v>ZB_38_</v>
          </cell>
          <cell r="D325" t="str">
            <v>Rancho Zinamba No. 38</v>
          </cell>
          <cell r="E325" t="str">
            <v>Ramírez Díaz</v>
          </cell>
          <cell r="F325">
            <v>300</v>
          </cell>
          <cell r="G325">
            <v>1</v>
          </cell>
          <cell r="H325">
            <v>300</v>
          </cell>
          <cell r="I325">
            <v>41280</v>
          </cell>
          <cell r="J325">
            <v>0</v>
          </cell>
          <cell r="W325">
            <v>0</v>
          </cell>
          <cell r="X325">
            <v>300</v>
          </cell>
          <cell r="AJ325">
            <v>300</v>
          </cell>
          <cell r="AW325">
            <v>0</v>
          </cell>
        </row>
        <row r="326">
          <cell r="B326">
            <v>3987</v>
          </cell>
          <cell r="C326" t="str">
            <v>CL_19_</v>
          </cell>
          <cell r="D326" t="str">
            <v>Rancho La Cuchilla No. 19</v>
          </cell>
          <cell r="E326" t="str">
            <v>Tapia Vázquez</v>
          </cell>
          <cell r="F326">
            <v>300</v>
          </cell>
          <cell r="G326">
            <v>1</v>
          </cell>
          <cell r="H326">
            <v>300</v>
          </cell>
          <cell r="I326">
            <v>41280</v>
          </cell>
          <cell r="J326">
            <v>0</v>
          </cell>
          <cell r="W326">
            <v>0</v>
          </cell>
          <cell r="X326">
            <v>300</v>
          </cell>
          <cell r="AJ326">
            <v>300</v>
          </cell>
          <cell r="AW326">
            <v>0</v>
          </cell>
        </row>
        <row r="327">
          <cell r="B327">
            <v>3988</v>
          </cell>
          <cell r="C327" t="str">
            <v>RV_173_</v>
          </cell>
          <cell r="D327" t="str">
            <v>Rancho Recoveco No. 173</v>
          </cell>
          <cell r="E327" t="str">
            <v>Velarde</v>
          </cell>
          <cell r="F327">
            <v>300</v>
          </cell>
          <cell r="G327">
            <v>1</v>
          </cell>
          <cell r="H327">
            <v>300</v>
          </cell>
          <cell r="I327">
            <v>41280</v>
          </cell>
          <cell r="J327">
            <v>0</v>
          </cell>
          <cell r="W327">
            <v>0</v>
          </cell>
          <cell r="X327">
            <v>300</v>
          </cell>
          <cell r="AJ327">
            <v>300</v>
          </cell>
          <cell r="AW327">
            <v>0</v>
          </cell>
        </row>
        <row r="328">
          <cell r="B328">
            <v>3989</v>
          </cell>
          <cell r="C328" t="str">
            <v>ZB_80_</v>
          </cell>
          <cell r="D328" t="str">
            <v>Rancho Zinamba No. 80</v>
          </cell>
          <cell r="E328" t="str">
            <v>Vázquez</v>
          </cell>
          <cell r="F328">
            <v>300</v>
          </cell>
          <cell r="G328">
            <v>1</v>
          </cell>
          <cell r="H328">
            <v>300</v>
          </cell>
          <cell r="I328">
            <v>41280</v>
          </cell>
          <cell r="J328">
            <v>0</v>
          </cell>
          <cell r="W328">
            <v>0</v>
          </cell>
          <cell r="X328">
            <v>300</v>
          </cell>
          <cell r="AJ328">
            <v>300</v>
          </cell>
          <cell r="AW328">
            <v>0</v>
          </cell>
        </row>
        <row r="329">
          <cell r="B329">
            <v>3990</v>
          </cell>
          <cell r="C329" t="str">
            <v>EZ_9_B</v>
          </cell>
          <cell r="D329" t="str">
            <v>Rancho Estanzuela No. 9, B</v>
          </cell>
          <cell r="E329" t="str">
            <v>Velasco Rojas</v>
          </cell>
          <cell r="F329">
            <v>200</v>
          </cell>
          <cell r="G329">
            <v>1</v>
          </cell>
          <cell r="H329">
            <v>200</v>
          </cell>
          <cell r="I329">
            <v>41280</v>
          </cell>
          <cell r="J329">
            <v>0</v>
          </cell>
          <cell r="W329">
            <v>0</v>
          </cell>
          <cell r="X329">
            <v>200</v>
          </cell>
          <cell r="AJ329">
            <v>200</v>
          </cell>
          <cell r="AW329">
            <v>0</v>
          </cell>
        </row>
        <row r="330">
          <cell r="B330">
            <v>3991</v>
          </cell>
          <cell r="C330" t="str">
            <v>LD_26_</v>
          </cell>
          <cell r="D330" t="str">
            <v>Rancho Landero No. 26</v>
          </cell>
          <cell r="E330" t="str">
            <v>Balderas Martínez</v>
          </cell>
          <cell r="F330">
            <v>200</v>
          </cell>
          <cell r="G330">
            <v>1</v>
          </cell>
          <cell r="H330">
            <v>600</v>
          </cell>
          <cell r="I330">
            <v>41280</v>
          </cell>
          <cell r="J330">
            <v>0</v>
          </cell>
          <cell r="T330">
            <v>200</v>
          </cell>
          <cell r="U330">
            <v>200</v>
          </cell>
          <cell r="V330">
            <v>200</v>
          </cell>
          <cell r="W330">
            <v>600</v>
          </cell>
          <cell r="AJ330">
            <v>0</v>
          </cell>
          <cell r="AW330">
            <v>0</v>
          </cell>
        </row>
        <row r="331">
          <cell r="B331">
            <v>3992</v>
          </cell>
          <cell r="C331" t="str">
            <v>CL_15_</v>
          </cell>
          <cell r="D331" t="str">
            <v>Rancho La Cuchilla No. 15</v>
          </cell>
          <cell r="E331" t="str">
            <v>Guerrero Ponce</v>
          </cell>
          <cell r="F331">
            <v>300</v>
          </cell>
          <cell r="G331">
            <v>1</v>
          </cell>
          <cell r="H331">
            <v>900</v>
          </cell>
          <cell r="I331">
            <v>41280</v>
          </cell>
          <cell r="J331">
            <v>0</v>
          </cell>
          <cell r="T331">
            <v>300</v>
          </cell>
          <cell r="U331">
            <v>300</v>
          </cell>
          <cell r="V331">
            <v>300</v>
          </cell>
          <cell r="W331">
            <v>900</v>
          </cell>
          <cell r="AJ331">
            <v>0</v>
          </cell>
          <cell r="AW331">
            <v>0</v>
          </cell>
        </row>
        <row r="332">
          <cell r="B332">
            <v>3993</v>
          </cell>
          <cell r="C332" t="str">
            <v>RV_195_</v>
          </cell>
          <cell r="D332" t="str">
            <v>Rancho Recoveco No. 195</v>
          </cell>
          <cell r="E332" t="str">
            <v>Sandoval</v>
          </cell>
          <cell r="F332">
            <v>300</v>
          </cell>
          <cell r="G332">
            <v>1</v>
          </cell>
          <cell r="H332">
            <v>300</v>
          </cell>
          <cell r="I332">
            <v>41280</v>
          </cell>
          <cell r="J332">
            <v>0</v>
          </cell>
          <cell r="W332">
            <v>0</v>
          </cell>
          <cell r="X332">
            <v>300</v>
          </cell>
          <cell r="AJ332">
            <v>300</v>
          </cell>
          <cell r="AW332">
            <v>0</v>
          </cell>
        </row>
        <row r="333">
          <cell r="B333">
            <v>3994</v>
          </cell>
          <cell r="C333" t="str">
            <v>EZ_151_</v>
          </cell>
          <cell r="D333" t="str">
            <v>Rancho Estanzuela No. 151</v>
          </cell>
          <cell r="E333" t="str">
            <v>Pérez Salazar</v>
          </cell>
          <cell r="F333">
            <v>300</v>
          </cell>
          <cell r="G333">
            <v>1</v>
          </cell>
          <cell r="H333">
            <v>300</v>
          </cell>
          <cell r="I333">
            <v>41280</v>
          </cell>
          <cell r="J333">
            <v>0</v>
          </cell>
          <cell r="W333">
            <v>0</v>
          </cell>
          <cell r="X333">
            <v>300</v>
          </cell>
          <cell r="AJ333">
            <v>300</v>
          </cell>
          <cell r="AW333">
            <v>0</v>
          </cell>
        </row>
        <row r="334">
          <cell r="B334">
            <v>3995</v>
          </cell>
          <cell r="C334" t="str">
            <v>CL_33_</v>
          </cell>
          <cell r="D334" t="str">
            <v>Rancho La Cuchilla No. 33</v>
          </cell>
          <cell r="E334" t="str">
            <v>Tanús</v>
          </cell>
          <cell r="F334">
            <v>300</v>
          </cell>
          <cell r="G334">
            <v>1</v>
          </cell>
          <cell r="H334">
            <v>300</v>
          </cell>
          <cell r="I334">
            <v>41280</v>
          </cell>
          <cell r="J334">
            <v>0</v>
          </cell>
          <cell r="W334">
            <v>0</v>
          </cell>
          <cell r="X334">
            <v>300</v>
          </cell>
          <cell r="AJ334">
            <v>300</v>
          </cell>
          <cell r="AW334">
            <v>0</v>
          </cell>
        </row>
        <row r="335">
          <cell r="B335">
            <v>3996</v>
          </cell>
          <cell r="C335" t="str">
            <v>LD_77_</v>
          </cell>
          <cell r="D335" t="str">
            <v>Rancho Landero No. 77</v>
          </cell>
          <cell r="E335" t="str">
            <v>Muñoz</v>
          </cell>
          <cell r="F335">
            <v>300</v>
          </cell>
          <cell r="G335">
            <v>1</v>
          </cell>
          <cell r="H335">
            <v>600</v>
          </cell>
          <cell r="I335">
            <v>41280</v>
          </cell>
          <cell r="J335">
            <v>0</v>
          </cell>
          <cell r="V335">
            <v>300</v>
          </cell>
          <cell r="W335">
            <v>300</v>
          </cell>
          <cell r="X335">
            <v>300</v>
          </cell>
          <cell r="AJ335">
            <v>300</v>
          </cell>
          <cell r="AW335">
            <v>0</v>
          </cell>
        </row>
        <row r="336">
          <cell r="B336">
            <v>3997</v>
          </cell>
          <cell r="C336" t="str">
            <v>ZB_20_</v>
          </cell>
          <cell r="D336" t="str">
            <v>Rancho Zinamba No. 20</v>
          </cell>
          <cell r="E336" t="str">
            <v>Alegre Retana</v>
          </cell>
          <cell r="F336">
            <v>300</v>
          </cell>
          <cell r="G336">
            <v>1</v>
          </cell>
          <cell r="H336">
            <v>300</v>
          </cell>
          <cell r="I336">
            <v>41280</v>
          </cell>
          <cell r="J336">
            <v>0</v>
          </cell>
          <cell r="V336">
            <v>300</v>
          </cell>
          <cell r="W336">
            <v>300</v>
          </cell>
          <cell r="AJ336">
            <v>0</v>
          </cell>
          <cell r="AW336">
            <v>0</v>
          </cell>
        </row>
        <row r="337">
          <cell r="B337">
            <v>3998</v>
          </cell>
          <cell r="C337" t="str">
            <v>EZ_115_</v>
          </cell>
          <cell r="D337" t="str">
            <v>Rancho Estanzuela No. 115</v>
          </cell>
          <cell r="E337" t="str">
            <v>Frías Solórzano</v>
          </cell>
          <cell r="F337">
            <v>200</v>
          </cell>
          <cell r="G337">
            <v>3</v>
          </cell>
          <cell r="H337">
            <v>150</v>
          </cell>
          <cell r="I337">
            <v>41280</v>
          </cell>
          <cell r="J337" t="str">
            <v>NO SUMA</v>
          </cell>
          <cell r="W337">
            <v>0</v>
          </cell>
          <cell r="AJ337">
            <v>0</v>
          </cell>
          <cell r="AW337">
            <v>0</v>
          </cell>
        </row>
        <row r="338">
          <cell r="B338">
            <v>3999</v>
          </cell>
          <cell r="C338" t="str">
            <v>EZ_21_</v>
          </cell>
          <cell r="D338" t="str">
            <v>Rancho Estanzuela No. 21</v>
          </cell>
          <cell r="E338" t="str">
            <v>Chavero Barrera</v>
          </cell>
          <cell r="F338">
            <v>300</v>
          </cell>
          <cell r="G338">
            <v>1</v>
          </cell>
          <cell r="H338">
            <v>600</v>
          </cell>
          <cell r="I338">
            <v>41280</v>
          </cell>
          <cell r="J338">
            <v>0</v>
          </cell>
          <cell r="V338">
            <v>300</v>
          </cell>
          <cell r="W338">
            <v>300</v>
          </cell>
          <cell r="X338">
            <v>300</v>
          </cell>
          <cell r="AJ338">
            <v>300</v>
          </cell>
          <cell r="AW338">
            <v>0</v>
          </cell>
        </row>
        <row r="339">
          <cell r="B339">
            <v>4000</v>
          </cell>
          <cell r="C339" t="str">
            <v>RV_175_0</v>
          </cell>
          <cell r="D339" t="str">
            <v>Rancho Recoveco No. 175</v>
          </cell>
          <cell r="E339" t="str">
            <v>Ramírez</v>
          </cell>
          <cell r="F339">
            <v>300</v>
          </cell>
          <cell r="G339">
            <v>1</v>
          </cell>
          <cell r="H339">
            <v>300</v>
          </cell>
          <cell r="I339">
            <v>41280</v>
          </cell>
          <cell r="J339">
            <v>0</v>
          </cell>
          <cell r="W339">
            <v>0</v>
          </cell>
          <cell r="X339">
            <v>300</v>
          </cell>
          <cell r="AJ339">
            <v>300</v>
          </cell>
          <cell r="AW339">
            <v>0</v>
          </cell>
        </row>
        <row r="340">
          <cell r="B340">
            <v>4001</v>
          </cell>
          <cell r="C340" t="str">
            <v>RV_175_B</v>
          </cell>
          <cell r="D340" t="str">
            <v>Rancho Recoveco No. 175, B</v>
          </cell>
          <cell r="E340" t="str">
            <v>García Calderón</v>
          </cell>
          <cell r="F340">
            <v>150</v>
          </cell>
          <cell r="G340">
            <v>1</v>
          </cell>
          <cell r="H340">
            <v>150</v>
          </cell>
          <cell r="I340">
            <v>41280</v>
          </cell>
          <cell r="J340">
            <v>0</v>
          </cell>
          <cell r="W340">
            <v>0</v>
          </cell>
          <cell r="X340">
            <v>150</v>
          </cell>
          <cell r="AJ340">
            <v>150</v>
          </cell>
          <cell r="AW340">
            <v>0</v>
          </cell>
        </row>
        <row r="341">
          <cell r="B341">
            <v>4002</v>
          </cell>
          <cell r="C341" t="str">
            <v>EZ_69_</v>
          </cell>
          <cell r="D341" t="str">
            <v>Rancho Estanzuela No. 69</v>
          </cell>
          <cell r="E341" t="str">
            <v>Apaez</v>
          </cell>
          <cell r="F341">
            <v>300</v>
          </cell>
          <cell r="G341">
            <v>1</v>
          </cell>
          <cell r="H341">
            <v>300</v>
          </cell>
          <cell r="I341">
            <v>41280</v>
          </cell>
          <cell r="J341">
            <v>0</v>
          </cell>
          <cell r="W341">
            <v>0</v>
          </cell>
          <cell r="X341">
            <v>300</v>
          </cell>
          <cell r="AJ341">
            <v>300</v>
          </cell>
          <cell r="AW341">
            <v>0</v>
          </cell>
        </row>
        <row r="342">
          <cell r="B342">
            <v>4003</v>
          </cell>
          <cell r="C342" t="str">
            <v>CL_46_</v>
          </cell>
          <cell r="D342" t="str">
            <v>Rancho La Cuchilla No. 46</v>
          </cell>
          <cell r="E342" t="str">
            <v>Cruz López</v>
          </cell>
          <cell r="F342">
            <v>300</v>
          </cell>
          <cell r="G342">
            <v>1</v>
          </cell>
          <cell r="H342">
            <v>300</v>
          </cell>
          <cell r="I342">
            <v>41280</v>
          </cell>
          <cell r="J342">
            <v>0</v>
          </cell>
          <cell r="W342">
            <v>0</v>
          </cell>
          <cell r="X342">
            <v>300</v>
          </cell>
          <cell r="AJ342">
            <v>300</v>
          </cell>
          <cell r="AW342">
            <v>0</v>
          </cell>
        </row>
        <row r="343">
          <cell r="B343">
            <v>4004</v>
          </cell>
          <cell r="C343" t="str">
            <v>UP_19_</v>
          </cell>
          <cell r="D343" t="str">
            <v>Rancho Upácuaro No. 19</v>
          </cell>
          <cell r="E343" t="str">
            <v>Peña Inclán</v>
          </cell>
          <cell r="F343">
            <v>200</v>
          </cell>
          <cell r="G343">
            <v>1</v>
          </cell>
          <cell r="H343">
            <v>200</v>
          </cell>
          <cell r="I343">
            <v>41280</v>
          </cell>
          <cell r="J343">
            <v>0</v>
          </cell>
          <cell r="W343">
            <v>0</v>
          </cell>
          <cell r="X343">
            <v>200</v>
          </cell>
          <cell r="AJ343">
            <v>200</v>
          </cell>
          <cell r="AW343">
            <v>0</v>
          </cell>
        </row>
        <row r="344">
          <cell r="B344">
            <v>4005</v>
          </cell>
          <cell r="C344" t="str">
            <v>UP_76_</v>
          </cell>
          <cell r="D344" t="str">
            <v>Rancho Upácuaro No. 76</v>
          </cell>
          <cell r="E344" t="str">
            <v>Ruiz de San Pedro</v>
          </cell>
          <cell r="F344">
            <v>300</v>
          </cell>
          <cell r="G344">
            <v>1</v>
          </cell>
          <cell r="H344">
            <v>300</v>
          </cell>
          <cell r="I344">
            <v>41280</v>
          </cell>
          <cell r="J344">
            <v>0</v>
          </cell>
          <cell r="W344">
            <v>0</v>
          </cell>
          <cell r="X344">
            <v>300</v>
          </cell>
          <cell r="AJ344">
            <v>300</v>
          </cell>
          <cell r="AW344">
            <v>0</v>
          </cell>
        </row>
        <row r="345">
          <cell r="B345">
            <v>4006</v>
          </cell>
          <cell r="C345" t="str">
            <v>CL_59_</v>
          </cell>
          <cell r="D345" t="str">
            <v>Rancho La Cuchilla No. 59</v>
          </cell>
          <cell r="E345" t="str">
            <v>Ortega Vega</v>
          </cell>
          <cell r="F345">
            <v>300</v>
          </cell>
          <cell r="G345">
            <v>1</v>
          </cell>
          <cell r="H345">
            <v>300</v>
          </cell>
          <cell r="I345">
            <v>41280</v>
          </cell>
          <cell r="J345">
            <v>0</v>
          </cell>
          <cell r="W345">
            <v>0</v>
          </cell>
          <cell r="X345">
            <v>300</v>
          </cell>
          <cell r="AJ345">
            <v>300</v>
          </cell>
          <cell r="AW345">
            <v>0</v>
          </cell>
        </row>
        <row r="346">
          <cell r="B346">
            <v>4007</v>
          </cell>
          <cell r="C346" t="str">
            <v>ZB_56_</v>
          </cell>
          <cell r="D346" t="str">
            <v>Rancho Zinamba No. 56</v>
          </cell>
          <cell r="E346" t="str">
            <v>Aguado</v>
          </cell>
          <cell r="F346">
            <v>250</v>
          </cell>
          <cell r="G346">
            <v>1</v>
          </cell>
          <cell r="H346">
            <v>250</v>
          </cell>
          <cell r="I346">
            <v>41280</v>
          </cell>
          <cell r="J346">
            <v>0</v>
          </cell>
          <cell r="W346">
            <v>0</v>
          </cell>
          <cell r="X346">
            <v>250</v>
          </cell>
          <cell r="AJ346">
            <v>250</v>
          </cell>
          <cell r="AW346">
            <v>0</v>
          </cell>
        </row>
        <row r="347">
          <cell r="B347">
            <v>4008</v>
          </cell>
          <cell r="C347" t="str">
            <v>UP_63_</v>
          </cell>
          <cell r="D347" t="str">
            <v>Rancho Upácuaro No. 63</v>
          </cell>
          <cell r="E347" t="str">
            <v>González Benavides</v>
          </cell>
          <cell r="F347">
            <v>300</v>
          </cell>
          <cell r="G347">
            <v>1</v>
          </cell>
          <cell r="H347">
            <v>300</v>
          </cell>
          <cell r="I347">
            <v>41280</v>
          </cell>
          <cell r="J347">
            <v>0</v>
          </cell>
          <cell r="W347">
            <v>0</v>
          </cell>
          <cell r="X347">
            <v>300</v>
          </cell>
          <cell r="AJ347">
            <v>300</v>
          </cell>
          <cell r="AW347">
            <v>0</v>
          </cell>
        </row>
        <row r="348">
          <cell r="B348">
            <v>4009</v>
          </cell>
          <cell r="C348" t="str">
            <v>CL_81_A</v>
          </cell>
          <cell r="D348" t="str">
            <v>Rancho La Cuchilla No. 81, A</v>
          </cell>
          <cell r="E348" t="str">
            <v>Barrientos López</v>
          </cell>
          <cell r="F348">
            <v>300</v>
          </cell>
          <cell r="G348">
            <v>1</v>
          </cell>
          <cell r="H348">
            <v>300</v>
          </cell>
          <cell r="I348">
            <v>41280</v>
          </cell>
          <cell r="J348">
            <v>0</v>
          </cell>
          <cell r="W348">
            <v>0</v>
          </cell>
          <cell r="X348">
            <v>300</v>
          </cell>
          <cell r="AJ348">
            <v>300</v>
          </cell>
          <cell r="AW348">
            <v>0</v>
          </cell>
        </row>
        <row r="349">
          <cell r="B349">
            <v>4010</v>
          </cell>
          <cell r="C349" t="str">
            <v>LD_101_</v>
          </cell>
          <cell r="D349" t="str">
            <v>Rancho Landero No. 101</v>
          </cell>
          <cell r="E349" t="str">
            <v>Ramírez</v>
          </cell>
          <cell r="F349">
            <v>300</v>
          </cell>
          <cell r="G349">
            <v>1</v>
          </cell>
          <cell r="H349">
            <v>300</v>
          </cell>
          <cell r="I349">
            <v>41280</v>
          </cell>
          <cell r="J349">
            <v>0</v>
          </cell>
          <cell r="W349">
            <v>0</v>
          </cell>
          <cell r="X349">
            <v>300</v>
          </cell>
          <cell r="AJ349">
            <v>300</v>
          </cell>
          <cell r="AW349">
            <v>0</v>
          </cell>
        </row>
        <row r="350">
          <cell r="B350">
            <v>4011</v>
          </cell>
          <cell r="C350" t="str">
            <v>ZB_12_</v>
          </cell>
          <cell r="D350" t="str">
            <v>Rancho Zinamba No. 12</v>
          </cell>
          <cell r="E350" t="str">
            <v>Rodríguez</v>
          </cell>
          <cell r="F350">
            <v>400</v>
          </cell>
          <cell r="G350">
            <v>1</v>
          </cell>
          <cell r="H350">
            <v>800</v>
          </cell>
          <cell r="I350">
            <v>41281</v>
          </cell>
          <cell r="J350">
            <v>0</v>
          </cell>
          <cell r="V350">
            <v>400</v>
          </cell>
          <cell r="W350">
            <v>400</v>
          </cell>
          <cell r="X350">
            <v>400</v>
          </cell>
          <cell r="AJ350">
            <v>400</v>
          </cell>
          <cell r="AW350">
            <v>0</v>
          </cell>
        </row>
        <row r="351">
          <cell r="B351">
            <v>4012</v>
          </cell>
          <cell r="C351" t="str">
            <v>UP_124_</v>
          </cell>
          <cell r="D351" t="str">
            <v>Rancho Upácuaro No. 124</v>
          </cell>
          <cell r="E351" t="str">
            <v>Reyes Nicandro</v>
          </cell>
          <cell r="F351">
            <v>300</v>
          </cell>
          <cell r="G351">
            <v>1</v>
          </cell>
          <cell r="H351">
            <v>300</v>
          </cell>
          <cell r="I351">
            <v>41281</v>
          </cell>
          <cell r="J351">
            <v>0</v>
          </cell>
          <cell r="W351">
            <v>0</v>
          </cell>
          <cell r="X351">
            <v>300</v>
          </cell>
          <cell r="AJ351">
            <v>300</v>
          </cell>
          <cell r="AW351">
            <v>0</v>
          </cell>
        </row>
        <row r="352">
          <cell r="B352">
            <v>4013</v>
          </cell>
          <cell r="C352" t="str">
            <v>LD_83_</v>
          </cell>
          <cell r="D352" t="str">
            <v>Rancho Landero No. 83</v>
          </cell>
          <cell r="E352" t="str">
            <v>Aguilar</v>
          </cell>
          <cell r="F352">
            <v>300</v>
          </cell>
          <cell r="G352">
            <v>1</v>
          </cell>
          <cell r="H352">
            <v>300</v>
          </cell>
          <cell r="I352">
            <v>41280</v>
          </cell>
          <cell r="J352">
            <v>0</v>
          </cell>
          <cell r="W352">
            <v>0</v>
          </cell>
          <cell r="X352">
            <v>300</v>
          </cell>
          <cell r="AJ352">
            <v>300</v>
          </cell>
          <cell r="AW352">
            <v>0</v>
          </cell>
        </row>
        <row r="353">
          <cell r="B353">
            <v>4014</v>
          </cell>
          <cell r="C353" t="str">
            <v>EZ_15_B</v>
          </cell>
          <cell r="D353" t="str">
            <v>Rancho Estanzuela No. 15, B</v>
          </cell>
          <cell r="E353" t="str">
            <v>Frade Torres</v>
          </cell>
          <cell r="F353">
            <v>150</v>
          </cell>
          <cell r="G353">
            <v>1</v>
          </cell>
          <cell r="H353">
            <v>1650</v>
          </cell>
          <cell r="I353">
            <v>41281</v>
          </cell>
          <cell r="J353">
            <v>0</v>
          </cell>
          <cell r="W353">
            <v>0</v>
          </cell>
          <cell r="X353">
            <v>150</v>
          </cell>
          <cell r="Y353">
            <v>150</v>
          </cell>
          <cell r="Z353">
            <v>150</v>
          </cell>
          <cell r="AA353">
            <v>150</v>
          </cell>
          <cell r="AB353">
            <v>150</v>
          </cell>
          <cell r="AC353">
            <v>150</v>
          </cell>
          <cell r="AD353">
            <v>150</v>
          </cell>
          <cell r="AE353">
            <v>150</v>
          </cell>
          <cell r="AF353">
            <v>150</v>
          </cell>
          <cell r="AG353">
            <v>150</v>
          </cell>
          <cell r="AH353">
            <v>150</v>
          </cell>
          <cell r="AJ353">
            <v>1650</v>
          </cell>
          <cell r="AW353">
            <v>0</v>
          </cell>
        </row>
        <row r="354">
          <cell r="B354">
            <v>4015</v>
          </cell>
          <cell r="C354" t="str">
            <v>UP_146_</v>
          </cell>
          <cell r="D354" t="str">
            <v>Rancho Upácuaro No. 146</v>
          </cell>
          <cell r="E354" t="str">
            <v>Islas</v>
          </cell>
          <cell r="F354">
            <v>300</v>
          </cell>
          <cell r="G354">
            <v>1</v>
          </cell>
          <cell r="H354">
            <v>300</v>
          </cell>
          <cell r="I354">
            <v>41282</v>
          </cell>
          <cell r="J354">
            <v>0</v>
          </cell>
          <cell r="V354">
            <v>300</v>
          </cell>
          <cell r="W354">
            <v>300</v>
          </cell>
          <cell r="AJ354">
            <v>0</v>
          </cell>
          <cell r="AW354">
            <v>0</v>
          </cell>
        </row>
        <row r="355">
          <cell r="B355">
            <v>4016</v>
          </cell>
          <cell r="C355" t="str">
            <v>CL_21_</v>
          </cell>
          <cell r="D355" t="str">
            <v>Rancho La Cuchilla No. 21</v>
          </cell>
          <cell r="E355" t="str">
            <v>Solórzano Calderón</v>
          </cell>
          <cell r="F355">
            <v>300</v>
          </cell>
          <cell r="G355">
            <v>1</v>
          </cell>
          <cell r="H355">
            <v>3300</v>
          </cell>
          <cell r="I355">
            <v>41282</v>
          </cell>
          <cell r="J355">
            <v>0</v>
          </cell>
          <cell r="W355">
            <v>0</v>
          </cell>
          <cell r="X355">
            <v>300</v>
          </cell>
          <cell r="Y355">
            <v>300</v>
          </cell>
          <cell r="Z355">
            <v>300</v>
          </cell>
          <cell r="AA355">
            <v>300</v>
          </cell>
          <cell r="AB355">
            <v>300</v>
          </cell>
          <cell r="AC355">
            <v>300</v>
          </cell>
          <cell r="AD355">
            <v>300</v>
          </cell>
          <cell r="AE355">
            <v>300</v>
          </cell>
          <cell r="AF355">
            <v>300</v>
          </cell>
          <cell r="AG355">
            <v>300</v>
          </cell>
          <cell r="AH355">
            <v>300</v>
          </cell>
          <cell r="AJ355">
            <v>3300</v>
          </cell>
          <cell r="AW355">
            <v>0</v>
          </cell>
        </row>
        <row r="356">
          <cell r="B356">
            <v>4017</v>
          </cell>
          <cell r="C356" t="str">
            <v>RM_10_B</v>
          </cell>
          <cell r="D356" t="str">
            <v>Rancho Romeral No. 10, B</v>
          </cell>
          <cell r="E356" t="str">
            <v>López Castellano</v>
          </cell>
          <cell r="F356">
            <v>300</v>
          </cell>
          <cell r="G356">
            <v>1</v>
          </cell>
          <cell r="H356">
            <v>600</v>
          </cell>
          <cell r="I356">
            <v>41282</v>
          </cell>
          <cell r="J356">
            <v>0</v>
          </cell>
          <cell r="V356">
            <v>300</v>
          </cell>
          <cell r="W356">
            <v>300</v>
          </cell>
          <cell r="X356">
            <v>300</v>
          </cell>
          <cell r="AJ356">
            <v>300</v>
          </cell>
          <cell r="AW356">
            <v>0</v>
          </cell>
        </row>
        <row r="357">
          <cell r="B357">
            <v>4018</v>
          </cell>
          <cell r="C357" t="str">
            <v>EZ_67_</v>
          </cell>
          <cell r="D357" t="str">
            <v>Rancho Estanzuela No. 67</v>
          </cell>
          <cell r="E357" t="str">
            <v>Carmona Galarza</v>
          </cell>
          <cell r="F357">
            <v>300</v>
          </cell>
          <cell r="G357">
            <v>1</v>
          </cell>
          <cell r="H357">
            <v>3300</v>
          </cell>
          <cell r="I357">
            <v>41283</v>
          </cell>
          <cell r="J357">
            <v>0</v>
          </cell>
          <cell r="W357">
            <v>0</v>
          </cell>
          <cell r="X357">
            <v>300</v>
          </cell>
          <cell r="Y357">
            <v>300</v>
          </cell>
          <cell r="Z357">
            <v>300</v>
          </cell>
          <cell r="AA357">
            <v>300</v>
          </cell>
          <cell r="AB357">
            <v>300</v>
          </cell>
          <cell r="AC357">
            <v>300</v>
          </cell>
          <cell r="AD357">
            <v>300</v>
          </cell>
          <cell r="AE357">
            <v>300</v>
          </cell>
          <cell r="AF357">
            <v>300</v>
          </cell>
          <cell r="AG357">
            <v>300</v>
          </cell>
          <cell r="AH357">
            <v>300</v>
          </cell>
          <cell r="AJ357">
            <v>3300</v>
          </cell>
          <cell r="AW357">
            <v>0</v>
          </cell>
        </row>
        <row r="358">
          <cell r="B358">
            <v>6088</v>
          </cell>
          <cell r="C358" t="str">
            <v>UP_46_</v>
          </cell>
          <cell r="D358" t="str">
            <v>Rancho Upácuaro No. 46</v>
          </cell>
          <cell r="E358" t="str">
            <v>Fuentes</v>
          </cell>
          <cell r="F358">
            <v>300</v>
          </cell>
          <cell r="G358">
            <v>1</v>
          </cell>
          <cell r="H358">
            <v>300</v>
          </cell>
          <cell r="I358">
            <v>41284</v>
          </cell>
          <cell r="J358">
            <v>0</v>
          </cell>
          <cell r="W358">
            <v>0</v>
          </cell>
          <cell r="X358">
            <v>300</v>
          </cell>
          <cell r="AJ358">
            <v>300</v>
          </cell>
          <cell r="AW358">
            <v>0</v>
          </cell>
        </row>
        <row r="359">
          <cell r="B359">
            <v>6089</v>
          </cell>
          <cell r="C359" t="str">
            <v>CL_29_</v>
          </cell>
          <cell r="D359" t="str">
            <v>Rancho La Cuchilla No. 29</v>
          </cell>
          <cell r="E359" t="str">
            <v>Vega Sánchez C.</v>
          </cell>
          <cell r="F359">
            <v>300</v>
          </cell>
          <cell r="G359">
            <v>1</v>
          </cell>
          <cell r="H359">
            <v>300</v>
          </cell>
          <cell r="I359">
            <v>41284</v>
          </cell>
          <cell r="J359">
            <v>0</v>
          </cell>
          <cell r="W359">
            <v>0</v>
          </cell>
          <cell r="X359">
            <v>300</v>
          </cell>
          <cell r="AJ359">
            <v>300</v>
          </cell>
          <cell r="AW359">
            <v>0</v>
          </cell>
        </row>
        <row r="360">
          <cell r="B360">
            <v>4019</v>
          </cell>
          <cell r="C360" t="str">
            <v>HS_828_</v>
          </cell>
          <cell r="D360" t="str">
            <v>Calzada del Hueso No. 828</v>
          </cell>
          <cell r="E360" t="str">
            <v>Cervantes, Miguel</v>
          </cell>
          <cell r="F360">
            <v>300</v>
          </cell>
          <cell r="G360">
            <v>1</v>
          </cell>
          <cell r="H360">
            <v>300</v>
          </cell>
          <cell r="I360">
            <v>41284</v>
          </cell>
          <cell r="J360">
            <v>0</v>
          </cell>
          <cell r="W360">
            <v>0</v>
          </cell>
          <cell r="X360">
            <v>300</v>
          </cell>
          <cell r="AJ360">
            <v>300</v>
          </cell>
          <cell r="AW360">
            <v>0</v>
          </cell>
        </row>
        <row r="361">
          <cell r="B361">
            <v>4020</v>
          </cell>
          <cell r="C361" t="str">
            <v>EZ_147_2</v>
          </cell>
          <cell r="D361" t="str">
            <v>Rancho Estanzuela No. 147, 2</v>
          </cell>
          <cell r="E361" t="str">
            <v>Castrejón Ocampo</v>
          </cell>
          <cell r="F361">
            <v>300</v>
          </cell>
          <cell r="G361">
            <v>1</v>
          </cell>
          <cell r="H361">
            <v>600</v>
          </cell>
          <cell r="I361">
            <v>41282</v>
          </cell>
          <cell r="J361">
            <v>0</v>
          </cell>
          <cell r="U361">
            <v>300</v>
          </cell>
          <cell r="V361">
            <v>300</v>
          </cell>
          <cell r="W361">
            <v>600</v>
          </cell>
          <cell r="AJ361">
            <v>0</v>
          </cell>
          <cell r="AW361">
            <v>0</v>
          </cell>
        </row>
        <row r="362">
          <cell r="B362">
            <v>4021</v>
          </cell>
          <cell r="C362" t="str">
            <v>CL_112_PB</v>
          </cell>
          <cell r="D362" t="str">
            <v>Rancho La Cuchilla No. 112, PB</v>
          </cell>
          <cell r="E362" t="str">
            <v>Soreque</v>
          </cell>
          <cell r="F362">
            <v>150</v>
          </cell>
          <cell r="G362">
            <v>1</v>
          </cell>
          <cell r="H362">
            <v>150</v>
          </cell>
          <cell r="I362">
            <v>41284</v>
          </cell>
          <cell r="J362">
            <v>0</v>
          </cell>
          <cell r="W362">
            <v>0</v>
          </cell>
          <cell r="X362">
            <v>150</v>
          </cell>
          <cell r="AJ362">
            <v>150</v>
          </cell>
          <cell r="AW362">
            <v>0</v>
          </cell>
        </row>
        <row r="363">
          <cell r="B363">
            <v>4022</v>
          </cell>
          <cell r="C363" t="str">
            <v>UP_7_</v>
          </cell>
          <cell r="D363" t="str">
            <v>Rancho Upácuaro No. 7</v>
          </cell>
          <cell r="E363" t="str">
            <v xml:space="preserve">Troncoso </v>
          </cell>
          <cell r="F363">
            <v>300</v>
          </cell>
          <cell r="G363">
            <v>1</v>
          </cell>
          <cell r="H363">
            <v>3300</v>
          </cell>
          <cell r="I363">
            <v>41284</v>
          </cell>
          <cell r="J363">
            <v>0</v>
          </cell>
          <cell r="W363">
            <v>0</v>
          </cell>
          <cell r="X363">
            <v>300</v>
          </cell>
          <cell r="Y363">
            <v>300</v>
          </cell>
          <cell r="Z363">
            <v>300</v>
          </cell>
          <cell r="AA363">
            <v>300</v>
          </cell>
          <cell r="AB363">
            <v>300</v>
          </cell>
          <cell r="AC363">
            <v>300</v>
          </cell>
          <cell r="AD363">
            <v>300</v>
          </cell>
          <cell r="AE363">
            <v>300</v>
          </cell>
          <cell r="AF363">
            <v>300</v>
          </cell>
          <cell r="AG363">
            <v>300</v>
          </cell>
          <cell r="AH363">
            <v>300</v>
          </cell>
          <cell r="AJ363">
            <v>3300</v>
          </cell>
          <cell r="AW363">
            <v>0</v>
          </cell>
        </row>
        <row r="364">
          <cell r="B364">
            <v>4023</v>
          </cell>
          <cell r="C364" t="str">
            <v>CL_141_</v>
          </cell>
          <cell r="D364" t="str">
            <v>Rancho La Cuchilla No. 141</v>
          </cell>
          <cell r="E364" t="str">
            <v>Salazar</v>
          </cell>
          <cell r="F364">
            <v>300</v>
          </cell>
          <cell r="G364">
            <v>1</v>
          </cell>
          <cell r="H364">
            <v>3600</v>
          </cell>
          <cell r="I364">
            <v>41285</v>
          </cell>
          <cell r="J364">
            <v>0</v>
          </cell>
          <cell r="W364">
            <v>0</v>
          </cell>
          <cell r="X364">
            <v>300</v>
          </cell>
          <cell r="Y364">
            <v>300</v>
          </cell>
          <cell r="Z364">
            <v>300</v>
          </cell>
          <cell r="AA364">
            <v>300</v>
          </cell>
          <cell r="AB364">
            <v>300</v>
          </cell>
          <cell r="AC364">
            <v>300</v>
          </cell>
          <cell r="AD364">
            <v>300</v>
          </cell>
          <cell r="AE364">
            <v>300</v>
          </cell>
          <cell r="AF364">
            <v>300</v>
          </cell>
          <cell r="AG364">
            <v>300</v>
          </cell>
          <cell r="AH364">
            <v>300</v>
          </cell>
          <cell r="AI364">
            <v>300</v>
          </cell>
          <cell r="AJ364">
            <v>3600</v>
          </cell>
          <cell r="AW364">
            <v>0</v>
          </cell>
        </row>
        <row r="365">
          <cell r="B365">
            <v>4024</v>
          </cell>
          <cell r="C365" t="str">
            <v>EZ_127_</v>
          </cell>
          <cell r="D365" t="str">
            <v>Rancho Estanzuela No. 127</v>
          </cell>
          <cell r="E365" t="str">
            <v>Luna Zepeda</v>
          </cell>
          <cell r="F365">
            <v>200</v>
          </cell>
          <cell r="G365">
            <v>1</v>
          </cell>
          <cell r="H365">
            <v>400</v>
          </cell>
          <cell r="I365">
            <v>41285</v>
          </cell>
          <cell r="J365">
            <v>0</v>
          </cell>
          <cell r="S365">
            <v>200</v>
          </cell>
          <cell r="T365">
            <v>200</v>
          </cell>
          <cell r="W365">
            <v>400</v>
          </cell>
          <cell r="AJ365">
            <v>0</v>
          </cell>
          <cell r="AW365">
            <v>0</v>
          </cell>
        </row>
        <row r="366">
          <cell r="B366">
            <v>4025</v>
          </cell>
          <cell r="C366" t="str">
            <v>CM_130_A</v>
          </cell>
          <cell r="D366" t="str">
            <v>Rancho Estanzuela No. 130, A</v>
          </cell>
          <cell r="E366" t="str">
            <v>Colegio Carmel</v>
          </cell>
          <cell r="F366">
            <v>10000</v>
          </cell>
          <cell r="G366">
            <v>3</v>
          </cell>
          <cell r="H366">
            <v>160</v>
          </cell>
          <cell r="I366">
            <v>41285</v>
          </cell>
          <cell r="J366" t="str">
            <v>NO SUMA</v>
          </cell>
          <cell r="W366">
            <v>0</v>
          </cell>
          <cell r="AJ366">
            <v>0</v>
          </cell>
          <cell r="AW366">
            <v>0</v>
          </cell>
        </row>
        <row r="367">
          <cell r="B367">
            <v>4026</v>
          </cell>
          <cell r="C367" t="str">
            <v>LD_91_</v>
          </cell>
          <cell r="D367" t="str">
            <v>Rancho Landero No. 91</v>
          </cell>
          <cell r="E367" t="str">
            <v>Llaca</v>
          </cell>
          <cell r="F367">
            <v>300</v>
          </cell>
          <cell r="G367">
            <v>1</v>
          </cell>
          <cell r="H367">
            <v>300</v>
          </cell>
          <cell r="I367">
            <v>41287</v>
          </cell>
          <cell r="J367">
            <v>0</v>
          </cell>
          <cell r="W367">
            <v>0</v>
          </cell>
          <cell r="X367">
            <v>300</v>
          </cell>
          <cell r="AJ367">
            <v>300</v>
          </cell>
          <cell r="AW367">
            <v>0</v>
          </cell>
        </row>
        <row r="368">
          <cell r="B368">
            <v>4027</v>
          </cell>
          <cell r="C368" t="str">
            <v>ZB_88_</v>
          </cell>
          <cell r="D368" t="str">
            <v>Rancho Zinamba No. 88</v>
          </cell>
          <cell r="E368" t="str">
            <v>Martínez</v>
          </cell>
          <cell r="F368">
            <v>250</v>
          </cell>
          <cell r="G368">
            <v>1</v>
          </cell>
          <cell r="H368">
            <v>500</v>
          </cell>
          <cell r="I368">
            <v>41287</v>
          </cell>
          <cell r="J368">
            <v>0</v>
          </cell>
          <cell r="U368">
            <v>250</v>
          </cell>
          <cell r="W368">
            <v>250</v>
          </cell>
          <cell r="X368">
            <v>250</v>
          </cell>
          <cell r="AJ368">
            <v>250</v>
          </cell>
          <cell r="AW368">
            <v>0</v>
          </cell>
        </row>
        <row r="369">
          <cell r="B369">
            <v>4028</v>
          </cell>
          <cell r="C369" t="str">
            <v>UP_64_</v>
          </cell>
          <cell r="D369" t="str">
            <v>Rancho Upácuaro No. 64</v>
          </cell>
          <cell r="E369" t="str">
            <v>Méndez Oliva</v>
          </cell>
          <cell r="F369">
            <v>300</v>
          </cell>
          <cell r="G369">
            <v>1</v>
          </cell>
          <cell r="H369">
            <v>300</v>
          </cell>
          <cell r="I369">
            <v>41287</v>
          </cell>
          <cell r="J369">
            <v>0</v>
          </cell>
          <cell r="W369">
            <v>0</v>
          </cell>
          <cell r="X369">
            <v>300</v>
          </cell>
          <cell r="AJ369">
            <v>300</v>
          </cell>
          <cell r="AW369">
            <v>0</v>
          </cell>
        </row>
        <row r="370">
          <cell r="B370">
            <v>4029</v>
          </cell>
          <cell r="C370" t="str">
            <v>LD_15_</v>
          </cell>
          <cell r="D370" t="str">
            <v>Rancho Landero No. 15</v>
          </cell>
          <cell r="E370" t="str">
            <v>Morales D.</v>
          </cell>
          <cell r="F370">
            <v>300</v>
          </cell>
          <cell r="G370">
            <v>1</v>
          </cell>
          <cell r="H370">
            <v>3300</v>
          </cell>
          <cell r="I370">
            <v>41287</v>
          </cell>
          <cell r="J370">
            <v>0</v>
          </cell>
          <cell r="W370">
            <v>0</v>
          </cell>
          <cell r="X370">
            <v>300</v>
          </cell>
          <cell r="Y370">
            <v>300</v>
          </cell>
          <cell r="Z370">
            <v>300</v>
          </cell>
          <cell r="AA370">
            <v>300</v>
          </cell>
          <cell r="AB370">
            <v>300</v>
          </cell>
          <cell r="AC370">
            <v>300</v>
          </cell>
          <cell r="AD370">
            <v>300</v>
          </cell>
          <cell r="AE370">
            <v>300</v>
          </cell>
          <cell r="AF370">
            <v>300</v>
          </cell>
          <cell r="AG370">
            <v>300</v>
          </cell>
          <cell r="AH370">
            <v>300</v>
          </cell>
          <cell r="AJ370">
            <v>3300</v>
          </cell>
          <cell r="AW370">
            <v>0</v>
          </cell>
        </row>
        <row r="371">
          <cell r="B371">
            <v>4030</v>
          </cell>
          <cell r="C371" t="str">
            <v>LD_2_3</v>
          </cell>
          <cell r="D371" t="str">
            <v>Rancho Landero No. 2, 3</v>
          </cell>
          <cell r="E371" t="str">
            <v>Pineda Laura</v>
          </cell>
          <cell r="F371">
            <v>150</v>
          </cell>
          <cell r="G371">
            <v>1</v>
          </cell>
          <cell r="H371">
            <v>1050</v>
          </cell>
          <cell r="I371">
            <v>41287</v>
          </cell>
          <cell r="J371">
            <v>0</v>
          </cell>
          <cell r="Q371">
            <v>150</v>
          </cell>
          <cell r="R371">
            <v>150</v>
          </cell>
          <cell r="S371">
            <v>150</v>
          </cell>
          <cell r="T371">
            <v>150</v>
          </cell>
          <cell r="U371">
            <v>150</v>
          </cell>
          <cell r="V371">
            <v>150</v>
          </cell>
          <cell r="W371">
            <v>900</v>
          </cell>
          <cell r="X371">
            <v>150</v>
          </cell>
          <cell r="AJ371">
            <v>150</v>
          </cell>
          <cell r="AW371">
            <v>0</v>
          </cell>
        </row>
        <row r="372">
          <cell r="B372">
            <v>4031</v>
          </cell>
          <cell r="C372" t="str">
            <v>LD_24_</v>
          </cell>
          <cell r="D372" t="str">
            <v>Rancho Landero No. 24</v>
          </cell>
          <cell r="E372" t="str">
            <v>Vázquez Peralta</v>
          </cell>
          <cell r="F372">
            <v>300</v>
          </cell>
          <cell r="G372">
            <v>1</v>
          </cell>
          <cell r="H372">
            <v>300</v>
          </cell>
          <cell r="I372">
            <v>41287</v>
          </cell>
          <cell r="J372">
            <v>0</v>
          </cell>
          <cell r="W372">
            <v>0</v>
          </cell>
          <cell r="X372">
            <v>300</v>
          </cell>
          <cell r="AJ372">
            <v>300</v>
          </cell>
          <cell r="AW372">
            <v>0</v>
          </cell>
        </row>
        <row r="373">
          <cell r="B373">
            <v>4032</v>
          </cell>
          <cell r="C373" t="str">
            <v>CL_91_</v>
          </cell>
          <cell r="D373" t="str">
            <v>Rancho La Cuchilla No. 91</v>
          </cell>
          <cell r="E373" t="str">
            <v>Roldán Flores</v>
          </cell>
          <cell r="F373">
            <v>300</v>
          </cell>
          <cell r="G373">
            <v>1</v>
          </cell>
          <cell r="H373">
            <v>300</v>
          </cell>
          <cell r="I373">
            <v>41287</v>
          </cell>
          <cell r="J373">
            <v>0</v>
          </cell>
          <cell r="W373">
            <v>0</v>
          </cell>
          <cell r="X373">
            <v>300</v>
          </cell>
          <cell r="AJ373">
            <v>300</v>
          </cell>
          <cell r="AW373">
            <v>0</v>
          </cell>
        </row>
        <row r="374">
          <cell r="B374">
            <v>4033</v>
          </cell>
          <cell r="C374" t="str">
            <v>EZ_149_</v>
          </cell>
          <cell r="D374" t="str">
            <v>Rancho Estanzuela No. 149</v>
          </cell>
          <cell r="E374" t="str">
            <v>Sala</v>
          </cell>
          <cell r="F374">
            <v>300</v>
          </cell>
          <cell r="G374">
            <v>1</v>
          </cell>
          <cell r="H374">
            <v>300</v>
          </cell>
          <cell r="I374">
            <v>41287</v>
          </cell>
          <cell r="J374">
            <v>0</v>
          </cell>
          <cell r="W374">
            <v>0</v>
          </cell>
          <cell r="X374">
            <v>300</v>
          </cell>
          <cell r="AJ374">
            <v>300</v>
          </cell>
          <cell r="AW374">
            <v>0</v>
          </cell>
        </row>
        <row r="375">
          <cell r="B375">
            <v>4034</v>
          </cell>
          <cell r="C375" t="str">
            <v>CL_132_</v>
          </cell>
          <cell r="D375" t="str">
            <v>Rancho La Cuchilla No. 132</v>
          </cell>
          <cell r="E375" t="str">
            <v>Téllez Girón</v>
          </cell>
          <cell r="F375">
            <v>300</v>
          </cell>
          <cell r="G375">
            <v>1</v>
          </cell>
          <cell r="H375">
            <v>300</v>
          </cell>
          <cell r="I375">
            <v>41287</v>
          </cell>
          <cell r="J375">
            <v>0</v>
          </cell>
          <cell r="W375">
            <v>0</v>
          </cell>
          <cell r="X375">
            <v>300</v>
          </cell>
          <cell r="AJ375">
            <v>300</v>
          </cell>
          <cell r="AW375">
            <v>0</v>
          </cell>
        </row>
        <row r="376">
          <cell r="B376">
            <v>4035</v>
          </cell>
          <cell r="C376" t="str">
            <v>RV_179_</v>
          </cell>
          <cell r="D376" t="str">
            <v>Rancho Recoveco No. 179</v>
          </cell>
          <cell r="E376" t="str">
            <v>Flores Delgado</v>
          </cell>
          <cell r="F376">
            <v>300</v>
          </cell>
          <cell r="G376">
            <v>1</v>
          </cell>
          <cell r="H376">
            <v>300</v>
          </cell>
          <cell r="I376">
            <v>41287</v>
          </cell>
          <cell r="J376">
            <v>0</v>
          </cell>
          <cell r="W376">
            <v>0</v>
          </cell>
          <cell r="X376">
            <v>300</v>
          </cell>
          <cell r="AJ376">
            <v>300</v>
          </cell>
          <cell r="AW376">
            <v>0</v>
          </cell>
        </row>
        <row r="377">
          <cell r="B377">
            <v>4036</v>
          </cell>
          <cell r="C377" t="str">
            <v>UP_20_</v>
          </cell>
          <cell r="D377" t="str">
            <v>Rancho Upácuaro No. 20</v>
          </cell>
          <cell r="E377" t="str">
            <v>Villaseñor Jorge</v>
          </cell>
          <cell r="F377">
            <v>150</v>
          </cell>
          <cell r="G377">
            <v>1</v>
          </cell>
          <cell r="H377">
            <v>450</v>
          </cell>
          <cell r="I377">
            <v>41287</v>
          </cell>
          <cell r="J377">
            <v>0</v>
          </cell>
          <cell r="U377">
            <v>150</v>
          </cell>
          <cell r="V377">
            <v>150</v>
          </cell>
          <cell r="W377">
            <v>300</v>
          </cell>
          <cell r="X377">
            <v>150</v>
          </cell>
          <cell r="AJ377">
            <v>150</v>
          </cell>
          <cell r="AW377">
            <v>0</v>
          </cell>
        </row>
        <row r="378">
          <cell r="B378">
            <v>4037</v>
          </cell>
          <cell r="C378" t="str">
            <v>ZB_74_</v>
          </cell>
          <cell r="D378" t="str">
            <v>Rancho Zinamba No. 74</v>
          </cell>
          <cell r="E378" t="str">
            <v>García Castellanos</v>
          </cell>
          <cell r="F378">
            <v>300</v>
          </cell>
          <cell r="G378">
            <v>1</v>
          </cell>
          <cell r="H378">
            <v>300</v>
          </cell>
          <cell r="I378">
            <v>41287</v>
          </cell>
          <cell r="J378">
            <v>0</v>
          </cell>
          <cell r="V378">
            <v>300</v>
          </cell>
          <cell r="W378">
            <v>300</v>
          </cell>
          <cell r="AJ378">
            <v>0</v>
          </cell>
          <cell r="AW378">
            <v>0</v>
          </cell>
        </row>
        <row r="379">
          <cell r="B379">
            <v>4038</v>
          </cell>
          <cell r="C379" t="str">
            <v>UP_20_</v>
          </cell>
          <cell r="D379" t="str">
            <v>Rancho Upácuaro No. 20</v>
          </cell>
          <cell r="E379" t="str">
            <v>Villaseñor Jorge</v>
          </cell>
          <cell r="F379">
            <v>150</v>
          </cell>
          <cell r="G379">
            <v>3</v>
          </cell>
          <cell r="H379">
            <v>150</v>
          </cell>
          <cell r="I379">
            <v>41287</v>
          </cell>
          <cell r="J379" t="str">
            <v>NO SUMA</v>
          </cell>
          <cell r="W379">
            <v>0</v>
          </cell>
          <cell r="AJ379">
            <v>0</v>
          </cell>
          <cell r="AW379">
            <v>0</v>
          </cell>
        </row>
        <row r="380">
          <cell r="B380">
            <v>4039</v>
          </cell>
          <cell r="C380" t="str">
            <v>UP_110_</v>
          </cell>
          <cell r="D380" t="str">
            <v>Rancho Upácuaro No. 110</v>
          </cell>
          <cell r="E380" t="str">
            <v>Ruiz Mijangos</v>
          </cell>
          <cell r="F380">
            <v>300</v>
          </cell>
          <cell r="G380">
            <v>1</v>
          </cell>
          <cell r="H380">
            <v>300</v>
          </cell>
          <cell r="I380">
            <v>41287</v>
          </cell>
          <cell r="J380">
            <v>0</v>
          </cell>
          <cell r="W380">
            <v>0</v>
          </cell>
          <cell r="X380">
            <v>300</v>
          </cell>
          <cell r="AJ380">
            <v>300</v>
          </cell>
          <cell r="AW380">
            <v>0</v>
          </cell>
        </row>
        <row r="381">
          <cell r="B381">
            <v>4040</v>
          </cell>
          <cell r="C381" t="str">
            <v>UP_99_</v>
          </cell>
          <cell r="D381" t="str">
            <v>Rancho Upácuaro No. 99</v>
          </cell>
          <cell r="E381" t="str">
            <v>Frías</v>
          </cell>
          <cell r="F381">
            <v>300</v>
          </cell>
          <cell r="G381">
            <v>1</v>
          </cell>
          <cell r="H381">
            <v>900</v>
          </cell>
          <cell r="I381">
            <v>41287</v>
          </cell>
          <cell r="J381">
            <v>0</v>
          </cell>
          <cell r="W381">
            <v>0</v>
          </cell>
          <cell r="X381">
            <v>300</v>
          </cell>
          <cell r="Y381">
            <v>300</v>
          </cell>
          <cell r="Z381">
            <v>300</v>
          </cell>
          <cell r="AJ381">
            <v>900</v>
          </cell>
          <cell r="AW381">
            <v>0</v>
          </cell>
        </row>
        <row r="382">
          <cell r="B382">
            <v>4041</v>
          </cell>
          <cell r="C382" t="str">
            <v>CL_92_</v>
          </cell>
          <cell r="D382" t="str">
            <v>Rancho La Cuchilla No. 92</v>
          </cell>
          <cell r="E382" t="str">
            <v>Cabrera</v>
          </cell>
          <cell r="F382">
            <v>300</v>
          </cell>
          <cell r="G382">
            <v>1</v>
          </cell>
          <cell r="H382">
            <v>300</v>
          </cell>
          <cell r="I382">
            <v>41287</v>
          </cell>
          <cell r="J382">
            <v>0</v>
          </cell>
          <cell r="W382">
            <v>0</v>
          </cell>
          <cell r="X382">
            <v>300</v>
          </cell>
          <cell r="AJ382">
            <v>300</v>
          </cell>
          <cell r="AW382">
            <v>0</v>
          </cell>
        </row>
        <row r="383">
          <cell r="B383">
            <v>4042</v>
          </cell>
          <cell r="C383" t="str">
            <v>UP_65_</v>
          </cell>
          <cell r="D383" t="str">
            <v>Rancho Upácuaro No. 65</v>
          </cell>
          <cell r="E383" t="str">
            <v>Olguín</v>
          </cell>
          <cell r="F383">
            <v>300</v>
          </cell>
          <cell r="G383">
            <v>1</v>
          </cell>
          <cell r="H383">
            <v>300</v>
          </cell>
          <cell r="I383">
            <v>41287</v>
          </cell>
          <cell r="J383">
            <v>0</v>
          </cell>
          <cell r="W383">
            <v>0</v>
          </cell>
          <cell r="X383">
            <v>300</v>
          </cell>
          <cell r="AJ383">
            <v>300</v>
          </cell>
          <cell r="AW383">
            <v>0</v>
          </cell>
        </row>
        <row r="384">
          <cell r="B384">
            <v>4043</v>
          </cell>
          <cell r="C384" t="str">
            <v>EZ_115_</v>
          </cell>
          <cell r="D384" t="str">
            <v>Rancho Estanzuela No. 115</v>
          </cell>
          <cell r="E384" t="str">
            <v>Frías Solórzano</v>
          </cell>
          <cell r="F384">
            <v>200</v>
          </cell>
          <cell r="G384">
            <v>1</v>
          </cell>
          <cell r="H384">
            <v>200</v>
          </cell>
          <cell r="I384">
            <v>41287</v>
          </cell>
          <cell r="J384">
            <v>0</v>
          </cell>
          <cell r="W384">
            <v>0</v>
          </cell>
          <cell r="X384">
            <v>200</v>
          </cell>
          <cell r="AJ384">
            <v>200</v>
          </cell>
          <cell r="AW384">
            <v>0</v>
          </cell>
        </row>
        <row r="385">
          <cell r="B385">
            <v>4044</v>
          </cell>
          <cell r="C385" t="str">
            <v>RV_1_</v>
          </cell>
          <cell r="D385" t="str">
            <v>Rancho Recoveco No. 1</v>
          </cell>
          <cell r="E385" t="str">
            <v>Díaz</v>
          </cell>
          <cell r="F385">
            <v>300</v>
          </cell>
          <cell r="G385">
            <v>1</v>
          </cell>
          <cell r="H385">
            <v>600</v>
          </cell>
          <cell r="I385">
            <v>41287</v>
          </cell>
          <cell r="J385">
            <v>0</v>
          </cell>
          <cell r="V385">
            <v>300</v>
          </cell>
          <cell r="W385">
            <v>300</v>
          </cell>
          <cell r="X385">
            <v>300</v>
          </cell>
          <cell r="AJ385">
            <v>300</v>
          </cell>
          <cell r="AW385">
            <v>0</v>
          </cell>
        </row>
        <row r="386">
          <cell r="B386">
            <v>4045</v>
          </cell>
          <cell r="C386" t="str">
            <v>CL_45_</v>
          </cell>
          <cell r="D386" t="str">
            <v>Rancho La Cuchilla No. 45</v>
          </cell>
          <cell r="E386" t="str">
            <v>Estévez Hernández</v>
          </cell>
          <cell r="F386">
            <v>300</v>
          </cell>
          <cell r="G386">
            <v>1</v>
          </cell>
          <cell r="H386">
            <v>300</v>
          </cell>
          <cell r="I386">
            <v>41287</v>
          </cell>
          <cell r="J386">
            <v>0</v>
          </cell>
          <cell r="W386">
            <v>0</v>
          </cell>
          <cell r="X386">
            <v>300</v>
          </cell>
          <cell r="AJ386">
            <v>300</v>
          </cell>
          <cell r="AW386">
            <v>0</v>
          </cell>
        </row>
        <row r="387">
          <cell r="B387">
            <v>4046</v>
          </cell>
          <cell r="C387" t="str">
            <v>UP_48_</v>
          </cell>
          <cell r="D387" t="str">
            <v>Rancho Upácuaro No. 48</v>
          </cell>
          <cell r="E387" t="str">
            <v>Bernal</v>
          </cell>
          <cell r="F387">
            <v>200</v>
          </cell>
          <cell r="G387">
            <v>1</v>
          </cell>
          <cell r="H387">
            <v>400</v>
          </cell>
          <cell r="I387">
            <v>41287</v>
          </cell>
          <cell r="J387">
            <v>0</v>
          </cell>
          <cell r="V387">
            <v>200</v>
          </cell>
          <cell r="W387">
            <v>200</v>
          </cell>
          <cell r="X387">
            <v>200</v>
          </cell>
          <cell r="AJ387">
            <v>200</v>
          </cell>
          <cell r="AW387">
            <v>0</v>
          </cell>
        </row>
        <row r="388">
          <cell r="B388">
            <v>4047</v>
          </cell>
          <cell r="C388" t="str">
            <v>UP_142_</v>
          </cell>
          <cell r="D388" t="str">
            <v>Rancho Upácuaro No. 142</v>
          </cell>
          <cell r="E388" t="str">
            <v>Fierro Villaneda</v>
          </cell>
          <cell r="F388">
            <v>300</v>
          </cell>
          <cell r="G388">
            <v>1</v>
          </cell>
          <cell r="H388">
            <v>300</v>
          </cell>
          <cell r="I388">
            <v>41287</v>
          </cell>
          <cell r="J388">
            <v>0</v>
          </cell>
          <cell r="W388">
            <v>0</v>
          </cell>
          <cell r="X388">
            <v>300</v>
          </cell>
          <cell r="AJ388">
            <v>300</v>
          </cell>
          <cell r="AW388">
            <v>0</v>
          </cell>
        </row>
        <row r="389">
          <cell r="B389">
            <v>4048</v>
          </cell>
          <cell r="C389" t="str">
            <v>RM_33_</v>
          </cell>
          <cell r="D389" t="str">
            <v>Rancho Romeral No. 33</v>
          </cell>
          <cell r="E389" t="str">
            <v>Juárez Alva</v>
          </cell>
          <cell r="F389">
            <v>300</v>
          </cell>
          <cell r="G389">
            <v>1</v>
          </cell>
          <cell r="H389">
            <v>600</v>
          </cell>
          <cell r="I389">
            <v>41287</v>
          </cell>
          <cell r="J389">
            <v>0</v>
          </cell>
          <cell r="U389">
            <v>300</v>
          </cell>
          <cell r="V389">
            <v>300</v>
          </cell>
          <cell r="W389">
            <v>600</v>
          </cell>
          <cell r="AJ389">
            <v>0</v>
          </cell>
          <cell r="AW389">
            <v>0</v>
          </cell>
        </row>
        <row r="390">
          <cell r="B390">
            <v>4049</v>
          </cell>
          <cell r="C390" t="str">
            <v>CL_117_</v>
          </cell>
          <cell r="D390" t="str">
            <v>Rancho La Cuchilla No. 117</v>
          </cell>
          <cell r="E390" t="str">
            <v>Gómez</v>
          </cell>
          <cell r="F390">
            <v>300</v>
          </cell>
          <cell r="G390">
            <v>1</v>
          </cell>
          <cell r="H390">
            <v>1200</v>
          </cell>
          <cell r="I390">
            <v>41287</v>
          </cell>
          <cell r="J390">
            <v>0</v>
          </cell>
          <cell r="W390">
            <v>0</v>
          </cell>
          <cell r="X390">
            <v>300</v>
          </cell>
          <cell r="Y390">
            <v>300</v>
          </cell>
          <cell r="Z390">
            <v>300</v>
          </cell>
          <cell r="AA390">
            <v>300</v>
          </cell>
          <cell r="AJ390">
            <v>1200</v>
          </cell>
          <cell r="AW390">
            <v>0</v>
          </cell>
        </row>
        <row r="391">
          <cell r="B391">
            <v>4050</v>
          </cell>
          <cell r="C391" t="str">
            <v>EZ_95_</v>
          </cell>
          <cell r="D391" t="str">
            <v>Rancho Estanzuela No. 95</v>
          </cell>
          <cell r="E391" t="str">
            <v>Castro Puente</v>
          </cell>
          <cell r="F391">
            <v>300</v>
          </cell>
          <cell r="G391">
            <v>1</v>
          </cell>
          <cell r="H391">
            <v>300</v>
          </cell>
          <cell r="I391">
            <v>41287</v>
          </cell>
          <cell r="J391">
            <v>0</v>
          </cell>
          <cell r="W391">
            <v>0</v>
          </cell>
          <cell r="X391">
            <v>300</v>
          </cell>
          <cell r="AJ391">
            <v>300</v>
          </cell>
          <cell r="AW391">
            <v>0</v>
          </cell>
        </row>
        <row r="392">
          <cell r="B392">
            <v>4051</v>
          </cell>
          <cell r="C392" t="str">
            <v>LD_51_</v>
          </cell>
          <cell r="D392" t="str">
            <v>Rancho Landero No. 51</v>
          </cell>
          <cell r="E392" t="str">
            <v>H. Robles Tamayo</v>
          </cell>
          <cell r="F392">
            <v>300</v>
          </cell>
          <cell r="G392">
            <v>1</v>
          </cell>
          <cell r="H392">
            <v>300</v>
          </cell>
          <cell r="I392">
            <v>41287</v>
          </cell>
          <cell r="J392">
            <v>0</v>
          </cell>
          <cell r="W392">
            <v>0</v>
          </cell>
          <cell r="X392">
            <v>300</v>
          </cell>
          <cell r="AJ392">
            <v>300</v>
          </cell>
          <cell r="AW392">
            <v>0</v>
          </cell>
        </row>
        <row r="393">
          <cell r="B393">
            <v>4052</v>
          </cell>
          <cell r="C393" t="str">
            <v>UP_130_</v>
          </cell>
          <cell r="D393" t="str">
            <v>Rancho Upácuaro No. 130</v>
          </cell>
          <cell r="E393" t="str">
            <v>Rodríguez Álvarez</v>
          </cell>
          <cell r="F393">
            <v>150</v>
          </cell>
          <cell r="G393">
            <v>1</v>
          </cell>
          <cell r="H393">
            <v>150</v>
          </cell>
          <cell r="I393">
            <v>41287</v>
          </cell>
          <cell r="J393">
            <v>0</v>
          </cell>
          <cell r="W393">
            <v>0</v>
          </cell>
          <cell r="X393">
            <v>150</v>
          </cell>
          <cell r="AJ393">
            <v>150</v>
          </cell>
          <cell r="AW393">
            <v>0</v>
          </cell>
        </row>
        <row r="394">
          <cell r="B394">
            <v>4052</v>
          </cell>
          <cell r="C394" t="str">
            <v>UP_130_</v>
          </cell>
          <cell r="D394" t="str">
            <v>Rancho Upácuaro No. 130</v>
          </cell>
          <cell r="E394" t="str">
            <v>Rodríguez Álvarez</v>
          </cell>
          <cell r="F394">
            <v>150</v>
          </cell>
          <cell r="G394">
            <v>3</v>
          </cell>
          <cell r="H394">
            <v>450</v>
          </cell>
          <cell r="I394">
            <v>41287</v>
          </cell>
          <cell r="J394" t="str">
            <v>NO SUMA</v>
          </cell>
          <cell r="W394">
            <v>0</v>
          </cell>
          <cell r="AJ394">
            <v>0</v>
          </cell>
          <cell r="AW394">
            <v>0</v>
          </cell>
        </row>
        <row r="395">
          <cell r="B395">
            <v>4053</v>
          </cell>
          <cell r="C395" t="str">
            <v>LD_84_</v>
          </cell>
          <cell r="D395" t="str">
            <v>Rancho Landero No. 84</v>
          </cell>
          <cell r="E395" t="str">
            <v>Alcántara</v>
          </cell>
          <cell r="F395">
            <v>300</v>
          </cell>
          <cell r="G395">
            <v>1</v>
          </cell>
          <cell r="H395">
            <v>300</v>
          </cell>
          <cell r="I395">
            <v>41287</v>
          </cell>
          <cell r="J395">
            <v>0</v>
          </cell>
          <cell r="W395">
            <v>0</v>
          </cell>
          <cell r="X395">
            <v>300</v>
          </cell>
          <cell r="AJ395">
            <v>300</v>
          </cell>
          <cell r="AW395">
            <v>0</v>
          </cell>
        </row>
        <row r="396">
          <cell r="B396">
            <v>4054</v>
          </cell>
          <cell r="C396" t="str">
            <v>CL_93_</v>
          </cell>
          <cell r="D396" t="str">
            <v>Rancho La Cuchilla No. 93</v>
          </cell>
          <cell r="E396" t="str">
            <v>Alcántara Silva</v>
          </cell>
          <cell r="F396">
            <v>300</v>
          </cell>
          <cell r="G396">
            <v>1</v>
          </cell>
          <cell r="H396">
            <v>300</v>
          </cell>
          <cell r="I396">
            <v>41287</v>
          </cell>
          <cell r="J396">
            <v>0</v>
          </cell>
          <cell r="W396">
            <v>0</v>
          </cell>
          <cell r="X396">
            <v>300</v>
          </cell>
          <cell r="AJ396">
            <v>300</v>
          </cell>
          <cell r="AW396">
            <v>0</v>
          </cell>
        </row>
        <row r="397">
          <cell r="B397">
            <v>4055</v>
          </cell>
          <cell r="C397" t="str">
            <v>CL_95_</v>
          </cell>
          <cell r="D397" t="str">
            <v>Rancho La Cuchilla No. 95</v>
          </cell>
          <cell r="E397" t="str">
            <v>Gutiérrez Sánchez</v>
          </cell>
          <cell r="F397">
            <v>300</v>
          </cell>
          <cell r="G397">
            <v>1</v>
          </cell>
          <cell r="H397">
            <v>600</v>
          </cell>
          <cell r="I397">
            <v>41287</v>
          </cell>
          <cell r="J397">
            <v>0</v>
          </cell>
          <cell r="W397">
            <v>0</v>
          </cell>
          <cell r="X397">
            <v>300</v>
          </cell>
          <cell r="Y397">
            <v>300</v>
          </cell>
          <cell r="AJ397">
            <v>600</v>
          </cell>
          <cell r="AW397">
            <v>0</v>
          </cell>
        </row>
        <row r="398">
          <cell r="B398">
            <v>4056</v>
          </cell>
          <cell r="C398" t="str">
            <v>CL_129_</v>
          </cell>
          <cell r="D398" t="str">
            <v>Rancho La Cuchilla No. 129</v>
          </cell>
          <cell r="E398" t="str">
            <v>Gamboa Rueda</v>
          </cell>
          <cell r="F398">
            <v>200</v>
          </cell>
          <cell r="G398">
            <v>1</v>
          </cell>
          <cell r="H398">
            <v>200</v>
          </cell>
          <cell r="I398">
            <v>41287</v>
          </cell>
          <cell r="J398">
            <v>0</v>
          </cell>
          <cell r="W398">
            <v>0</v>
          </cell>
          <cell r="X398">
            <v>200</v>
          </cell>
          <cell r="AJ398">
            <v>200</v>
          </cell>
          <cell r="AW398">
            <v>0</v>
          </cell>
        </row>
        <row r="399">
          <cell r="B399">
            <v>4057</v>
          </cell>
          <cell r="C399" t="str">
            <v>LD_2_A</v>
          </cell>
          <cell r="D399" t="str">
            <v>Rancho Landero No. 2, A</v>
          </cell>
          <cell r="E399" t="str">
            <v>Zepeda</v>
          </cell>
          <cell r="F399">
            <v>150</v>
          </cell>
          <cell r="G399">
            <v>3</v>
          </cell>
          <cell r="H399">
            <v>150</v>
          </cell>
          <cell r="I399">
            <v>41287</v>
          </cell>
          <cell r="J399" t="str">
            <v>NO SUMA</v>
          </cell>
          <cell r="W399">
            <v>0</v>
          </cell>
          <cell r="AJ399">
            <v>0</v>
          </cell>
          <cell r="AW399">
            <v>0</v>
          </cell>
        </row>
        <row r="400">
          <cell r="B400">
            <v>4058</v>
          </cell>
          <cell r="C400" t="str">
            <v>EZ_159_</v>
          </cell>
          <cell r="D400" t="str">
            <v>Rancho Estanzuela No. 159</v>
          </cell>
          <cell r="E400" t="str">
            <v>Reyes</v>
          </cell>
          <cell r="F400">
            <v>250</v>
          </cell>
          <cell r="G400">
            <v>1</v>
          </cell>
          <cell r="H400">
            <v>500</v>
          </cell>
          <cell r="I400">
            <v>41287</v>
          </cell>
          <cell r="J400">
            <v>0</v>
          </cell>
          <cell r="V400">
            <v>250</v>
          </cell>
          <cell r="W400">
            <v>250</v>
          </cell>
          <cell r="X400">
            <v>250</v>
          </cell>
          <cell r="AJ400">
            <v>250</v>
          </cell>
          <cell r="AW400">
            <v>0</v>
          </cell>
        </row>
        <row r="401">
          <cell r="B401">
            <v>4059</v>
          </cell>
          <cell r="C401" t="str">
            <v>LD_76_</v>
          </cell>
          <cell r="D401" t="str">
            <v>Rancho Landero No. 76</v>
          </cell>
          <cell r="E401" t="str">
            <v>Ugarte</v>
          </cell>
          <cell r="F401">
            <v>300</v>
          </cell>
          <cell r="G401">
            <v>1</v>
          </cell>
          <cell r="H401">
            <v>300</v>
          </cell>
          <cell r="I401">
            <v>41287</v>
          </cell>
          <cell r="J401">
            <v>0</v>
          </cell>
          <cell r="W401">
            <v>0</v>
          </cell>
          <cell r="X401">
            <v>300</v>
          </cell>
          <cell r="AJ401">
            <v>300</v>
          </cell>
          <cell r="AW401">
            <v>0</v>
          </cell>
        </row>
        <row r="402">
          <cell r="B402">
            <v>4060</v>
          </cell>
          <cell r="C402" t="str">
            <v>LD_18_</v>
          </cell>
          <cell r="D402" t="str">
            <v>Rancho Landero No. 18</v>
          </cell>
          <cell r="E402" t="str">
            <v>Rosado</v>
          </cell>
          <cell r="F402">
            <v>250</v>
          </cell>
          <cell r="G402">
            <v>1</v>
          </cell>
          <cell r="H402">
            <v>250</v>
          </cell>
          <cell r="I402">
            <v>41287</v>
          </cell>
          <cell r="J402">
            <v>0</v>
          </cell>
          <cell r="W402">
            <v>0</v>
          </cell>
          <cell r="X402">
            <v>250</v>
          </cell>
          <cell r="AJ402">
            <v>250</v>
          </cell>
          <cell r="AW402">
            <v>0</v>
          </cell>
        </row>
        <row r="403">
          <cell r="B403">
            <v>4061</v>
          </cell>
          <cell r="C403" t="str">
            <v>CL_74_</v>
          </cell>
          <cell r="D403" t="str">
            <v>Rancho La Cuchilla No. 74</v>
          </cell>
          <cell r="E403" t="str">
            <v>Gil</v>
          </cell>
          <cell r="F403">
            <v>300</v>
          </cell>
          <cell r="G403">
            <v>1</v>
          </cell>
          <cell r="H403">
            <v>300</v>
          </cell>
          <cell r="I403">
            <v>41287</v>
          </cell>
          <cell r="J403">
            <v>0</v>
          </cell>
          <cell r="W403">
            <v>0</v>
          </cell>
          <cell r="X403">
            <v>300</v>
          </cell>
          <cell r="AJ403">
            <v>300</v>
          </cell>
          <cell r="AW403">
            <v>0</v>
          </cell>
        </row>
        <row r="404">
          <cell r="B404">
            <v>4062</v>
          </cell>
          <cell r="C404" t="str">
            <v>CL_110_</v>
          </cell>
          <cell r="D404" t="str">
            <v>Rancho La Cuchilla No. 110</v>
          </cell>
          <cell r="E404" t="str">
            <v>Domínguez C.</v>
          </cell>
          <cell r="F404">
            <v>300</v>
          </cell>
          <cell r="G404">
            <v>1</v>
          </cell>
          <cell r="H404">
            <v>300</v>
          </cell>
          <cell r="I404">
            <v>41287</v>
          </cell>
          <cell r="J404">
            <v>0</v>
          </cell>
          <cell r="W404">
            <v>0</v>
          </cell>
          <cell r="X404">
            <v>300</v>
          </cell>
          <cell r="AJ404">
            <v>300</v>
          </cell>
          <cell r="AW404">
            <v>0</v>
          </cell>
        </row>
        <row r="405">
          <cell r="B405">
            <v>4063</v>
          </cell>
          <cell r="C405" t="str">
            <v>CL_94_</v>
          </cell>
          <cell r="D405" t="str">
            <v>Rancho La Cuchilla No. 94</v>
          </cell>
          <cell r="E405" t="str">
            <v>Sánchez Márquez</v>
          </cell>
          <cell r="F405">
            <v>300</v>
          </cell>
          <cell r="G405">
            <v>1</v>
          </cell>
          <cell r="H405">
            <v>300</v>
          </cell>
          <cell r="I405">
            <v>41287</v>
          </cell>
          <cell r="J405">
            <v>0</v>
          </cell>
          <cell r="W405">
            <v>0</v>
          </cell>
          <cell r="X405">
            <v>300</v>
          </cell>
          <cell r="AJ405">
            <v>300</v>
          </cell>
          <cell r="AW405">
            <v>0</v>
          </cell>
        </row>
        <row r="406">
          <cell r="B406">
            <v>4064</v>
          </cell>
          <cell r="C406" t="str">
            <v>ZB_24_</v>
          </cell>
          <cell r="D406" t="str">
            <v>Rancho Zinamba No. 24</v>
          </cell>
          <cell r="E406" t="str">
            <v>Monroy García</v>
          </cell>
          <cell r="F406">
            <v>300</v>
          </cell>
          <cell r="G406">
            <v>1</v>
          </cell>
          <cell r="H406">
            <v>300</v>
          </cell>
          <cell r="I406">
            <v>41287</v>
          </cell>
          <cell r="J406">
            <v>0</v>
          </cell>
          <cell r="W406">
            <v>0</v>
          </cell>
          <cell r="X406">
            <v>300</v>
          </cell>
          <cell r="AJ406">
            <v>300</v>
          </cell>
          <cell r="AW406">
            <v>0</v>
          </cell>
        </row>
        <row r="407">
          <cell r="B407">
            <v>4065</v>
          </cell>
          <cell r="C407" t="str">
            <v>UP_78_</v>
          </cell>
          <cell r="D407" t="str">
            <v>Rancho Upácuaro No. 78</v>
          </cell>
          <cell r="E407" t="str">
            <v>Villaseñor Carranza</v>
          </cell>
          <cell r="F407">
            <v>300</v>
          </cell>
          <cell r="G407">
            <v>1</v>
          </cell>
          <cell r="H407">
            <v>3300</v>
          </cell>
          <cell r="I407">
            <v>41287</v>
          </cell>
          <cell r="J407">
            <v>0</v>
          </cell>
          <cell r="W407">
            <v>0</v>
          </cell>
          <cell r="X407">
            <v>300</v>
          </cell>
          <cell r="Y407">
            <v>300</v>
          </cell>
          <cell r="Z407">
            <v>300</v>
          </cell>
          <cell r="AA407">
            <v>300</v>
          </cell>
          <cell r="AB407">
            <v>300</v>
          </cell>
          <cell r="AC407">
            <v>300</v>
          </cell>
          <cell r="AD407">
            <v>300</v>
          </cell>
          <cell r="AE407">
            <v>300</v>
          </cell>
          <cell r="AF407">
            <v>300</v>
          </cell>
          <cell r="AG407">
            <v>300</v>
          </cell>
          <cell r="AH407">
            <v>300</v>
          </cell>
          <cell r="AJ407">
            <v>3300</v>
          </cell>
          <cell r="AW407">
            <v>0</v>
          </cell>
        </row>
        <row r="408">
          <cell r="B408">
            <v>4066</v>
          </cell>
          <cell r="C408" t="str">
            <v>UP_134_</v>
          </cell>
          <cell r="D408" t="str">
            <v>Rancho Upácuaro No. 134</v>
          </cell>
          <cell r="E408" t="str">
            <v>Flores Pérez</v>
          </cell>
          <cell r="F408">
            <v>300</v>
          </cell>
          <cell r="G408">
            <v>1</v>
          </cell>
          <cell r="H408">
            <v>1200</v>
          </cell>
          <cell r="I408">
            <v>41297</v>
          </cell>
          <cell r="J408">
            <v>0</v>
          </cell>
          <cell r="T408">
            <v>300</v>
          </cell>
          <cell r="U408">
            <v>300</v>
          </cell>
          <cell r="V408">
            <v>300</v>
          </cell>
          <cell r="W408">
            <v>900</v>
          </cell>
          <cell r="X408">
            <v>300</v>
          </cell>
          <cell r="AJ408">
            <v>300</v>
          </cell>
          <cell r="AW408">
            <v>0</v>
          </cell>
        </row>
        <row r="409">
          <cell r="B409">
            <v>4067</v>
          </cell>
          <cell r="C409" t="str">
            <v>UP_103_</v>
          </cell>
          <cell r="D409" t="str">
            <v>Rancho Upácuaro No. 103</v>
          </cell>
          <cell r="E409" t="str">
            <v>Alfaro</v>
          </cell>
          <cell r="F409">
            <v>300</v>
          </cell>
          <cell r="G409">
            <v>1</v>
          </cell>
          <cell r="H409">
            <v>3300</v>
          </cell>
          <cell r="I409">
            <v>41287</v>
          </cell>
          <cell r="J409">
            <v>0</v>
          </cell>
          <cell r="W409">
            <v>0</v>
          </cell>
          <cell r="X409">
            <v>300</v>
          </cell>
          <cell r="Y409">
            <v>300</v>
          </cell>
          <cell r="Z409">
            <v>300</v>
          </cell>
          <cell r="AA409">
            <v>300</v>
          </cell>
          <cell r="AB409">
            <v>300</v>
          </cell>
          <cell r="AC409">
            <v>300</v>
          </cell>
          <cell r="AD409">
            <v>300</v>
          </cell>
          <cell r="AE409">
            <v>300</v>
          </cell>
          <cell r="AF409">
            <v>300</v>
          </cell>
          <cell r="AG409">
            <v>300</v>
          </cell>
          <cell r="AH409">
            <v>300</v>
          </cell>
          <cell r="AJ409">
            <v>3300</v>
          </cell>
          <cell r="AW409">
            <v>0</v>
          </cell>
        </row>
        <row r="410">
          <cell r="B410">
            <v>4068</v>
          </cell>
          <cell r="C410" t="str">
            <v>CL_80_</v>
          </cell>
          <cell r="D410" t="str">
            <v>Rancho La Cuchilla No. 80</v>
          </cell>
          <cell r="E410" t="str">
            <v>Aparicio</v>
          </cell>
          <cell r="F410">
            <v>300</v>
          </cell>
          <cell r="G410">
            <v>2</v>
          </cell>
          <cell r="H410">
            <v>300</v>
          </cell>
          <cell r="I410">
            <v>41287</v>
          </cell>
          <cell r="J410" t="str">
            <v>NO SUMA</v>
          </cell>
          <cell r="W410">
            <v>0</v>
          </cell>
          <cell r="AJ410">
            <v>0</v>
          </cell>
          <cell r="AW410">
            <v>0</v>
          </cell>
        </row>
        <row r="411">
          <cell r="B411">
            <v>4069</v>
          </cell>
          <cell r="D411" t="str">
            <v/>
          </cell>
          <cell r="E411" t="str">
            <v/>
          </cell>
          <cell r="F411">
            <v>0</v>
          </cell>
          <cell r="G411">
            <v>8</v>
          </cell>
          <cell r="I411">
            <v>41287</v>
          </cell>
          <cell r="J411" t="str">
            <v>NO SUMA</v>
          </cell>
          <cell r="W411">
            <v>0</v>
          </cell>
          <cell r="AJ411">
            <v>0</v>
          </cell>
          <cell r="AW411">
            <v>0</v>
          </cell>
        </row>
        <row r="412">
          <cell r="B412">
            <v>4070</v>
          </cell>
          <cell r="C412" t="str">
            <v>ZB_42_</v>
          </cell>
          <cell r="D412" t="str">
            <v>Rancho Zinamba No. 42</v>
          </cell>
          <cell r="E412" t="str">
            <v>López Aldave</v>
          </cell>
          <cell r="F412">
            <v>250</v>
          </cell>
          <cell r="G412">
            <v>1</v>
          </cell>
          <cell r="H412">
            <v>500</v>
          </cell>
          <cell r="I412">
            <v>41287</v>
          </cell>
          <cell r="J412">
            <v>0</v>
          </cell>
          <cell r="V412">
            <v>250</v>
          </cell>
          <cell r="W412">
            <v>250</v>
          </cell>
          <cell r="X412">
            <v>250</v>
          </cell>
          <cell r="AJ412">
            <v>250</v>
          </cell>
          <cell r="AW412">
            <v>0</v>
          </cell>
        </row>
        <row r="413">
          <cell r="B413">
            <v>4071</v>
          </cell>
          <cell r="C413" t="str">
            <v>UP_114_</v>
          </cell>
          <cell r="D413" t="str">
            <v>Rancho Upácuaro No. 114</v>
          </cell>
          <cell r="E413" t="str">
            <v>Hernández Cornejo</v>
          </cell>
          <cell r="F413">
            <v>300</v>
          </cell>
          <cell r="G413">
            <v>1</v>
          </cell>
          <cell r="H413">
            <v>300</v>
          </cell>
          <cell r="I413">
            <v>41287</v>
          </cell>
          <cell r="J413">
            <v>0</v>
          </cell>
          <cell r="W413">
            <v>0</v>
          </cell>
          <cell r="X413">
            <v>300</v>
          </cell>
          <cell r="AJ413">
            <v>300</v>
          </cell>
          <cell r="AW413">
            <v>0</v>
          </cell>
        </row>
        <row r="414">
          <cell r="B414">
            <v>4072</v>
          </cell>
          <cell r="C414" t="str">
            <v>LD_7_</v>
          </cell>
          <cell r="D414" t="str">
            <v>Rancho Landero No. 7</v>
          </cell>
          <cell r="E414" t="str">
            <v>Robles</v>
          </cell>
          <cell r="F414">
            <v>150</v>
          </cell>
          <cell r="G414">
            <v>1</v>
          </cell>
          <cell r="H414">
            <v>150</v>
          </cell>
          <cell r="I414">
            <v>41287</v>
          </cell>
          <cell r="J414">
            <v>0</v>
          </cell>
          <cell r="W414">
            <v>0</v>
          </cell>
          <cell r="X414">
            <v>150</v>
          </cell>
          <cell r="AJ414">
            <v>150</v>
          </cell>
          <cell r="AW414">
            <v>0</v>
          </cell>
        </row>
        <row r="415">
          <cell r="B415">
            <v>4073</v>
          </cell>
          <cell r="C415" t="str">
            <v>UP_76_</v>
          </cell>
          <cell r="D415" t="str">
            <v>Rancho Upácuaro No. 76</v>
          </cell>
          <cell r="E415" t="str">
            <v>Ruiz de San Pedro</v>
          </cell>
          <cell r="F415">
            <v>300</v>
          </cell>
          <cell r="G415">
            <v>3</v>
          </cell>
          <cell r="H415">
            <v>150</v>
          </cell>
          <cell r="I415">
            <v>41287</v>
          </cell>
          <cell r="J415" t="str">
            <v>NO SUMA</v>
          </cell>
          <cell r="W415">
            <v>0</v>
          </cell>
          <cell r="AJ415">
            <v>0</v>
          </cell>
          <cell r="AW415">
            <v>0</v>
          </cell>
        </row>
        <row r="416">
          <cell r="B416">
            <v>4074</v>
          </cell>
          <cell r="C416" t="str">
            <v>LD_96_</v>
          </cell>
          <cell r="D416" t="str">
            <v>Rancho Landero No. 96</v>
          </cell>
          <cell r="E416" t="str">
            <v>Espinoza Aguirre</v>
          </cell>
          <cell r="F416">
            <v>300</v>
          </cell>
          <cell r="G416">
            <v>1</v>
          </cell>
          <cell r="H416">
            <v>600</v>
          </cell>
          <cell r="I416">
            <v>41287</v>
          </cell>
          <cell r="J416">
            <v>0</v>
          </cell>
          <cell r="V416">
            <v>300</v>
          </cell>
          <cell r="W416">
            <v>300</v>
          </cell>
          <cell r="X416">
            <v>300</v>
          </cell>
          <cell r="AJ416">
            <v>300</v>
          </cell>
          <cell r="AW416">
            <v>0</v>
          </cell>
        </row>
        <row r="417">
          <cell r="B417">
            <v>4075</v>
          </cell>
          <cell r="C417" t="str">
            <v>LD_58_</v>
          </cell>
          <cell r="D417" t="str">
            <v>Rancho Landero No. 58</v>
          </cell>
          <cell r="E417" t="str">
            <v>Valero</v>
          </cell>
          <cell r="F417">
            <v>300</v>
          </cell>
          <cell r="G417">
            <v>1</v>
          </cell>
          <cell r="H417">
            <v>600</v>
          </cell>
          <cell r="I417">
            <v>41287</v>
          </cell>
          <cell r="J417">
            <v>0</v>
          </cell>
          <cell r="V417">
            <v>300</v>
          </cell>
          <cell r="W417">
            <v>300</v>
          </cell>
          <cell r="X417">
            <v>300</v>
          </cell>
          <cell r="AJ417">
            <v>300</v>
          </cell>
          <cell r="AW417">
            <v>0</v>
          </cell>
        </row>
        <row r="418">
          <cell r="B418">
            <v>4076</v>
          </cell>
          <cell r="C418" t="str">
            <v>CL_9_</v>
          </cell>
          <cell r="D418" t="str">
            <v>Rancho La Cuchilla No. 9</v>
          </cell>
          <cell r="E418" t="str">
            <v>Martín del Campo</v>
          </cell>
          <cell r="F418">
            <v>300</v>
          </cell>
          <cell r="G418">
            <v>1</v>
          </cell>
          <cell r="H418">
            <v>900</v>
          </cell>
          <cell r="I418">
            <v>41287</v>
          </cell>
          <cell r="J418">
            <v>0</v>
          </cell>
          <cell r="U418">
            <v>300</v>
          </cell>
          <cell r="V418">
            <v>300</v>
          </cell>
          <cell r="W418">
            <v>600</v>
          </cell>
          <cell r="X418">
            <v>300</v>
          </cell>
          <cell r="AJ418">
            <v>300</v>
          </cell>
          <cell r="AW418">
            <v>0</v>
          </cell>
        </row>
        <row r="419">
          <cell r="B419">
            <v>4077</v>
          </cell>
          <cell r="C419" t="str">
            <v>ZB_50_</v>
          </cell>
          <cell r="D419" t="str">
            <v>Rancho Zinamba No. 50</v>
          </cell>
          <cell r="E419" t="str">
            <v>Del Castillo</v>
          </cell>
          <cell r="F419">
            <v>300</v>
          </cell>
          <cell r="G419">
            <v>1</v>
          </cell>
          <cell r="H419">
            <v>300</v>
          </cell>
          <cell r="I419">
            <v>41287</v>
          </cell>
          <cell r="J419">
            <v>0</v>
          </cell>
          <cell r="W419">
            <v>0</v>
          </cell>
          <cell r="X419">
            <v>300</v>
          </cell>
          <cell r="AJ419">
            <v>300</v>
          </cell>
          <cell r="AW419">
            <v>0</v>
          </cell>
        </row>
        <row r="420">
          <cell r="B420">
            <v>4078</v>
          </cell>
          <cell r="C420" t="str">
            <v>CL_134_</v>
          </cell>
          <cell r="D420" t="str">
            <v>Rancho La Cuchilla No. 134</v>
          </cell>
          <cell r="E420" t="str">
            <v>Moreno Sánchez</v>
          </cell>
          <cell r="F420">
            <v>300</v>
          </cell>
          <cell r="G420">
            <v>1</v>
          </cell>
          <cell r="H420">
            <v>1200</v>
          </cell>
          <cell r="I420">
            <v>41287</v>
          </cell>
          <cell r="J420">
            <v>0</v>
          </cell>
          <cell r="T420">
            <v>300</v>
          </cell>
          <cell r="U420">
            <v>300</v>
          </cell>
          <cell r="V420">
            <v>300</v>
          </cell>
          <cell r="W420">
            <v>900</v>
          </cell>
          <cell r="X420">
            <v>300</v>
          </cell>
          <cell r="AJ420">
            <v>300</v>
          </cell>
          <cell r="AW420">
            <v>0</v>
          </cell>
        </row>
        <row r="421">
          <cell r="B421">
            <v>4079</v>
          </cell>
          <cell r="C421" t="str">
            <v>CL_134_</v>
          </cell>
          <cell r="D421" t="str">
            <v>Rancho La Cuchilla No. 134</v>
          </cell>
          <cell r="E421" t="str">
            <v>Moreno Sánchez</v>
          </cell>
          <cell r="F421">
            <v>300</v>
          </cell>
          <cell r="G421">
            <v>2</v>
          </cell>
          <cell r="H421">
            <v>300</v>
          </cell>
          <cell r="I421">
            <v>41287</v>
          </cell>
          <cell r="J421" t="str">
            <v>NO SUMA</v>
          </cell>
          <cell r="W421">
            <v>0</v>
          </cell>
          <cell r="AJ421">
            <v>0</v>
          </cell>
          <cell r="AW421">
            <v>0</v>
          </cell>
        </row>
        <row r="422">
          <cell r="B422">
            <v>4080</v>
          </cell>
          <cell r="C422" t="str">
            <v>CL_149_</v>
          </cell>
          <cell r="D422" t="str">
            <v>Rancho La Cuchilla No. 149</v>
          </cell>
          <cell r="E422" t="str">
            <v>Montes Irineos</v>
          </cell>
          <cell r="F422">
            <v>300</v>
          </cell>
          <cell r="G422">
            <v>1</v>
          </cell>
          <cell r="H422">
            <v>1800</v>
          </cell>
          <cell r="I422">
            <v>41288</v>
          </cell>
          <cell r="J422">
            <v>0</v>
          </cell>
          <cell r="W422">
            <v>0</v>
          </cell>
          <cell r="X422">
            <v>300</v>
          </cell>
          <cell r="Y422">
            <v>300</v>
          </cell>
          <cell r="Z422">
            <v>300</v>
          </cell>
          <cell r="AA422">
            <v>300</v>
          </cell>
          <cell r="AB422">
            <v>300</v>
          </cell>
          <cell r="AC422">
            <v>300</v>
          </cell>
          <cell r="AJ422">
            <v>1800</v>
          </cell>
          <cell r="AW422">
            <v>0</v>
          </cell>
        </row>
        <row r="423">
          <cell r="B423">
            <v>4081</v>
          </cell>
          <cell r="C423" t="str">
            <v>CL_80_</v>
          </cell>
          <cell r="D423" t="str">
            <v>Rancho La Cuchilla No. 80</v>
          </cell>
          <cell r="E423" t="str">
            <v>Aparicio</v>
          </cell>
          <cell r="F423">
            <v>300</v>
          </cell>
          <cell r="G423">
            <v>1</v>
          </cell>
          <cell r="H423">
            <v>3300</v>
          </cell>
          <cell r="I423">
            <v>41289</v>
          </cell>
          <cell r="J423">
            <v>0</v>
          </cell>
          <cell r="W423">
            <v>0</v>
          </cell>
          <cell r="X423">
            <v>300</v>
          </cell>
          <cell r="Y423">
            <v>300</v>
          </cell>
          <cell r="Z423">
            <v>300</v>
          </cell>
          <cell r="AA423">
            <v>300</v>
          </cell>
          <cell r="AB423">
            <v>300</v>
          </cell>
          <cell r="AC423">
            <v>300</v>
          </cell>
          <cell r="AD423">
            <v>300</v>
          </cell>
          <cell r="AE423">
            <v>300</v>
          </cell>
          <cell r="AF423">
            <v>300</v>
          </cell>
          <cell r="AG423">
            <v>300</v>
          </cell>
          <cell r="AH423">
            <v>300</v>
          </cell>
          <cell r="AJ423">
            <v>3300</v>
          </cell>
          <cell r="AW423">
            <v>0</v>
          </cell>
        </row>
        <row r="424">
          <cell r="B424">
            <v>4082</v>
          </cell>
          <cell r="C424" t="str">
            <v>CL_130_</v>
          </cell>
          <cell r="D424" t="str">
            <v>Rancho La Cuchilla No. 130</v>
          </cell>
          <cell r="E424" t="str">
            <v>De la Huerta</v>
          </cell>
          <cell r="F424">
            <v>300</v>
          </cell>
          <cell r="G424">
            <v>1</v>
          </cell>
          <cell r="H424">
            <v>300</v>
          </cell>
          <cell r="I424">
            <v>41290</v>
          </cell>
          <cell r="J424">
            <v>0</v>
          </cell>
          <cell r="W424">
            <v>0</v>
          </cell>
          <cell r="X424">
            <v>300</v>
          </cell>
          <cell r="AJ424">
            <v>300</v>
          </cell>
          <cell r="AW424">
            <v>0</v>
          </cell>
        </row>
        <row r="425">
          <cell r="B425">
            <v>4083</v>
          </cell>
          <cell r="C425" t="str">
            <v>UP_108_</v>
          </cell>
          <cell r="D425" t="str">
            <v>Rancho Upácuaro No. 108</v>
          </cell>
          <cell r="E425" t="str">
            <v>Mejía</v>
          </cell>
          <cell r="F425">
            <v>300</v>
          </cell>
          <cell r="G425">
            <v>1</v>
          </cell>
          <cell r="H425">
            <v>300</v>
          </cell>
          <cell r="I425">
            <v>41290</v>
          </cell>
          <cell r="J425">
            <v>0</v>
          </cell>
          <cell r="W425">
            <v>0</v>
          </cell>
          <cell r="X425">
            <v>300</v>
          </cell>
          <cell r="AJ425">
            <v>300</v>
          </cell>
          <cell r="AW425">
            <v>0</v>
          </cell>
        </row>
        <row r="426">
          <cell r="B426">
            <v>4084</v>
          </cell>
          <cell r="C426" t="str">
            <v>CM_130_A</v>
          </cell>
          <cell r="D426" t="str">
            <v>Rancho Estanzuela No. 130, A</v>
          </cell>
          <cell r="E426" t="str">
            <v>Colegio Carmel</v>
          </cell>
          <cell r="F426">
            <v>10000</v>
          </cell>
          <cell r="G426">
            <v>3</v>
          </cell>
          <cell r="H426">
            <v>160</v>
          </cell>
          <cell r="I426">
            <v>41291</v>
          </cell>
          <cell r="J426" t="str">
            <v>NO SUMA</v>
          </cell>
          <cell r="W426">
            <v>0</v>
          </cell>
          <cell r="AJ426">
            <v>0</v>
          </cell>
          <cell r="AW426">
            <v>0</v>
          </cell>
        </row>
        <row r="427">
          <cell r="B427">
            <v>4085</v>
          </cell>
          <cell r="C427" t="str">
            <v>RV_183_</v>
          </cell>
          <cell r="D427" t="str">
            <v>Rancho Recoveco No. 183</v>
          </cell>
          <cell r="E427" t="str">
            <v>Atilano Limón</v>
          </cell>
          <cell r="F427">
            <v>300</v>
          </cell>
          <cell r="G427">
            <v>1</v>
          </cell>
          <cell r="H427">
            <v>3300</v>
          </cell>
          <cell r="I427">
            <v>41291</v>
          </cell>
          <cell r="J427">
            <v>0</v>
          </cell>
          <cell r="W427">
            <v>0</v>
          </cell>
          <cell r="X427">
            <v>300</v>
          </cell>
          <cell r="Y427">
            <v>300</v>
          </cell>
          <cell r="Z427">
            <v>300</v>
          </cell>
          <cell r="AA427">
            <v>300</v>
          </cell>
          <cell r="AB427">
            <v>300</v>
          </cell>
          <cell r="AC427">
            <v>300</v>
          </cell>
          <cell r="AD427">
            <v>300</v>
          </cell>
          <cell r="AE427">
            <v>300</v>
          </cell>
          <cell r="AF427">
            <v>300</v>
          </cell>
          <cell r="AG427">
            <v>300</v>
          </cell>
          <cell r="AH427">
            <v>300</v>
          </cell>
          <cell r="AJ427">
            <v>3300</v>
          </cell>
          <cell r="AW427">
            <v>0</v>
          </cell>
        </row>
        <row r="428">
          <cell r="B428">
            <v>4086</v>
          </cell>
          <cell r="C428" t="str">
            <v>EZ_111_</v>
          </cell>
          <cell r="D428" t="str">
            <v>Rancho Estanzuela No. 111</v>
          </cell>
          <cell r="E428" t="str">
            <v>Flores Pérez</v>
          </cell>
          <cell r="F428">
            <v>300</v>
          </cell>
          <cell r="G428">
            <v>1</v>
          </cell>
          <cell r="H428">
            <v>300</v>
          </cell>
          <cell r="I428">
            <v>41291</v>
          </cell>
          <cell r="J428">
            <v>0</v>
          </cell>
          <cell r="W428">
            <v>0</v>
          </cell>
          <cell r="X428">
            <v>300</v>
          </cell>
          <cell r="AJ428">
            <v>300</v>
          </cell>
          <cell r="AW428">
            <v>0</v>
          </cell>
        </row>
        <row r="429">
          <cell r="B429">
            <v>33</v>
          </cell>
          <cell r="C429" t="str">
            <v>CM_130_A</v>
          </cell>
          <cell r="D429" t="str">
            <v>Rancho Estanzuela No. 130, A</v>
          </cell>
          <cell r="E429" t="str">
            <v>Colegio Carmel</v>
          </cell>
          <cell r="F429">
            <v>10000</v>
          </cell>
          <cell r="G429">
            <v>1</v>
          </cell>
          <cell r="H429">
            <v>10000</v>
          </cell>
          <cell r="I429">
            <v>41291</v>
          </cell>
          <cell r="J429">
            <v>0</v>
          </cell>
          <cell r="W429">
            <v>0</v>
          </cell>
          <cell r="X429">
            <v>10000</v>
          </cell>
          <cell r="AJ429">
            <v>10000</v>
          </cell>
          <cell r="AW429">
            <v>0</v>
          </cell>
        </row>
        <row r="430">
          <cell r="B430">
            <v>4087</v>
          </cell>
          <cell r="C430" t="str">
            <v>CL_36_</v>
          </cell>
          <cell r="D430" t="str">
            <v>Rancho La Cuchilla No. 36</v>
          </cell>
          <cell r="E430" t="str">
            <v>Castillo</v>
          </cell>
          <cell r="F430">
            <v>300</v>
          </cell>
          <cell r="G430">
            <v>1</v>
          </cell>
          <cell r="H430">
            <v>300</v>
          </cell>
          <cell r="I430">
            <v>41293</v>
          </cell>
          <cell r="J430">
            <v>0</v>
          </cell>
          <cell r="W430">
            <v>0</v>
          </cell>
          <cell r="X430">
            <v>300</v>
          </cell>
          <cell r="AJ430">
            <v>300</v>
          </cell>
          <cell r="AW430">
            <v>0</v>
          </cell>
        </row>
        <row r="431">
          <cell r="B431">
            <v>4088</v>
          </cell>
          <cell r="C431" t="str">
            <v>CL_53_</v>
          </cell>
          <cell r="D431" t="str">
            <v>Rancho La Cuchilla No. 53</v>
          </cell>
          <cell r="E431" t="str">
            <v>Loyo Ochoa</v>
          </cell>
          <cell r="F431">
            <v>300</v>
          </cell>
          <cell r="G431">
            <v>1</v>
          </cell>
          <cell r="H431">
            <v>300</v>
          </cell>
          <cell r="I431">
            <v>41294</v>
          </cell>
          <cell r="J431">
            <v>0</v>
          </cell>
          <cell r="W431">
            <v>0</v>
          </cell>
          <cell r="X431">
            <v>300</v>
          </cell>
          <cell r="AJ431">
            <v>300</v>
          </cell>
          <cell r="AW431">
            <v>0</v>
          </cell>
        </row>
        <row r="432">
          <cell r="B432">
            <v>4089</v>
          </cell>
          <cell r="C432" t="str">
            <v>EZ_89_</v>
          </cell>
          <cell r="D432" t="str">
            <v>Rancho Estanzuela No. 89</v>
          </cell>
          <cell r="E432" t="str">
            <v>Romero Ortiz</v>
          </cell>
          <cell r="F432">
            <v>300</v>
          </cell>
          <cell r="G432">
            <v>1</v>
          </cell>
          <cell r="H432">
            <v>300</v>
          </cell>
          <cell r="I432">
            <v>41294</v>
          </cell>
          <cell r="J432">
            <v>0</v>
          </cell>
          <cell r="W432">
            <v>0</v>
          </cell>
          <cell r="X432">
            <v>300</v>
          </cell>
          <cell r="AJ432">
            <v>300</v>
          </cell>
          <cell r="AW432">
            <v>0</v>
          </cell>
        </row>
        <row r="433">
          <cell r="B433">
            <v>4090</v>
          </cell>
          <cell r="C433" t="str">
            <v>RM_30_</v>
          </cell>
          <cell r="D433" t="str">
            <v>Rancho Romeral No. 30</v>
          </cell>
          <cell r="E433" t="str">
            <v>Osorio</v>
          </cell>
          <cell r="F433">
            <v>200</v>
          </cell>
          <cell r="G433">
            <v>1</v>
          </cell>
          <cell r="H433">
            <v>200</v>
          </cell>
          <cell r="I433">
            <v>41294</v>
          </cell>
          <cell r="J433">
            <v>0</v>
          </cell>
          <cell r="V433">
            <v>200</v>
          </cell>
          <cell r="W433">
            <v>200</v>
          </cell>
          <cell r="AJ433">
            <v>0</v>
          </cell>
          <cell r="AW433">
            <v>0</v>
          </cell>
        </row>
        <row r="434">
          <cell r="B434">
            <v>4091</v>
          </cell>
          <cell r="C434" t="str">
            <v>UP_8_</v>
          </cell>
          <cell r="D434" t="str">
            <v>Rancho Upácuaro No. 8</v>
          </cell>
          <cell r="E434" t="str">
            <v>Ibarra</v>
          </cell>
          <cell r="F434">
            <v>250</v>
          </cell>
          <cell r="G434">
            <v>1</v>
          </cell>
          <cell r="H434">
            <v>2750</v>
          </cell>
          <cell r="I434">
            <v>41294</v>
          </cell>
          <cell r="J434">
            <v>0</v>
          </cell>
          <cell r="W434">
            <v>0</v>
          </cell>
          <cell r="X434">
            <v>250</v>
          </cell>
          <cell r="Y434">
            <v>250</v>
          </cell>
          <cell r="Z434">
            <v>250</v>
          </cell>
          <cell r="AA434">
            <v>250</v>
          </cell>
          <cell r="AB434">
            <v>250</v>
          </cell>
          <cell r="AC434">
            <v>250</v>
          </cell>
          <cell r="AD434">
            <v>250</v>
          </cell>
          <cell r="AE434">
            <v>250</v>
          </cell>
          <cell r="AF434">
            <v>250</v>
          </cell>
          <cell r="AG434">
            <v>250</v>
          </cell>
          <cell r="AH434">
            <v>250</v>
          </cell>
          <cell r="AJ434">
            <v>2750</v>
          </cell>
          <cell r="AW434">
            <v>0</v>
          </cell>
        </row>
        <row r="435">
          <cell r="B435">
            <v>4092</v>
          </cell>
          <cell r="C435" t="str">
            <v>EZ_19_</v>
          </cell>
          <cell r="D435" t="str">
            <v>Rancho Estanzuela No. 19</v>
          </cell>
          <cell r="E435" t="str">
            <v>Robles</v>
          </cell>
          <cell r="F435">
            <v>300</v>
          </cell>
          <cell r="G435">
            <v>1</v>
          </cell>
          <cell r="H435">
            <v>300</v>
          </cell>
          <cell r="I435">
            <v>41294</v>
          </cell>
          <cell r="J435">
            <v>0</v>
          </cell>
          <cell r="W435">
            <v>0</v>
          </cell>
          <cell r="X435">
            <v>300</v>
          </cell>
          <cell r="AJ435">
            <v>300</v>
          </cell>
          <cell r="AW435">
            <v>0</v>
          </cell>
        </row>
        <row r="436">
          <cell r="B436">
            <v>4093</v>
          </cell>
          <cell r="C436" t="str">
            <v>EZ_19_</v>
          </cell>
          <cell r="D436" t="str">
            <v>Rancho Estanzuela No. 19</v>
          </cell>
          <cell r="E436" t="str">
            <v>Robles</v>
          </cell>
          <cell r="F436">
            <v>300</v>
          </cell>
          <cell r="G436">
            <v>3</v>
          </cell>
          <cell r="H436">
            <v>150</v>
          </cell>
          <cell r="I436">
            <v>41294</v>
          </cell>
          <cell r="J436" t="str">
            <v>NO SUMA</v>
          </cell>
          <cell r="W436">
            <v>0</v>
          </cell>
          <cell r="AJ436">
            <v>0</v>
          </cell>
          <cell r="AW436">
            <v>0</v>
          </cell>
        </row>
        <row r="437">
          <cell r="B437">
            <v>4094</v>
          </cell>
          <cell r="C437" t="str">
            <v>LD_93_</v>
          </cell>
          <cell r="D437" t="str">
            <v>Rancho Landero No. 93</v>
          </cell>
          <cell r="E437" t="str">
            <v>Ortega López</v>
          </cell>
          <cell r="F437">
            <v>300</v>
          </cell>
          <cell r="G437">
            <v>1</v>
          </cell>
          <cell r="H437">
            <v>300</v>
          </cell>
          <cell r="I437">
            <v>41294</v>
          </cell>
          <cell r="J437">
            <v>0</v>
          </cell>
          <cell r="W437">
            <v>0</v>
          </cell>
          <cell r="X437">
            <v>300</v>
          </cell>
          <cell r="AJ437">
            <v>300</v>
          </cell>
          <cell r="AW437">
            <v>0</v>
          </cell>
        </row>
        <row r="438">
          <cell r="B438">
            <v>4095</v>
          </cell>
          <cell r="C438" t="str">
            <v>LD_62_</v>
          </cell>
          <cell r="D438" t="str">
            <v>Rancho Landero No. 62</v>
          </cell>
          <cell r="E438" t="str">
            <v>Narvaez Sara</v>
          </cell>
          <cell r="F438">
            <v>300</v>
          </cell>
          <cell r="G438">
            <v>1</v>
          </cell>
          <cell r="H438">
            <v>300</v>
          </cell>
          <cell r="I438">
            <v>41294</v>
          </cell>
          <cell r="J438">
            <v>0</v>
          </cell>
          <cell r="W438">
            <v>0</v>
          </cell>
          <cell r="X438">
            <v>300</v>
          </cell>
          <cell r="AJ438">
            <v>300</v>
          </cell>
          <cell r="AW438">
            <v>0</v>
          </cell>
        </row>
        <row r="439">
          <cell r="B439">
            <v>4095</v>
          </cell>
          <cell r="C439" t="str">
            <v>LD_62_</v>
          </cell>
          <cell r="D439" t="str">
            <v>Rancho Landero No. 62</v>
          </cell>
          <cell r="E439" t="str">
            <v>Narvaez Sara</v>
          </cell>
          <cell r="F439">
            <v>300</v>
          </cell>
          <cell r="G439">
            <v>4</v>
          </cell>
          <cell r="H439">
            <v>160</v>
          </cell>
          <cell r="I439">
            <v>41294</v>
          </cell>
          <cell r="J439" t="str">
            <v>NO SUMA</v>
          </cell>
          <cell r="W439">
            <v>0</v>
          </cell>
          <cell r="AJ439">
            <v>0</v>
          </cell>
          <cell r="AW439">
            <v>0</v>
          </cell>
        </row>
        <row r="440">
          <cell r="B440">
            <v>4096</v>
          </cell>
          <cell r="C440" t="str">
            <v>CL_120_</v>
          </cell>
          <cell r="D440" t="str">
            <v>Rancho La Cuchilla No. 120</v>
          </cell>
          <cell r="E440" t="str">
            <v>Pozos Vilchis</v>
          </cell>
          <cell r="F440">
            <v>300</v>
          </cell>
          <cell r="G440">
            <v>1</v>
          </cell>
          <cell r="H440">
            <v>300</v>
          </cell>
          <cell r="I440">
            <v>41294</v>
          </cell>
          <cell r="J440">
            <v>0</v>
          </cell>
          <cell r="W440">
            <v>0</v>
          </cell>
          <cell r="X440">
            <v>300</v>
          </cell>
          <cell r="AJ440">
            <v>300</v>
          </cell>
          <cell r="AW440">
            <v>0</v>
          </cell>
        </row>
        <row r="441">
          <cell r="B441">
            <v>4097</v>
          </cell>
          <cell r="C441" t="str">
            <v>EZ_7_A</v>
          </cell>
          <cell r="D441" t="str">
            <v>Rancho Estanzuela No. 7, A</v>
          </cell>
          <cell r="E441" t="str">
            <v>Herrera Izquierdo</v>
          </cell>
          <cell r="F441">
            <v>150</v>
          </cell>
          <cell r="G441">
            <v>1</v>
          </cell>
          <cell r="H441">
            <v>150</v>
          </cell>
          <cell r="I441">
            <v>41294</v>
          </cell>
          <cell r="J441">
            <v>0</v>
          </cell>
          <cell r="W441">
            <v>0</v>
          </cell>
          <cell r="X441">
            <v>150</v>
          </cell>
          <cell r="AJ441">
            <v>150</v>
          </cell>
          <cell r="AW441">
            <v>0</v>
          </cell>
        </row>
        <row r="442">
          <cell r="B442">
            <v>4098</v>
          </cell>
          <cell r="C442" t="str">
            <v>CL_97_</v>
          </cell>
          <cell r="D442" t="str">
            <v>Rancho La Cuchilla No. 97</v>
          </cell>
          <cell r="E442" t="str">
            <v>López Ruiz</v>
          </cell>
          <cell r="F442">
            <v>300</v>
          </cell>
          <cell r="G442">
            <v>1</v>
          </cell>
          <cell r="H442">
            <v>300</v>
          </cell>
          <cell r="I442">
            <v>41294</v>
          </cell>
          <cell r="J442">
            <v>0</v>
          </cell>
          <cell r="W442">
            <v>0</v>
          </cell>
          <cell r="X442">
            <v>300</v>
          </cell>
          <cell r="AJ442">
            <v>300</v>
          </cell>
          <cell r="AW442">
            <v>0</v>
          </cell>
        </row>
        <row r="443">
          <cell r="B443">
            <v>4099</v>
          </cell>
          <cell r="C443" t="str">
            <v>CL_72_</v>
          </cell>
          <cell r="D443" t="str">
            <v>Rancho La Cuchilla No. 72</v>
          </cell>
          <cell r="E443" t="str">
            <v>Ortiz González</v>
          </cell>
          <cell r="F443">
            <v>300</v>
          </cell>
          <cell r="G443">
            <v>4</v>
          </cell>
          <cell r="H443">
            <v>160</v>
          </cell>
          <cell r="I443">
            <v>41294</v>
          </cell>
          <cell r="J443" t="str">
            <v>NO SUMA</v>
          </cell>
          <cell r="W443">
            <v>0</v>
          </cell>
          <cell r="AJ443">
            <v>0</v>
          </cell>
          <cell r="AW443">
            <v>0</v>
          </cell>
        </row>
        <row r="444">
          <cell r="B444">
            <v>4100</v>
          </cell>
          <cell r="C444" t="str">
            <v>EZ_75_</v>
          </cell>
          <cell r="D444" t="str">
            <v>Rancho Estanzuela No. 75</v>
          </cell>
          <cell r="E444" t="str">
            <v>Candela Pons</v>
          </cell>
          <cell r="F444">
            <v>300</v>
          </cell>
          <cell r="G444">
            <v>3</v>
          </cell>
          <cell r="H444">
            <v>150</v>
          </cell>
          <cell r="I444">
            <v>41294</v>
          </cell>
          <cell r="J444" t="str">
            <v>NO SUMA</v>
          </cell>
          <cell r="W444">
            <v>0</v>
          </cell>
          <cell r="AJ444">
            <v>0</v>
          </cell>
          <cell r="AW444">
            <v>0</v>
          </cell>
        </row>
        <row r="445">
          <cell r="B445">
            <v>4101</v>
          </cell>
          <cell r="C445" t="str">
            <v>CL_7_102</v>
          </cell>
          <cell r="D445" t="str">
            <v>Rancho La Cuchilla No. 7, 102</v>
          </cell>
          <cell r="E445" t="str">
            <v>García Moreno</v>
          </cell>
          <cell r="F445">
            <v>100</v>
          </cell>
          <cell r="G445">
            <v>1</v>
          </cell>
          <cell r="H445">
            <v>400</v>
          </cell>
          <cell r="I445">
            <v>41294</v>
          </cell>
          <cell r="J445">
            <v>0</v>
          </cell>
          <cell r="T445">
            <v>100</v>
          </cell>
          <cell r="U445">
            <v>100</v>
          </cell>
          <cell r="V445">
            <v>100</v>
          </cell>
          <cell r="W445">
            <v>300</v>
          </cell>
          <cell r="X445">
            <v>100</v>
          </cell>
          <cell r="AJ445">
            <v>100</v>
          </cell>
          <cell r="AW445">
            <v>0</v>
          </cell>
        </row>
        <row r="446">
          <cell r="B446">
            <v>4102</v>
          </cell>
          <cell r="C446" t="str">
            <v>CL_7_202</v>
          </cell>
          <cell r="D446" t="str">
            <v>Rancho La Cuchilla No. 7, 202</v>
          </cell>
          <cell r="E446" t="str">
            <v>Carbajal Zayas</v>
          </cell>
          <cell r="F446">
            <v>100</v>
          </cell>
          <cell r="G446">
            <v>1</v>
          </cell>
          <cell r="H446">
            <v>100</v>
          </cell>
          <cell r="I446">
            <v>41294</v>
          </cell>
          <cell r="J446">
            <v>0</v>
          </cell>
          <cell r="W446">
            <v>0</v>
          </cell>
          <cell r="X446">
            <v>100</v>
          </cell>
          <cell r="AJ446">
            <v>100</v>
          </cell>
          <cell r="AW446">
            <v>0</v>
          </cell>
        </row>
        <row r="447">
          <cell r="B447">
            <v>4103</v>
          </cell>
          <cell r="C447" t="str">
            <v>ZB_82_</v>
          </cell>
          <cell r="D447" t="str">
            <v>Rancho Zinamba No. 82</v>
          </cell>
          <cell r="E447" t="str">
            <v>Morán Carmona</v>
          </cell>
          <cell r="F447">
            <v>150</v>
          </cell>
          <cell r="G447">
            <v>1</v>
          </cell>
          <cell r="H447">
            <v>450</v>
          </cell>
          <cell r="I447">
            <v>41294</v>
          </cell>
          <cell r="J447">
            <v>0</v>
          </cell>
          <cell r="T447">
            <v>150</v>
          </cell>
          <cell r="U447">
            <v>150</v>
          </cell>
          <cell r="V447">
            <v>150</v>
          </cell>
          <cell r="W447">
            <v>450</v>
          </cell>
          <cell r="AJ447">
            <v>0</v>
          </cell>
          <cell r="AW447">
            <v>0</v>
          </cell>
        </row>
        <row r="448">
          <cell r="B448">
            <v>4104</v>
          </cell>
          <cell r="C448" t="str">
            <v>LD_29_</v>
          </cell>
          <cell r="D448" t="str">
            <v>Rancho Landero No. 29</v>
          </cell>
          <cell r="E448" t="str">
            <v>Ulrich Cervantes</v>
          </cell>
          <cell r="F448">
            <v>150</v>
          </cell>
          <cell r="G448">
            <v>1</v>
          </cell>
          <cell r="H448">
            <v>150</v>
          </cell>
          <cell r="I448">
            <v>41294</v>
          </cell>
          <cell r="J448">
            <v>0</v>
          </cell>
          <cell r="W448">
            <v>0</v>
          </cell>
          <cell r="X448">
            <v>150</v>
          </cell>
          <cell r="AJ448">
            <v>150</v>
          </cell>
          <cell r="AW448">
            <v>0</v>
          </cell>
        </row>
        <row r="449">
          <cell r="B449">
            <v>4105</v>
          </cell>
          <cell r="C449" t="str">
            <v>LD_87_</v>
          </cell>
          <cell r="D449" t="str">
            <v>Rancho Landero No. 87</v>
          </cell>
          <cell r="E449" t="str">
            <v>Fey Lafferla</v>
          </cell>
          <cell r="F449">
            <v>300</v>
          </cell>
          <cell r="G449">
            <v>1</v>
          </cell>
          <cell r="H449">
            <v>300</v>
          </cell>
          <cell r="I449">
            <v>41294</v>
          </cell>
          <cell r="J449">
            <v>0</v>
          </cell>
          <cell r="W449">
            <v>0</v>
          </cell>
          <cell r="X449">
            <v>300</v>
          </cell>
          <cell r="AJ449">
            <v>300</v>
          </cell>
          <cell r="AW449">
            <v>0</v>
          </cell>
        </row>
        <row r="450">
          <cell r="B450">
            <v>4106</v>
          </cell>
          <cell r="C450" t="str">
            <v>EZ_65_</v>
          </cell>
          <cell r="D450" t="str">
            <v>Rancho Estanzuela No. 65</v>
          </cell>
          <cell r="E450" t="str">
            <v>López Becerril</v>
          </cell>
          <cell r="F450">
            <v>300</v>
          </cell>
          <cell r="G450">
            <v>1</v>
          </cell>
          <cell r="H450">
            <v>600</v>
          </cell>
          <cell r="I450">
            <v>41294</v>
          </cell>
          <cell r="J450">
            <v>0</v>
          </cell>
          <cell r="W450">
            <v>0</v>
          </cell>
          <cell r="X450">
            <v>300</v>
          </cell>
          <cell r="Y450">
            <v>300</v>
          </cell>
          <cell r="AJ450">
            <v>600</v>
          </cell>
          <cell r="AW450">
            <v>0</v>
          </cell>
        </row>
        <row r="451">
          <cell r="B451">
            <v>4107</v>
          </cell>
          <cell r="C451" t="str">
            <v>EZ_103_A</v>
          </cell>
          <cell r="D451" t="str">
            <v>Rancho Estanzuela No. 103</v>
          </cell>
          <cell r="E451" t="str">
            <v>Valencia Aranda</v>
          </cell>
          <cell r="F451">
            <v>300</v>
          </cell>
          <cell r="G451">
            <v>1</v>
          </cell>
          <cell r="H451">
            <v>3300</v>
          </cell>
          <cell r="I451">
            <v>41294</v>
          </cell>
          <cell r="J451">
            <v>0</v>
          </cell>
          <cell r="W451">
            <v>0</v>
          </cell>
          <cell r="X451">
            <v>300</v>
          </cell>
          <cell r="Y451">
            <v>300</v>
          </cell>
          <cell r="Z451">
            <v>300</v>
          </cell>
          <cell r="AA451">
            <v>300</v>
          </cell>
          <cell r="AB451">
            <v>300</v>
          </cell>
          <cell r="AC451">
            <v>300</v>
          </cell>
          <cell r="AD451">
            <v>300</v>
          </cell>
          <cell r="AE451">
            <v>300</v>
          </cell>
          <cell r="AF451">
            <v>300</v>
          </cell>
          <cell r="AG451">
            <v>300</v>
          </cell>
          <cell r="AH451">
            <v>300</v>
          </cell>
          <cell r="AJ451">
            <v>3300</v>
          </cell>
          <cell r="AW451">
            <v>0</v>
          </cell>
        </row>
        <row r="452">
          <cell r="B452">
            <v>4108</v>
          </cell>
          <cell r="C452" t="str">
            <v>EP_22_A</v>
          </cell>
          <cell r="D452" t="str">
            <v>Rancho Estopila No. 22, A</v>
          </cell>
          <cell r="E452" t="str">
            <v>Ayala Carranza</v>
          </cell>
          <cell r="F452">
            <v>150</v>
          </cell>
          <cell r="G452">
            <v>1</v>
          </cell>
          <cell r="H452">
            <v>150</v>
          </cell>
          <cell r="I452">
            <v>41294</v>
          </cell>
          <cell r="J452">
            <v>0</v>
          </cell>
          <cell r="W452">
            <v>0</v>
          </cell>
          <cell r="X452">
            <v>150</v>
          </cell>
          <cell r="AJ452">
            <v>150</v>
          </cell>
          <cell r="AW452">
            <v>0</v>
          </cell>
        </row>
        <row r="453">
          <cell r="B453">
            <v>4109</v>
          </cell>
          <cell r="C453" t="str">
            <v>EZ_99_</v>
          </cell>
          <cell r="D453" t="str">
            <v>Rancho Estanzuela No. 99</v>
          </cell>
          <cell r="E453" t="str">
            <v>García López</v>
          </cell>
          <cell r="F453">
            <v>300</v>
          </cell>
          <cell r="G453">
            <v>1</v>
          </cell>
          <cell r="H453">
            <v>300</v>
          </cell>
          <cell r="I453">
            <v>41294</v>
          </cell>
          <cell r="J453">
            <v>0</v>
          </cell>
          <cell r="W453">
            <v>0</v>
          </cell>
          <cell r="X453">
            <v>300</v>
          </cell>
          <cell r="AJ453">
            <v>300</v>
          </cell>
          <cell r="AW453">
            <v>0</v>
          </cell>
        </row>
        <row r="454">
          <cell r="B454">
            <v>4110</v>
          </cell>
          <cell r="C454" t="str">
            <v>EZ_133_B</v>
          </cell>
          <cell r="D454" t="str">
            <v>Rancho Estanzuela No. 133, B</v>
          </cell>
          <cell r="E454" t="str">
            <v>Hernández Salazar</v>
          </cell>
          <cell r="F454">
            <v>250</v>
          </cell>
          <cell r="G454">
            <v>1</v>
          </cell>
          <cell r="H454">
            <v>500</v>
          </cell>
          <cell r="I454">
            <v>41294</v>
          </cell>
          <cell r="J454">
            <v>0</v>
          </cell>
          <cell r="V454">
            <v>250</v>
          </cell>
          <cell r="W454">
            <v>250</v>
          </cell>
          <cell r="X454">
            <v>250</v>
          </cell>
          <cell r="AJ454">
            <v>250</v>
          </cell>
          <cell r="AW454">
            <v>0</v>
          </cell>
        </row>
        <row r="455">
          <cell r="B455">
            <v>4111</v>
          </cell>
          <cell r="C455" t="str">
            <v>CL_107_</v>
          </cell>
          <cell r="D455" t="str">
            <v>Rancho La Cuchilla No. 107</v>
          </cell>
          <cell r="E455" t="str">
            <v>Olivares Rivera</v>
          </cell>
          <cell r="F455">
            <v>300</v>
          </cell>
          <cell r="G455">
            <v>1</v>
          </cell>
          <cell r="H455">
            <v>300</v>
          </cell>
          <cell r="I455">
            <v>41294</v>
          </cell>
          <cell r="J455">
            <v>0</v>
          </cell>
          <cell r="W455">
            <v>0</v>
          </cell>
          <cell r="X455">
            <v>300</v>
          </cell>
          <cell r="AJ455">
            <v>300</v>
          </cell>
          <cell r="AW455">
            <v>0</v>
          </cell>
        </row>
        <row r="456">
          <cell r="B456">
            <v>4112</v>
          </cell>
          <cell r="C456" t="str">
            <v>UP_116_</v>
          </cell>
          <cell r="D456" t="str">
            <v>Rancho Upácuaro No. 116</v>
          </cell>
          <cell r="E456" t="str">
            <v>García Zamudio</v>
          </cell>
          <cell r="F456">
            <v>300</v>
          </cell>
          <cell r="G456">
            <v>1</v>
          </cell>
          <cell r="H456">
            <v>300</v>
          </cell>
          <cell r="I456">
            <v>41294</v>
          </cell>
          <cell r="J456">
            <v>0</v>
          </cell>
          <cell r="W456">
            <v>0</v>
          </cell>
          <cell r="X456">
            <v>300</v>
          </cell>
          <cell r="AJ456">
            <v>300</v>
          </cell>
          <cell r="AW456">
            <v>0</v>
          </cell>
        </row>
        <row r="457">
          <cell r="B457">
            <v>4113</v>
          </cell>
          <cell r="C457" t="str">
            <v>CL_18_</v>
          </cell>
          <cell r="D457" t="str">
            <v>Rancho La Cuchilla No. 18</v>
          </cell>
          <cell r="E457" t="str">
            <v>Aldana Sánchez</v>
          </cell>
          <cell r="F457">
            <v>300</v>
          </cell>
          <cell r="G457">
            <v>1</v>
          </cell>
          <cell r="H457">
            <v>600</v>
          </cell>
          <cell r="I457">
            <v>41294</v>
          </cell>
          <cell r="J457">
            <v>0</v>
          </cell>
          <cell r="V457">
            <v>300</v>
          </cell>
          <cell r="W457">
            <v>300</v>
          </cell>
          <cell r="X457">
            <v>300</v>
          </cell>
          <cell r="AJ457">
            <v>300</v>
          </cell>
          <cell r="AW457">
            <v>0</v>
          </cell>
        </row>
        <row r="458">
          <cell r="B458">
            <v>4114</v>
          </cell>
          <cell r="C458" t="str">
            <v>CL_43_A</v>
          </cell>
          <cell r="D458" t="str">
            <v>Rancho La Cuchilla No. 43, A</v>
          </cell>
          <cell r="E458" t="str">
            <v>De la Rosa</v>
          </cell>
          <cell r="F458">
            <v>200</v>
          </cell>
          <cell r="G458">
            <v>1</v>
          </cell>
          <cell r="H458">
            <v>200</v>
          </cell>
          <cell r="I458">
            <v>41294</v>
          </cell>
          <cell r="J458">
            <v>0</v>
          </cell>
          <cell r="W458">
            <v>0</v>
          </cell>
          <cell r="X458">
            <v>200</v>
          </cell>
          <cell r="AJ458">
            <v>200</v>
          </cell>
          <cell r="AW458">
            <v>0</v>
          </cell>
        </row>
        <row r="459">
          <cell r="B459">
            <v>4115</v>
          </cell>
          <cell r="C459" t="str">
            <v>UP_94_</v>
          </cell>
          <cell r="D459" t="str">
            <v>Rancho Upácuaro No. 94</v>
          </cell>
          <cell r="E459" t="str">
            <v>Juárez Patiño</v>
          </cell>
          <cell r="F459">
            <v>300</v>
          </cell>
          <cell r="G459">
            <v>1</v>
          </cell>
          <cell r="H459">
            <v>300</v>
          </cell>
          <cell r="I459">
            <v>41294</v>
          </cell>
          <cell r="J459">
            <v>0</v>
          </cell>
          <cell r="W459">
            <v>0</v>
          </cell>
          <cell r="X459">
            <v>300</v>
          </cell>
          <cell r="AJ459">
            <v>300</v>
          </cell>
          <cell r="AW459">
            <v>0</v>
          </cell>
        </row>
        <row r="460">
          <cell r="B460">
            <v>4116</v>
          </cell>
          <cell r="C460" t="str">
            <v>UP_73_A</v>
          </cell>
          <cell r="D460" t="str">
            <v>Rancho Upácuaro No. 73, A</v>
          </cell>
          <cell r="E460" t="str">
            <v>Ortega</v>
          </cell>
          <cell r="F460">
            <v>150</v>
          </cell>
          <cell r="G460">
            <v>1</v>
          </cell>
          <cell r="H460">
            <v>150</v>
          </cell>
          <cell r="I460">
            <v>41294</v>
          </cell>
          <cell r="J460">
            <v>0</v>
          </cell>
          <cell r="W460">
            <v>0</v>
          </cell>
          <cell r="X460">
            <v>150</v>
          </cell>
          <cell r="AJ460">
            <v>150</v>
          </cell>
          <cell r="AW460">
            <v>0</v>
          </cell>
        </row>
        <row r="461">
          <cell r="B461">
            <v>4117</v>
          </cell>
          <cell r="C461" t="str">
            <v>LD_86_</v>
          </cell>
          <cell r="D461" t="str">
            <v>Rancho Landero No. 86</v>
          </cell>
          <cell r="E461" t="str">
            <v>Cuervo</v>
          </cell>
          <cell r="F461">
            <v>300</v>
          </cell>
          <cell r="G461">
            <v>1</v>
          </cell>
          <cell r="H461">
            <v>300</v>
          </cell>
          <cell r="I461">
            <v>41294</v>
          </cell>
          <cell r="J461">
            <v>0</v>
          </cell>
          <cell r="W461">
            <v>0</v>
          </cell>
          <cell r="X461">
            <v>300</v>
          </cell>
          <cell r="AJ461">
            <v>300</v>
          </cell>
          <cell r="AW461">
            <v>0</v>
          </cell>
        </row>
        <row r="462">
          <cell r="B462">
            <v>4118</v>
          </cell>
          <cell r="C462" t="str">
            <v>UP_68_</v>
          </cell>
          <cell r="D462" t="str">
            <v>Rancho Upácuaro No. 68</v>
          </cell>
          <cell r="E462" t="str">
            <v>Lozano</v>
          </cell>
          <cell r="F462">
            <v>300</v>
          </cell>
          <cell r="G462">
            <v>1</v>
          </cell>
          <cell r="H462">
            <v>300</v>
          </cell>
          <cell r="I462">
            <v>41294</v>
          </cell>
          <cell r="J462">
            <v>0</v>
          </cell>
          <cell r="W462">
            <v>0</v>
          </cell>
          <cell r="X462">
            <v>300</v>
          </cell>
          <cell r="AJ462">
            <v>300</v>
          </cell>
          <cell r="AW462">
            <v>0</v>
          </cell>
        </row>
        <row r="463">
          <cell r="B463">
            <v>4119</v>
          </cell>
          <cell r="C463" t="str">
            <v>LD_71_</v>
          </cell>
          <cell r="D463" t="str">
            <v>Rancho Landero No. 71</v>
          </cell>
          <cell r="E463" t="str">
            <v>Cabrera Balcázar</v>
          </cell>
          <cell r="F463">
            <v>300</v>
          </cell>
          <cell r="G463">
            <v>1</v>
          </cell>
          <cell r="H463">
            <v>300</v>
          </cell>
          <cell r="I463">
            <v>41294</v>
          </cell>
          <cell r="J463">
            <v>0</v>
          </cell>
          <cell r="W463">
            <v>0</v>
          </cell>
          <cell r="X463">
            <v>300</v>
          </cell>
          <cell r="AJ463">
            <v>300</v>
          </cell>
          <cell r="AW463">
            <v>0</v>
          </cell>
        </row>
        <row r="464">
          <cell r="B464">
            <v>4120</v>
          </cell>
          <cell r="C464" t="str">
            <v>ZB_20_</v>
          </cell>
          <cell r="D464" t="str">
            <v>Rancho Zinamba No. 20</v>
          </cell>
          <cell r="E464" t="str">
            <v>Alegre Retana</v>
          </cell>
          <cell r="F464">
            <v>300</v>
          </cell>
          <cell r="G464">
            <v>1</v>
          </cell>
          <cell r="H464">
            <v>300</v>
          </cell>
          <cell r="I464">
            <v>41294</v>
          </cell>
          <cell r="J464">
            <v>0</v>
          </cell>
          <cell r="W464">
            <v>0</v>
          </cell>
          <cell r="X464">
            <v>300</v>
          </cell>
          <cell r="AJ464">
            <v>300</v>
          </cell>
          <cell r="AW464">
            <v>0</v>
          </cell>
        </row>
        <row r="465">
          <cell r="B465">
            <v>4121</v>
          </cell>
          <cell r="C465" t="str">
            <v>RV_175_0</v>
          </cell>
          <cell r="D465" t="str">
            <v>Rancho Recoveco No. 175</v>
          </cell>
          <cell r="E465" t="str">
            <v>Ramírez</v>
          </cell>
          <cell r="F465">
            <v>300</v>
          </cell>
          <cell r="G465">
            <v>3</v>
          </cell>
          <cell r="H465">
            <v>150</v>
          </cell>
          <cell r="I465">
            <v>41294</v>
          </cell>
          <cell r="J465" t="str">
            <v>NO SUMA</v>
          </cell>
          <cell r="W465">
            <v>0</v>
          </cell>
          <cell r="AJ465">
            <v>0</v>
          </cell>
          <cell r="AW465">
            <v>0</v>
          </cell>
        </row>
        <row r="466">
          <cell r="B466">
            <v>4122</v>
          </cell>
          <cell r="C466" t="str">
            <v>EZ_119_1</v>
          </cell>
          <cell r="D466" t="str">
            <v>Rancho Estanzuela No. 119</v>
          </cell>
          <cell r="E466" t="str">
            <v>López Tovar</v>
          </cell>
          <cell r="F466">
            <v>300</v>
          </cell>
          <cell r="G466">
            <v>3</v>
          </cell>
          <cell r="H466">
            <v>150</v>
          </cell>
          <cell r="I466">
            <v>41294</v>
          </cell>
          <cell r="J466" t="str">
            <v>NO SUMA</v>
          </cell>
          <cell r="W466">
            <v>0</v>
          </cell>
          <cell r="AJ466">
            <v>0</v>
          </cell>
          <cell r="AW466">
            <v>0</v>
          </cell>
        </row>
        <row r="467">
          <cell r="B467">
            <v>4123</v>
          </cell>
          <cell r="C467" t="str">
            <v>CL_66_</v>
          </cell>
          <cell r="D467" t="str">
            <v>Rancho La Cuchilla No. 66</v>
          </cell>
          <cell r="E467" t="str">
            <v>Prieto</v>
          </cell>
          <cell r="F467">
            <v>300</v>
          </cell>
          <cell r="G467">
            <v>1</v>
          </cell>
          <cell r="H467">
            <v>300</v>
          </cell>
          <cell r="I467">
            <v>41294</v>
          </cell>
          <cell r="J467">
            <v>0</v>
          </cell>
          <cell r="W467">
            <v>0</v>
          </cell>
          <cell r="X467">
            <v>300</v>
          </cell>
          <cell r="AJ467">
            <v>300</v>
          </cell>
          <cell r="AW467">
            <v>0</v>
          </cell>
        </row>
        <row r="468">
          <cell r="B468">
            <v>4124</v>
          </cell>
          <cell r="C468" t="str">
            <v>EZ_77_</v>
          </cell>
          <cell r="D468" t="str">
            <v>Rancho Estanzuela No. 77</v>
          </cell>
          <cell r="E468" t="str">
            <v>De la Rosa Rico</v>
          </cell>
          <cell r="F468">
            <v>300</v>
          </cell>
          <cell r="G468">
            <v>1</v>
          </cell>
          <cell r="H468">
            <v>600</v>
          </cell>
          <cell r="I468">
            <v>41294</v>
          </cell>
          <cell r="J468">
            <v>0</v>
          </cell>
          <cell r="S468">
            <v>300</v>
          </cell>
          <cell r="T468">
            <v>300</v>
          </cell>
          <cell r="W468">
            <v>600</v>
          </cell>
          <cell r="AJ468">
            <v>0</v>
          </cell>
          <cell r="AW468">
            <v>0</v>
          </cell>
        </row>
        <row r="469">
          <cell r="B469">
            <v>4125</v>
          </cell>
          <cell r="C469" t="str">
            <v>LD_88_</v>
          </cell>
          <cell r="D469" t="str">
            <v>Rancho Landero No. 88</v>
          </cell>
          <cell r="E469" t="str">
            <v>Torres Raúl</v>
          </cell>
          <cell r="F469">
            <v>300</v>
          </cell>
          <cell r="G469">
            <v>3</v>
          </cell>
          <cell r="H469">
            <v>150</v>
          </cell>
          <cell r="I469">
            <v>41294</v>
          </cell>
          <cell r="J469" t="str">
            <v>NO SUMA</v>
          </cell>
          <cell r="W469">
            <v>0</v>
          </cell>
          <cell r="AJ469">
            <v>0</v>
          </cell>
          <cell r="AW469">
            <v>0</v>
          </cell>
        </row>
        <row r="470">
          <cell r="B470">
            <v>4125</v>
          </cell>
          <cell r="C470" t="str">
            <v>LD_88_</v>
          </cell>
          <cell r="D470" t="str">
            <v>Rancho Landero No. 88</v>
          </cell>
          <cell r="E470" t="str">
            <v>Torres Raúl</v>
          </cell>
          <cell r="F470">
            <v>300</v>
          </cell>
          <cell r="G470">
            <v>4</v>
          </cell>
          <cell r="H470">
            <v>160</v>
          </cell>
          <cell r="I470">
            <v>41294</v>
          </cell>
          <cell r="J470" t="str">
            <v>NO SUMA</v>
          </cell>
          <cell r="W470">
            <v>0</v>
          </cell>
          <cell r="AJ470">
            <v>0</v>
          </cell>
          <cell r="AW470">
            <v>0</v>
          </cell>
        </row>
        <row r="471">
          <cell r="B471">
            <v>4126</v>
          </cell>
          <cell r="C471" t="str">
            <v>UP_120_</v>
          </cell>
          <cell r="D471" t="str">
            <v>Rancho Upácuaro No. 120</v>
          </cell>
          <cell r="E471" t="str">
            <v>Rayas Rivera</v>
          </cell>
          <cell r="F471">
            <v>300</v>
          </cell>
          <cell r="G471">
            <v>1</v>
          </cell>
          <cell r="H471">
            <v>300</v>
          </cell>
          <cell r="I471">
            <v>41294</v>
          </cell>
          <cell r="J471">
            <v>0</v>
          </cell>
          <cell r="W471">
            <v>0</v>
          </cell>
          <cell r="X471">
            <v>300</v>
          </cell>
          <cell r="AJ471">
            <v>300</v>
          </cell>
          <cell r="AW471">
            <v>0</v>
          </cell>
        </row>
        <row r="472">
          <cell r="B472">
            <v>4127</v>
          </cell>
          <cell r="C472" t="str">
            <v>CL_77_</v>
          </cell>
          <cell r="D472" t="str">
            <v>Rancho La Cuchilla No. 77</v>
          </cell>
          <cell r="E472" t="str">
            <v>Loperena</v>
          </cell>
          <cell r="F472">
            <v>300</v>
          </cell>
          <cell r="G472">
            <v>1</v>
          </cell>
          <cell r="H472">
            <v>300</v>
          </cell>
          <cell r="I472">
            <v>41294</v>
          </cell>
          <cell r="J472">
            <v>0</v>
          </cell>
          <cell r="W472">
            <v>0</v>
          </cell>
          <cell r="X472">
            <v>300</v>
          </cell>
          <cell r="AJ472">
            <v>300</v>
          </cell>
          <cell r="AW472">
            <v>0</v>
          </cell>
        </row>
        <row r="473">
          <cell r="B473">
            <v>4128</v>
          </cell>
          <cell r="C473" t="str">
            <v>LD_35_</v>
          </cell>
          <cell r="D473" t="str">
            <v>Rancho Landero No. 35</v>
          </cell>
          <cell r="E473" t="str">
            <v>Loperena</v>
          </cell>
          <cell r="F473">
            <v>300</v>
          </cell>
          <cell r="G473">
            <v>5</v>
          </cell>
          <cell r="H473">
            <v>20</v>
          </cell>
          <cell r="I473">
            <v>41294</v>
          </cell>
          <cell r="J473" t="str">
            <v>NO SUMA</v>
          </cell>
          <cell r="W473">
            <v>0</v>
          </cell>
          <cell r="AJ473">
            <v>0</v>
          </cell>
          <cell r="AW473">
            <v>0</v>
          </cell>
        </row>
        <row r="474">
          <cell r="B474">
            <v>4129</v>
          </cell>
          <cell r="C474" t="str">
            <v>EZ_61_</v>
          </cell>
          <cell r="D474" t="str">
            <v>Rancho Estanzuela No. 61</v>
          </cell>
          <cell r="E474" t="str">
            <v>González Almazán</v>
          </cell>
          <cell r="F474">
            <v>300</v>
          </cell>
          <cell r="G474">
            <v>1</v>
          </cell>
          <cell r="H474">
            <v>300</v>
          </cell>
          <cell r="I474">
            <v>41294</v>
          </cell>
          <cell r="J474">
            <v>0</v>
          </cell>
          <cell r="W474">
            <v>0</v>
          </cell>
          <cell r="X474">
            <v>300</v>
          </cell>
          <cell r="AJ474">
            <v>300</v>
          </cell>
          <cell r="AW474">
            <v>0</v>
          </cell>
        </row>
        <row r="475">
          <cell r="B475">
            <v>4130</v>
          </cell>
          <cell r="C475" t="str">
            <v>EZ_63_</v>
          </cell>
          <cell r="D475" t="str">
            <v>Rancho Estanzuela No. 63</v>
          </cell>
          <cell r="E475" t="str">
            <v>Mendoza Q.</v>
          </cell>
          <cell r="F475">
            <v>200</v>
          </cell>
          <cell r="G475">
            <v>1</v>
          </cell>
          <cell r="H475">
            <v>1200</v>
          </cell>
          <cell r="I475">
            <v>41294</v>
          </cell>
          <cell r="J475">
            <v>0</v>
          </cell>
          <cell r="W475">
            <v>0</v>
          </cell>
          <cell r="X475">
            <v>200</v>
          </cell>
          <cell r="Y475">
            <v>200</v>
          </cell>
          <cell r="Z475">
            <v>200</v>
          </cell>
          <cell r="AA475">
            <v>200</v>
          </cell>
          <cell r="AB475">
            <v>200</v>
          </cell>
          <cell r="AC475">
            <v>200</v>
          </cell>
          <cell r="AJ475">
            <v>1200</v>
          </cell>
          <cell r="AW475">
            <v>0</v>
          </cell>
        </row>
        <row r="476">
          <cell r="B476">
            <v>4131</v>
          </cell>
          <cell r="C476" t="str">
            <v>EZ_63_</v>
          </cell>
          <cell r="D476" t="str">
            <v>Rancho Estanzuela No. 63</v>
          </cell>
          <cell r="E476" t="str">
            <v>Mendoza Q.</v>
          </cell>
          <cell r="F476">
            <v>200</v>
          </cell>
          <cell r="G476">
            <v>4</v>
          </cell>
          <cell r="H476">
            <v>160</v>
          </cell>
          <cell r="I476">
            <v>41294</v>
          </cell>
          <cell r="J476" t="str">
            <v>NO SUMA</v>
          </cell>
          <cell r="W476">
            <v>0</v>
          </cell>
          <cell r="AJ476">
            <v>0</v>
          </cell>
          <cell r="AW476">
            <v>0</v>
          </cell>
        </row>
        <row r="477">
          <cell r="B477">
            <v>4132</v>
          </cell>
          <cell r="C477" t="str">
            <v>LD_69_</v>
          </cell>
          <cell r="D477" t="str">
            <v>Rancho Landero No. 69</v>
          </cell>
          <cell r="E477" t="str">
            <v>Gómez Ayala</v>
          </cell>
          <cell r="F477">
            <v>300</v>
          </cell>
          <cell r="G477">
            <v>1</v>
          </cell>
          <cell r="H477">
            <v>300</v>
          </cell>
          <cell r="I477">
            <v>41294</v>
          </cell>
          <cell r="J477">
            <v>0</v>
          </cell>
          <cell r="W477">
            <v>0</v>
          </cell>
          <cell r="X477">
            <v>300</v>
          </cell>
          <cell r="AJ477">
            <v>300</v>
          </cell>
          <cell r="AW477">
            <v>0</v>
          </cell>
        </row>
        <row r="478">
          <cell r="B478">
            <v>4133</v>
          </cell>
          <cell r="C478" t="str">
            <v>LD_22_</v>
          </cell>
          <cell r="D478" t="str">
            <v>Rancho Landero No. 22</v>
          </cell>
          <cell r="E478" t="str">
            <v>Reyes</v>
          </cell>
          <cell r="F478">
            <v>150</v>
          </cell>
          <cell r="G478">
            <v>1</v>
          </cell>
          <cell r="H478">
            <v>150</v>
          </cell>
          <cell r="I478">
            <v>41294</v>
          </cell>
          <cell r="J478">
            <v>0</v>
          </cell>
          <cell r="W478">
            <v>0</v>
          </cell>
          <cell r="X478">
            <v>150</v>
          </cell>
          <cell r="AJ478">
            <v>150</v>
          </cell>
          <cell r="AW478">
            <v>0</v>
          </cell>
        </row>
        <row r="479">
          <cell r="B479">
            <v>4134</v>
          </cell>
          <cell r="C479" t="str">
            <v>UP_88_</v>
          </cell>
          <cell r="D479" t="str">
            <v>Rancho Upácuaro No. 88</v>
          </cell>
          <cell r="E479" t="str">
            <v>Millán Núñez</v>
          </cell>
          <cell r="F479">
            <v>300</v>
          </cell>
          <cell r="G479">
            <v>1</v>
          </cell>
          <cell r="H479">
            <v>300</v>
          </cell>
          <cell r="I479">
            <v>41294</v>
          </cell>
          <cell r="J479">
            <v>0</v>
          </cell>
          <cell r="W479">
            <v>0</v>
          </cell>
          <cell r="X479">
            <v>300</v>
          </cell>
          <cell r="AJ479">
            <v>300</v>
          </cell>
          <cell r="AW479">
            <v>0</v>
          </cell>
        </row>
        <row r="480">
          <cell r="B480">
            <v>4135</v>
          </cell>
          <cell r="C480" t="str">
            <v>UP_26_</v>
          </cell>
          <cell r="D480" t="str">
            <v>Rancho Upácuaro No. 26</v>
          </cell>
          <cell r="E480" t="str">
            <v>Salazar</v>
          </cell>
          <cell r="F480">
            <v>300</v>
          </cell>
          <cell r="G480">
            <v>1</v>
          </cell>
          <cell r="H480">
            <v>300</v>
          </cell>
          <cell r="I480">
            <v>41294</v>
          </cell>
          <cell r="J480">
            <v>0</v>
          </cell>
          <cell r="W480">
            <v>0</v>
          </cell>
          <cell r="X480">
            <v>300</v>
          </cell>
          <cell r="AJ480">
            <v>300</v>
          </cell>
          <cell r="AW480">
            <v>0</v>
          </cell>
        </row>
        <row r="481">
          <cell r="B481">
            <v>4136</v>
          </cell>
          <cell r="C481" t="str">
            <v>CL_87_</v>
          </cell>
          <cell r="D481" t="str">
            <v>Rancho La Cuchilla No. 87</v>
          </cell>
          <cell r="E481" t="str">
            <v>Villanueva S.</v>
          </cell>
          <cell r="F481">
            <v>300</v>
          </cell>
          <cell r="G481">
            <v>1</v>
          </cell>
          <cell r="H481">
            <v>300</v>
          </cell>
          <cell r="I481">
            <v>41294</v>
          </cell>
          <cell r="J481">
            <v>0</v>
          </cell>
          <cell r="W481">
            <v>0</v>
          </cell>
          <cell r="X481">
            <v>300</v>
          </cell>
          <cell r="AJ481">
            <v>300</v>
          </cell>
          <cell r="AW481">
            <v>0</v>
          </cell>
        </row>
        <row r="482">
          <cell r="B482">
            <v>4137</v>
          </cell>
          <cell r="C482" t="str">
            <v>EZ_25_</v>
          </cell>
          <cell r="D482" t="str">
            <v>Rancho Estanzuela No. 25</v>
          </cell>
          <cell r="E482" t="str">
            <v>Contreras Figueroa</v>
          </cell>
          <cell r="F482">
            <v>300</v>
          </cell>
          <cell r="G482">
            <v>1</v>
          </cell>
          <cell r="H482">
            <v>300</v>
          </cell>
          <cell r="I482">
            <v>41294</v>
          </cell>
          <cell r="J482">
            <v>0</v>
          </cell>
          <cell r="W482">
            <v>0</v>
          </cell>
          <cell r="X482">
            <v>300</v>
          </cell>
          <cell r="AJ482">
            <v>300</v>
          </cell>
          <cell r="AW482">
            <v>0</v>
          </cell>
        </row>
        <row r="483">
          <cell r="B483">
            <v>4138</v>
          </cell>
          <cell r="C483" t="str">
            <v>UP_10_</v>
          </cell>
          <cell r="D483" t="str">
            <v>Rancho Upácuaro No. 10</v>
          </cell>
          <cell r="E483" t="str">
            <v>Fernández García</v>
          </cell>
          <cell r="F483">
            <v>300</v>
          </cell>
          <cell r="G483">
            <v>1</v>
          </cell>
          <cell r="H483">
            <v>300</v>
          </cell>
          <cell r="I483">
            <v>41295</v>
          </cell>
          <cell r="J483">
            <v>0</v>
          </cell>
          <cell r="W483">
            <v>0</v>
          </cell>
          <cell r="X483">
            <v>300</v>
          </cell>
          <cell r="AJ483">
            <v>300</v>
          </cell>
          <cell r="AW483">
            <v>0</v>
          </cell>
        </row>
        <row r="484">
          <cell r="B484">
            <v>4139</v>
          </cell>
          <cell r="C484" t="str">
            <v>EZ_163_</v>
          </cell>
          <cell r="D484" t="str">
            <v>Rancho Estanzuela No. 163</v>
          </cell>
          <cell r="E484" t="str">
            <v>González Rodríguez</v>
          </cell>
          <cell r="F484">
            <v>300</v>
          </cell>
          <cell r="G484">
            <v>1</v>
          </cell>
          <cell r="H484">
            <v>300</v>
          </cell>
          <cell r="I484">
            <v>41296</v>
          </cell>
          <cell r="J484">
            <v>0</v>
          </cell>
          <cell r="V484">
            <v>300</v>
          </cell>
          <cell r="W484">
            <v>300</v>
          </cell>
          <cell r="AJ484">
            <v>0</v>
          </cell>
          <cell r="AW484">
            <v>0</v>
          </cell>
        </row>
        <row r="485">
          <cell r="B485">
            <v>4140</v>
          </cell>
          <cell r="C485" t="str">
            <v>RV_3_</v>
          </cell>
          <cell r="D485" t="str">
            <v>Rancho Recoveco No. 3</v>
          </cell>
          <cell r="E485" t="str">
            <v>Garduño</v>
          </cell>
          <cell r="F485">
            <v>300</v>
          </cell>
          <cell r="G485">
            <v>1</v>
          </cell>
          <cell r="H485">
            <v>300</v>
          </cell>
          <cell r="I485">
            <v>41297</v>
          </cell>
          <cell r="J485">
            <v>0</v>
          </cell>
          <cell r="W485">
            <v>0</v>
          </cell>
          <cell r="X485">
            <v>300</v>
          </cell>
          <cell r="AJ485">
            <v>300</v>
          </cell>
          <cell r="AW485">
            <v>0</v>
          </cell>
        </row>
        <row r="486">
          <cell r="B486">
            <v>4141</v>
          </cell>
          <cell r="C486" t="str">
            <v>LD_2_3</v>
          </cell>
          <cell r="D486" t="str">
            <v>Rancho Landero No. 2, 3</v>
          </cell>
          <cell r="E486" t="str">
            <v>Pineda Laura</v>
          </cell>
          <cell r="F486">
            <v>150</v>
          </cell>
          <cell r="G486">
            <v>4</v>
          </cell>
          <cell r="H486">
            <v>160</v>
          </cell>
          <cell r="I486">
            <v>41298</v>
          </cell>
          <cell r="J486" t="str">
            <v>NO SUMA</v>
          </cell>
          <cell r="W486">
            <v>0</v>
          </cell>
          <cell r="AJ486">
            <v>0</v>
          </cell>
          <cell r="AW486">
            <v>0</v>
          </cell>
        </row>
        <row r="487">
          <cell r="B487">
            <v>4142</v>
          </cell>
          <cell r="C487" t="str">
            <v>CL_145_</v>
          </cell>
          <cell r="D487" t="str">
            <v>Rancho La Cuchilla No. 145</v>
          </cell>
          <cell r="E487" t="str">
            <v>Arámburu C.</v>
          </cell>
          <cell r="F487">
            <v>300</v>
          </cell>
          <cell r="G487">
            <v>1</v>
          </cell>
          <cell r="H487">
            <v>3300</v>
          </cell>
          <cell r="I487">
            <v>41299</v>
          </cell>
          <cell r="J487">
            <v>0</v>
          </cell>
          <cell r="W487">
            <v>0</v>
          </cell>
          <cell r="X487">
            <v>300</v>
          </cell>
          <cell r="Y487">
            <v>300</v>
          </cell>
          <cell r="Z487">
            <v>300</v>
          </cell>
          <cell r="AA487">
            <v>300</v>
          </cell>
          <cell r="AB487">
            <v>300</v>
          </cell>
          <cell r="AC487">
            <v>300</v>
          </cell>
          <cell r="AD487">
            <v>300</v>
          </cell>
          <cell r="AE487">
            <v>300</v>
          </cell>
          <cell r="AF487">
            <v>300</v>
          </cell>
          <cell r="AG487">
            <v>300</v>
          </cell>
          <cell r="AH487">
            <v>300</v>
          </cell>
          <cell r="AJ487">
            <v>3300</v>
          </cell>
          <cell r="AW487">
            <v>0</v>
          </cell>
        </row>
        <row r="488">
          <cell r="B488">
            <v>4143</v>
          </cell>
          <cell r="C488" t="str">
            <v>RM_9_B</v>
          </cell>
          <cell r="D488" t="str">
            <v>Rancho Romeral No. 9, B</v>
          </cell>
          <cell r="E488" t="str">
            <v>Morales Macías</v>
          </cell>
          <cell r="F488">
            <v>100</v>
          </cell>
          <cell r="G488">
            <v>1</v>
          </cell>
          <cell r="H488">
            <v>100</v>
          </cell>
          <cell r="I488">
            <v>41299</v>
          </cell>
          <cell r="J488">
            <v>0</v>
          </cell>
          <cell r="W488">
            <v>0</v>
          </cell>
          <cell r="X488">
            <v>100</v>
          </cell>
          <cell r="AJ488">
            <v>100</v>
          </cell>
          <cell r="AW488">
            <v>0</v>
          </cell>
        </row>
        <row r="489">
          <cell r="B489">
            <v>4144</v>
          </cell>
          <cell r="C489" t="str">
            <v>UP_138_</v>
          </cell>
          <cell r="D489" t="str">
            <v>Rancho Upácuaro No. 138</v>
          </cell>
          <cell r="E489" t="str">
            <v>Ramírez Valencia</v>
          </cell>
          <cell r="F489">
            <v>300</v>
          </cell>
          <cell r="G489">
            <v>1</v>
          </cell>
          <cell r="H489">
            <v>600</v>
          </cell>
          <cell r="I489">
            <v>41300</v>
          </cell>
          <cell r="J489">
            <v>0</v>
          </cell>
          <cell r="W489">
            <v>0</v>
          </cell>
          <cell r="X489">
            <v>300</v>
          </cell>
          <cell r="Y489">
            <v>300</v>
          </cell>
          <cell r="AJ489">
            <v>600</v>
          </cell>
          <cell r="AW489">
            <v>0</v>
          </cell>
        </row>
        <row r="490">
          <cell r="B490">
            <v>4145</v>
          </cell>
          <cell r="C490" t="str">
            <v>UP_21_</v>
          </cell>
          <cell r="D490" t="str">
            <v>Rancho Upácuaro No. 21</v>
          </cell>
          <cell r="E490" t="str">
            <v>Fierro Betancourt</v>
          </cell>
          <cell r="F490">
            <v>150</v>
          </cell>
          <cell r="G490">
            <v>1</v>
          </cell>
          <cell r="H490">
            <v>150</v>
          </cell>
          <cell r="I490">
            <v>41301</v>
          </cell>
          <cell r="J490">
            <v>0</v>
          </cell>
          <cell r="W490">
            <v>0</v>
          </cell>
          <cell r="X490">
            <v>150</v>
          </cell>
          <cell r="AJ490">
            <v>150</v>
          </cell>
          <cell r="AW490">
            <v>0</v>
          </cell>
        </row>
        <row r="491">
          <cell r="B491">
            <v>4146</v>
          </cell>
          <cell r="C491" t="str">
            <v>RM_10_A</v>
          </cell>
          <cell r="D491" t="str">
            <v>Rancho Romeral No. 10, A</v>
          </cell>
          <cell r="E491" t="str">
            <v>Casillas Álvarez</v>
          </cell>
          <cell r="F491">
            <v>150</v>
          </cell>
          <cell r="G491">
            <v>1</v>
          </cell>
          <cell r="H491">
            <v>150</v>
          </cell>
          <cell r="I491">
            <v>41301</v>
          </cell>
          <cell r="J491">
            <v>0</v>
          </cell>
          <cell r="W491">
            <v>0</v>
          </cell>
          <cell r="Y491">
            <v>150</v>
          </cell>
          <cell r="AJ491">
            <v>150</v>
          </cell>
          <cell r="AW491">
            <v>0</v>
          </cell>
        </row>
        <row r="492">
          <cell r="B492">
            <v>4147</v>
          </cell>
          <cell r="C492" t="str">
            <v>UP_101_</v>
          </cell>
          <cell r="D492" t="str">
            <v>Rancho Upácuaro No. 101</v>
          </cell>
          <cell r="E492" t="str">
            <v>Chávez, Arturo</v>
          </cell>
          <cell r="F492">
            <v>300</v>
          </cell>
          <cell r="G492">
            <v>1</v>
          </cell>
          <cell r="H492">
            <v>300</v>
          </cell>
          <cell r="I492">
            <v>41301</v>
          </cell>
          <cell r="J492">
            <v>0</v>
          </cell>
          <cell r="W492">
            <v>0</v>
          </cell>
          <cell r="Y492">
            <v>300</v>
          </cell>
          <cell r="AJ492">
            <v>300</v>
          </cell>
          <cell r="AW492">
            <v>0</v>
          </cell>
        </row>
        <row r="493">
          <cell r="B493">
            <v>4147</v>
          </cell>
          <cell r="C493" t="str">
            <v>UP_101_</v>
          </cell>
          <cell r="D493" t="str">
            <v>Rancho Upácuaro No. 101</v>
          </cell>
          <cell r="E493" t="str">
            <v>Chávez, Arturo</v>
          </cell>
          <cell r="F493">
            <v>300</v>
          </cell>
          <cell r="G493">
            <v>3</v>
          </cell>
          <cell r="H493">
            <v>300</v>
          </cell>
          <cell r="I493">
            <v>41301</v>
          </cell>
          <cell r="J493" t="str">
            <v>NO SUMA</v>
          </cell>
          <cell r="W493">
            <v>0</v>
          </cell>
          <cell r="AJ493">
            <v>0</v>
          </cell>
          <cell r="AW493">
            <v>0</v>
          </cell>
        </row>
        <row r="494">
          <cell r="B494">
            <v>4147</v>
          </cell>
          <cell r="C494" t="str">
            <v>UP_101_</v>
          </cell>
          <cell r="D494" t="str">
            <v>Rancho Upácuaro No. 101</v>
          </cell>
          <cell r="E494" t="str">
            <v>Chávez, Arturo</v>
          </cell>
          <cell r="F494">
            <v>300</v>
          </cell>
          <cell r="G494">
            <v>4</v>
          </cell>
          <cell r="H494">
            <v>320</v>
          </cell>
          <cell r="I494">
            <v>41301</v>
          </cell>
          <cell r="J494" t="str">
            <v>NO SUMA</v>
          </cell>
          <cell r="W494">
            <v>0</v>
          </cell>
          <cell r="AJ494">
            <v>0</v>
          </cell>
          <cell r="AW494">
            <v>0</v>
          </cell>
        </row>
        <row r="495">
          <cell r="B495">
            <v>4148</v>
          </cell>
          <cell r="C495" t="str">
            <v>LD_42_</v>
          </cell>
          <cell r="D495" t="str">
            <v>Rancho Landero No. 42</v>
          </cell>
          <cell r="E495" t="str">
            <v>Ávila Fidel</v>
          </cell>
          <cell r="F495">
            <v>300</v>
          </cell>
          <cell r="G495">
            <v>7</v>
          </cell>
          <cell r="H495">
            <v>200</v>
          </cell>
          <cell r="I495">
            <v>41301</v>
          </cell>
          <cell r="J495" t="str">
            <v>NO SUMA</v>
          </cell>
          <cell r="W495">
            <v>0</v>
          </cell>
          <cell r="AJ495">
            <v>0</v>
          </cell>
          <cell r="AW495">
            <v>0</v>
          </cell>
        </row>
        <row r="496">
          <cell r="B496">
            <v>4149</v>
          </cell>
          <cell r="C496" t="str">
            <v>LD_54_1</v>
          </cell>
          <cell r="D496" t="str">
            <v>Rancho Landero No. 54, 1</v>
          </cell>
          <cell r="E496" t="str">
            <v>Montes de Oca</v>
          </cell>
          <cell r="F496">
            <v>300</v>
          </cell>
          <cell r="G496">
            <v>1</v>
          </cell>
          <cell r="H496">
            <v>600</v>
          </cell>
          <cell r="I496">
            <v>41301</v>
          </cell>
          <cell r="J496">
            <v>0</v>
          </cell>
          <cell r="V496">
            <v>300</v>
          </cell>
          <cell r="W496">
            <v>300</v>
          </cell>
          <cell r="X496">
            <v>300</v>
          </cell>
          <cell r="AJ496">
            <v>300</v>
          </cell>
          <cell r="AW496">
            <v>0</v>
          </cell>
        </row>
        <row r="497">
          <cell r="B497">
            <v>4150</v>
          </cell>
          <cell r="C497" t="str">
            <v>EZ_71_</v>
          </cell>
          <cell r="D497" t="str">
            <v>Rancho Estanzuela No. 71</v>
          </cell>
          <cell r="E497" t="str">
            <v>Soriano</v>
          </cell>
          <cell r="F497">
            <v>300</v>
          </cell>
          <cell r="G497">
            <v>1</v>
          </cell>
          <cell r="H497">
            <v>3300</v>
          </cell>
          <cell r="I497">
            <v>41301</v>
          </cell>
          <cell r="J497">
            <v>0</v>
          </cell>
          <cell r="W497">
            <v>0</v>
          </cell>
          <cell r="X497">
            <v>300</v>
          </cell>
          <cell r="Y497">
            <v>300</v>
          </cell>
          <cell r="Z497">
            <v>300</v>
          </cell>
          <cell r="AA497">
            <v>300</v>
          </cell>
          <cell r="AB497">
            <v>300</v>
          </cell>
          <cell r="AC497">
            <v>300</v>
          </cell>
          <cell r="AD497">
            <v>300</v>
          </cell>
          <cell r="AE497">
            <v>300</v>
          </cell>
          <cell r="AF497">
            <v>300</v>
          </cell>
          <cell r="AG497">
            <v>300</v>
          </cell>
          <cell r="AH497">
            <v>300</v>
          </cell>
          <cell r="AJ497">
            <v>3300</v>
          </cell>
          <cell r="AW497">
            <v>0</v>
          </cell>
        </row>
        <row r="498">
          <cell r="B498">
            <v>4151</v>
          </cell>
          <cell r="C498" t="str">
            <v>CL_7_101</v>
          </cell>
          <cell r="D498" t="str">
            <v>Rancho La Cuchilla No. 7, 101</v>
          </cell>
          <cell r="E498" t="str">
            <v>Olivares</v>
          </cell>
          <cell r="F498">
            <v>100</v>
          </cell>
          <cell r="G498">
            <v>1</v>
          </cell>
          <cell r="H498">
            <v>100</v>
          </cell>
          <cell r="I498">
            <v>41301</v>
          </cell>
          <cell r="J498">
            <v>0</v>
          </cell>
          <cell r="W498">
            <v>0</v>
          </cell>
          <cell r="X498">
            <v>100</v>
          </cell>
          <cell r="AJ498">
            <v>100</v>
          </cell>
          <cell r="AW498">
            <v>0</v>
          </cell>
        </row>
        <row r="499">
          <cell r="B499">
            <v>4152</v>
          </cell>
          <cell r="C499" t="str">
            <v>CL_91_</v>
          </cell>
          <cell r="D499" t="str">
            <v>Rancho La Cuchilla No. 91</v>
          </cell>
          <cell r="E499" t="str">
            <v>Roldán Flores</v>
          </cell>
          <cell r="F499">
            <v>300</v>
          </cell>
          <cell r="G499">
            <v>1</v>
          </cell>
          <cell r="H499">
            <v>3000</v>
          </cell>
          <cell r="I499">
            <v>41301</v>
          </cell>
          <cell r="J499">
            <v>0</v>
          </cell>
          <cell r="W499">
            <v>0</v>
          </cell>
          <cell r="Y499">
            <v>300</v>
          </cell>
          <cell r="Z499">
            <v>300</v>
          </cell>
          <cell r="AA499">
            <v>300</v>
          </cell>
          <cell r="AB499">
            <v>300</v>
          </cell>
          <cell r="AC499">
            <v>300</v>
          </cell>
          <cell r="AD499">
            <v>300</v>
          </cell>
          <cell r="AE499">
            <v>300</v>
          </cell>
          <cell r="AF499">
            <v>300</v>
          </cell>
          <cell r="AG499">
            <v>300</v>
          </cell>
          <cell r="AH499">
            <v>300</v>
          </cell>
          <cell r="AJ499">
            <v>3000</v>
          </cell>
          <cell r="AW499">
            <v>0</v>
          </cell>
        </row>
        <row r="500">
          <cell r="B500">
            <v>4153</v>
          </cell>
          <cell r="C500" t="str">
            <v>UP_104_</v>
          </cell>
          <cell r="D500" t="str">
            <v>Rancho Upácuaro No. 104</v>
          </cell>
          <cell r="E500" t="str">
            <v>Jiménez Almazo</v>
          </cell>
          <cell r="F500">
            <v>300</v>
          </cell>
          <cell r="G500">
            <v>1</v>
          </cell>
          <cell r="H500">
            <v>600</v>
          </cell>
          <cell r="I500">
            <v>41301</v>
          </cell>
          <cell r="J500">
            <v>0</v>
          </cell>
          <cell r="W500">
            <v>0</v>
          </cell>
          <cell r="X500">
            <v>300</v>
          </cell>
          <cell r="Y500">
            <v>300</v>
          </cell>
          <cell r="AJ500">
            <v>600</v>
          </cell>
          <cell r="AW500">
            <v>0</v>
          </cell>
        </row>
        <row r="501">
          <cell r="B501">
            <v>4154</v>
          </cell>
          <cell r="C501" t="str">
            <v>CL_127_</v>
          </cell>
          <cell r="D501" t="str">
            <v>Rancho La Cuchilla No. 127</v>
          </cell>
          <cell r="E501" t="str">
            <v>Quiñones</v>
          </cell>
          <cell r="F501">
            <v>300</v>
          </cell>
          <cell r="G501">
            <v>1</v>
          </cell>
          <cell r="H501">
            <v>600</v>
          </cell>
          <cell r="I501">
            <v>41301</v>
          </cell>
          <cell r="J501">
            <v>0</v>
          </cell>
          <cell r="W501">
            <v>0</v>
          </cell>
          <cell r="X501">
            <v>300</v>
          </cell>
          <cell r="Y501">
            <v>300</v>
          </cell>
          <cell r="AJ501">
            <v>600</v>
          </cell>
          <cell r="AW501">
            <v>0</v>
          </cell>
        </row>
        <row r="502">
          <cell r="B502">
            <v>4155</v>
          </cell>
          <cell r="C502" t="str">
            <v>ZB_14_</v>
          </cell>
          <cell r="D502" t="str">
            <v>Rancho Zinamba No. 14</v>
          </cell>
          <cell r="E502" t="str">
            <v>Gutiérrez García</v>
          </cell>
          <cell r="F502">
            <v>300</v>
          </cell>
          <cell r="G502">
            <v>1</v>
          </cell>
          <cell r="H502">
            <v>300</v>
          </cell>
          <cell r="I502">
            <v>41301</v>
          </cell>
          <cell r="J502">
            <v>0</v>
          </cell>
          <cell r="W502">
            <v>0</v>
          </cell>
          <cell r="X502">
            <v>300</v>
          </cell>
          <cell r="AJ502">
            <v>300</v>
          </cell>
          <cell r="AW502">
            <v>0</v>
          </cell>
        </row>
        <row r="503">
          <cell r="B503">
            <v>4156</v>
          </cell>
          <cell r="C503" t="str">
            <v>CL_90_</v>
          </cell>
          <cell r="D503" t="str">
            <v>Rancho La Cuchilla No. 90</v>
          </cell>
          <cell r="E503" t="str">
            <v>Porras Fuentes</v>
          </cell>
          <cell r="F503">
            <v>150</v>
          </cell>
          <cell r="G503">
            <v>1</v>
          </cell>
          <cell r="H503">
            <v>150</v>
          </cell>
          <cell r="I503">
            <v>41301</v>
          </cell>
          <cell r="J503">
            <v>0</v>
          </cell>
          <cell r="W503">
            <v>0</v>
          </cell>
          <cell r="X503">
            <v>150</v>
          </cell>
          <cell r="AJ503">
            <v>150</v>
          </cell>
          <cell r="AW503">
            <v>0</v>
          </cell>
        </row>
        <row r="504">
          <cell r="B504">
            <v>4157</v>
          </cell>
          <cell r="C504" t="str">
            <v>UP_37_</v>
          </cell>
          <cell r="D504" t="str">
            <v>Rancho Upácuaro No. 37</v>
          </cell>
          <cell r="E504" t="str">
            <v>García Valdés</v>
          </cell>
          <cell r="F504">
            <v>300</v>
          </cell>
          <cell r="G504">
            <v>1</v>
          </cell>
          <cell r="H504">
            <v>300</v>
          </cell>
          <cell r="I504">
            <v>41301</v>
          </cell>
          <cell r="J504">
            <v>0</v>
          </cell>
          <cell r="W504">
            <v>0</v>
          </cell>
          <cell r="X504">
            <v>300</v>
          </cell>
          <cell r="AJ504">
            <v>300</v>
          </cell>
          <cell r="AW504">
            <v>0</v>
          </cell>
        </row>
        <row r="505">
          <cell r="B505">
            <v>4158</v>
          </cell>
          <cell r="C505" t="str">
            <v>ZB_8_</v>
          </cell>
          <cell r="D505" t="str">
            <v>Rancho Zinamba No. 8</v>
          </cell>
          <cell r="E505" t="str">
            <v>Florido</v>
          </cell>
          <cell r="F505">
            <v>300</v>
          </cell>
          <cell r="G505">
            <v>1</v>
          </cell>
          <cell r="H505">
            <v>300</v>
          </cell>
          <cell r="I505">
            <v>41301</v>
          </cell>
          <cell r="J505">
            <v>0</v>
          </cell>
          <cell r="W505">
            <v>0</v>
          </cell>
          <cell r="Y505">
            <v>300</v>
          </cell>
          <cell r="AJ505">
            <v>300</v>
          </cell>
          <cell r="AW505">
            <v>0</v>
          </cell>
        </row>
        <row r="506">
          <cell r="B506">
            <v>4159</v>
          </cell>
          <cell r="C506" t="str">
            <v>EZ_159_</v>
          </cell>
          <cell r="D506" t="str">
            <v>Rancho Estanzuela No. 159</v>
          </cell>
          <cell r="E506" t="str">
            <v>Reyes</v>
          </cell>
          <cell r="F506">
            <v>250</v>
          </cell>
          <cell r="G506">
            <v>4</v>
          </cell>
          <cell r="H506">
            <v>160</v>
          </cell>
          <cell r="I506">
            <v>41301</v>
          </cell>
          <cell r="J506" t="str">
            <v>NO SUMA</v>
          </cell>
          <cell r="W506">
            <v>0</v>
          </cell>
          <cell r="AJ506">
            <v>0</v>
          </cell>
          <cell r="AW506">
            <v>0</v>
          </cell>
        </row>
        <row r="507">
          <cell r="B507">
            <v>4160</v>
          </cell>
          <cell r="C507" t="str">
            <v>EZ_35_</v>
          </cell>
          <cell r="D507" t="str">
            <v>Rancho Estanzuela No. 35</v>
          </cell>
          <cell r="E507" t="str">
            <v>Rodríguez</v>
          </cell>
          <cell r="F507">
            <v>300</v>
          </cell>
          <cell r="G507">
            <v>1</v>
          </cell>
          <cell r="H507">
            <v>600</v>
          </cell>
          <cell r="I507">
            <v>41301</v>
          </cell>
          <cell r="J507">
            <v>0</v>
          </cell>
          <cell r="W507">
            <v>0</v>
          </cell>
          <cell r="X507">
            <v>300</v>
          </cell>
          <cell r="Y507">
            <v>300</v>
          </cell>
          <cell r="AJ507">
            <v>600</v>
          </cell>
          <cell r="AW507">
            <v>0</v>
          </cell>
        </row>
        <row r="508">
          <cell r="B508">
            <v>4161</v>
          </cell>
          <cell r="C508" t="str">
            <v>LD_33_</v>
          </cell>
          <cell r="D508" t="str">
            <v>Rancho Landero No. 33</v>
          </cell>
          <cell r="E508" t="str">
            <v>González Uribe</v>
          </cell>
          <cell r="F508">
            <v>300</v>
          </cell>
          <cell r="G508">
            <v>1</v>
          </cell>
          <cell r="H508">
            <v>600</v>
          </cell>
          <cell r="I508">
            <v>41301</v>
          </cell>
          <cell r="J508">
            <v>0</v>
          </cell>
          <cell r="V508">
            <v>300</v>
          </cell>
          <cell r="W508">
            <v>300</v>
          </cell>
          <cell r="X508">
            <v>300</v>
          </cell>
          <cell r="AJ508">
            <v>300</v>
          </cell>
          <cell r="AW508">
            <v>0</v>
          </cell>
        </row>
        <row r="509">
          <cell r="B509">
            <v>4162</v>
          </cell>
          <cell r="C509" t="str">
            <v>UP_54_</v>
          </cell>
          <cell r="D509" t="str">
            <v>Rancho Upácuaro No. 54</v>
          </cell>
          <cell r="E509" t="str">
            <v>García Rueda</v>
          </cell>
          <cell r="F509">
            <v>200</v>
          </cell>
          <cell r="G509">
            <v>1</v>
          </cell>
          <cell r="H509">
            <v>400</v>
          </cell>
          <cell r="I509">
            <v>41301</v>
          </cell>
          <cell r="J509">
            <v>0</v>
          </cell>
          <cell r="W509">
            <v>0</v>
          </cell>
          <cell r="X509">
            <v>200</v>
          </cell>
          <cell r="Y509">
            <v>200</v>
          </cell>
          <cell r="AJ509">
            <v>400</v>
          </cell>
          <cell r="AW509">
            <v>0</v>
          </cell>
        </row>
        <row r="510">
          <cell r="B510">
            <v>4163</v>
          </cell>
          <cell r="C510" t="str">
            <v>LD_88_</v>
          </cell>
          <cell r="D510" t="str">
            <v>Rancho Landero No. 88</v>
          </cell>
          <cell r="E510" t="str">
            <v>Torres Raúl</v>
          </cell>
          <cell r="F510">
            <v>300</v>
          </cell>
          <cell r="G510">
            <v>1</v>
          </cell>
          <cell r="H510">
            <v>900</v>
          </cell>
          <cell r="I510">
            <v>41301</v>
          </cell>
          <cell r="J510">
            <v>0</v>
          </cell>
          <cell r="U510">
            <v>300</v>
          </cell>
          <cell r="V510">
            <v>300</v>
          </cell>
          <cell r="W510">
            <v>600</v>
          </cell>
          <cell r="X510">
            <v>300</v>
          </cell>
          <cell r="AJ510">
            <v>300</v>
          </cell>
          <cell r="AW510">
            <v>0</v>
          </cell>
        </row>
        <row r="511">
          <cell r="B511">
            <v>4164</v>
          </cell>
          <cell r="C511" t="str">
            <v>CL_148_</v>
          </cell>
          <cell r="D511" t="str">
            <v>Rancho La Cuchilla No. 148</v>
          </cell>
          <cell r="E511" t="str">
            <v>Vázquez Vázquez</v>
          </cell>
          <cell r="F511">
            <v>300</v>
          </cell>
          <cell r="G511">
            <v>1</v>
          </cell>
          <cell r="H511">
            <v>300</v>
          </cell>
          <cell r="I511">
            <v>41301</v>
          </cell>
          <cell r="J511">
            <v>0</v>
          </cell>
          <cell r="W511">
            <v>0</v>
          </cell>
          <cell r="X511">
            <v>300</v>
          </cell>
          <cell r="AJ511">
            <v>300</v>
          </cell>
          <cell r="AW511">
            <v>0</v>
          </cell>
        </row>
        <row r="512">
          <cell r="B512">
            <v>4165</v>
          </cell>
          <cell r="C512" t="str">
            <v>LD_73_</v>
          </cell>
          <cell r="D512" t="str">
            <v>Rancho Landero No. 73</v>
          </cell>
          <cell r="E512" t="str">
            <v>Islas Palacios</v>
          </cell>
          <cell r="F512">
            <v>300</v>
          </cell>
          <cell r="G512">
            <v>1</v>
          </cell>
          <cell r="H512">
            <v>300</v>
          </cell>
          <cell r="I512">
            <v>41301</v>
          </cell>
          <cell r="J512">
            <v>0</v>
          </cell>
          <cell r="W512">
            <v>0</v>
          </cell>
          <cell r="X512">
            <v>300</v>
          </cell>
          <cell r="AJ512">
            <v>300</v>
          </cell>
          <cell r="AW512">
            <v>0</v>
          </cell>
        </row>
        <row r="513">
          <cell r="B513">
            <v>4166</v>
          </cell>
          <cell r="C513" t="str">
            <v>CL_20_</v>
          </cell>
          <cell r="D513" t="str">
            <v>Rancho La Cuchilla No. 20</v>
          </cell>
          <cell r="E513" t="str">
            <v>Sánchez López</v>
          </cell>
          <cell r="F513">
            <v>300</v>
          </cell>
          <cell r="G513">
            <v>1</v>
          </cell>
          <cell r="H513">
            <v>300</v>
          </cell>
          <cell r="I513">
            <v>41301</v>
          </cell>
          <cell r="J513">
            <v>0</v>
          </cell>
          <cell r="W513">
            <v>0</v>
          </cell>
          <cell r="Y513">
            <v>300</v>
          </cell>
          <cell r="AJ513">
            <v>300</v>
          </cell>
          <cell r="AW513">
            <v>0</v>
          </cell>
        </row>
        <row r="514">
          <cell r="B514">
            <v>4167</v>
          </cell>
          <cell r="C514" t="str">
            <v>UP_71_</v>
          </cell>
          <cell r="D514" t="str">
            <v>Rancho Upácuaro No. 71</v>
          </cell>
          <cell r="E514" t="str">
            <v>Trejo Méndez</v>
          </cell>
          <cell r="F514">
            <v>300</v>
          </cell>
          <cell r="G514">
            <v>1</v>
          </cell>
          <cell r="H514">
            <v>300</v>
          </cell>
          <cell r="I514">
            <v>41301</v>
          </cell>
          <cell r="J514">
            <v>0</v>
          </cell>
          <cell r="W514">
            <v>0</v>
          </cell>
          <cell r="Y514">
            <v>300</v>
          </cell>
          <cell r="AJ514">
            <v>300</v>
          </cell>
          <cell r="AW514">
            <v>0</v>
          </cell>
        </row>
        <row r="515">
          <cell r="B515">
            <v>4168</v>
          </cell>
          <cell r="C515" t="str">
            <v>EZ_11_A</v>
          </cell>
          <cell r="D515" t="str">
            <v>Rancho Estanzuela No. 11, A</v>
          </cell>
          <cell r="E515" t="str">
            <v>Evans González</v>
          </cell>
          <cell r="F515">
            <v>300</v>
          </cell>
          <cell r="G515">
            <v>1</v>
          </cell>
          <cell r="H515">
            <v>300</v>
          </cell>
          <cell r="I515">
            <v>41301</v>
          </cell>
          <cell r="J515">
            <v>0</v>
          </cell>
          <cell r="W515">
            <v>0</v>
          </cell>
          <cell r="X515">
            <v>300</v>
          </cell>
          <cell r="AJ515">
            <v>300</v>
          </cell>
          <cell r="AW515">
            <v>0</v>
          </cell>
        </row>
        <row r="516">
          <cell r="B516">
            <v>4169</v>
          </cell>
          <cell r="C516" t="str">
            <v>ZB_68_</v>
          </cell>
          <cell r="D516" t="str">
            <v>Rancho Zinamba No. 68</v>
          </cell>
          <cell r="E516" t="str">
            <v>Rivera Villicaña</v>
          </cell>
          <cell r="F516">
            <v>300</v>
          </cell>
          <cell r="G516">
            <v>1</v>
          </cell>
          <cell r="H516">
            <v>300</v>
          </cell>
          <cell r="I516">
            <v>41301</v>
          </cell>
          <cell r="J516">
            <v>0</v>
          </cell>
          <cell r="W516">
            <v>0</v>
          </cell>
          <cell r="X516">
            <v>300</v>
          </cell>
          <cell r="AJ516">
            <v>300</v>
          </cell>
          <cell r="AW516">
            <v>0</v>
          </cell>
        </row>
        <row r="517">
          <cell r="B517">
            <v>4170</v>
          </cell>
          <cell r="C517" t="str">
            <v>LD_99_</v>
          </cell>
          <cell r="D517" t="str">
            <v>Rancho Landero No. 99</v>
          </cell>
          <cell r="E517" t="str">
            <v>Rangel</v>
          </cell>
          <cell r="F517">
            <v>300</v>
          </cell>
          <cell r="G517">
            <v>1</v>
          </cell>
          <cell r="H517">
            <v>300</v>
          </cell>
          <cell r="I517">
            <v>41301</v>
          </cell>
          <cell r="J517">
            <v>0</v>
          </cell>
          <cell r="V517">
            <v>300</v>
          </cell>
          <cell r="W517">
            <v>300</v>
          </cell>
          <cell r="AJ517">
            <v>0</v>
          </cell>
          <cell r="AW517">
            <v>0</v>
          </cell>
        </row>
        <row r="518">
          <cell r="B518">
            <v>4171</v>
          </cell>
          <cell r="C518" t="str">
            <v>UP_124_</v>
          </cell>
          <cell r="D518" t="str">
            <v>Rancho Upácuaro No. 124</v>
          </cell>
          <cell r="E518" t="str">
            <v>Reyes Nicandro</v>
          </cell>
          <cell r="F518">
            <v>300</v>
          </cell>
          <cell r="G518">
            <v>4</v>
          </cell>
          <cell r="H518">
            <v>160</v>
          </cell>
          <cell r="I518">
            <v>41305</v>
          </cell>
          <cell r="J518" t="str">
            <v>NO SUMA</v>
          </cell>
          <cell r="W518">
            <v>0</v>
          </cell>
          <cell r="AJ518">
            <v>0</v>
          </cell>
          <cell r="AW518">
            <v>0</v>
          </cell>
        </row>
        <row r="519">
          <cell r="B519">
            <v>4172</v>
          </cell>
          <cell r="C519" t="str">
            <v>UP_42_</v>
          </cell>
          <cell r="D519" t="str">
            <v>Rancho Upácuaro No. 42</v>
          </cell>
          <cell r="E519" t="str">
            <v>García Ramírez</v>
          </cell>
          <cell r="F519">
            <v>300</v>
          </cell>
          <cell r="G519">
            <v>1</v>
          </cell>
          <cell r="H519">
            <v>600</v>
          </cell>
          <cell r="I519">
            <v>41305</v>
          </cell>
          <cell r="J519">
            <v>0</v>
          </cell>
          <cell r="W519">
            <v>0</v>
          </cell>
          <cell r="X519">
            <v>300</v>
          </cell>
          <cell r="Y519">
            <v>300</v>
          </cell>
          <cell r="AJ519">
            <v>600</v>
          </cell>
          <cell r="AW519">
            <v>0</v>
          </cell>
        </row>
        <row r="520">
          <cell r="B520">
            <v>4173</v>
          </cell>
          <cell r="C520" t="str">
            <v>EZ_9_B</v>
          </cell>
          <cell r="D520" t="str">
            <v>Rancho Estanzuela No. 9, B</v>
          </cell>
          <cell r="E520" t="str">
            <v>Velasco Rojas</v>
          </cell>
          <cell r="F520">
            <v>200</v>
          </cell>
          <cell r="G520">
            <v>1</v>
          </cell>
          <cell r="H520">
            <v>200</v>
          </cell>
          <cell r="I520">
            <v>41305</v>
          </cell>
          <cell r="J520">
            <v>0</v>
          </cell>
          <cell r="W520">
            <v>0</v>
          </cell>
          <cell r="Y520">
            <v>200</v>
          </cell>
          <cell r="AJ520">
            <v>200</v>
          </cell>
          <cell r="AW520">
            <v>0</v>
          </cell>
        </row>
        <row r="521">
          <cell r="B521">
            <v>4174</v>
          </cell>
          <cell r="C521" t="str">
            <v>HS_828_</v>
          </cell>
          <cell r="D521" t="str">
            <v>Calzada del Hueso No. 828</v>
          </cell>
          <cell r="E521" t="str">
            <v>Cervantes, Miguel</v>
          </cell>
          <cell r="F521">
            <v>300</v>
          </cell>
          <cell r="G521">
            <v>3</v>
          </cell>
          <cell r="H521">
            <v>300</v>
          </cell>
          <cell r="I521">
            <v>41305</v>
          </cell>
          <cell r="J521" t="str">
            <v>NO SUMA</v>
          </cell>
          <cell r="W521">
            <v>0</v>
          </cell>
          <cell r="AJ521">
            <v>0</v>
          </cell>
          <cell r="AW521">
            <v>0</v>
          </cell>
        </row>
        <row r="522">
          <cell r="B522" t="str">
            <v>s/n</v>
          </cell>
          <cell r="C522" t="str">
            <v>HS_B_</v>
          </cell>
          <cell r="D522" t="str">
            <v>Calzada del Hueso No. B</v>
          </cell>
          <cell r="E522" t="str">
            <v>CARSO</v>
          </cell>
          <cell r="F522">
            <v>1000</v>
          </cell>
          <cell r="G522">
            <v>1</v>
          </cell>
          <cell r="H522">
            <v>1000</v>
          </cell>
          <cell r="I522">
            <v>41305</v>
          </cell>
          <cell r="J522">
            <v>0</v>
          </cell>
          <cell r="W522">
            <v>0</v>
          </cell>
          <cell r="X522">
            <v>1000</v>
          </cell>
          <cell r="AJ522">
            <v>1000</v>
          </cell>
          <cell r="AW522">
            <v>0</v>
          </cell>
        </row>
        <row r="523">
          <cell r="B523" t="str">
            <v>NÚMERO</v>
          </cell>
          <cell r="C523" t="str">
            <v>CASA</v>
          </cell>
          <cell r="D523" t="str">
            <v>DOMICILIO</v>
          </cell>
          <cell r="E523" t="str">
            <v>FAMILIA</v>
          </cell>
          <cell r="F523" t="str">
            <v>CUOTA</v>
          </cell>
          <cell r="G523" t="str">
            <v>C_ING</v>
          </cell>
          <cell r="H523" t="str">
            <v>IMPORTE</v>
          </cell>
          <cell r="I523" t="str">
            <v>FECHA</v>
          </cell>
          <cell r="J523" t="str">
            <v>CHK</v>
          </cell>
          <cell r="K523" t="str">
            <v>ENE
2012</v>
          </cell>
          <cell r="L523" t="str">
            <v>FEB
2012</v>
          </cell>
          <cell r="M523" t="str">
            <v>MAR
2012</v>
          </cell>
          <cell r="N523" t="str">
            <v>ABR
2012</v>
          </cell>
          <cell r="O523" t="str">
            <v>MAY
2012</v>
          </cell>
          <cell r="P523" t="str">
            <v>JUN
2012</v>
          </cell>
          <cell r="Q523" t="str">
            <v>JUL
2012</v>
          </cell>
          <cell r="R523" t="str">
            <v>AGO
2012</v>
          </cell>
          <cell r="S523" t="str">
            <v>SEP
2012</v>
          </cell>
          <cell r="T523" t="str">
            <v>OCT
2012</v>
          </cell>
          <cell r="U523" t="str">
            <v>NOV
2012</v>
          </cell>
          <cell r="V523" t="str">
            <v>DIC
2012</v>
          </cell>
          <cell r="W523" t="str">
            <v>SUMA
2012</v>
          </cell>
          <cell r="X523" t="str">
            <v>ENE
2013</v>
          </cell>
          <cell r="Y523" t="str">
            <v>FEB
2013</v>
          </cell>
          <cell r="Z523" t="str">
            <v>MAR
2013</v>
          </cell>
          <cell r="AA523" t="str">
            <v>ABR
2013</v>
          </cell>
          <cell r="AB523" t="str">
            <v>MAY
2013</v>
          </cell>
          <cell r="AC523" t="str">
            <v>JUN
2013</v>
          </cell>
          <cell r="AD523" t="str">
            <v>JUL
2013</v>
          </cell>
          <cell r="AE523" t="str">
            <v>AGO
2013</v>
          </cell>
          <cell r="AF523" t="str">
            <v>SEP
2013</v>
          </cell>
          <cell r="AG523" t="str">
            <v>OCT
2013</v>
          </cell>
          <cell r="AH523" t="str">
            <v>NOV
2013</v>
          </cell>
          <cell r="AI523" t="str">
            <v>DIC
2013</v>
          </cell>
          <cell r="AJ523" t="str">
            <v>SUMA
2013</v>
          </cell>
          <cell r="AK523" t="str">
            <v>ENE
2014</v>
          </cell>
          <cell r="AL523" t="str">
            <v>FEB
2014</v>
          </cell>
          <cell r="AM523" t="str">
            <v>MAR
2014</v>
          </cell>
          <cell r="AN523" t="str">
            <v>ABR
2014</v>
          </cell>
          <cell r="AO523" t="str">
            <v>MAY
2014</v>
          </cell>
          <cell r="AP523" t="str">
            <v>JUN
2014</v>
          </cell>
          <cell r="AQ523" t="str">
            <v>JUL
2014</v>
          </cell>
          <cell r="AR523" t="str">
            <v>AGO
2014</v>
          </cell>
          <cell r="AS523" t="str">
            <v>SEP
2014</v>
          </cell>
          <cell r="AT523" t="str">
            <v>OCT
2014</v>
          </cell>
          <cell r="AU523" t="str">
            <v>NOV
2014</v>
          </cell>
          <cell r="AV523" t="str">
            <v>DIC
2014</v>
          </cell>
          <cell r="AW523" t="str">
            <v>SUMA
2014</v>
          </cell>
        </row>
        <row r="524">
          <cell r="B524">
            <v>4175</v>
          </cell>
          <cell r="C524" t="str">
            <v>UP_76_</v>
          </cell>
          <cell r="D524" t="str">
            <v>Rancho Upácuaro No. 76</v>
          </cell>
          <cell r="E524" t="str">
            <v>Ruiz de San Pedro</v>
          </cell>
          <cell r="F524">
            <v>300</v>
          </cell>
          <cell r="G524">
            <v>1</v>
          </cell>
          <cell r="H524">
            <v>300</v>
          </cell>
          <cell r="I524">
            <v>41308</v>
          </cell>
          <cell r="J524">
            <v>0</v>
          </cell>
          <cell r="W524">
            <v>0</v>
          </cell>
          <cell r="Y524">
            <v>300</v>
          </cell>
          <cell r="AJ524">
            <v>300</v>
          </cell>
          <cell r="AW524">
            <v>0</v>
          </cell>
        </row>
        <row r="525">
          <cell r="B525">
            <v>4176</v>
          </cell>
          <cell r="C525" t="str">
            <v>ZB_88_</v>
          </cell>
          <cell r="D525" t="str">
            <v>Rancho Zinamba No. 88</v>
          </cell>
          <cell r="E525" t="str">
            <v>Martínez</v>
          </cell>
          <cell r="F525">
            <v>250</v>
          </cell>
          <cell r="G525">
            <v>1</v>
          </cell>
          <cell r="H525">
            <v>500</v>
          </cell>
          <cell r="I525">
            <v>41308</v>
          </cell>
          <cell r="J525">
            <v>0</v>
          </cell>
          <cell r="T525">
            <v>250</v>
          </cell>
          <cell r="W525">
            <v>250</v>
          </cell>
          <cell r="Y525">
            <v>250</v>
          </cell>
          <cell r="AJ525">
            <v>250</v>
          </cell>
          <cell r="AW525">
            <v>0</v>
          </cell>
        </row>
        <row r="526">
          <cell r="B526">
            <v>4177</v>
          </cell>
          <cell r="C526" t="str">
            <v>RM_17_</v>
          </cell>
          <cell r="D526" t="str">
            <v>Rancho Romeral No. 17</v>
          </cell>
          <cell r="E526" t="str">
            <v>Aguilar Lomelí</v>
          </cell>
          <cell r="F526">
            <v>300</v>
          </cell>
          <cell r="G526">
            <v>3</v>
          </cell>
          <cell r="H526">
            <v>150</v>
          </cell>
          <cell r="I526">
            <v>41308</v>
          </cell>
          <cell r="J526" t="str">
            <v>NO SUMA</v>
          </cell>
          <cell r="W526">
            <v>0</v>
          </cell>
          <cell r="AJ526">
            <v>0</v>
          </cell>
          <cell r="AW526">
            <v>0</v>
          </cell>
        </row>
        <row r="527">
          <cell r="B527">
            <v>4177</v>
          </cell>
          <cell r="C527" t="str">
            <v>RM_17_</v>
          </cell>
          <cell r="D527" t="str">
            <v>Rancho Romeral No. 17</v>
          </cell>
          <cell r="E527" t="str">
            <v>Aguilar Lomelí</v>
          </cell>
          <cell r="F527">
            <v>300</v>
          </cell>
          <cell r="G527">
            <v>4</v>
          </cell>
          <cell r="H527">
            <v>160</v>
          </cell>
          <cell r="I527">
            <v>41308</v>
          </cell>
          <cell r="J527" t="str">
            <v>NO SUMA</v>
          </cell>
          <cell r="W527">
            <v>0</v>
          </cell>
          <cell r="AJ527">
            <v>0</v>
          </cell>
          <cell r="AW527">
            <v>0</v>
          </cell>
        </row>
        <row r="528">
          <cell r="B528">
            <v>4178</v>
          </cell>
          <cell r="D528" t="str">
            <v/>
          </cell>
          <cell r="E528" t="str">
            <v/>
          </cell>
          <cell r="F528" t="str">
            <v/>
          </cell>
          <cell r="G528">
            <v>8</v>
          </cell>
          <cell r="I528">
            <v>41308</v>
          </cell>
          <cell r="J528" t="str">
            <v>NO SUMA</v>
          </cell>
          <cell r="W528">
            <v>0</v>
          </cell>
          <cell r="AJ528">
            <v>0</v>
          </cell>
          <cell r="AW528">
            <v>0</v>
          </cell>
        </row>
        <row r="529">
          <cell r="B529">
            <v>4179</v>
          </cell>
          <cell r="C529" t="str">
            <v>CL_42_</v>
          </cell>
          <cell r="D529" t="str">
            <v>Rancho La Cuchilla No. 42</v>
          </cell>
          <cell r="E529" t="str">
            <v>Mac Kinney</v>
          </cell>
          <cell r="F529">
            <v>300</v>
          </cell>
          <cell r="G529">
            <v>1</v>
          </cell>
          <cell r="H529">
            <v>600</v>
          </cell>
          <cell r="I529">
            <v>41308</v>
          </cell>
          <cell r="J529">
            <v>0</v>
          </cell>
          <cell r="W529">
            <v>0</v>
          </cell>
          <cell r="X529">
            <v>300</v>
          </cell>
          <cell r="Y529">
            <v>300</v>
          </cell>
          <cell r="AJ529">
            <v>600</v>
          </cell>
          <cell r="AW529">
            <v>0</v>
          </cell>
        </row>
        <row r="530">
          <cell r="B530">
            <v>4179</v>
          </cell>
          <cell r="C530" t="str">
            <v>CL_42_</v>
          </cell>
          <cell r="D530" t="str">
            <v>Rancho La Cuchilla No. 42</v>
          </cell>
          <cell r="E530" t="str">
            <v>Mac Kinney</v>
          </cell>
          <cell r="F530">
            <v>300</v>
          </cell>
          <cell r="G530">
            <v>3</v>
          </cell>
          <cell r="H530">
            <v>150</v>
          </cell>
          <cell r="I530">
            <v>41308</v>
          </cell>
          <cell r="J530" t="str">
            <v>NO SUMA</v>
          </cell>
          <cell r="W530">
            <v>0</v>
          </cell>
          <cell r="AJ530">
            <v>0</v>
          </cell>
          <cell r="AW530">
            <v>0</v>
          </cell>
        </row>
        <row r="531">
          <cell r="B531">
            <v>4180</v>
          </cell>
          <cell r="C531" t="str">
            <v>CM_130_A</v>
          </cell>
          <cell r="D531" t="str">
            <v>Rancho Estanzuela No. 130, A</v>
          </cell>
          <cell r="E531" t="str">
            <v>Colegio Carmel</v>
          </cell>
          <cell r="F531">
            <v>10000</v>
          </cell>
          <cell r="G531">
            <v>3</v>
          </cell>
          <cell r="H531">
            <v>320</v>
          </cell>
          <cell r="I531">
            <v>41308</v>
          </cell>
          <cell r="J531" t="str">
            <v>NO SUMA</v>
          </cell>
          <cell r="W531">
            <v>0</v>
          </cell>
          <cell r="AJ531">
            <v>0</v>
          </cell>
          <cell r="AW531">
            <v>0</v>
          </cell>
        </row>
        <row r="532">
          <cell r="B532">
            <v>4181</v>
          </cell>
          <cell r="C532" t="str">
            <v>UP_146_</v>
          </cell>
          <cell r="D532" t="str">
            <v>Rancho Upácuaro No. 146</v>
          </cell>
          <cell r="E532" t="str">
            <v>Islas</v>
          </cell>
          <cell r="F532">
            <v>300</v>
          </cell>
          <cell r="G532">
            <v>1</v>
          </cell>
          <cell r="H532">
            <v>300</v>
          </cell>
          <cell r="I532">
            <v>41308</v>
          </cell>
          <cell r="J532">
            <v>0</v>
          </cell>
          <cell r="W532">
            <v>0</v>
          </cell>
          <cell r="X532">
            <v>300</v>
          </cell>
          <cell r="AJ532">
            <v>300</v>
          </cell>
          <cell r="AW532">
            <v>0</v>
          </cell>
        </row>
        <row r="533">
          <cell r="B533">
            <v>4182</v>
          </cell>
          <cell r="C533" t="str">
            <v>CL_19_</v>
          </cell>
          <cell r="D533" t="str">
            <v>Rancho La Cuchilla No. 19</v>
          </cell>
          <cell r="E533" t="str">
            <v>Tapia Vázquez</v>
          </cell>
          <cell r="F533">
            <v>300</v>
          </cell>
          <cell r="G533">
            <v>1</v>
          </cell>
          <cell r="H533">
            <v>300</v>
          </cell>
          <cell r="I533">
            <v>41308</v>
          </cell>
          <cell r="J533">
            <v>0</v>
          </cell>
          <cell r="W533">
            <v>0</v>
          </cell>
          <cell r="Y533">
            <v>300</v>
          </cell>
          <cell r="AJ533">
            <v>300</v>
          </cell>
          <cell r="AW533">
            <v>0</v>
          </cell>
        </row>
        <row r="534">
          <cell r="B534">
            <v>4183</v>
          </cell>
          <cell r="C534" t="str">
            <v>LD_21_</v>
          </cell>
          <cell r="D534" t="str">
            <v>Rancho Landero No. 21</v>
          </cell>
          <cell r="E534" t="str">
            <v>Meza</v>
          </cell>
          <cell r="F534">
            <v>300</v>
          </cell>
          <cell r="G534">
            <v>1</v>
          </cell>
          <cell r="H534">
            <v>300</v>
          </cell>
          <cell r="I534">
            <v>41308</v>
          </cell>
          <cell r="J534">
            <v>0</v>
          </cell>
          <cell r="W534">
            <v>0</v>
          </cell>
          <cell r="Y534">
            <v>300</v>
          </cell>
          <cell r="AJ534">
            <v>300</v>
          </cell>
          <cell r="AW534">
            <v>0</v>
          </cell>
        </row>
        <row r="535">
          <cell r="B535">
            <v>4184</v>
          </cell>
          <cell r="C535" t="str">
            <v>UP_100_</v>
          </cell>
          <cell r="D535" t="str">
            <v>Rancho Upácuaro No. 100</v>
          </cell>
          <cell r="E535" t="str">
            <v>Mancera Rodríguez</v>
          </cell>
          <cell r="F535">
            <v>300</v>
          </cell>
          <cell r="G535">
            <v>1</v>
          </cell>
          <cell r="H535">
            <v>300</v>
          </cell>
          <cell r="I535">
            <v>41308</v>
          </cell>
          <cell r="J535">
            <v>0</v>
          </cell>
          <cell r="W535">
            <v>0</v>
          </cell>
          <cell r="Y535">
            <v>300</v>
          </cell>
          <cell r="AJ535">
            <v>300</v>
          </cell>
          <cell r="AW535">
            <v>0</v>
          </cell>
        </row>
        <row r="536">
          <cell r="B536">
            <v>4185</v>
          </cell>
          <cell r="C536" t="str">
            <v>UP_118_</v>
          </cell>
          <cell r="D536" t="str">
            <v>Rancho Upácuaro No. 118</v>
          </cell>
          <cell r="E536" t="str">
            <v>Siegrist</v>
          </cell>
          <cell r="F536">
            <v>300</v>
          </cell>
          <cell r="G536">
            <v>1</v>
          </cell>
          <cell r="H536">
            <v>600</v>
          </cell>
          <cell r="I536">
            <v>41308</v>
          </cell>
          <cell r="J536">
            <v>0</v>
          </cell>
          <cell r="W536">
            <v>0</v>
          </cell>
          <cell r="X536">
            <v>300</v>
          </cell>
          <cell r="Y536">
            <v>300</v>
          </cell>
          <cell r="AJ536">
            <v>600</v>
          </cell>
          <cell r="AW536">
            <v>0</v>
          </cell>
        </row>
        <row r="537">
          <cell r="B537">
            <v>4186</v>
          </cell>
          <cell r="C537" t="str">
            <v>ZB_44_</v>
          </cell>
          <cell r="D537" t="str">
            <v>Rancho Zinamba No. 44</v>
          </cell>
          <cell r="E537" t="str">
            <v>Canales</v>
          </cell>
          <cell r="F537">
            <v>300</v>
          </cell>
          <cell r="G537">
            <v>1</v>
          </cell>
          <cell r="H537">
            <v>300</v>
          </cell>
          <cell r="I537">
            <v>41308</v>
          </cell>
          <cell r="J537">
            <v>0</v>
          </cell>
          <cell r="W537">
            <v>0</v>
          </cell>
          <cell r="Y537">
            <v>300</v>
          </cell>
          <cell r="AJ537">
            <v>300</v>
          </cell>
          <cell r="AW537">
            <v>0</v>
          </cell>
        </row>
        <row r="538">
          <cell r="B538">
            <v>4187</v>
          </cell>
          <cell r="C538" t="str">
            <v>LD_65_</v>
          </cell>
          <cell r="D538" t="str">
            <v>Rancho Landero No. 65</v>
          </cell>
          <cell r="E538" t="str">
            <v>Alpizar</v>
          </cell>
          <cell r="F538">
            <v>300</v>
          </cell>
          <cell r="G538">
            <v>1</v>
          </cell>
          <cell r="H538">
            <v>300</v>
          </cell>
          <cell r="I538">
            <v>41308</v>
          </cell>
          <cell r="J538">
            <v>0</v>
          </cell>
          <cell r="W538">
            <v>0</v>
          </cell>
          <cell r="Y538">
            <v>300</v>
          </cell>
          <cell r="AJ538">
            <v>300</v>
          </cell>
          <cell r="AW538">
            <v>0</v>
          </cell>
        </row>
        <row r="539">
          <cell r="B539">
            <v>4188</v>
          </cell>
          <cell r="C539" t="str">
            <v>ZB_38_</v>
          </cell>
          <cell r="D539" t="str">
            <v>Rancho Zinamba No. 38</v>
          </cell>
          <cell r="E539" t="str">
            <v>Ramírez Díaz</v>
          </cell>
          <cell r="F539">
            <v>300</v>
          </cell>
          <cell r="G539">
            <v>1</v>
          </cell>
          <cell r="H539">
            <v>300</v>
          </cell>
          <cell r="I539">
            <v>41308</v>
          </cell>
          <cell r="J539">
            <v>0</v>
          </cell>
          <cell r="W539">
            <v>0</v>
          </cell>
          <cell r="Y539">
            <v>300</v>
          </cell>
          <cell r="AJ539">
            <v>300</v>
          </cell>
          <cell r="AW539">
            <v>0</v>
          </cell>
        </row>
        <row r="540">
          <cell r="B540">
            <v>4189</v>
          </cell>
          <cell r="C540" t="str">
            <v>EZ_91_</v>
          </cell>
          <cell r="D540" t="str">
            <v>Rancho Estanzuela No. 91</v>
          </cell>
          <cell r="E540" t="str">
            <v>Lobato Torres</v>
          </cell>
          <cell r="F540">
            <v>300</v>
          </cell>
          <cell r="G540">
            <v>1</v>
          </cell>
          <cell r="H540">
            <v>300</v>
          </cell>
          <cell r="I540">
            <v>41308</v>
          </cell>
          <cell r="J540">
            <v>0</v>
          </cell>
          <cell r="W540">
            <v>0</v>
          </cell>
          <cell r="X540">
            <v>150</v>
          </cell>
          <cell r="Y540">
            <v>150</v>
          </cell>
          <cell r="AJ540">
            <v>300</v>
          </cell>
          <cell r="AW540">
            <v>0</v>
          </cell>
        </row>
        <row r="541">
          <cell r="B541">
            <v>4190</v>
          </cell>
          <cell r="C541" t="str">
            <v>EZ_91_</v>
          </cell>
          <cell r="D541" t="str">
            <v>Rancho Estanzuela No. 91</v>
          </cell>
          <cell r="E541" t="str">
            <v>Lobato Torres</v>
          </cell>
          <cell r="F541">
            <v>300</v>
          </cell>
          <cell r="G541">
            <v>1</v>
          </cell>
          <cell r="H541">
            <v>300</v>
          </cell>
          <cell r="I541">
            <v>41308</v>
          </cell>
          <cell r="J541">
            <v>0</v>
          </cell>
          <cell r="W541">
            <v>0</v>
          </cell>
          <cell r="X541">
            <v>150</v>
          </cell>
          <cell r="Y541">
            <v>150</v>
          </cell>
          <cell r="AJ541">
            <v>300</v>
          </cell>
          <cell r="AW541">
            <v>0</v>
          </cell>
        </row>
        <row r="542">
          <cell r="B542">
            <v>4191</v>
          </cell>
          <cell r="C542" t="str">
            <v>EZ_31_</v>
          </cell>
          <cell r="D542" t="str">
            <v>Rancho Estanzuela No. 31</v>
          </cell>
          <cell r="E542" t="str">
            <v>Chávez Valdés</v>
          </cell>
          <cell r="F542">
            <v>300</v>
          </cell>
          <cell r="G542">
            <v>1</v>
          </cell>
          <cell r="H542">
            <v>300</v>
          </cell>
          <cell r="I542">
            <v>41308</v>
          </cell>
          <cell r="J542">
            <v>0</v>
          </cell>
          <cell r="W542">
            <v>0</v>
          </cell>
          <cell r="Y542">
            <v>300</v>
          </cell>
          <cell r="AJ542">
            <v>300</v>
          </cell>
          <cell r="AW542">
            <v>0</v>
          </cell>
        </row>
        <row r="543">
          <cell r="B543">
            <v>4192</v>
          </cell>
          <cell r="C543" t="str">
            <v>CL_139_</v>
          </cell>
          <cell r="D543" t="str">
            <v>Rancho La Cuchilla No. 139</v>
          </cell>
          <cell r="E543" t="str">
            <v>Gloria García</v>
          </cell>
          <cell r="F543">
            <v>200</v>
          </cell>
          <cell r="G543">
            <v>1</v>
          </cell>
          <cell r="H543">
            <v>200</v>
          </cell>
          <cell r="I543">
            <v>41308</v>
          </cell>
          <cell r="J543">
            <v>0</v>
          </cell>
          <cell r="W543">
            <v>0</v>
          </cell>
          <cell r="Y543">
            <v>200</v>
          </cell>
          <cell r="AJ543">
            <v>200</v>
          </cell>
          <cell r="AW543">
            <v>0</v>
          </cell>
        </row>
        <row r="544">
          <cell r="B544">
            <v>4193</v>
          </cell>
          <cell r="C544" t="str">
            <v>CL_139_</v>
          </cell>
          <cell r="D544" t="str">
            <v>Rancho La Cuchilla No. 139</v>
          </cell>
          <cell r="E544" t="str">
            <v>Gloria García</v>
          </cell>
          <cell r="F544">
            <v>200</v>
          </cell>
          <cell r="G544">
            <v>5</v>
          </cell>
          <cell r="H544">
            <v>20</v>
          </cell>
          <cell r="I544">
            <v>41308</v>
          </cell>
          <cell r="J544" t="str">
            <v>NO SUMA</v>
          </cell>
          <cell r="W544">
            <v>0</v>
          </cell>
          <cell r="AJ544">
            <v>0</v>
          </cell>
          <cell r="AW544">
            <v>0</v>
          </cell>
        </row>
        <row r="545">
          <cell r="B545">
            <v>4194</v>
          </cell>
          <cell r="C545" t="str">
            <v>CL_43_B</v>
          </cell>
          <cell r="D545" t="str">
            <v>Rancho La Cuchilla No. 43, B</v>
          </cell>
          <cell r="E545" t="str">
            <v>Luna Albertano</v>
          </cell>
          <cell r="F545">
            <v>125</v>
          </cell>
          <cell r="G545">
            <v>1</v>
          </cell>
          <cell r="H545">
            <v>125</v>
          </cell>
          <cell r="I545">
            <v>41308</v>
          </cell>
          <cell r="J545">
            <v>0</v>
          </cell>
          <cell r="W545">
            <v>0</v>
          </cell>
          <cell r="Y545">
            <v>125</v>
          </cell>
          <cell r="AJ545">
            <v>125</v>
          </cell>
          <cell r="AW545">
            <v>0</v>
          </cell>
        </row>
        <row r="546">
          <cell r="B546">
            <v>4195</v>
          </cell>
          <cell r="C546" t="str">
            <v>UP_136_</v>
          </cell>
          <cell r="D546" t="str">
            <v>Rancho Upácuaro No. 136</v>
          </cell>
          <cell r="E546" t="str">
            <v>López Lena</v>
          </cell>
          <cell r="F546">
            <v>300</v>
          </cell>
          <cell r="G546">
            <v>1</v>
          </cell>
          <cell r="H546">
            <v>600</v>
          </cell>
          <cell r="I546">
            <v>41308</v>
          </cell>
          <cell r="J546">
            <v>0</v>
          </cell>
          <cell r="W546">
            <v>0</v>
          </cell>
          <cell r="X546">
            <v>300</v>
          </cell>
          <cell r="Y546">
            <v>300</v>
          </cell>
          <cell r="AJ546">
            <v>600</v>
          </cell>
          <cell r="AW546">
            <v>0</v>
          </cell>
        </row>
        <row r="547">
          <cell r="B547">
            <v>4196</v>
          </cell>
          <cell r="C547" t="str">
            <v>LD_71_</v>
          </cell>
          <cell r="D547" t="str">
            <v>Rancho Landero No. 71</v>
          </cell>
          <cell r="E547" t="str">
            <v>Cabrera Balcázar</v>
          </cell>
          <cell r="F547">
            <v>300</v>
          </cell>
          <cell r="G547">
            <v>1</v>
          </cell>
          <cell r="H547">
            <v>300</v>
          </cell>
          <cell r="I547">
            <v>41308</v>
          </cell>
          <cell r="J547">
            <v>0</v>
          </cell>
          <cell r="W547">
            <v>0</v>
          </cell>
          <cell r="Y547">
            <v>300</v>
          </cell>
          <cell r="AJ547">
            <v>300</v>
          </cell>
          <cell r="AW547">
            <v>0</v>
          </cell>
        </row>
        <row r="548">
          <cell r="B548">
            <v>4197</v>
          </cell>
          <cell r="C548" t="str">
            <v>UP_85_</v>
          </cell>
          <cell r="D548" t="str">
            <v>Rancho Upácuaro No. 85</v>
          </cell>
          <cell r="E548" t="str">
            <v>Del Toro Huerta</v>
          </cell>
          <cell r="F548">
            <v>300</v>
          </cell>
          <cell r="G548">
            <v>1</v>
          </cell>
          <cell r="H548">
            <v>300</v>
          </cell>
          <cell r="I548">
            <v>41308</v>
          </cell>
          <cell r="J548">
            <v>0</v>
          </cell>
          <cell r="W548">
            <v>0</v>
          </cell>
          <cell r="Y548">
            <v>300</v>
          </cell>
          <cell r="AJ548">
            <v>300</v>
          </cell>
          <cell r="AW548">
            <v>0</v>
          </cell>
        </row>
        <row r="549">
          <cell r="B549">
            <v>4198</v>
          </cell>
          <cell r="C549" t="str">
            <v>CL_92_</v>
          </cell>
          <cell r="D549" t="str">
            <v>Rancho La Cuchilla No. 92</v>
          </cell>
          <cell r="E549" t="str">
            <v>Cabrera</v>
          </cell>
          <cell r="F549">
            <v>300</v>
          </cell>
          <cell r="G549">
            <v>1</v>
          </cell>
          <cell r="H549">
            <v>300</v>
          </cell>
          <cell r="I549">
            <v>41308</v>
          </cell>
          <cell r="J549">
            <v>0</v>
          </cell>
          <cell r="W549">
            <v>0</v>
          </cell>
          <cell r="Y549">
            <v>300</v>
          </cell>
          <cell r="AJ549">
            <v>300</v>
          </cell>
          <cell r="AW549">
            <v>0</v>
          </cell>
        </row>
        <row r="550">
          <cell r="B550">
            <v>4199</v>
          </cell>
          <cell r="C550" t="str">
            <v>UP_120_</v>
          </cell>
          <cell r="D550" t="str">
            <v>Rancho Upácuaro No. 120</v>
          </cell>
          <cell r="E550" t="str">
            <v>Rayas Rivera</v>
          </cell>
          <cell r="F550">
            <v>300</v>
          </cell>
          <cell r="G550">
            <v>1</v>
          </cell>
          <cell r="H550">
            <v>300</v>
          </cell>
          <cell r="I550">
            <v>41308</v>
          </cell>
          <cell r="J550">
            <v>0</v>
          </cell>
          <cell r="W550">
            <v>0</v>
          </cell>
          <cell r="Y550">
            <v>300</v>
          </cell>
          <cell r="AJ550">
            <v>300</v>
          </cell>
          <cell r="AW550">
            <v>0</v>
          </cell>
        </row>
        <row r="551">
          <cell r="B551">
            <v>4200</v>
          </cell>
          <cell r="C551" t="str">
            <v>UP_140_</v>
          </cell>
          <cell r="D551" t="str">
            <v>Rancho Upácuaro No. 140</v>
          </cell>
          <cell r="E551" t="str">
            <v>Gozain</v>
          </cell>
          <cell r="F551">
            <v>300</v>
          </cell>
          <cell r="G551">
            <v>1</v>
          </cell>
          <cell r="H551">
            <v>300</v>
          </cell>
          <cell r="I551">
            <v>41308</v>
          </cell>
          <cell r="J551">
            <v>0</v>
          </cell>
          <cell r="W551">
            <v>0</v>
          </cell>
          <cell r="Y551">
            <v>300</v>
          </cell>
          <cell r="AJ551">
            <v>300</v>
          </cell>
          <cell r="AW551">
            <v>0</v>
          </cell>
        </row>
        <row r="552">
          <cell r="B552">
            <v>4201</v>
          </cell>
          <cell r="C552" t="str">
            <v>RM_17_</v>
          </cell>
          <cell r="D552" t="str">
            <v>Rancho Romeral No. 17</v>
          </cell>
          <cell r="E552" t="str">
            <v>Aguilar Lomelí</v>
          </cell>
          <cell r="F552">
            <v>300</v>
          </cell>
          <cell r="G552">
            <v>1</v>
          </cell>
          <cell r="H552">
            <v>300</v>
          </cell>
          <cell r="I552">
            <v>41308</v>
          </cell>
          <cell r="J552">
            <v>0</v>
          </cell>
          <cell r="W552">
            <v>0</v>
          </cell>
          <cell r="X552">
            <v>300</v>
          </cell>
          <cell r="AJ552">
            <v>300</v>
          </cell>
          <cell r="AW552">
            <v>0</v>
          </cell>
        </row>
        <row r="553">
          <cell r="B553">
            <v>4202</v>
          </cell>
          <cell r="C553" t="str">
            <v>LD_35_</v>
          </cell>
          <cell r="D553" t="str">
            <v>Rancho Landero No. 35</v>
          </cell>
          <cell r="E553" t="str">
            <v>Loperena</v>
          </cell>
          <cell r="F553">
            <v>300</v>
          </cell>
          <cell r="G553">
            <v>1</v>
          </cell>
          <cell r="H553">
            <v>300</v>
          </cell>
          <cell r="I553">
            <v>41308</v>
          </cell>
          <cell r="J553">
            <v>0</v>
          </cell>
          <cell r="W553">
            <v>0</v>
          </cell>
          <cell r="Y553">
            <v>300</v>
          </cell>
          <cell r="AJ553">
            <v>300</v>
          </cell>
          <cell r="AW553">
            <v>0</v>
          </cell>
        </row>
        <row r="554">
          <cell r="B554">
            <v>4203</v>
          </cell>
          <cell r="C554" t="str">
            <v>ZB_84_</v>
          </cell>
          <cell r="D554" t="str">
            <v>Rancho Zinamba No. 84</v>
          </cell>
          <cell r="E554" t="str">
            <v>Lobato</v>
          </cell>
          <cell r="F554">
            <v>300</v>
          </cell>
          <cell r="G554">
            <v>1</v>
          </cell>
          <cell r="H554">
            <v>600</v>
          </cell>
          <cell r="I554">
            <v>41308</v>
          </cell>
          <cell r="J554">
            <v>0</v>
          </cell>
          <cell r="V554">
            <v>300</v>
          </cell>
          <cell r="W554">
            <v>300</v>
          </cell>
          <cell r="X554">
            <v>300</v>
          </cell>
          <cell r="AJ554">
            <v>300</v>
          </cell>
          <cell r="AW554">
            <v>0</v>
          </cell>
        </row>
        <row r="555">
          <cell r="B555">
            <v>4204</v>
          </cell>
          <cell r="C555" t="str">
            <v>EZ_139_</v>
          </cell>
          <cell r="D555" t="str">
            <v>Rancho Estanzuela No. 139</v>
          </cell>
          <cell r="E555" t="str">
            <v>Ortiz</v>
          </cell>
          <cell r="F555">
            <v>300</v>
          </cell>
          <cell r="G555">
            <v>1</v>
          </cell>
          <cell r="H555">
            <v>600</v>
          </cell>
          <cell r="I555">
            <v>41308</v>
          </cell>
          <cell r="J555">
            <v>0</v>
          </cell>
          <cell r="W555">
            <v>0</v>
          </cell>
          <cell r="X555">
            <v>300</v>
          </cell>
          <cell r="Y555">
            <v>300</v>
          </cell>
          <cell r="AJ555">
            <v>600</v>
          </cell>
          <cell r="AW555">
            <v>0</v>
          </cell>
        </row>
        <row r="556">
          <cell r="B556">
            <v>4205</v>
          </cell>
          <cell r="C556" t="str">
            <v>RV_175_0</v>
          </cell>
          <cell r="D556" t="str">
            <v>Rancho Recoveco No. 175</v>
          </cell>
          <cell r="E556" t="str">
            <v>Ramírez</v>
          </cell>
          <cell r="F556">
            <v>300</v>
          </cell>
          <cell r="G556">
            <v>1</v>
          </cell>
          <cell r="H556">
            <v>300</v>
          </cell>
          <cell r="I556">
            <v>41308</v>
          </cell>
          <cell r="J556">
            <v>0</v>
          </cell>
          <cell r="W556">
            <v>0</v>
          </cell>
          <cell r="Y556">
            <v>300</v>
          </cell>
          <cell r="AJ556">
            <v>300</v>
          </cell>
          <cell r="AW556">
            <v>0</v>
          </cell>
        </row>
        <row r="557">
          <cell r="B557">
            <v>4206</v>
          </cell>
          <cell r="C557" t="str">
            <v>LD_42_</v>
          </cell>
          <cell r="D557" t="str">
            <v>Rancho Landero No. 42</v>
          </cell>
          <cell r="E557" t="str">
            <v>Ávila Fidel</v>
          </cell>
          <cell r="F557">
            <v>300</v>
          </cell>
          <cell r="G557">
            <v>1</v>
          </cell>
          <cell r="H557">
            <v>300</v>
          </cell>
          <cell r="I557">
            <v>41308</v>
          </cell>
          <cell r="J557">
            <v>0</v>
          </cell>
          <cell r="W557">
            <v>0</v>
          </cell>
          <cell r="Y557">
            <v>300</v>
          </cell>
          <cell r="AJ557">
            <v>300</v>
          </cell>
          <cell r="AW557">
            <v>0</v>
          </cell>
        </row>
        <row r="558">
          <cell r="B558">
            <v>4207</v>
          </cell>
          <cell r="C558" t="str">
            <v>EZ_89_</v>
          </cell>
          <cell r="D558" t="str">
            <v>Rancho Estanzuela No. 89</v>
          </cell>
          <cell r="E558" t="str">
            <v>Romero Ortiz</v>
          </cell>
          <cell r="F558">
            <v>300</v>
          </cell>
          <cell r="G558">
            <v>1</v>
          </cell>
          <cell r="H558">
            <v>300</v>
          </cell>
          <cell r="I558">
            <v>41308</v>
          </cell>
          <cell r="J558">
            <v>0</v>
          </cell>
          <cell r="W558">
            <v>0</v>
          </cell>
          <cell r="Y558">
            <v>300</v>
          </cell>
          <cell r="AJ558">
            <v>300</v>
          </cell>
          <cell r="AW558">
            <v>0</v>
          </cell>
        </row>
        <row r="559">
          <cell r="B559">
            <v>4207</v>
          </cell>
          <cell r="C559" t="str">
            <v>EZ_89_</v>
          </cell>
          <cell r="D559" t="str">
            <v>Rancho Estanzuela No. 89</v>
          </cell>
          <cell r="E559" t="str">
            <v>Romero Ortiz</v>
          </cell>
          <cell r="F559">
            <v>300</v>
          </cell>
          <cell r="G559">
            <v>3</v>
          </cell>
          <cell r="H559">
            <v>150</v>
          </cell>
          <cell r="I559">
            <v>41308</v>
          </cell>
          <cell r="J559" t="str">
            <v>NO SUMA</v>
          </cell>
          <cell r="W559">
            <v>0</v>
          </cell>
          <cell r="AJ559">
            <v>0</v>
          </cell>
          <cell r="AW559">
            <v>0</v>
          </cell>
        </row>
        <row r="560">
          <cell r="B560">
            <v>4208</v>
          </cell>
          <cell r="C560" t="str">
            <v>ZB_20_</v>
          </cell>
          <cell r="D560" t="str">
            <v>Rancho Zinamba No. 20</v>
          </cell>
          <cell r="E560" t="str">
            <v>Alegre Retana</v>
          </cell>
          <cell r="F560">
            <v>300</v>
          </cell>
          <cell r="G560">
            <v>1</v>
          </cell>
          <cell r="H560">
            <v>300</v>
          </cell>
          <cell r="I560">
            <v>41308</v>
          </cell>
          <cell r="J560">
            <v>0</v>
          </cell>
          <cell r="W560">
            <v>0</v>
          </cell>
          <cell r="Y560">
            <v>300</v>
          </cell>
          <cell r="AJ560">
            <v>300</v>
          </cell>
          <cell r="AW560">
            <v>0</v>
          </cell>
        </row>
        <row r="561">
          <cell r="B561">
            <v>4209</v>
          </cell>
          <cell r="C561" t="str">
            <v>UP_142_</v>
          </cell>
          <cell r="D561" t="str">
            <v>Rancho Upácuaro No. 142</v>
          </cell>
          <cell r="E561" t="str">
            <v>Fierro Villaneda</v>
          </cell>
          <cell r="F561">
            <v>300</v>
          </cell>
          <cell r="G561">
            <v>1</v>
          </cell>
          <cell r="H561">
            <v>1500</v>
          </cell>
          <cell r="I561">
            <v>41308</v>
          </cell>
          <cell r="J561">
            <v>0</v>
          </cell>
          <cell r="W561">
            <v>0</v>
          </cell>
          <cell r="Y561">
            <v>300</v>
          </cell>
          <cell r="Z561">
            <v>300</v>
          </cell>
          <cell r="AA561">
            <v>300</v>
          </cell>
          <cell r="AB561">
            <v>300</v>
          </cell>
          <cell r="AC561">
            <v>300</v>
          </cell>
          <cell r="AJ561">
            <v>1500</v>
          </cell>
          <cell r="AW561">
            <v>0</v>
          </cell>
        </row>
        <row r="562">
          <cell r="B562">
            <v>4210</v>
          </cell>
          <cell r="C562" t="str">
            <v>UP_101_</v>
          </cell>
          <cell r="D562" t="str">
            <v>Rancho Upácuaro No. 101</v>
          </cell>
          <cell r="E562" t="str">
            <v>Chávez, Arturo</v>
          </cell>
          <cell r="F562">
            <v>300</v>
          </cell>
          <cell r="G562">
            <v>3</v>
          </cell>
          <cell r="H562">
            <v>150</v>
          </cell>
          <cell r="I562">
            <v>41308</v>
          </cell>
          <cell r="J562" t="str">
            <v>NO SUMA</v>
          </cell>
          <cell r="W562">
            <v>0</v>
          </cell>
          <cell r="AJ562">
            <v>0</v>
          </cell>
          <cell r="AW562">
            <v>0</v>
          </cell>
        </row>
        <row r="563">
          <cell r="B563">
            <v>4211</v>
          </cell>
          <cell r="C563" t="str">
            <v>CL_41_</v>
          </cell>
          <cell r="D563" t="str">
            <v>Rancho La Cuchilla No. 41</v>
          </cell>
          <cell r="E563" t="str">
            <v>Arriaga Lemus</v>
          </cell>
          <cell r="F563">
            <v>250</v>
          </cell>
          <cell r="G563">
            <v>1</v>
          </cell>
          <cell r="H563">
            <v>250</v>
          </cell>
          <cell r="I563">
            <v>41308</v>
          </cell>
          <cell r="J563">
            <v>0</v>
          </cell>
          <cell r="W563">
            <v>0</v>
          </cell>
          <cell r="Y563">
            <v>250</v>
          </cell>
          <cell r="AJ563">
            <v>250</v>
          </cell>
          <cell r="AW563">
            <v>0</v>
          </cell>
        </row>
        <row r="564">
          <cell r="B564">
            <v>4212</v>
          </cell>
          <cell r="C564" t="str">
            <v>LD_7_</v>
          </cell>
          <cell r="D564" t="str">
            <v>Rancho Landero No. 7</v>
          </cell>
          <cell r="E564" t="str">
            <v>Robles</v>
          </cell>
          <cell r="F564">
            <v>150</v>
          </cell>
          <cell r="G564">
            <v>1</v>
          </cell>
          <cell r="H564">
            <v>150</v>
          </cell>
          <cell r="I564">
            <v>41308</v>
          </cell>
          <cell r="J564">
            <v>0</v>
          </cell>
          <cell r="W564">
            <v>0</v>
          </cell>
          <cell r="Y564">
            <v>150</v>
          </cell>
          <cell r="AJ564">
            <v>150</v>
          </cell>
          <cell r="AW564">
            <v>0</v>
          </cell>
        </row>
        <row r="565">
          <cell r="B565">
            <v>4213</v>
          </cell>
          <cell r="C565" t="str">
            <v>ZB_74_</v>
          </cell>
          <cell r="D565" t="str">
            <v>Rancho Zinamba No. 74</v>
          </cell>
          <cell r="E565" t="str">
            <v>García Castellanos</v>
          </cell>
          <cell r="F565">
            <v>300</v>
          </cell>
          <cell r="G565">
            <v>1</v>
          </cell>
          <cell r="H565">
            <v>600</v>
          </cell>
          <cell r="I565">
            <v>41308</v>
          </cell>
          <cell r="J565">
            <v>0</v>
          </cell>
          <cell r="W565">
            <v>0</v>
          </cell>
          <cell r="X565">
            <v>300</v>
          </cell>
          <cell r="Y565">
            <v>300</v>
          </cell>
          <cell r="AJ565">
            <v>600</v>
          </cell>
          <cell r="AW565">
            <v>0</v>
          </cell>
        </row>
        <row r="566">
          <cell r="B566">
            <v>4214</v>
          </cell>
          <cell r="C566" t="str">
            <v>CL_55_</v>
          </cell>
          <cell r="D566" t="str">
            <v>Rancho La Cuchilla No. 55</v>
          </cell>
          <cell r="E566" t="str">
            <v>López Velázquez</v>
          </cell>
          <cell r="F566">
            <v>300</v>
          </cell>
          <cell r="G566">
            <v>1</v>
          </cell>
          <cell r="H566">
            <v>300</v>
          </cell>
          <cell r="I566">
            <v>41308</v>
          </cell>
          <cell r="J566">
            <v>0</v>
          </cell>
          <cell r="W566">
            <v>0</v>
          </cell>
          <cell r="X566">
            <v>300</v>
          </cell>
          <cell r="AJ566">
            <v>300</v>
          </cell>
          <cell r="AW566">
            <v>0</v>
          </cell>
        </row>
        <row r="567">
          <cell r="B567">
            <v>4215</v>
          </cell>
          <cell r="C567" t="str">
            <v>UP_110_</v>
          </cell>
          <cell r="D567" t="str">
            <v>Rancho Upácuaro No. 110</v>
          </cell>
          <cell r="E567" t="str">
            <v>Ruiz Mijangos</v>
          </cell>
          <cell r="F567">
            <v>300</v>
          </cell>
          <cell r="G567">
            <v>1</v>
          </cell>
          <cell r="H567">
            <v>300</v>
          </cell>
          <cell r="I567">
            <v>41308</v>
          </cell>
          <cell r="J567">
            <v>0</v>
          </cell>
          <cell r="W567">
            <v>0</v>
          </cell>
          <cell r="Y567">
            <v>300</v>
          </cell>
          <cell r="AJ567">
            <v>300</v>
          </cell>
          <cell r="AW567">
            <v>0</v>
          </cell>
        </row>
        <row r="568">
          <cell r="B568">
            <v>4216</v>
          </cell>
          <cell r="C568" t="str">
            <v>UP_33_</v>
          </cell>
          <cell r="D568" t="str">
            <v>Rancho Upácuaro No. 33</v>
          </cell>
          <cell r="E568" t="str">
            <v>Ulloa Miranda</v>
          </cell>
          <cell r="F568">
            <v>300</v>
          </cell>
          <cell r="G568">
            <v>1</v>
          </cell>
          <cell r="H568">
            <v>300</v>
          </cell>
          <cell r="I568">
            <v>41308</v>
          </cell>
          <cell r="J568">
            <v>0</v>
          </cell>
          <cell r="W568">
            <v>0</v>
          </cell>
          <cell r="Y568">
            <v>300</v>
          </cell>
          <cell r="AJ568">
            <v>300</v>
          </cell>
          <cell r="AW568">
            <v>0</v>
          </cell>
        </row>
        <row r="569">
          <cell r="B569">
            <v>4217</v>
          </cell>
          <cell r="C569" t="str">
            <v>CL_40_</v>
          </cell>
          <cell r="D569" t="str">
            <v>Rancho La Cuchilla No. 40</v>
          </cell>
          <cell r="E569" t="str">
            <v>López Pico</v>
          </cell>
          <cell r="F569">
            <v>300</v>
          </cell>
          <cell r="G569">
            <v>1</v>
          </cell>
          <cell r="H569">
            <v>300</v>
          </cell>
          <cell r="I569">
            <v>41308</v>
          </cell>
          <cell r="J569">
            <v>0</v>
          </cell>
          <cell r="W569">
            <v>0</v>
          </cell>
          <cell r="Y569">
            <v>300</v>
          </cell>
          <cell r="AJ569">
            <v>300</v>
          </cell>
          <cell r="AW569">
            <v>0</v>
          </cell>
        </row>
        <row r="570">
          <cell r="B570">
            <v>4218</v>
          </cell>
          <cell r="C570" t="str">
            <v>EZ_139_</v>
          </cell>
          <cell r="D570" t="str">
            <v>Rancho Estanzuela No. 139</v>
          </cell>
          <cell r="E570" t="str">
            <v>Ortiz</v>
          </cell>
          <cell r="F570">
            <v>300</v>
          </cell>
          <cell r="G570">
            <v>5</v>
          </cell>
          <cell r="H570">
            <v>20</v>
          </cell>
          <cell r="I570">
            <v>41308</v>
          </cell>
          <cell r="J570" t="str">
            <v>NO SUMA</v>
          </cell>
          <cell r="W570">
            <v>0</v>
          </cell>
          <cell r="AJ570">
            <v>0</v>
          </cell>
          <cell r="AW570">
            <v>0</v>
          </cell>
        </row>
        <row r="571">
          <cell r="B571">
            <v>4219</v>
          </cell>
          <cell r="C571" t="str">
            <v>EZ_79_</v>
          </cell>
          <cell r="D571" t="str">
            <v>Rancho Estanzuela No. 79</v>
          </cell>
          <cell r="E571" t="str">
            <v>Mendoza</v>
          </cell>
          <cell r="F571">
            <v>300</v>
          </cell>
          <cell r="G571">
            <v>4</v>
          </cell>
          <cell r="H571">
            <v>160</v>
          </cell>
          <cell r="I571">
            <v>41308</v>
          </cell>
          <cell r="J571" t="str">
            <v>NO SUMA</v>
          </cell>
          <cell r="W571">
            <v>0</v>
          </cell>
          <cell r="AJ571">
            <v>0</v>
          </cell>
          <cell r="AW571">
            <v>0</v>
          </cell>
        </row>
        <row r="572">
          <cell r="B572">
            <v>4220</v>
          </cell>
          <cell r="C572" t="str">
            <v>LD_100_</v>
          </cell>
          <cell r="D572" t="str">
            <v>Rancho Landero No. 100</v>
          </cell>
          <cell r="E572" t="str">
            <v>Meingüer Gómez</v>
          </cell>
          <cell r="F572">
            <v>300</v>
          </cell>
          <cell r="G572">
            <v>1</v>
          </cell>
          <cell r="H572">
            <v>900</v>
          </cell>
          <cell r="I572">
            <v>41308</v>
          </cell>
          <cell r="J572">
            <v>0</v>
          </cell>
          <cell r="V572">
            <v>300</v>
          </cell>
          <cell r="W572">
            <v>300</v>
          </cell>
          <cell r="X572">
            <v>300</v>
          </cell>
          <cell r="Y572">
            <v>300</v>
          </cell>
          <cell r="AJ572">
            <v>600</v>
          </cell>
          <cell r="AW572">
            <v>0</v>
          </cell>
        </row>
        <row r="573">
          <cell r="B573">
            <v>4221</v>
          </cell>
          <cell r="C573" t="str">
            <v>EZ_61_</v>
          </cell>
          <cell r="D573" t="str">
            <v>Rancho Estanzuela No. 61</v>
          </cell>
          <cell r="E573" t="str">
            <v>González Almazán</v>
          </cell>
          <cell r="F573">
            <v>300</v>
          </cell>
          <cell r="G573">
            <v>1</v>
          </cell>
          <cell r="H573">
            <v>300</v>
          </cell>
          <cell r="I573">
            <v>41308</v>
          </cell>
          <cell r="J573">
            <v>0</v>
          </cell>
          <cell r="W573">
            <v>0</v>
          </cell>
          <cell r="Y573">
            <v>300</v>
          </cell>
          <cell r="AJ573">
            <v>300</v>
          </cell>
          <cell r="AW573">
            <v>0</v>
          </cell>
        </row>
        <row r="574">
          <cell r="B574">
            <v>4222</v>
          </cell>
          <cell r="C574" t="str">
            <v>RM_9_B</v>
          </cell>
          <cell r="D574" t="str">
            <v>Rancho Romeral No. 9, B</v>
          </cell>
          <cell r="E574" t="str">
            <v>Morales Macías</v>
          </cell>
          <cell r="F574">
            <v>100</v>
          </cell>
          <cell r="G574">
            <v>1</v>
          </cell>
          <cell r="H574">
            <v>100</v>
          </cell>
          <cell r="I574">
            <v>41308</v>
          </cell>
          <cell r="J574">
            <v>0</v>
          </cell>
          <cell r="W574">
            <v>0</v>
          </cell>
          <cell r="Y574">
            <v>100</v>
          </cell>
          <cell r="AJ574">
            <v>100</v>
          </cell>
          <cell r="AW574">
            <v>0</v>
          </cell>
        </row>
        <row r="575">
          <cell r="B575">
            <v>4223</v>
          </cell>
          <cell r="C575" t="str">
            <v>ZB_36_</v>
          </cell>
          <cell r="D575" t="str">
            <v>Rancho Zinamba No. 36</v>
          </cell>
          <cell r="E575" t="str">
            <v>Rodríguez Ortiz</v>
          </cell>
          <cell r="F575">
            <v>300</v>
          </cell>
          <cell r="G575">
            <v>1</v>
          </cell>
          <cell r="H575">
            <v>300</v>
          </cell>
          <cell r="I575">
            <v>41308</v>
          </cell>
          <cell r="J575">
            <v>0</v>
          </cell>
          <cell r="W575">
            <v>0</v>
          </cell>
          <cell r="Y575">
            <v>300</v>
          </cell>
          <cell r="AJ575">
            <v>300</v>
          </cell>
          <cell r="AW575">
            <v>0</v>
          </cell>
        </row>
        <row r="576">
          <cell r="B576">
            <v>4224</v>
          </cell>
          <cell r="C576" t="str">
            <v>CL_87_</v>
          </cell>
          <cell r="D576" t="str">
            <v>Rancho La Cuchilla No. 87</v>
          </cell>
          <cell r="E576" t="str">
            <v>Villanueva S.</v>
          </cell>
          <cell r="F576">
            <v>300</v>
          </cell>
          <cell r="G576">
            <v>1</v>
          </cell>
          <cell r="H576">
            <v>300</v>
          </cell>
          <cell r="I576">
            <v>41308</v>
          </cell>
          <cell r="J576">
            <v>0</v>
          </cell>
          <cell r="W576">
            <v>0</v>
          </cell>
          <cell r="Y576">
            <v>300</v>
          </cell>
          <cell r="AJ576">
            <v>300</v>
          </cell>
          <cell r="AW576">
            <v>0</v>
          </cell>
        </row>
        <row r="577">
          <cell r="B577">
            <v>4225</v>
          </cell>
          <cell r="C577" t="str">
            <v>CL_59_</v>
          </cell>
          <cell r="D577" t="str">
            <v>Rancho La Cuchilla No. 59</v>
          </cell>
          <cell r="E577" t="str">
            <v>Ortega Vega</v>
          </cell>
          <cell r="F577">
            <v>300</v>
          </cell>
          <cell r="G577">
            <v>1</v>
          </cell>
          <cell r="H577">
            <v>300</v>
          </cell>
          <cell r="I577">
            <v>41308</v>
          </cell>
          <cell r="J577">
            <v>0</v>
          </cell>
          <cell r="W577">
            <v>0</v>
          </cell>
          <cell r="Y577">
            <v>300</v>
          </cell>
          <cell r="AJ577">
            <v>300</v>
          </cell>
          <cell r="AW577">
            <v>0</v>
          </cell>
        </row>
        <row r="578">
          <cell r="B578">
            <v>4226</v>
          </cell>
          <cell r="C578" t="str">
            <v>EZ_79_</v>
          </cell>
          <cell r="D578" t="str">
            <v>Rancho Estanzuela No. 79</v>
          </cell>
          <cell r="E578" t="str">
            <v>Mendoza</v>
          </cell>
          <cell r="F578">
            <v>300</v>
          </cell>
          <cell r="G578">
            <v>1</v>
          </cell>
          <cell r="H578">
            <v>600</v>
          </cell>
          <cell r="I578">
            <v>41308</v>
          </cell>
          <cell r="J578">
            <v>0</v>
          </cell>
          <cell r="V578">
            <v>300</v>
          </cell>
          <cell r="W578">
            <v>300</v>
          </cell>
          <cell r="X578">
            <v>300</v>
          </cell>
          <cell r="AJ578">
            <v>300</v>
          </cell>
          <cell r="AW578">
            <v>0</v>
          </cell>
        </row>
        <row r="579">
          <cell r="B579">
            <v>4227</v>
          </cell>
          <cell r="C579" t="str">
            <v>LD_31_</v>
          </cell>
          <cell r="D579" t="str">
            <v>Rancho Landero No. 31</v>
          </cell>
          <cell r="E579" t="str">
            <v>Díaz Hernández</v>
          </cell>
          <cell r="F579">
            <v>200</v>
          </cell>
          <cell r="G579">
            <v>1</v>
          </cell>
          <cell r="H579">
            <v>200</v>
          </cell>
          <cell r="I579">
            <v>41308</v>
          </cell>
          <cell r="J579">
            <v>0</v>
          </cell>
          <cell r="W579">
            <v>0</v>
          </cell>
          <cell r="Y579">
            <v>200</v>
          </cell>
          <cell r="AJ579">
            <v>200</v>
          </cell>
          <cell r="AW579">
            <v>0</v>
          </cell>
        </row>
        <row r="580">
          <cell r="B580">
            <v>4228</v>
          </cell>
          <cell r="C580" t="str">
            <v>UP_19_</v>
          </cell>
          <cell r="D580" t="str">
            <v>Rancho Upácuaro No. 19</v>
          </cell>
          <cell r="E580" t="str">
            <v>Peña Inclán</v>
          </cell>
          <cell r="F580">
            <v>200</v>
          </cell>
          <cell r="G580">
            <v>1</v>
          </cell>
          <cell r="H580">
            <v>200</v>
          </cell>
          <cell r="I580">
            <v>41308</v>
          </cell>
          <cell r="J580">
            <v>0</v>
          </cell>
          <cell r="W580">
            <v>0</v>
          </cell>
          <cell r="Y580">
            <v>200</v>
          </cell>
          <cell r="AJ580">
            <v>200</v>
          </cell>
          <cell r="AW580">
            <v>0</v>
          </cell>
        </row>
        <row r="581">
          <cell r="B581">
            <v>4229</v>
          </cell>
          <cell r="C581" t="str">
            <v>RM_30_</v>
          </cell>
          <cell r="D581" t="str">
            <v>Rancho Romeral No. 30</v>
          </cell>
          <cell r="E581" t="str">
            <v>Osorio</v>
          </cell>
          <cell r="F581">
            <v>200</v>
          </cell>
          <cell r="G581">
            <v>1</v>
          </cell>
          <cell r="H581">
            <v>200</v>
          </cell>
          <cell r="I581">
            <v>41308</v>
          </cell>
          <cell r="J581">
            <v>0</v>
          </cell>
          <cell r="W581">
            <v>0</v>
          </cell>
          <cell r="X581">
            <v>200</v>
          </cell>
          <cell r="AJ581">
            <v>200</v>
          </cell>
          <cell r="AW581">
            <v>0</v>
          </cell>
        </row>
        <row r="582">
          <cell r="B582">
            <v>4230</v>
          </cell>
          <cell r="C582" t="str">
            <v>RV_195_</v>
          </cell>
          <cell r="D582" t="str">
            <v>Rancho Recoveco No. 195</v>
          </cell>
          <cell r="E582" t="str">
            <v>Sandoval</v>
          </cell>
          <cell r="F582">
            <v>300</v>
          </cell>
          <cell r="G582">
            <v>3</v>
          </cell>
          <cell r="H582">
            <v>150</v>
          </cell>
          <cell r="I582">
            <v>41308</v>
          </cell>
          <cell r="J582" t="str">
            <v>NO SUMA</v>
          </cell>
          <cell r="W582">
            <v>0</v>
          </cell>
          <cell r="AJ582">
            <v>0</v>
          </cell>
          <cell r="AW582">
            <v>0</v>
          </cell>
        </row>
        <row r="583">
          <cell r="B583">
            <v>4231</v>
          </cell>
          <cell r="C583" t="str">
            <v>RV_195_</v>
          </cell>
          <cell r="D583" t="str">
            <v>Rancho Recoveco No. 195</v>
          </cell>
          <cell r="E583" t="str">
            <v>Sandoval</v>
          </cell>
          <cell r="F583">
            <v>300</v>
          </cell>
          <cell r="G583">
            <v>1</v>
          </cell>
          <cell r="H583">
            <v>300</v>
          </cell>
          <cell r="I583">
            <v>41308</v>
          </cell>
          <cell r="J583">
            <v>0</v>
          </cell>
          <cell r="W583">
            <v>0</v>
          </cell>
          <cell r="Y583">
            <v>300</v>
          </cell>
          <cell r="AJ583">
            <v>300</v>
          </cell>
          <cell r="AW583">
            <v>0</v>
          </cell>
        </row>
        <row r="584">
          <cell r="B584">
            <v>4232</v>
          </cell>
          <cell r="C584" t="str">
            <v>EP_18_</v>
          </cell>
          <cell r="D584" t="str">
            <v>Rancho Estopila No. 18</v>
          </cell>
          <cell r="E584" t="str">
            <v>Aguilar Zarmeño</v>
          </cell>
          <cell r="F584">
            <v>300</v>
          </cell>
          <cell r="G584">
            <v>1</v>
          </cell>
          <cell r="H584">
            <v>300</v>
          </cell>
          <cell r="I584">
            <v>41308</v>
          </cell>
          <cell r="J584">
            <v>0</v>
          </cell>
          <cell r="W584">
            <v>0</v>
          </cell>
          <cell r="Y584">
            <v>300</v>
          </cell>
          <cell r="AJ584">
            <v>300</v>
          </cell>
          <cell r="AW584">
            <v>0</v>
          </cell>
        </row>
        <row r="585">
          <cell r="B585">
            <v>4233</v>
          </cell>
          <cell r="C585" t="str">
            <v>UP_32_</v>
          </cell>
          <cell r="D585" t="str">
            <v>Rancho Upácuaro No. 32</v>
          </cell>
          <cell r="E585" t="str">
            <v>Sairafi Carmen</v>
          </cell>
          <cell r="F585">
            <v>300</v>
          </cell>
          <cell r="G585">
            <v>1</v>
          </cell>
          <cell r="H585">
            <v>300</v>
          </cell>
          <cell r="I585">
            <v>41308</v>
          </cell>
          <cell r="J585">
            <v>0</v>
          </cell>
          <cell r="W585">
            <v>0</v>
          </cell>
          <cell r="Y585">
            <v>300</v>
          </cell>
          <cell r="AJ585">
            <v>300</v>
          </cell>
          <cell r="AW585">
            <v>0</v>
          </cell>
        </row>
        <row r="586">
          <cell r="B586">
            <v>4234</v>
          </cell>
          <cell r="C586" t="str">
            <v>CL_89_</v>
          </cell>
          <cell r="D586" t="str">
            <v>Rancho La Cuchilla No. 89</v>
          </cell>
          <cell r="E586" t="str">
            <v>Gálvez</v>
          </cell>
          <cell r="F586">
            <v>300</v>
          </cell>
          <cell r="G586">
            <v>1</v>
          </cell>
          <cell r="H586">
            <v>300</v>
          </cell>
          <cell r="I586">
            <v>41308</v>
          </cell>
          <cell r="J586">
            <v>0</v>
          </cell>
          <cell r="W586">
            <v>0</v>
          </cell>
          <cell r="Y586">
            <v>300</v>
          </cell>
          <cell r="AJ586">
            <v>300</v>
          </cell>
          <cell r="AW586">
            <v>0</v>
          </cell>
        </row>
        <row r="587">
          <cell r="B587">
            <v>4235</v>
          </cell>
          <cell r="C587" t="str">
            <v>UP_69_</v>
          </cell>
          <cell r="D587" t="str">
            <v>Rancho Upácuaro No. 69</v>
          </cell>
          <cell r="E587" t="str">
            <v>Gómez</v>
          </cell>
          <cell r="F587">
            <v>300</v>
          </cell>
          <cell r="G587">
            <v>1</v>
          </cell>
          <cell r="H587">
            <v>600</v>
          </cell>
          <cell r="I587">
            <v>41308</v>
          </cell>
          <cell r="J587">
            <v>0</v>
          </cell>
          <cell r="W587">
            <v>0</v>
          </cell>
          <cell r="X587">
            <v>300</v>
          </cell>
          <cell r="Y587">
            <v>300</v>
          </cell>
          <cell r="AJ587">
            <v>600</v>
          </cell>
          <cell r="AW587">
            <v>0</v>
          </cell>
        </row>
        <row r="588">
          <cell r="B588">
            <v>4236</v>
          </cell>
          <cell r="C588" t="str">
            <v>ZB_56_</v>
          </cell>
          <cell r="D588" t="str">
            <v>Rancho Zinamba No. 56</v>
          </cell>
          <cell r="E588" t="str">
            <v>Aguado</v>
          </cell>
          <cell r="F588">
            <v>250</v>
          </cell>
          <cell r="G588">
            <v>1</v>
          </cell>
          <cell r="H588">
            <v>250</v>
          </cell>
          <cell r="I588">
            <v>41308</v>
          </cell>
          <cell r="J588">
            <v>0</v>
          </cell>
          <cell r="W588">
            <v>0</v>
          </cell>
          <cell r="Y588">
            <v>250</v>
          </cell>
          <cell r="AJ588">
            <v>250</v>
          </cell>
          <cell r="AW588">
            <v>0</v>
          </cell>
        </row>
        <row r="589">
          <cell r="B589">
            <v>4237</v>
          </cell>
          <cell r="C589" t="str">
            <v>UP_34_</v>
          </cell>
          <cell r="D589" t="str">
            <v>Rancho Upácuaro No. 34</v>
          </cell>
          <cell r="E589" t="str">
            <v>Gómez</v>
          </cell>
          <cell r="F589">
            <v>300</v>
          </cell>
          <cell r="G589">
            <v>1</v>
          </cell>
          <cell r="H589">
            <v>600</v>
          </cell>
          <cell r="I589">
            <v>41308</v>
          </cell>
          <cell r="J589">
            <v>0</v>
          </cell>
          <cell r="W589">
            <v>0</v>
          </cell>
          <cell r="Y589">
            <v>300</v>
          </cell>
          <cell r="Z589">
            <v>300</v>
          </cell>
          <cell r="AJ589">
            <v>600</v>
          </cell>
          <cell r="AW589">
            <v>0</v>
          </cell>
        </row>
        <row r="590">
          <cell r="B590">
            <v>4238</v>
          </cell>
          <cell r="C590" t="str">
            <v>CL_75_</v>
          </cell>
          <cell r="D590" t="str">
            <v>Rancho La Cuchilla No. 75</v>
          </cell>
          <cell r="E590" t="str">
            <v>Sosa Lucio</v>
          </cell>
          <cell r="F590">
            <v>300</v>
          </cell>
          <cell r="G590">
            <v>1</v>
          </cell>
          <cell r="H590">
            <v>300</v>
          </cell>
          <cell r="I590">
            <v>41308</v>
          </cell>
          <cell r="J590">
            <v>0</v>
          </cell>
          <cell r="W590">
            <v>0</v>
          </cell>
          <cell r="Y590">
            <v>300</v>
          </cell>
          <cell r="AJ590">
            <v>300</v>
          </cell>
          <cell r="AW590">
            <v>0</v>
          </cell>
        </row>
        <row r="591">
          <cell r="B591">
            <v>4239</v>
          </cell>
          <cell r="C591" t="str">
            <v>CL_46_</v>
          </cell>
          <cell r="D591" t="str">
            <v>Rancho La Cuchilla No. 46</v>
          </cell>
          <cell r="E591" t="str">
            <v>Cruz López</v>
          </cell>
          <cell r="F591">
            <v>300</v>
          </cell>
          <cell r="G591">
            <v>1</v>
          </cell>
          <cell r="H591">
            <v>300</v>
          </cell>
          <cell r="I591">
            <v>41308</v>
          </cell>
          <cell r="J591">
            <v>0</v>
          </cell>
          <cell r="W591">
            <v>0</v>
          </cell>
          <cell r="Y591">
            <v>300</v>
          </cell>
          <cell r="AJ591">
            <v>300</v>
          </cell>
          <cell r="AW591">
            <v>0</v>
          </cell>
        </row>
        <row r="592">
          <cell r="B592">
            <v>4240</v>
          </cell>
          <cell r="C592" t="str">
            <v>UP_80_</v>
          </cell>
          <cell r="D592" t="str">
            <v>Rancho Upácuaro No. 80</v>
          </cell>
          <cell r="E592" t="str">
            <v>De los Ríos</v>
          </cell>
          <cell r="F592">
            <v>300</v>
          </cell>
          <cell r="G592">
            <v>1</v>
          </cell>
          <cell r="H592">
            <v>300</v>
          </cell>
          <cell r="I592">
            <v>41308</v>
          </cell>
          <cell r="J592">
            <v>0</v>
          </cell>
          <cell r="W592">
            <v>0</v>
          </cell>
          <cell r="Y592">
            <v>300</v>
          </cell>
          <cell r="AJ592">
            <v>300</v>
          </cell>
          <cell r="AW592">
            <v>0</v>
          </cell>
        </row>
        <row r="593">
          <cell r="B593">
            <v>4241</v>
          </cell>
          <cell r="C593" t="str">
            <v>CL_110_</v>
          </cell>
          <cell r="D593" t="str">
            <v>Rancho La Cuchilla No. 110</v>
          </cell>
          <cell r="E593" t="str">
            <v>Domínguez C.</v>
          </cell>
          <cell r="F593">
            <v>300</v>
          </cell>
          <cell r="G593">
            <v>1</v>
          </cell>
          <cell r="H593">
            <v>300</v>
          </cell>
          <cell r="I593">
            <v>41308</v>
          </cell>
          <cell r="J593">
            <v>0</v>
          </cell>
          <cell r="W593">
            <v>0</v>
          </cell>
          <cell r="Y593">
            <v>300</v>
          </cell>
          <cell r="AJ593">
            <v>300</v>
          </cell>
          <cell r="AW593">
            <v>0</v>
          </cell>
        </row>
        <row r="594">
          <cell r="B594">
            <v>4242</v>
          </cell>
          <cell r="C594" t="str">
            <v>CL_93_</v>
          </cell>
          <cell r="D594" t="str">
            <v>Rancho La Cuchilla No. 93</v>
          </cell>
          <cell r="E594" t="str">
            <v>Alcántara Silva</v>
          </cell>
          <cell r="F594">
            <v>300</v>
          </cell>
          <cell r="G594">
            <v>1</v>
          </cell>
          <cell r="H594">
            <v>300</v>
          </cell>
          <cell r="I594">
            <v>41308</v>
          </cell>
          <cell r="J594">
            <v>0</v>
          </cell>
          <cell r="W594">
            <v>0</v>
          </cell>
          <cell r="Y594">
            <v>300</v>
          </cell>
          <cell r="AJ594">
            <v>300</v>
          </cell>
          <cell r="AW594">
            <v>0</v>
          </cell>
        </row>
        <row r="595">
          <cell r="B595">
            <v>4243</v>
          </cell>
          <cell r="C595" t="str">
            <v>EZ_25_</v>
          </cell>
          <cell r="D595" t="str">
            <v>Rancho Estanzuela No. 25</v>
          </cell>
          <cell r="E595" t="str">
            <v>Contreras Figueroa</v>
          </cell>
          <cell r="F595">
            <v>300</v>
          </cell>
          <cell r="G595">
            <v>1</v>
          </cell>
          <cell r="H595">
            <v>300</v>
          </cell>
          <cell r="I595">
            <v>41308</v>
          </cell>
          <cell r="J595">
            <v>0</v>
          </cell>
          <cell r="W595">
            <v>0</v>
          </cell>
          <cell r="Y595">
            <v>300</v>
          </cell>
          <cell r="AJ595">
            <v>300</v>
          </cell>
          <cell r="AW595">
            <v>0</v>
          </cell>
        </row>
        <row r="596">
          <cell r="B596">
            <v>4244</v>
          </cell>
          <cell r="C596" t="str">
            <v>UP_87_</v>
          </cell>
          <cell r="D596" t="str">
            <v>Rancho Upácuaro No. 87</v>
          </cell>
          <cell r="E596" t="str">
            <v>Rodríguez Pares</v>
          </cell>
          <cell r="F596">
            <v>300</v>
          </cell>
          <cell r="G596">
            <v>1</v>
          </cell>
          <cell r="H596">
            <v>300</v>
          </cell>
          <cell r="I596">
            <v>41308</v>
          </cell>
          <cell r="J596">
            <v>0</v>
          </cell>
          <cell r="W596">
            <v>0</v>
          </cell>
          <cell r="Y596">
            <v>300</v>
          </cell>
          <cell r="AJ596">
            <v>300</v>
          </cell>
          <cell r="AW596">
            <v>0</v>
          </cell>
        </row>
        <row r="597">
          <cell r="B597">
            <v>4245</v>
          </cell>
          <cell r="C597" t="str">
            <v>CL_121_</v>
          </cell>
          <cell r="D597" t="str">
            <v>Rancho La Cuchilla No. 121</v>
          </cell>
          <cell r="E597" t="str">
            <v>Ramírez Márquez</v>
          </cell>
          <cell r="F597">
            <v>300</v>
          </cell>
          <cell r="G597">
            <v>1</v>
          </cell>
          <cell r="H597">
            <v>1800</v>
          </cell>
          <cell r="I597">
            <v>41309</v>
          </cell>
          <cell r="J597">
            <v>0</v>
          </cell>
          <cell r="W597">
            <v>0</v>
          </cell>
          <cell r="X597">
            <v>300</v>
          </cell>
          <cell r="Y597">
            <v>300</v>
          </cell>
          <cell r="Z597">
            <v>300</v>
          </cell>
          <cell r="AA597">
            <v>300</v>
          </cell>
          <cell r="AB597">
            <v>300</v>
          </cell>
          <cell r="AC597">
            <v>300</v>
          </cell>
          <cell r="AJ597">
            <v>1800</v>
          </cell>
          <cell r="AW597">
            <v>0</v>
          </cell>
        </row>
        <row r="598">
          <cell r="B598">
            <v>4246</v>
          </cell>
          <cell r="C598" t="str">
            <v>ZB_10_</v>
          </cell>
          <cell r="D598" t="str">
            <v>Rancho Zinamba No. 10</v>
          </cell>
          <cell r="E598" t="str">
            <v>Roy Sánchez</v>
          </cell>
          <cell r="F598">
            <v>300</v>
          </cell>
          <cell r="G598">
            <v>1</v>
          </cell>
          <cell r="H598">
            <v>1200</v>
          </cell>
          <cell r="I598">
            <v>41310</v>
          </cell>
          <cell r="J598">
            <v>0</v>
          </cell>
          <cell r="W598">
            <v>0</v>
          </cell>
          <cell r="Y598">
            <v>300</v>
          </cell>
          <cell r="Z598">
            <v>300</v>
          </cell>
          <cell r="AA598">
            <v>300</v>
          </cell>
          <cell r="AB598">
            <v>300</v>
          </cell>
          <cell r="AJ598">
            <v>1200</v>
          </cell>
          <cell r="AW598">
            <v>0</v>
          </cell>
        </row>
        <row r="599">
          <cell r="B599">
            <v>4247</v>
          </cell>
          <cell r="C599" t="str">
            <v>LD_45_</v>
          </cell>
          <cell r="D599" t="str">
            <v>Rancho Landero No. 45</v>
          </cell>
          <cell r="E599" t="str">
            <v>Almazán</v>
          </cell>
          <cell r="F599">
            <v>250</v>
          </cell>
          <cell r="G599">
            <v>1</v>
          </cell>
          <cell r="H599">
            <v>500</v>
          </cell>
          <cell r="I599">
            <v>41311</v>
          </cell>
          <cell r="J599">
            <v>0</v>
          </cell>
          <cell r="W599">
            <v>0</v>
          </cell>
          <cell r="X599">
            <v>250</v>
          </cell>
          <cell r="Y599">
            <v>250</v>
          </cell>
          <cell r="AJ599">
            <v>500</v>
          </cell>
          <cell r="AW599">
            <v>0</v>
          </cell>
        </row>
        <row r="600">
          <cell r="B600">
            <v>4247</v>
          </cell>
          <cell r="C600" t="str">
            <v>LD_45_</v>
          </cell>
          <cell r="D600" t="str">
            <v>Rancho Landero No. 45</v>
          </cell>
          <cell r="E600" t="str">
            <v>Almazán</v>
          </cell>
          <cell r="F600">
            <v>250</v>
          </cell>
          <cell r="G600">
            <v>3</v>
          </cell>
          <cell r="H600">
            <v>150</v>
          </cell>
          <cell r="I600">
            <v>41311</v>
          </cell>
          <cell r="J600" t="str">
            <v>NO SUMA</v>
          </cell>
          <cell r="W600">
            <v>0</v>
          </cell>
          <cell r="AJ600">
            <v>0</v>
          </cell>
          <cell r="AW600">
            <v>0</v>
          </cell>
        </row>
        <row r="601">
          <cell r="B601">
            <v>4248</v>
          </cell>
          <cell r="C601" t="str">
            <v>HS_828_</v>
          </cell>
          <cell r="D601" t="str">
            <v>Calzada del Hueso No. 828</v>
          </cell>
          <cell r="E601" t="str">
            <v>Cervantes, Miguel</v>
          </cell>
          <cell r="F601">
            <v>300</v>
          </cell>
          <cell r="G601">
            <v>1</v>
          </cell>
          <cell r="H601">
            <v>300</v>
          </cell>
          <cell r="I601">
            <v>41311</v>
          </cell>
          <cell r="J601">
            <v>0</v>
          </cell>
          <cell r="W601">
            <v>0</v>
          </cell>
          <cell r="Y601">
            <v>300</v>
          </cell>
          <cell r="AJ601">
            <v>300</v>
          </cell>
          <cell r="AW601">
            <v>0</v>
          </cell>
        </row>
        <row r="602">
          <cell r="B602">
            <v>4249</v>
          </cell>
          <cell r="C602" t="str">
            <v>CL_130_</v>
          </cell>
          <cell r="D602" t="str">
            <v>Rancho La Cuchilla No. 130</v>
          </cell>
          <cell r="E602" t="str">
            <v>De la Huerta</v>
          </cell>
          <cell r="F602">
            <v>300</v>
          </cell>
          <cell r="G602">
            <v>1</v>
          </cell>
          <cell r="H602">
            <v>300</v>
          </cell>
          <cell r="I602">
            <v>41311</v>
          </cell>
          <cell r="J602">
            <v>0</v>
          </cell>
          <cell r="W602">
            <v>0</v>
          </cell>
          <cell r="Y602">
            <v>300</v>
          </cell>
          <cell r="AJ602">
            <v>300</v>
          </cell>
          <cell r="AW602">
            <v>0</v>
          </cell>
        </row>
        <row r="603">
          <cell r="B603">
            <v>4250</v>
          </cell>
          <cell r="C603" t="str">
            <v>EZ_37_</v>
          </cell>
          <cell r="D603" t="str">
            <v>Rancho Estanzuela No. 37</v>
          </cell>
          <cell r="E603" t="str">
            <v>Cabello Eduardo</v>
          </cell>
          <cell r="F603">
            <v>300</v>
          </cell>
          <cell r="G603">
            <v>1</v>
          </cell>
          <cell r="H603">
            <v>1200</v>
          </cell>
          <cell r="I603">
            <v>41311</v>
          </cell>
          <cell r="J603">
            <v>0</v>
          </cell>
          <cell r="U603">
            <v>300</v>
          </cell>
          <cell r="V603">
            <v>300</v>
          </cell>
          <cell r="W603">
            <v>600</v>
          </cell>
          <cell r="X603">
            <v>300</v>
          </cell>
          <cell r="Y603">
            <v>300</v>
          </cell>
          <cell r="AJ603">
            <v>600</v>
          </cell>
          <cell r="AW603">
            <v>0</v>
          </cell>
        </row>
        <row r="604">
          <cell r="B604">
            <v>4251</v>
          </cell>
          <cell r="C604" t="str">
            <v>CL_115_</v>
          </cell>
          <cell r="D604" t="str">
            <v>Rancho La Cuchilla No. 115</v>
          </cell>
          <cell r="E604" t="str">
            <v>Alfaro</v>
          </cell>
          <cell r="F604">
            <v>300</v>
          </cell>
          <cell r="G604">
            <v>1</v>
          </cell>
          <cell r="H604">
            <v>900</v>
          </cell>
          <cell r="I604">
            <v>41313</v>
          </cell>
          <cell r="J604">
            <v>0</v>
          </cell>
          <cell r="W604">
            <v>0</v>
          </cell>
          <cell r="X604">
            <v>300</v>
          </cell>
          <cell r="Y604">
            <v>300</v>
          </cell>
          <cell r="Z604">
            <v>300</v>
          </cell>
          <cell r="AJ604">
            <v>900</v>
          </cell>
          <cell r="AW604">
            <v>0</v>
          </cell>
        </row>
        <row r="605">
          <cell r="B605">
            <v>4252</v>
          </cell>
          <cell r="C605" t="str">
            <v>CL_112_PB</v>
          </cell>
          <cell r="D605" t="str">
            <v>Rancho La Cuchilla No. 112, PB</v>
          </cell>
          <cell r="E605" t="str">
            <v>Soreque</v>
          </cell>
          <cell r="F605">
            <v>150</v>
          </cell>
          <cell r="G605">
            <v>1</v>
          </cell>
          <cell r="H605">
            <v>150</v>
          </cell>
          <cell r="I605">
            <v>41313</v>
          </cell>
          <cell r="J605">
            <v>0</v>
          </cell>
          <cell r="W605">
            <v>0</v>
          </cell>
          <cell r="Y605">
            <v>150</v>
          </cell>
          <cell r="AJ605">
            <v>150</v>
          </cell>
          <cell r="AW605">
            <v>0</v>
          </cell>
        </row>
        <row r="606">
          <cell r="B606">
            <v>6090</v>
          </cell>
          <cell r="C606" t="str">
            <v>UP_86_</v>
          </cell>
          <cell r="D606" t="str">
            <v>Rancho Upácuaro No. 86</v>
          </cell>
          <cell r="E606" t="str">
            <v>López Canseco</v>
          </cell>
          <cell r="F606">
            <v>300</v>
          </cell>
          <cell r="G606">
            <v>1</v>
          </cell>
          <cell r="H606">
            <v>600</v>
          </cell>
          <cell r="I606">
            <v>41313</v>
          </cell>
          <cell r="J606">
            <v>0</v>
          </cell>
          <cell r="W606">
            <v>0</v>
          </cell>
          <cell r="X606">
            <v>300</v>
          </cell>
          <cell r="Y606">
            <v>300</v>
          </cell>
          <cell r="AJ606">
            <v>600</v>
          </cell>
          <cell r="AW606">
            <v>0</v>
          </cell>
        </row>
        <row r="607">
          <cell r="B607">
            <v>6091</v>
          </cell>
          <cell r="C607" t="str">
            <v>CL_29_</v>
          </cell>
          <cell r="D607" t="str">
            <v>Rancho La Cuchilla No. 29</v>
          </cell>
          <cell r="E607" t="str">
            <v>Vega Sánchez C.</v>
          </cell>
          <cell r="F607">
            <v>300</v>
          </cell>
          <cell r="G607">
            <v>1</v>
          </cell>
          <cell r="H607">
            <v>300</v>
          </cell>
          <cell r="I607">
            <v>41313</v>
          </cell>
          <cell r="J607">
            <v>0</v>
          </cell>
          <cell r="W607">
            <v>0</v>
          </cell>
          <cell r="Y607">
            <v>300</v>
          </cell>
          <cell r="AJ607">
            <v>300</v>
          </cell>
          <cell r="AW607">
            <v>0</v>
          </cell>
        </row>
        <row r="608">
          <cell r="B608">
            <v>4253</v>
          </cell>
          <cell r="C608" t="str">
            <v>ZB_26_</v>
          </cell>
          <cell r="D608" t="str">
            <v>Rancho Zinamba No. 26</v>
          </cell>
          <cell r="E608" t="str">
            <v>Ayala</v>
          </cell>
          <cell r="F608">
            <v>300</v>
          </cell>
          <cell r="G608">
            <v>1</v>
          </cell>
          <cell r="H608">
            <v>600</v>
          </cell>
          <cell r="I608">
            <v>41315</v>
          </cell>
          <cell r="J608">
            <v>0</v>
          </cell>
          <cell r="W608">
            <v>0</v>
          </cell>
          <cell r="X608">
            <v>300</v>
          </cell>
          <cell r="Y608">
            <v>300</v>
          </cell>
          <cell r="AJ608">
            <v>600</v>
          </cell>
          <cell r="AW608">
            <v>0</v>
          </cell>
        </row>
        <row r="609">
          <cell r="B609">
            <v>4254</v>
          </cell>
          <cell r="C609" t="str">
            <v>LD_84_</v>
          </cell>
          <cell r="D609" t="str">
            <v>Rancho Landero No. 84</v>
          </cell>
          <cell r="E609" t="str">
            <v>Alcántara</v>
          </cell>
          <cell r="F609">
            <v>300</v>
          </cell>
          <cell r="G609">
            <v>1</v>
          </cell>
          <cell r="H609">
            <v>300</v>
          </cell>
          <cell r="I609">
            <v>41315</v>
          </cell>
          <cell r="J609">
            <v>0</v>
          </cell>
          <cell r="W609">
            <v>0</v>
          </cell>
          <cell r="Y609">
            <v>300</v>
          </cell>
          <cell r="AJ609">
            <v>300</v>
          </cell>
          <cell r="AW609">
            <v>0</v>
          </cell>
        </row>
        <row r="610">
          <cell r="B610">
            <v>4255</v>
          </cell>
          <cell r="C610" t="str">
            <v>LD_51_</v>
          </cell>
          <cell r="D610" t="str">
            <v>Rancho Landero No. 51</v>
          </cell>
          <cell r="E610" t="str">
            <v>H. Robles Tamayo</v>
          </cell>
          <cell r="F610">
            <v>300</v>
          </cell>
          <cell r="G610">
            <v>1</v>
          </cell>
          <cell r="H610">
            <v>300</v>
          </cell>
          <cell r="I610">
            <v>41315</v>
          </cell>
          <cell r="J610">
            <v>0</v>
          </cell>
          <cell r="W610">
            <v>0</v>
          </cell>
          <cell r="Y610">
            <v>300</v>
          </cell>
          <cell r="AJ610">
            <v>300</v>
          </cell>
          <cell r="AW610">
            <v>0</v>
          </cell>
        </row>
        <row r="611">
          <cell r="B611">
            <v>4256</v>
          </cell>
          <cell r="C611" t="str">
            <v>EZ_157_1</v>
          </cell>
          <cell r="D611" t="str">
            <v>Rancho Estanzuela No. 157, 1</v>
          </cell>
          <cell r="E611" t="str">
            <v>Anzures</v>
          </cell>
          <cell r="F611">
            <v>450</v>
          </cell>
          <cell r="G611">
            <v>1</v>
          </cell>
          <cell r="H611">
            <v>450</v>
          </cell>
          <cell r="I611">
            <v>41315</v>
          </cell>
          <cell r="J611">
            <v>0</v>
          </cell>
          <cell r="W611">
            <v>0</v>
          </cell>
          <cell r="X611">
            <v>450</v>
          </cell>
          <cell r="AJ611">
            <v>450</v>
          </cell>
          <cell r="AW611">
            <v>0</v>
          </cell>
        </row>
        <row r="612">
          <cell r="B612">
            <v>4257</v>
          </cell>
          <cell r="C612" t="str">
            <v>CL_72_</v>
          </cell>
          <cell r="D612" t="str">
            <v>Rancho La Cuchilla No. 72</v>
          </cell>
          <cell r="E612" t="str">
            <v>Ortiz González</v>
          </cell>
          <cell r="F612">
            <v>300</v>
          </cell>
          <cell r="G612">
            <v>1</v>
          </cell>
          <cell r="H612">
            <v>300</v>
          </cell>
          <cell r="I612">
            <v>41315</v>
          </cell>
          <cell r="J612">
            <v>0</v>
          </cell>
          <cell r="W612">
            <v>0</v>
          </cell>
          <cell r="Y612">
            <v>300</v>
          </cell>
          <cell r="AJ612">
            <v>300</v>
          </cell>
          <cell r="AW612">
            <v>0</v>
          </cell>
        </row>
        <row r="613">
          <cell r="B613">
            <v>4258</v>
          </cell>
          <cell r="C613" t="str">
            <v>RV_197_</v>
          </cell>
          <cell r="D613" t="str">
            <v>Rancho Recoveco No. 197</v>
          </cell>
          <cell r="E613" t="str">
            <v>Colín González</v>
          </cell>
          <cell r="F613">
            <v>300</v>
          </cell>
          <cell r="G613">
            <v>1</v>
          </cell>
          <cell r="H613">
            <v>600</v>
          </cell>
          <cell r="I613">
            <v>41315</v>
          </cell>
          <cell r="J613">
            <v>0</v>
          </cell>
          <cell r="W613">
            <v>0</v>
          </cell>
          <cell r="Y613">
            <v>300</v>
          </cell>
          <cell r="Z613">
            <v>300</v>
          </cell>
          <cell r="AJ613">
            <v>600</v>
          </cell>
          <cell r="AW613">
            <v>0</v>
          </cell>
        </row>
        <row r="614">
          <cell r="B614">
            <v>4259</v>
          </cell>
          <cell r="C614" t="str">
            <v>CL_120_</v>
          </cell>
          <cell r="D614" t="str">
            <v>Rancho La Cuchilla No. 120</v>
          </cell>
          <cell r="E614" t="str">
            <v>Pozos Vilchis</v>
          </cell>
          <cell r="F614">
            <v>300</v>
          </cell>
          <cell r="G614">
            <v>1</v>
          </cell>
          <cell r="H614">
            <v>300</v>
          </cell>
          <cell r="I614">
            <v>41315</v>
          </cell>
          <cell r="J614">
            <v>0</v>
          </cell>
          <cell r="W614">
            <v>0</v>
          </cell>
          <cell r="Y614">
            <v>300</v>
          </cell>
          <cell r="AJ614">
            <v>300</v>
          </cell>
          <cell r="AW614">
            <v>0</v>
          </cell>
        </row>
        <row r="615">
          <cell r="B615">
            <v>4260</v>
          </cell>
          <cell r="C615" t="str">
            <v>EZ_100_</v>
          </cell>
          <cell r="D615" t="str">
            <v>Rancho Estanzuela No. 100</v>
          </cell>
          <cell r="E615" t="str">
            <v>Arias Monter</v>
          </cell>
          <cell r="F615">
            <v>300</v>
          </cell>
          <cell r="G615">
            <v>5</v>
          </cell>
          <cell r="H615">
            <v>20</v>
          </cell>
          <cell r="I615">
            <v>41315</v>
          </cell>
          <cell r="J615" t="str">
            <v>NO SUMA</v>
          </cell>
          <cell r="W615">
            <v>0</v>
          </cell>
          <cell r="AJ615">
            <v>0</v>
          </cell>
          <cell r="AW615">
            <v>0</v>
          </cell>
        </row>
        <row r="616">
          <cell r="B616">
            <v>4260</v>
          </cell>
          <cell r="C616" t="str">
            <v>EZ_100_</v>
          </cell>
          <cell r="D616" t="str">
            <v>Rancho Estanzuela No. 100</v>
          </cell>
          <cell r="E616" t="str">
            <v>Arias Monter</v>
          </cell>
          <cell r="F616">
            <v>300</v>
          </cell>
          <cell r="G616">
            <v>4</v>
          </cell>
          <cell r="H616">
            <v>160</v>
          </cell>
          <cell r="I616">
            <v>41315</v>
          </cell>
          <cell r="J616" t="str">
            <v>NO SUMA</v>
          </cell>
          <cell r="W616">
            <v>0</v>
          </cell>
          <cell r="AJ616">
            <v>0</v>
          </cell>
          <cell r="AW616">
            <v>0</v>
          </cell>
        </row>
        <row r="617">
          <cell r="B617">
            <v>4261</v>
          </cell>
          <cell r="D617" t="str">
            <v/>
          </cell>
          <cell r="E617" t="str">
            <v/>
          </cell>
          <cell r="F617" t="str">
            <v/>
          </cell>
          <cell r="G617">
            <v>8</v>
          </cell>
          <cell r="I617">
            <v>41315</v>
          </cell>
          <cell r="J617" t="str">
            <v>NO SUMA</v>
          </cell>
          <cell r="W617">
            <v>0</v>
          </cell>
          <cell r="AJ617">
            <v>0</v>
          </cell>
          <cell r="AW617">
            <v>0</v>
          </cell>
        </row>
        <row r="618">
          <cell r="B618">
            <v>4262</v>
          </cell>
          <cell r="C618" t="str">
            <v>UP_47_</v>
          </cell>
          <cell r="D618" t="str">
            <v>Rancho Upácuaro No. 47</v>
          </cell>
          <cell r="E618" t="str">
            <v>Flores Muñoz</v>
          </cell>
          <cell r="F618">
            <v>300</v>
          </cell>
          <cell r="G618">
            <v>4</v>
          </cell>
          <cell r="H618">
            <v>160</v>
          </cell>
          <cell r="I618">
            <v>41315</v>
          </cell>
          <cell r="J618" t="str">
            <v>NO SUMA</v>
          </cell>
          <cell r="W618">
            <v>0</v>
          </cell>
          <cell r="AJ618">
            <v>0</v>
          </cell>
          <cell r="AW618">
            <v>0</v>
          </cell>
        </row>
        <row r="619">
          <cell r="B619">
            <v>4262</v>
          </cell>
          <cell r="C619" t="str">
            <v>UP_47_</v>
          </cell>
          <cell r="D619" t="str">
            <v>Rancho Upácuaro No. 47</v>
          </cell>
          <cell r="E619" t="str">
            <v>Flores Muñoz</v>
          </cell>
          <cell r="F619">
            <v>300</v>
          </cell>
          <cell r="G619">
            <v>5</v>
          </cell>
          <cell r="H619">
            <v>60</v>
          </cell>
          <cell r="I619">
            <v>41315</v>
          </cell>
          <cell r="J619" t="str">
            <v>NO SUMA</v>
          </cell>
          <cell r="W619">
            <v>0</v>
          </cell>
          <cell r="AJ619">
            <v>0</v>
          </cell>
          <cell r="AW619">
            <v>0</v>
          </cell>
        </row>
        <row r="620">
          <cell r="B620">
            <v>4263</v>
          </cell>
          <cell r="C620" t="str">
            <v>UP_47_</v>
          </cell>
          <cell r="D620" t="str">
            <v>Rancho Upácuaro No. 47</v>
          </cell>
          <cell r="E620" t="str">
            <v>Flores Muñoz</v>
          </cell>
          <cell r="F620">
            <v>300</v>
          </cell>
          <cell r="G620">
            <v>1</v>
          </cell>
          <cell r="H620">
            <v>300</v>
          </cell>
          <cell r="I620">
            <v>41315</v>
          </cell>
          <cell r="J620">
            <v>0</v>
          </cell>
          <cell r="W620">
            <v>0</v>
          </cell>
          <cell r="Y620">
            <v>300</v>
          </cell>
          <cell r="AJ620">
            <v>300</v>
          </cell>
          <cell r="AW620">
            <v>0</v>
          </cell>
        </row>
        <row r="621">
          <cell r="B621">
            <v>4264</v>
          </cell>
          <cell r="C621" t="str">
            <v>LD_18_</v>
          </cell>
          <cell r="D621" t="str">
            <v>Rancho Landero No. 18</v>
          </cell>
          <cell r="E621" t="str">
            <v>Rosado</v>
          </cell>
          <cell r="F621">
            <v>250</v>
          </cell>
          <cell r="G621">
            <v>1</v>
          </cell>
          <cell r="H621">
            <v>250</v>
          </cell>
          <cell r="I621">
            <v>41315</v>
          </cell>
          <cell r="J621">
            <v>0</v>
          </cell>
          <cell r="W621">
            <v>0</v>
          </cell>
          <cell r="Y621">
            <v>250</v>
          </cell>
          <cell r="AJ621">
            <v>250</v>
          </cell>
          <cell r="AW621">
            <v>0</v>
          </cell>
        </row>
        <row r="622">
          <cell r="B622">
            <v>4265</v>
          </cell>
          <cell r="D622" t="str">
            <v/>
          </cell>
          <cell r="E622" t="str">
            <v/>
          </cell>
          <cell r="F622" t="str">
            <v/>
          </cell>
          <cell r="G622">
            <v>8</v>
          </cell>
          <cell r="I622">
            <v>41315</v>
          </cell>
          <cell r="J622" t="str">
            <v>NO SUMA</v>
          </cell>
          <cell r="W622">
            <v>0</v>
          </cell>
          <cell r="AJ622">
            <v>0</v>
          </cell>
          <cell r="AW622">
            <v>0</v>
          </cell>
        </row>
        <row r="623">
          <cell r="B623">
            <v>4266</v>
          </cell>
          <cell r="C623" t="str">
            <v>ZB_80_</v>
          </cell>
          <cell r="D623" t="str">
            <v>Rancho Zinamba No. 80</v>
          </cell>
          <cell r="E623" t="str">
            <v>Vázquez</v>
          </cell>
          <cell r="F623">
            <v>250</v>
          </cell>
          <cell r="G623">
            <v>1</v>
          </cell>
          <cell r="H623">
            <v>250</v>
          </cell>
          <cell r="I623">
            <v>41315</v>
          </cell>
          <cell r="J623">
            <v>0</v>
          </cell>
          <cell r="W623">
            <v>0</v>
          </cell>
          <cell r="Y623">
            <v>250</v>
          </cell>
          <cell r="AJ623">
            <v>250</v>
          </cell>
          <cell r="AW623">
            <v>0</v>
          </cell>
        </row>
        <row r="624">
          <cell r="B624">
            <v>4266</v>
          </cell>
          <cell r="C624" t="str">
            <v>ZB_80_</v>
          </cell>
          <cell r="D624" t="str">
            <v>Rancho Zinamba No. 80</v>
          </cell>
          <cell r="E624" t="str">
            <v>Vázquez</v>
          </cell>
          <cell r="F624">
            <v>300</v>
          </cell>
          <cell r="G624">
            <v>3</v>
          </cell>
          <cell r="H624">
            <v>150</v>
          </cell>
          <cell r="I624">
            <v>41315</v>
          </cell>
          <cell r="J624" t="str">
            <v>NO SUMA</v>
          </cell>
          <cell r="W624">
            <v>0</v>
          </cell>
          <cell r="AJ624">
            <v>0</v>
          </cell>
          <cell r="AW624">
            <v>0</v>
          </cell>
        </row>
        <row r="625">
          <cell r="B625">
            <v>4267</v>
          </cell>
          <cell r="C625" t="str">
            <v>CL_81_A</v>
          </cell>
          <cell r="D625" t="str">
            <v>Rancho La Cuchilla No. 81, A</v>
          </cell>
          <cell r="E625" t="str">
            <v>Barrientos López</v>
          </cell>
          <cell r="F625">
            <v>300</v>
          </cell>
          <cell r="G625">
            <v>1</v>
          </cell>
          <cell r="H625">
            <v>300</v>
          </cell>
          <cell r="I625">
            <v>41315</v>
          </cell>
          <cell r="J625">
            <v>0</v>
          </cell>
          <cell r="W625">
            <v>0</v>
          </cell>
          <cell r="Y625">
            <v>300</v>
          </cell>
          <cell r="AJ625">
            <v>300</v>
          </cell>
          <cell r="AW625">
            <v>0</v>
          </cell>
        </row>
        <row r="626">
          <cell r="B626">
            <v>4268</v>
          </cell>
          <cell r="C626" t="str">
            <v>EZ_11_B</v>
          </cell>
          <cell r="D626" t="str">
            <v>Rancho Estanzuela No. 11, B</v>
          </cell>
          <cell r="E626" t="str">
            <v>Gómez Miguel</v>
          </cell>
          <cell r="F626">
            <v>200</v>
          </cell>
          <cell r="G626">
            <v>1</v>
          </cell>
          <cell r="H626">
            <v>400</v>
          </cell>
          <cell r="I626">
            <v>41315</v>
          </cell>
          <cell r="J626">
            <v>0</v>
          </cell>
          <cell r="W626">
            <v>0</v>
          </cell>
          <cell r="X626">
            <v>200</v>
          </cell>
          <cell r="Y626">
            <v>200</v>
          </cell>
          <cell r="AJ626">
            <v>400</v>
          </cell>
          <cell r="AW626">
            <v>0</v>
          </cell>
        </row>
        <row r="627">
          <cell r="B627">
            <v>4269</v>
          </cell>
          <cell r="C627" t="str">
            <v>RV_1_</v>
          </cell>
          <cell r="D627" t="str">
            <v>Rancho Recoveco No. 1</v>
          </cell>
          <cell r="E627" t="str">
            <v>Díaz</v>
          </cell>
          <cell r="F627">
            <v>300</v>
          </cell>
          <cell r="G627">
            <v>1</v>
          </cell>
          <cell r="H627">
            <v>300</v>
          </cell>
          <cell r="I627">
            <v>41315</v>
          </cell>
          <cell r="J627">
            <v>0</v>
          </cell>
          <cell r="W627">
            <v>0</v>
          </cell>
          <cell r="Y627">
            <v>300</v>
          </cell>
          <cell r="AJ627">
            <v>300</v>
          </cell>
          <cell r="AW627">
            <v>0</v>
          </cell>
        </row>
        <row r="628">
          <cell r="B628">
            <v>4270</v>
          </cell>
          <cell r="C628" t="str">
            <v>UP_93_</v>
          </cell>
          <cell r="D628" t="str">
            <v>Rancho Upácuaro No. 93</v>
          </cell>
          <cell r="E628" t="str">
            <v>Valdés</v>
          </cell>
          <cell r="F628">
            <v>300</v>
          </cell>
          <cell r="G628">
            <v>1</v>
          </cell>
          <cell r="H628">
            <v>300</v>
          </cell>
          <cell r="I628">
            <v>41315</v>
          </cell>
          <cell r="J628">
            <v>0</v>
          </cell>
          <cell r="W628">
            <v>0</v>
          </cell>
          <cell r="Y628">
            <v>300</v>
          </cell>
          <cell r="AJ628">
            <v>300</v>
          </cell>
          <cell r="AW628">
            <v>0</v>
          </cell>
        </row>
        <row r="629">
          <cell r="B629">
            <v>4271</v>
          </cell>
          <cell r="C629" t="str">
            <v>CL_55_</v>
          </cell>
          <cell r="D629" t="str">
            <v>Rancho La Cuchilla No. 55</v>
          </cell>
          <cell r="E629" t="str">
            <v>López Velázquez</v>
          </cell>
          <cell r="F629">
            <v>300</v>
          </cell>
          <cell r="G629">
            <v>1</v>
          </cell>
          <cell r="H629">
            <v>300</v>
          </cell>
          <cell r="I629">
            <v>41315</v>
          </cell>
          <cell r="J629">
            <v>0</v>
          </cell>
          <cell r="W629">
            <v>0</v>
          </cell>
          <cell r="Y629">
            <v>300</v>
          </cell>
          <cell r="AJ629">
            <v>300</v>
          </cell>
          <cell r="AW629">
            <v>0</v>
          </cell>
        </row>
        <row r="630">
          <cell r="B630">
            <v>4272</v>
          </cell>
          <cell r="C630" t="str">
            <v>RV_175_A</v>
          </cell>
          <cell r="D630" t="str">
            <v>Rancho Recoveco No. 175, A</v>
          </cell>
          <cell r="E630" t="str">
            <v>Pérez</v>
          </cell>
          <cell r="F630">
            <v>300</v>
          </cell>
          <cell r="G630">
            <v>1</v>
          </cell>
          <cell r="H630">
            <v>600</v>
          </cell>
          <cell r="I630">
            <v>41315</v>
          </cell>
          <cell r="J630">
            <v>0</v>
          </cell>
          <cell r="W630">
            <v>0</v>
          </cell>
          <cell r="X630">
            <v>300</v>
          </cell>
          <cell r="Y630">
            <v>300</v>
          </cell>
          <cell r="AJ630">
            <v>600</v>
          </cell>
          <cell r="AW630">
            <v>0</v>
          </cell>
        </row>
        <row r="631">
          <cell r="B631">
            <v>4273</v>
          </cell>
          <cell r="C631" t="str">
            <v>LD_83_</v>
          </cell>
          <cell r="D631" t="str">
            <v>Rancho Landero No. 83</v>
          </cell>
          <cell r="E631" t="str">
            <v>Aguilar</v>
          </cell>
          <cell r="F631">
            <v>300</v>
          </cell>
          <cell r="G631">
            <v>1</v>
          </cell>
          <cell r="H631">
            <v>300</v>
          </cell>
          <cell r="I631">
            <v>41315</v>
          </cell>
          <cell r="J631">
            <v>0</v>
          </cell>
          <cell r="W631">
            <v>0</v>
          </cell>
          <cell r="Y631">
            <v>300</v>
          </cell>
          <cell r="AJ631">
            <v>300</v>
          </cell>
          <cell r="AW631">
            <v>0</v>
          </cell>
        </row>
        <row r="632">
          <cell r="B632">
            <v>4274</v>
          </cell>
          <cell r="C632" t="str">
            <v>LD_69_</v>
          </cell>
          <cell r="D632" t="str">
            <v>Rancho Landero No. 69</v>
          </cell>
          <cell r="E632" t="str">
            <v>Gómez Ayala</v>
          </cell>
          <cell r="F632">
            <v>300</v>
          </cell>
          <cell r="G632">
            <v>1</v>
          </cell>
          <cell r="H632">
            <v>300</v>
          </cell>
          <cell r="I632">
            <v>41315</v>
          </cell>
          <cell r="J632">
            <v>0</v>
          </cell>
          <cell r="W632">
            <v>0</v>
          </cell>
          <cell r="Y632">
            <v>300</v>
          </cell>
          <cell r="AJ632">
            <v>300</v>
          </cell>
          <cell r="AW632">
            <v>0</v>
          </cell>
        </row>
        <row r="633">
          <cell r="B633">
            <v>4275</v>
          </cell>
          <cell r="C633" t="str">
            <v>LD_30_</v>
          </cell>
          <cell r="D633" t="str">
            <v>Rancho Landero No. 30</v>
          </cell>
          <cell r="E633" t="str">
            <v>Torres Guzmán</v>
          </cell>
          <cell r="F633">
            <v>300</v>
          </cell>
          <cell r="G633">
            <v>1</v>
          </cell>
          <cell r="H633">
            <v>600</v>
          </cell>
          <cell r="I633">
            <v>41315</v>
          </cell>
          <cell r="J633">
            <v>0</v>
          </cell>
          <cell r="W633">
            <v>0</v>
          </cell>
          <cell r="Y633">
            <v>300</v>
          </cell>
          <cell r="Z633">
            <v>300</v>
          </cell>
          <cell r="AJ633">
            <v>600</v>
          </cell>
          <cell r="AW633">
            <v>0</v>
          </cell>
        </row>
        <row r="634">
          <cell r="B634">
            <v>4276</v>
          </cell>
          <cell r="C634" t="str">
            <v>LD_2_A</v>
          </cell>
          <cell r="D634" t="str">
            <v>Rancho Landero No. 2, A</v>
          </cell>
          <cell r="E634" t="str">
            <v>Zepeda</v>
          </cell>
          <cell r="F634">
            <v>150</v>
          </cell>
          <cell r="G634">
            <v>1</v>
          </cell>
          <cell r="H634">
            <v>150</v>
          </cell>
          <cell r="I634">
            <v>41315</v>
          </cell>
          <cell r="J634">
            <v>0</v>
          </cell>
          <cell r="W634">
            <v>0</v>
          </cell>
          <cell r="Y634">
            <v>150</v>
          </cell>
          <cell r="AJ634">
            <v>150</v>
          </cell>
          <cell r="AW634">
            <v>0</v>
          </cell>
        </row>
        <row r="635">
          <cell r="B635">
            <v>4276</v>
          </cell>
          <cell r="C635" t="str">
            <v>LD_2_A</v>
          </cell>
          <cell r="D635" t="str">
            <v>Rancho Landero No. 2, A</v>
          </cell>
          <cell r="E635" t="str">
            <v>Zepeda</v>
          </cell>
          <cell r="F635">
            <v>150</v>
          </cell>
          <cell r="G635">
            <v>4</v>
          </cell>
          <cell r="H635">
            <v>160</v>
          </cell>
          <cell r="I635">
            <v>41315</v>
          </cell>
          <cell r="J635" t="str">
            <v>NO SUMA</v>
          </cell>
          <cell r="W635">
            <v>0</v>
          </cell>
          <cell r="AJ635">
            <v>0</v>
          </cell>
          <cell r="AW635">
            <v>0</v>
          </cell>
        </row>
        <row r="636">
          <cell r="B636">
            <v>4277</v>
          </cell>
          <cell r="C636" t="str">
            <v>LD_76_</v>
          </cell>
          <cell r="D636" t="str">
            <v>Rancho Landero No. 76</v>
          </cell>
          <cell r="E636" t="str">
            <v>Ugarte</v>
          </cell>
          <cell r="F636">
            <v>300</v>
          </cell>
          <cell r="G636">
            <v>1</v>
          </cell>
          <cell r="H636">
            <v>300</v>
          </cell>
          <cell r="I636">
            <v>41315</v>
          </cell>
          <cell r="J636">
            <v>0</v>
          </cell>
          <cell r="W636">
            <v>0</v>
          </cell>
          <cell r="Y636">
            <v>300</v>
          </cell>
          <cell r="AJ636">
            <v>300</v>
          </cell>
          <cell r="AW636">
            <v>0</v>
          </cell>
        </row>
        <row r="637">
          <cell r="B637">
            <v>4278</v>
          </cell>
          <cell r="C637" t="str">
            <v>UP_60_</v>
          </cell>
          <cell r="D637" t="str">
            <v>Rancho Upácuaro No. 60</v>
          </cell>
          <cell r="E637" t="str">
            <v>Zavala</v>
          </cell>
          <cell r="F637">
            <v>300</v>
          </cell>
          <cell r="G637">
            <v>1</v>
          </cell>
          <cell r="H637">
            <v>300</v>
          </cell>
          <cell r="I637">
            <v>41315</v>
          </cell>
          <cell r="J637">
            <v>0</v>
          </cell>
          <cell r="W637">
            <v>0</v>
          </cell>
          <cell r="Y637">
            <v>300</v>
          </cell>
          <cell r="AJ637">
            <v>300</v>
          </cell>
          <cell r="AW637">
            <v>0</v>
          </cell>
        </row>
        <row r="638">
          <cell r="B638">
            <v>4279</v>
          </cell>
          <cell r="C638" t="str">
            <v>ZB_18_</v>
          </cell>
          <cell r="D638" t="str">
            <v>Rancho Zinamba No. 18</v>
          </cell>
          <cell r="E638" t="str">
            <v>Hernández Castro</v>
          </cell>
          <cell r="F638">
            <v>300</v>
          </cell>
          <cell r="G638">
            <v>1</v>
          </cell>
          <cell r="H638">
            <v>600</v>
          </cell>
          <cell r="I638">
            <v>41315</v>
          </cell>
          <cell r="J638">
            <v>0</v>
          </cell>
          <cell r="W638">
            <v>0</v>
          </cell>
          <cell r="X638">
            <v>300</v>
          </cell>
          <cell r="Y638">
            <v>300</v>
          </cell>
          <cell r="AJ638">
            <v>600</v>
          </cell>
          <cell r="AW638">
            <v>0</v>
          </cell>
        </row>
        <row r="639">
          <cell r="B639">
            <v>4280</v>
          </cell>
          <cell r="C639" t="str">
            <v>UP_63_</v>
          </cell>
          <cell r="D639" t="str">
            <v>Rancho Upácuaro No. 63</v>
          </cell>
          <cell r="E639" t="str">
            <v>González Benavides</v>
          </cell>
          <cell r="F639">
            <v>300</v>
          </cell>
          <cell r="G639">
            <v>1</v>
          </cell>
          <cell r="H639">
            <v>300</v>
          </cell>
          <cell r="I639">
            <v>41315</v>
          </cell>
          <cell r="J639">
            <v>0</v>
          </cell>
          <cell r="W639">
            <v>0</v>
          </cell>
          <cell r="Y639">
            <v>300</v>
          </cell>
          <cell r="AJ639">
            <v>300</v>
          </cell>
          <cell r="AW639">
            <v>0</v>
          </cell>
        </row>
        <row r="640">
          <cell r="B640">
            <v>4281</v>
          </cell>
          <cell r="C640" t="str">
            <v>LD_77_</v>
          </cell>
          <cell r="D640" t="str">
            <v>Rancho Landero No. 77</v>
          </cell>
          <cell r="E640" t="str">
            <v>Muñoz</v>
          </cell>
          <cell r="F640">
            <v>300</v>
          </cell>
          <cell r="G640">
            <v>1</v>
          </cell>
          <cell r="H640">
            <v>300</v>
          </cell>
          <cell r="I640">
            <v>41315</v>
          </cell>
          <cell r="J640">
            <v>0</v>
          </cell>
          <cell r="W640">
            <v>0</v>
          </cell>
          <cell r="Y640">
            <v>300</v>
          </cell>
          <cell r="AJ640">
            <v>300</v>
          </cell>
          <cell r="AW640">
            <v>0</v>
          </cell>
        </row>
        <row r="641">
          <cell r="B641">
            <v>4282</v>
          </cell>
          <cell r="C641" t="str">
            <v>CL_132_</v>
          </cell>
          <cell r="D641" t="str">
            <v>Rancho La Cuchilla No. 132</v>
          </cell>
          <cell r="E641" t="str">
            <v>Téllez Girón</v>
          </cell>
          <cell r="F641">
            <v>300</v>
          </cell>
          <cell r="G641">
            <v>1</v>
          </cell>
          <cell r="H641">
            <v>300</v>
          </cell>
          <cell r="I641">
            <v>41315</v>
          </cell>
          <cell r="J641">
            <v>0</v>
          </cell>
          <cell r="W641">
            <v>0</v>
          </cell>
          <cell r="Y641">
            <v>300</v>
          </cell>
          <cell r="AJ641">
            <v>300</v>
          </cell>
          <cell r="AW641">
            <v>0</v>
          </cell>
        </row>
        <row r="642">
          <cell r="B642">
            <v>4283</v>
          </cell>
          <cell r="C642" t="str">
            <v>CL_71_</v>
          </cell>
          <cell r="D642" t="str">
            <v>Rancho La Cuchilla No. 71</v>
          </cell>
          <cell r="E642" t="str">
            <v>Pulido</v>
          </cell>
          <cell r="F642">
            <v>300</v>
          </cell>
          <cell r="G642">
            <v>1</v>
          </cell>
          <cell r="H642">
            <v>600</v>
          </cell>
          <cell r="I642">
            <v>41315</v>
          </cell>
          <cell r="J642">
            <v>0</v>
          </cell>
          <cell r="W642">
            <v>0</v>
          </cell>
          <cell r="X642">
            <v>300</v>
          </cell>
          <cell r="Y642">
            <v>300</v>
          </cell>
          <cell r="AJ642">
            <v>600</v>
          </cell>
          <cell r="AW642">
            <v>0</v>
          </cell>
        </row>
        <row r="643">
          <cell r="B643">
            <v>4284</v>
          </cell>
          <cell r="C643" t="str">
            <v>EZ_69_</v>
          </cell>
          <cell r="D643" t="str">
            <v>Rancho Estanzuela No. 69</v>
          </cell>
          <cell r="E643" t="str">
            <v>Apaez</v>
          </cell>
          <cell r="F643">
            <v>300</v>
          </cell>
          <cell r="G643">
            <v>1</v>
          </cell>
          <cell r="H643">
            <v>300</v>
          </cell>
          <cell r="I643">
            <v>41315</v>
          </cell>
          <cell r="J643">
            <v>0</v>
          </cell>
          <cell r="W643">
            <v>0</v>
          </cell>
          <cell r="Y643">
            <v>300</v>
          </cell>
          <cell r="AJ643">
            <v>300</v>
          </cell>
          <cell r="AW643">
            <v>0</v>
          </cell>
        </row>
        <row r="644">
          <cell r="B644">
            <v>4285</v>
          </cell>
          <cell r="C644" t="str">
            <v>RV_175_B</v>
          </cell>
          <cell r="D644" t="str">
            <v>Rancho Recoveco No. 175, B</v>
          </cell>
          <cell r="E644" t="str">
            <v>García Calderón</v>
          </cell>
          <cell r="F644">
            <v>150</v>
          </cell>
          <cell r="G644">
            <v>1</v>
          </cell>
          <cell r="H644">
            <v>150</v>
          </cell>
          <cell r="I644">
            <v>41315</v>
          </cell>
          <cell r="J644">
            <v>0</v>
          </cell>
          <cell r="W644">
            <v>0</v>
          </cell>
          <cell r="Y644">
            <v>150</v>
          </cell>
          <cell r="AJ644">
            <v>150</v>
          </cell>
          <cell r="AW644">
            <v>0</v>
          </cell>
        </row>
        <row r="645">
          <cell r="B645">
            <v>4286</v>
          </cell>
          <cell r="C645" t="str">
            <v>UP_18_</v>
          </cell>
          <cell r="D645" t="str">
            <v>Rancho Upácuaro No. 18</v>
          </cell>
          <cell r="E645" t="str">
            <v>Guzmán</v>
          </cell>
          <cell r="F645">
            <v>300</v>
          </cell>
          <cell r="G645">
            <v>1</v>
          </cell>
          <cell r="H645">
            <v>300</v>
          </cell>
          <cell r="I645">
            <v>41315</v>
          </cell>
          <cell r="J645">
            <v>0</v>
          </cell>
          <cell r="W645">
            <v>0</v>
          </cell>
          <cell r="Y645">
            <v>300</v>
          </cell>
          <cell r="AJ645">
            <v>300</v>
          </cell>
          <cell r="AW645">
            <v>0</v>
          </cell>
        </row>
        <row r="646">
          <cell r="B646">
            <v>4287</v>
          </cell>
          <cell r="C646" t="str">
            <v>UP_23_</v>
          </cell>
          <cell r="D646" t="str">
            <v>Rancho Upácuaro No. 23</v>
          </cell>
          <cell r="E646" t="str">
            <v>Arredondo</v>
          </cell>
          <cell r="F646">
            <v>300</v>
          </cell>
          <cell r="G646">
            <v>1</v>
          </cell>
          <cell r="H646">
            <v>600</v>
          </cell>
          <cell r="I646">
            <v>41315</v>
          </cell>
          <cell r="J646">
            <v>0</v>
          </cell>
          <cell r="W646">
            <v>0</v>
          </cell>
          <cell r="Y646">
            <v>300</v>
          </cell>
          <cell r="Z646">
            <v>300</v>
          </cell>
          <cell r="AJ646">
            <v>600</v>
          </cell>
          <cell r="AW646">
            <v>0</v>
          </cell>
        </row>
        <row r="647">
          <cell r="B647">
            <v>4288</v>
          </cell>
          <cell r="C647" t="str">
            <v>CL_111_</v>
          </cell>
          <cell r="D647" t="str">
            <v>Rancho La Cuchilla No. 111</v>
          </cell>
          <cell r="E647" t="str">
            <v>García Santos O.</v>
          </cell>
          <cell r="F647">
            <v>150</v>
          </cell>
          <cell r="G647">
            <v>1</v>
          </cell>
          <cell r="H647">
            <v>150</v>
          </cell>
          <cell r="I647">
            <v>41315</v>
          </cell>
          <cell r="J647">
            <v>0</v>
          </cell>
          <cell r="W647">
            <v>0</v>
          </cell>
          <cell r="Y647">
            <v>150</v>
          </cell>
          <cell r="AJ647">
            <v>150</v>
          </cell>
          <cell r="AW647">
            <v>0</v>
          </cell>
        </row>
        <row r="648">
          <cell r="B648">
            <v>4289</v>
          </cell>
          <cell r="C648" t="str">
            <v>LD_70_</v>
          </cell>
          <cell r="D648" t="str">
            <v>Rancho Landero No. 70</v>
          </cell>
          <cell r="E648" t="str">
            <v>Olguín</v>
          </cell>
          <cell r="F648">
            <v>100</v>
          </cell>
          <cell r="G648">
            <v>1</v>
          </cell>
          <cell r="H648">
            <v>100</v>
          </cell>
          <cell r="I648">
            <v>41315</v>
          </cell>
          <cell r="J648">
            <v>0</v>
          </cell>
          <cell r="W648">
            <v>0</v>
          </cell>
          <cell r="Y648">
            <v>100</v>
          </cell>
          <cell r="AJ648">
            <v>100</v>
          </cell>
          <cell r="AW648">
            <v>0</v>
          </cell>
        </row>
        <row r="649">
          <cell r="B649">
            <v>4290</v>
          </cell>
          <cell r="C649" t="str">
            <v>UP_70_</v>
          </cell>
          <cell r="D649" t="str">
            <v>Rancho Upácuaro No. 70</v>
          </cell>
          <cell r="E649" t="str">
            <v>Ramírez Tejeda</v>
          </cell>
          <cell r="F649">
            <v>300</v>
          </cell>
          <cell r="G649">
            <v>1</v>
          </cell>
          <cell r="H649">
            <v>2700</v>
          </cell>
          <cell r="I649">
            <v>41315</v>
          </cell>
          <cell r="J649">
            <v>0</v>
          </cell>
          <cell r="W649">
            <v>0</v>
          </cell>
          <cell r="Z649">
            <v>300</v>
          </cell>
          <cell r="AA649">
            <v>300</v>
          </cell>
          <cell r="AB649">
            <v>300</v>
          </cell>
          <cell r="AC649">
            <v>300</v>
          </cell>
          <cell r="AD649">
            <v>300</v>
          </cell>
          <cell r="AE649">
            <v>300</v>
          </cell>
          <cell r="AF649">
            <v>300</v>
          </cell>
          <cell r="AG649">
            <v>300</v>
          </cell>
          <cell r="AH649">
            <v>300</v>
          </cell>
          <cell r="AJ649">
            <v>2700</v>
          </cell>
          <cell r="AW649">
            <v>0</v>
          </cell>
        </row>
        <row r="650">
          <cell r="B650">
            <v>4291</v>
          </cell>
          <cell r="C650" t="str">
            <v>LD_38_</v>
          </cell>
          <cell r="D650" t="str">
            <v>Rancho Landero No. 38</v>
          </cell>
          <cell r="E650" t="str">
            <v>Sánchez Peña</v>
          </cell>
          <cell r="F650">
            <v>300</v>
          </cell>
          <cell r="G650">
            <v>1</v>
          </cell>
          <cell r="H650">
            <v>300</v>
          </cell>
          <cell r="I650">
            <v>41315</v>
          </cell>
          <cell r="J650">
            <v>0</v>
          </cell>
          <cell r="W650">
            <v>0</v>
          </cell>
          <cell r="Y650">
            <v>300</v>
          </cell>
          <cell r="AJ650">
            <v>300</v>
          </cell>
          <cell r="AW650">
            <v>0</v>
          </cell>
        </row>
        <row r="651">
          <cell r="B651">
            <v>4292</v>
          </cell>
          <cell r="C651" t="str">
            <v>EZ_95_</v>
          </cell>
          <cell r="D651" t="str">
            <v>Rancho Estanzuela No. 95</v>
          </cell>
          <cell r="E651" t="str">
            <v>Castro Puente</v>
          </cell>
          <cell r="F651">
            <v>300</v>
          </cell>
          <cell r="G651">
            <v>1</v>
          </cell>
          <cell r="H651">
            <v>600</v>
          </cell>
          <cell r="I651">
            <v>41315</v>
          </cell>
          <cell r="J651">
            <v>0</v>
          </cell>
          <cell r="W651">
            <v>0</v>
          </cell>
          <cell r="Y651">
            <v>300</v>
          </cell>
          <cell r="Z651">
            <v>300</v>
          </cell>
          <cell r="AJ651">
            <v>600</v>
          </cell>
          <cell r="AW651">
            <v>0</v>
          </cell>
        </row>
        <row r="652">
          <cell r="B652">
            <v>4293</v>
          </cell>
          <cell r="C652" t="str">
            <v>UP_79_</v>
          </cell>
          <cell r="D652" t="str">
            <v>Rancho Upácuaro No. 79</v>
          </cell>
          <cell r="E652" t="str">
            <v>Macías</v>
          </cell>
          <cell r="F652">
            <v>300</v>
          </cell>
          <cell r="G652">
            <v>1</v>
          </cell>
          <cell r="H652">
            <v>900</v>
          </cell>
          <cell r="I652">
            <v>41315</v>
          </cell>
          <cell r="J652">
            <v>0</v>
          </cell>
          <cell r="W652">
            <v>0</v>
          </cell>
          <cell r="Y652">
            <v>300</v>
          </cell>
          <cell r="Z652">
            <v>300</v>
          </cell>
          <cell r="AA652">
            <v>300</v>
          </cell>
          <cell r="AJ652">
            <v>900</v>
          </cell>
          <cell r="AW652">
            <v>0</v>
          </cell>
        </row>
        <row r="653">
          <cell r="B653">
            <v>4294</v>
          </cell>
          <cell r="C653" t="str">
            <v>EZ_47_</v>
          </cell>
          <cell r="D653" t="str">
            <v>Rancho Estanzuela No. 47</v>
          </cell>
          <cell r="E653" t="str">
            <v>Bussey García</v>
          </cell>
          <cell r="F653">
            <v>300</v>
          </cell>
          <cell r="G653">
            <v>1</v>
          </cell>
          <cell r="H653">
            <v>300</v>
          </cell>
          <cell r="I653">
            <v>41315</v>
          </cell>
          <cell r="J653">
            <v>0</v>
          </cell>
          <cell r="W653">
            <v>0</v>
          </cell>
          <cell r="Y653">
            <v>300</v>
          </cell>
          <cell r="AJ653">
            <v>300</v>
          </cell>
          <cell r="AW653">
            <v>0</v>
          </cell>
        </row>
        <row r="654">
          <cell r="B654">
            <v>4295</v>
          </cell>
          <cell r="C654" t="str">
            <v>EZ_101_</v>
          </cell>
          <cell r="D654" t="str">
            <v>Rancho Estanzuela No. 101</v>
          </cell>
          <cell r="E654" t="str">
            <v>Calderón Celis</v>
          </cell>
          <cell r="F654">
            <v>300</v>
          </cell>
          <cell r="G654">
            <v>1</v>
          </cell>
          <cell r="H654">
            <v>600</v>
          </cell>
          <cell r="I654">
            <v>41315</v>
          </cell>
          <cell r="J654">
            <v>0</v>
          </cell>
          <cell r="W654">
            <v>0</v>
          </cell>
          <cell r="X654">
            <v>300</v>
          </cell>
          <cell r="Y654">
            <v>300</v>
          </cell>
          <cell r="AJ654">
            <v>600</v>
          </cell>
          <cell r="AW654">
            <v>0</v>
          </cell>
        </row>
        <row r="655">
          <cell r="B655">
            <v>4296</v>
          </cell>
          <cell r="C655" t="str">
            <v>LD_85_</v>
          </cell>
          <cell r="D655" t="str">
            <v>Rancho Landero No. 85</v>
          </cell>
          <cell r="E655" t="str">
            <v>Martínez Olague</v>
          </cell>
          <cell r="F655">
            <v>300</v>
          </cell>
          <cell r="G655">
            <v>1</v>
          </cell>
          <cell r="H655">
            <v>300</v>
          </cell>
          <cell r="I655">
            <v>41316</v>
          </cell>
          <cell r="J655">
            <v>0</v>
          </cell>
          <cell r="W655">
            <v>0</v>
          </cell>
          <cell r="Y655">
            <v>300</v>
          </cell>
          <cell r="AJ655">
            <v>300</v>
          </cell>
          <cell r="AW655">
            <v>0</v>
          </cell>
        </row>
        <row r="656">
          <cell r="B656">
            <v>4297</v>
          </cell>
          <cell r="C656" t="str">
            <v>EZ_111_</v>
          </cell>
          <cell r="D656" t="str">
            <v>Rancho Estanzuela No. 111</v>
          </cell>
          <cell r="E656" t="str">
            <v>Flores Pérez</v>
          </cell>
          <cell r="F656">
            <v>300</v>
          </cell>
          <cell r="G656">
            <v>1</v>
          </cell>
          <cell r="H656">
            <v>300</v>
          </cell>
          <cell r="I656">
            <v>41316</v>
          </cell>
          <cell r="J656">
            <v>0</v>
          </cell>
          <cell r="W656">
            <v>0</v>
          </cell>
          <cell r="Y656">
            <v>300</v>
          </cell>
          <cell r="AJ656">
            <v>300</v>
          </cell>
          <cell r="AW656">
            <v>0</v>
          </cell>
        </row>
        <row r="657">
          <cell r="B657">
            <v>4298</v>
          </cell>
          <cell r="C657" t="str">
            <v>UP_64_</v>
          </cell>
          <cell r="D657" t="str">
            <v>Rancho Upácuaro No. 64</v>
          </cell>
          <cell r="E657" t="str">
            <v>Méndez Oliva</v>
          </cell>
          <cell r="F657">
            <v>300</v>
          </cell>
          <cell r="G657">
            <v>1</v>
          </cell>
          <cell r="H657">
            <v>300</v>
          </cell>
          <cell r="I657">
            <v>41316</v>
          </cell>
          <cell r="J657">
            <v>0</v>
          </cell>
          <cell r="W657">
            <v>0</v>
          </cell>
          <cell r="Y657">
            <v>300</v>
          </cell>
          <cell r="AJ657">
            <v>300</v>
          </cell>
          <cell r="AW657">
            <v>0</v>
          </cell>
        </row>
        <row r="658">
          <cell r="B658">
            <v>4299</v>
          </cell>
          <cell r="C658" t="str">
            <v>UP_75_</v>
          </cell>
          <cell r="D658" t="str">
            <v>Rancho Upácuaro No. 75</v>
          </cell>
          <cell r="E658" t="str">
            <v>Montaño Zetina</v>
          </cell>
          <cell r="F658">
            <v>300</v>
          </cell>
          <cell r="G658">
            <v>1</v>
          </cell>
          <cell r="H658">
            <v>600</v>
          </cell>
          <cell r="I658">
            <v>41317</v>
          </cell>
          <cell r="J658">
            <v>0</v>
          </cell>
          <cell r="W658">
            <v>0</v>
          </cell>
          <cell r="Y658">
            <v>300</v>
          </cell>
          <cell r="Z658">
            <v>300</v>
          </cell>
          <cell r="AJ658">
            <v>600</v>
          </cell>
          <cell r="AW658">
            <v>0</v>
          </cell>
        </row>
        <row r="659">
          <cell r="B659">
            <v>4300</v>
          </cell>
          <cell r="C659" t="str">
            <v>EZ_123_</v>
          </cell>
          <cell r="D659" t="str">
            <v>Rancho Estanzuela No. 123</v>
          </cell>
          <cell r="E659" t="str">
            <v>Bueno Rendón</v>
          </cell>
          <cell r="F659">
            <v>150</v>
          </cell>
          <cell r="G659">
            <v>1</v>
          </cell>
          <cell r="H659">
            <v>150</v>
          </cell>
          <cell r="I659">
            <v>41319</v>
          </cell>
          <cell r="J659">
            <v>0</v>
          </cell>
          <cell r="W659">
            <v>0</v>
          </cell>
          <cell r="X659">
            <v>150</v>
          </cell>
          <cell r="AJ659">
            <v>150</v>
          </cell>
          <cell r="AW659">
            <v>0</v>
          </cell>
        </row>
        <row r="660">
          <cell r="B660">
            <v>4301</v>
          </cell>
          <cell r="C660" t="str">
            <v>LD_86_</v>
          </cell>
          <cell r="D660" t="str">
            <v>Rancho Landero No. 86</v>
          </cell>
          <cell r="E660" t="str">
            <v>Cuervo</v>
          </cell>
          <cell r="F660">
            <v>300</v>
          </cell>
          <cell r="G660">
            <v>1</v>
          </cell>
          <cell r="H660">
            <v>3000</v>
          </cell>
          <cell r="I660">
            <v>41318</v>
          </cell>
          <cell r="J660">
            <v>0</v>
          </cell>
          <cell r="W660">
            <v>0</v>
          </cell>
          <cell r="Y660">
            <v>300</v>
          </cell>
          <cell r="Z660">
            <v>300</v>
          </cell>
          <cell r="AA660">
            <v>300</v>
          </cell>
          <cell r="AB660">
            <v>300</v>
          </cell>
          <cell r="AC660">
            <v>300</v>
          </cell>
          <cell r="AD660">
            <v>300</v>
          </cell>
          <cell r="AE660">
            <v>300</v>
          </cell>
          <cell r="AF660">
            <v>300</v>
          </cell>
          <cell r="AG660">
            <v>300</v>
          </cell>
          <cell r="AH660">
            <v>300</v>
          </cell>
          <cell r="AJ660">
            <v>3000</v>
          </cell>
          <cell r="AW660">
            <v>0</v>
          </cell>
        </row>
        <row r="661">
          <cell r="B661">
            <v>4302</v>
          </cell>
          <cell r="C661" t="str">
            <v>LD_86_</v>
          </cell>
          <cell r="D661" t="str">
            <v>Rancho Landero No. 86</v>
          </cell>
          <cell r="E661" t="str">
            <v>Cuervo</v>
          </cell>
          <cell r="F661">
            <v>300</v>
          </cell>
          <cell r="G661">
            <v>3</v>
          </cell>
          <cell r="H661">
            <v>150</v>
          </cell>
          <cell r="I661">
            <v>41318</v>
          </cell>
          <cell r="J661" t="str">
            <v>NO SUMA</v>
          </cell>
          <cell r="W661">
            <v>0</v>
          </cell>
          <cell r="AJ661">
            <v>0</v>
          </cell>
          <cell r="AW661">
            <v>0</v>
          </cell>
        </row>
        <row r="662">
          <cell r="B662">
            <v>6092</v>
          </cell>
          <cell r="C662" t="str">
            <v>UP_46_</v>
          </cell>
          <cell r="D662" t="str">
            <v>Rancho Upácuaro No. 46</v>
          </cell>
          <cell r="E662" t="str">
            <v>Fuentes</v>
          </cell>
          <cell r="F662">
            <v>300</v>
          </cell>
          <cell r="G662">
            <v>1</v>
          </cell>
          <cell r="H662">
            <v>300</v>
          </cell>
          <cell r="I662">
            <v>41318</v>
          </cell>
          <cell r="J662">
            <v>0</v>
          </cell>
          <cell r="W662">
            <v>0</v>
          </cell>
          <cell r="Y662">
            <v>300</v>
          </cell>
          <cell r="AJ662">
            <v>300</v>
          </cell>
          <cell r="AW662">
            <v>0</v>
          </cell>
        </row>
        <row r="663">
          <cell r="B663">
            <v>4303</v>
          </cell>
          <cell r="C663" t="str">
            <v>CM_130_A</v>
          </cell>
          <cell r="D663" t="str">
            <v>Rancho Estanzuela No. 130, A</v>
          </cell>
          <cell r="E663" t="str">
            <v>Colegio Carmel</v>
          </cell>
          <cell r="F663">
            <v>10000</v>
          </cell>
          <cell r="G663">
            <v>3</v>
          </cell>
          <cell r="H663">
            <v>160</v>
          </cell>
          <cell r="I663">
            <v>41319</v>
          </cell>
          <cell r="J663" t="str">
            <v>NO SUMA</v>
          </cell>
          <cell r="W663">
            <v>0</v>
          </cell>
          <cell r="AJ663">
            <v>0</v>
          </cell>
          <cell r="AW663">
            <v>0</v>
          </cell>
        </row>
        <row r="664">
          <cell r="B664">
            <v>4304</v>
          </cell>
          <cell r="C664" t="str">
            <v>ZB_12_</v>
          </cell>
          <cell r="D664" t="str">
            <v>Rancho Zinamba No. 12</v>
          </cell>
          <cell r="E664" t="str">
            <v>Rodríguez</v>
          </cell>
          <cell r="F664">
            <v>400</v>
          </cell>
          <cell r="G664">
            <v>1</v>
          </cell>
          <cell r="H664">
            <v>400</v>
          </cell>
          <cell r="I664">
            <v>41320</v>
          </cell>
          <cell r="J664">
            <v>0</v>
          </cell>
          <cell r="W664">
            <v>0</v>
          </cell>
          <cell r="Y664">
            <v>400</v>
          </cell>
          <cell r="AJ664">
            <v>400</v>
          </cell>
          <cell r="AW664">
            <v>0</v>
          </cell>
        </row>
        <row r="665">
          <cell r="B665">
            <v>4305</v>
          </cell>
          <cell r="C665" t="str">
            <v>UP_124_</v>
          </cell>
          <cell r="D665" t="str">
            <v>Rancho Upácuaro No. 124</v>
          </cell>
          <cell r="E665" t="str">
            <v>Reyes Nicandro</v>
          </cell>
          <cell r="F665">
            <v>300</v>
          </cell>
          <cell r="G665">
            <v>1</v>
          </cell>
          <cell r="H665">
            <v>300</v>
          </cell>
          <cell r="I665">
            <v>41320</v>
          </cell>
          <cell r="J665">
            <v>0</v>
          </cell>
          <cell r="W665">
            <v>0</v>
          </cell>
          <cell r="Y665">
            <v>300</v>
          </cell>
          <cell r="AJ665">
            <v>300</v>
          </cell>
          <cell r="AW665">
            <v>0</v>
          </cell>
        </row>
        <row r="666">
          <cell r="B666">
            <v>4306</v>
          </cell>
          <cell r="C666" t="str">
            <v>UP_132_</v>
          </cell>
          <cell r="D666" t="str">
            <v>Rancho Upácuaro No. 132</v>
          </cell>
          <cell r="E666" t="str">
            <v>Tornero Saldaña</v>
          </cell>
          <cell r="F666">
            <v>300</v>
          </cell>
          <cell r="G666">
            <v>1</v>
          </cell>
          <cell r="H666">
            <v>1500</v>
          </cell>
          <cell r="I666">
            <v>41320</v>
          </cell>
          <cell r="J666">
            <v>0</v>
          </cell>
          <cell r="W666">
            <v>0</v>
          </cell>
          <cell r="X666">
            <v>300</v>
          </cell>
          <cell r="Y666">
            <v>300</v>
          </cell>
          <cell r="Z666">
            <v>300</v>
          </cell>
          <cell r="AA666">
            <v>300</v>
          </cell>
          <cell r="AB666">
            <v>300</v>
          </cell>
          <cell r="AJ666">
            <v>1500</v>
          </cell>
          <cell r="AW666">
            <v>0</v>
          </cell>
        </row>
        <row r="667">
          <cell r="B667">
            <v>35</v>
          </cell>
          <cell r="C667" t="str">
            <v>CM_130_A</v>
          </cell>
          <cell r="D667" t="str">
            <v>Rancho Estanzuela No. 130, A</v>
          </cell>
          <cell r="E667" t="str">
            <v>Colegio Carmel</v>
          </cell>
          <cell r="F667">
            <v>10000</v>
          </cell>
          <cell r="G667">
            <v>1</v>
          </cell>
          <cell r="H667">
            <v>10000</v>
          </cell>
          <cell r="I667">
            <v>41320</v>
          </cell>
          <cell r="J667">
            <v>0</v>
          </cell>
          <cell r="W667">
            <v>0</v>
          </cell>
          <cell r="Y667">
            <v>10000</v>
          </cell>
          <cell r="AJ667">
            <v>10000</v>
          </cell>
          <cell r="AW667">
            <v>0</v>
          </cell>
        </row>
        <row r="668">
          <cell r="B668">
            <v>4307</v>
          </cell>
          <cell r="C668" t="str">
            <v>CL_53_</v>
          </cell>
          <cell r="D668" t="str">
            <v>Rancho La Cuchilla No. 53</v>
          </cell>
          <cell r="E668" t="str">
            <v>Loyo Ochoa</v>
          </cell>
          <cell r="F668">
            <v>300</v>
          </cell>
          <cell r="G668">
            <v>1</v>
          </cell>
          <cell r="H668">
            <v>300</v>
          </cell>
          <cell r="I668">
            <v>41322</v>
          </cell>
          <cell r="J668">
            <v>0</v>
          </cell>
          <cell r="W668">
            <v>0</v>
          </cell>
          <cell r="Y668">
            <v>300</v>
          </cell>
          <cell r="AJ668">
            <v>300</v>
          </cell>
          <cell r="AW668">
            <v>0</v>
          </cell>
        </row>
        <row r="669">
          <cell r="B669">
            <v>4308</v>
          </cell>
          <cell r="C669" t="str">
            <v>EZ_7_A</v>
          </cell>
          <cell r="D669" t="str">
            <v>Rancho Estanzuela No. 7, A</v>
          </cell>
          <cell r="E669" t="str">
            <v>Herrera Izquierdo</v>
          </cell>
          <cell r="F669">
            <v>150</v>
          </cell>
          <cell r="G669">
            <v>1</v>
          </cell>
          <cell r="H669">
            <v>150</v>
          </cell>
          <cell r="I669">
            <v>41322</v>
          </cell>
          <cell r="J669">
            <v>0</v>
          </cell>
          <cell r="W669">
            <v>0</v>
          </cell>
          <cell r="Y669">
            <v>150</v>
          </cell>
          <cell r="AJ669">
            <v>150</v>
          </cell>
          <cell r="AW669">
            <v>0</v>
          </cell>
        </row>
        <row r="670">
          <cell r="B670">
            <v>4309</v>
          </cell>
          <cell r="C670" t="str">
            <v>CL_45_</v>
          </cell>
          <cell r="D670" t="str">
            <v>Rancho La Cuchilla No. 45</v>
          </cell>
          <cell r="E670" t="str">
            <v>Estévez Hernández</v>
          </cell>
          <cell r="F670">
            <v>300</v>
          </cell>
          <cell r="G670">
            <v>1</v>
          </cell>
          <cell r="H670">
            <v>300</v>
          </cell>
          <cell r="I670">
            <v>41322</v>
          </cell>
          <cell r="J670">
            <v>0</v>
          </cell>
          <cell r="W670">
            <v>0</v>
          </cell>
          <cell r="Y670">
            <v>300</v>
          </cell>
          <cell r="AJ670">
            <v>300</v>
          </cell>
          <cell r="AW670">
            <v>0</v>
          </cell>
        </row>
        <row r="671">
          <cell r="B671">
            <v>4310</v>
          </cell>
          <cell r="C671" t="str">
            <v>UP_130_</v>
          </cell>
          <cell r="D671" t="str">
            <v>Rancho Upácuaro No. 130</v>
          </cell>
          <cell r="E671" t="str">
            <v>Rodríguez Álvarez</v>
          </cell>
          <cell r="F671">
            <v>150</v>
          </cell>
          <cell r="G671">
            <v>1</v>
          </cell>
          <cell r="H671">
            <v>150</v>
          </cell>
          <cell r="I671">
            <v>41322</v>
          </cell>
          <cell r="J671">
            <v>0</v>
          </cell>
          <cell r="W671">
            <v>0</v>
          </cell>
          <cell r="Y671">
            <v>150</v>
          </cell>
          <cell r="AJ671">
            <v>150</v>
          </cell>
          <cell r="AW671">
            <v>0</v>
          </cell>
        </row>
        <row r="672">
          <cell r="B672">
            <v>4310</v>
          </cell>
          <cell r="C672" t="str">
            <v>UP_130_</v>
          </cell>
          <cell r="D672" t="str">
            <v>Rancho Upácuaro No. 130</v>
          </cell>
          <cell r="E672" t="str">
            <v>Rodríguez Álvarez</v>
          </cell>
          <cell r="F672">
            <v>150</v>
          </cell>
          <cell r="G672">
            <v>5</v>
          </cell>
          <cell r="H672">
            <v>20</v>
          </cell>
          <cell r="I672">
            <v>41322</v>
          </cell>
          <cell r="J672" t="str">
            <v>NO SUMA</v>
          </cell>
          <cell r="W672">
            <v>0</v>
          </cell>
          <cell r="AJ672">
            <v>0</v>
          </cell>
          <cell r="AW672">
            <v>0</v>
          </cell>
        </row>
        <row r="673">
          <cell r="B673">
            <v>4311</v>
          </cell>
          <cell r="C673" t="str">
            <v>CL_33_</v>
          </cell>
          <cell r="D673" t="str">
            <v>Rancho La Cuchilla No. 33</v>
          </cell>
          <cell r="E673" t="str">
            <v>Tanús</v>
          </cell>
          <cell r="F673">
            <v>300</v>
          </cell>
          <cell r="G673">
            <v>1</v>
          </cell>
          <cell r="H673">
            <v>300</v>
          </cell>
          <cell r="I673">
            <v>41322</v>
          </cell>
          <cell r="J673">
            <v>0</v>
          </cell>
          <cell r="W673">
            <v>0</v>
          </cell>
          <cell r="Y673">
            <v>300</v>
          </cell>
          <cell r="AJ673">
            <v>300</v>
          </cell>
          <cell r="AW673">
            <v>0</v>
          </cell>
        </row>
        <row r="674">
          <cell r="B674">
            <v>4312</v>
          </cell>
          <cell r="C674" t="str">
            <v>CL_66_</v>
          </cell>
          <cell r="D674" t="str">
            <v>Rancho La Cuchilla No. 66</v>
          </cell>
          <cell r="E674" t="str">
            <v>Prieto</v>
          </cell>
          <cell r="F674">
            <v>300</v>
          </cell>
          <cell r="G674">
            <v>1</v>
          </cell>
          <cell r="H674">
            <v>300</v>
          </cell>
          <cell r="I674">
            <v>41322</v>
          </cell>
          <cell r="J674">
            <v>0</v>
          </cell>
          <cell r="W674">
            <v>0</v>
          </cell>
          <cell r="Y674">
            <v>300</v>
          </cell>
          <cell r="AJ674">
            <v>300</v>
          </cell>
          <cell r="AW674">
            <v>0</v>
          </cell>
        </row>
        <row r="675">
          <cell r="B675">
            <v>4313</v>
          </cell>
          <cell r="C675" t="str">
            <v>CL_Terreno_</v>
          </cell>
          <cell r="D675" t="str">
            <v>Rancho La Cuchilla No. terreno</v>
          </cell>
          <cell r="E675" t="str">
            <v>Martínez Flores</v>
          </cell>
          <cell r="F675">
            <v>300</v>
          </cell>
          <cell r="G675">
            <v>1</v>
          </cell>
          <cell r="H675">
            <v>600</v>
          </cell>
          <cell r="I675">
            <v>41322</v>
          </cell>
          <cell r="J675">
            <v>0</v>
          </cell>
          <cell r="T675">
            <v>300</v>
          </cell>
          <cell r="U675">
            <v>300</v>
          </cell>
          <cell r="W675">
            <v>600</v>
          </cell>
          <cell r="AJ675">
            <v>0</v>
          </cell>
          <cell r="AW675">
            <v>0</v>
          </cell>
        </row>
        <row r="676">
          <cell r="B676">
            <v>4314</v>
          </cell>
          <cell r="C676" t="str">
            <v>EZ_7_B</v>
          </cell>
          <cell r="D676" t="str">
            <v>Rancho Estanzuela No. 7, B</v>
          </cell>
          <cell r="E676" t="str">
            <v>Camargo Romero</v>
          </cell>
          <cell r="F676">
            <v>150</v>
          </cell>
          <cell r="G676">
            <v>1</v>
          </cell>
          <cell r="H676">
            <v>900</v>
          </cell>
          <cell r="I676">
            <v>41322</v>
          </cell>
          <cell r="J676">
            <v>0</v>
          </cell>
          <cell r="W676">
            <v>0</v>
          </cell>
          <cell r="X676">
            <v>150</v>
          </cell>
          <cell r="Y676">
            <v>150</v>
          </cell>
          <cell r="Z676">
            <v>150</v>
          </cell>
          <cell r="AA676">
            <v>150</v>
          </cell>
          <cell r="AB676">
            <v>150</v>
          </cell>
          <cell r="AC676">
            <v>150</v>
          </cell>
          <cell r="AJ676">
            <v>900</v>
          </cell>
          <cell r="AW676">
            <v>0</v>
          </cell>
        </row>
        <row r="677">
          <cell r="B677">
            <v>4315</v>
          </cell>
          <cell r="C677" t="str">
            <v>ZB_34_</v>
          </cell>
          <cell r="D677" t="str">
            <v>Rancho Zinamba No. 34</v>
          </cell>
          <cell r="E677" t="str">
            <v>Torres Zavala</v>
          </cell>
          <cell r="F677">
            <v>300</v>
          </cell>
          <cell r="G677">
            <v>1</v>
          </cell>
          <cell r="H677">
            <v>300</v>
          </cell>
          <cell r="I677">
            <v>41322</v>
          </cell>
          <cell r="J677">
            <v>0</v>
          </cell>
          <cell r="W677">
            <v>0</v>
          </cell>
          <cell r="Y677">
            <v>300</v>
          </cell>
          <cell r="AJ677">
            <v>300</v>
          </cell>
          <cell r="AW677">
            <v>0</v>
          </cell>
        </row>
        <row r="678">
          <cell r="B678">
            <v>4316</v>
          </cell>
          <cell r="C678" t="str">
            <v>EZ_161_1</v>
          </cell>
          <cell r="D678" t="str">
            <v>Rancho Estanzuela No. 161, 1</v>
          </cell>
          <cell r="E678" t="str">
            <v>Guevara</v>
          </cell>
          <cell r="F678">
            <v>150</v>
          </cell>
          <cell r="G678">
            <v>1</v>
          </cell>
          <cell r="H678">
            <v>150</v>
          </cell>
          <cell r="I678">
            <v>41322</v>
          </cell>
          <cell r="J678">
            <v>0</v>
          </cell>
          <cell r="W678">
            <v>0</v>
          </cell>
          <cell r="X678">
            <v>150</v>
          </cell>
          <cell r="AJ678">
            <v>150</v>
          </cell>
          <cell r="AW678">
            <v>0</v>
          </cell>
        </row>
        <row r="679">
          <cell r="B679">
            <v>4317</v>
          </cell>
          <cell r="C679" t="str">
            <v>EZ_21_</v>
          </cell>
          <cell r="D679" t="str">
            <v>Rancho Estanzuela No. 21</v>
          </cell>
          <cell r="E679" t="str">
            <v>Chavero Barrera</v>
          </cell>
          <cell r="F679">
            <v>300</v>
          </cell>
          <cell r="G679">
            <v>5</v>
          </cell>
          <cell r="H679">
            <v>40</v>
          </cell>
          <cell r="I679">
            <v>41322</v>
          </cell>
          <cell r="J679" t="str">
            <v>NO SUMA</v>
          </cell>
          <cell r="W679">
            <v>0</v>
          </cell>
          <cell r="AJ679">
            <v>0</v>
          </cell>
          <cell r="AW679">
            <v>0</v>
          </cell>
        </row>
        <row r="680">
          <cell r="B680">
            <v>4318</v>
          </cell>
          <cell r="C680" t="str">
            <v>CL_43_A</v>
          </cell>
          <cell r="D680" t="str">
            <v>Rancho La Cuchilla No. 43, A</v>
          </cell>
          <cell r="E680" t="str">
            <v>De la Rosa</v>
          </cell>
          <cell r="F680">
            <v>200</v>
          </cell>
          <cell r="G680">
            <v>1</v>
          </cell>
          <cell r="H680">
            <v>200</v>
          </cell>
          <cell r="I680">
            <v>41322</v>
          </cell>
          <cell r="J680">
            <v>0</v>
          </cell>
          <cell r="W680">
            <v>0</v>
          </cell>
          <cell r="Y680">
            <v>200</v>
          </cell>
          <cell r="AJ680">
            <v>200</v>
          </cell>
          <cell r="AW680">
            <v>0</v>
          </cell>
        </row>
        <row r="681">
          <cell r="B681">
            <v>4319</v>
          </cell>
          <cell r="C681" t="str">
            <v>LD_63_</v>
          </cell>
          <cell r="D681" t="str">
            <v>Rancho Landero No. 63</v>
          </cell>
          <cell r="E681" t="str">
            <v>Hernández Chávez</v>
          </cell>
          <cell r="F681">
            <v>300</v>
          </cell>
          <cell r="G681">
            <v>1</v>
          </cell>
          <cell r="H681">
            <v>600</v>
          </cell>
          <cell r="I681">
            <v>41322</v>
          </cell>
          <cell r="J681">
            <v>0</v>
          </cell>
          <cell r="W681">
            <v>0</v>
          </cell>
          <cell r="X681">
            <v>300</v>
          </cell>
          <cell r="Y681">
            <v>300</v>
          </cell>
          <cell r="AJ681">
            <v>600</v>
          </cell>
          <cell r="AW681">
            <v>0</v>
          </cell>
        </row>
        <row r="682">
          <cell r="B682">
            <v>4320</v>
          </cell>
          <cell r="C682" t="str">
            <v>LD_68_</v>
          </cell>
          <cell r="D682" t="str">
            <v>Rancho Landero No. 68</v>
          </cell>
          <cell r="E682" t="str">
            <v>Moreno</v>
          </cell>
          <cell r="F682">
            <v>300</v>
          </cell>
          <cell r="G682">
            <v>1</v>
          </cell>
          <cell r="H682">
            <v>600</v>
          </cell>
          <cell r="I682">
            <v>41322</v>
          </cell>
          <cell r="J682">
            <v>0</v>
          </cell>
          <cell r="W682">
            <v>0</v>
          </cell>
          <cell r="X682">
            <v>300</v>
          </cell>
          <cell r="Y682">
            <v>300</v>
          </cell>
          <cell r="AJ682">
            <v>600</v>
          </cell>
          <cell r="AW682">
            <v>0</v>
          </cell>
        </row>
        <row r="683">
          <cell r="B683">
            <v>4321</v>
          </cell>
          <cell r="C683" t="str">
            <v>UP_118_</v>
          </cell>
          <cell r="D683" t="str">
            <v>Rancho Upácuaro No. 118</v>
          </cell>
          <cell r="E683" t="str">
            <v>Siegrist</v>
          </cell>
          <cell r="F683">
            <v>300</v>
          </cell>
          <cell r="G683">
            <v>5</v>
          </cell>
          <cell r="H683">
            <v>20</v>
          </cell>
          <cell r="I683">
            <v>41322</v>
          </cell>
          <cell r="J683" t="str">
            <v>NO SUMA</v>
          </cell>
          <cell r="W683">
            <v>0</v>
          </cell>
          <cell r="AJ683">
            <v>0</v>
          </cell>
          <cell r="AW683">
            <v>0</v>
          </cell>
        </row>
        <row r="684">
          <cell r="B684">
            <v>4322</v>
          </cell>
          <cell r="C684" t="str">
            <v>LD_91_</v>
          </cell>
          <cell r="D684" t="str">
            <v>Rancho Landero No. 91</v>
          </cell>
          <cell r="E684" t="str">
            <v>Llaca</v>
          </cell>
          <cell r="F684">
            <v>300</v>
          </cell>
          <cell r="G684">
            <v>1</v>
          </cell>
          <cell r="H684">
            <v>600</v>
          </cell>
          <cell r="I684">
            <v>41322</v>
          </cell>
          <cell r="J684">
            <v>0</v>
          </cell>
          <cell r="W684">
            <v>0</v>
          </cell>
          <cell r="Y684">
            <v>300</v>
          </cell>
          <cell r="Z684">
            <v>300</v>
          </cell>
          <cell r="AJ684">
            <v>600</v>
          </cell>
          <cell r="AW684">
            <v>0</v>
          </cell>
        </row>
        <row r="685">
          <cell r="B685">
            <v>4323</v>
          </cell>
          <cell r="C685" t="str">
            <v>CL_94_</v>
          </cell>
          <cell r="D685" t="str">
            <v>Rancho La Cuchilla No. 94</v>
          </cell>
          <cell r="E685" t="str">
            <v>Sánchez Márquez</v>
          </cell>
          <cell r="F685">
            <v>300</v>
          </cell>
          <cell r="G685">
            <v>1</v>
          </cell>
          <cell r="H685">
            <v>300</v>
          </cell>
          <cell r="I685">
            <v>41322</v>
          </cell>
          <cell r="J685">
            <v>0</v>
          </cell>
          <cell r="W685">
            <v>0</v>
          </cell>
          <cell r="Y685">
            <v>300</v>
          </cell>
          <cell r="AJ685">
            <v>300</v>
          </cell>
          <cell r="AW685">
            <v>0</v>
          </cell>
        </row>
        <row r="686">
          <cell r="B686">
            <v>4324</v>
          </cell>
          <cell r="C686" t="str">
            <v>EZ_115_</v>
          </cell>
          <cell r="D686" t="str">
            <v>Rancho Estanzuela No. 115</v>
          </cell>
          <cell r="E686" t="str">
            <v>Frías Solórzano</v>
          </cell>
          <cell r="F686">
            <v>200</v>
          </cell>
          <cell r="G686">
            <v>1</v>
          </cell>
          <cell r="H686">
            <v>400</v>
          </cell>
          <cell r="I686">
            <v>41322</v>
          </cell>
          <cell r="J686">
            <v>0</v>
          </cell>
          <cell r="W686">
            <v>0</v>
          </cell>
          <cell r="Y686">
            <v>200</v>
          </cell>
          <cell r="Z686">
            <v>200</v>
          </cell>
          <cell r="AJ686">
            <v>400</v>
          </cell>
          <cell r="AW686">
            <v>0</v>
          </cell>
        </row>
        <row r="687">
          <cell r="B687">
            <v>4325</v>
          </cell>
          <cell r="C687" t="str">
            <v>CL_15_</v>
          </cell>
          <cell r="D687" t="str">
            <v>Rancho La Cuchilla No. 15</v>
          </cell>
          <cell r="E687" t="str">
            <v>Guerrero Ponce</v>
          </cell>
          <cell r="F687">
            <v>300</v>
          </cell>
          <cell r="G687">
            <v>5</v>
          </cell>
          <cell r="H687">
            <v>20</v>
          </cell>
          <cell r="I687">
            <v>41322</v>
          </cell>
          <cell r="J687" t="str">
            <v>NO SUMA</v>
          </cell>
          <cell r="W687">
            <v>0</v>
          </cell>
          <cell r="AJ687">
            <v>0</v>
          </cell>
          <cell r="AW687">
            <v>0</v>
          </cell>
        </row>
        <row r="688">
          <cell r="B688">
            <v>4326</v>
          </cell>
          <cell r="C688" t="str">
            <v>EZ_119_1</v>
          </cell>
          <cell r="D688" t="str">
            <v>Rancho Estanzuela No. 119</v>
          </cell>
          <cell r="E688" t="str">
            <v>López Tovar</v>
          </cell>
          <cell r="F688">
            <v>300</v>
          </cell>
          <cell r="G688">
            <v>1</v>
          </cell>
          <cell r="H688">
            <v>300</v>
          </cell>
          <cell r="I688">
            <v>41322</v>
          </cell>
          <cell r="J688">
            <v>0</v>
          </cell>
          <cell r="W688">
            <v>0</v>
          </cell>
          <cell r="X688">
            <v>300</v>
          </cell>
          <cell r="AJ688">
            <v>300</v>
          </cell>
          <cell r="AW688">
            <v>0</v>
          </cell>
        </row>
        <row r="689">
          <cell r="B689">
            <v>4326</v>
          </cell>
          <cell r="C689" t="str">
            <v>EZ_119_1</v>
          </cell>
          <cell r="D689" t="str">
            <v>Rancho Estanzuela No. 119</v>
          </cell>
          <cell r="E689" t="str">
            <v>López Tovar</v>
          </cell>
          <cell r="F689">
            <v>300</v>
          </cell>
          <cell r="G689">
            <v>5</v>
          </cell>
          <cell r="H689">
            <v>20</v>
          </cell>
          <cell r="I689">
            <v>41322</v>
          </cell>
          <cell r="J689" t="str">
            <v>NO SUMA</v>
          </cell>
          <cell r="W689">
            <v>0</v>
          </cell>
          <cell r="AJ689">
            <v>0</v>
          </cell>
          <cell r="AW689">
            <v>0</v>
          </cell>
        </row>
        <row r="690">
          <cell r="B690">
            <v>4327</v>
          </cell>
          <cell r="C690" t="str">
            <v>LD_89_</v>
          </cell>
          <cell r="D690" t="str">
            <v>Rancho Landero No. 89</v>
          </cell>
          <cell r="E690" t="str">
            <v>Del Pozo Solís</v>
          </cell>
          <cell r="F690">
            <v>300</v>
          </cell>
          <cell r="G690">
            <v>1</v>
          </cell>
          <cell r="H690">
            <v>900</v>
          </cell>
          <cell r="I690">
            <v>41322</v>
          </cell>
          <cell r="J690">
            <v>0</v>
          </cell>
          <cell r="W690">
            <v>0</v>
          </cell>
          <cell r="X690">
            <v>300</v>
          </cell>
          <cell r="Y690">
            <v>300</v>
          </cell>
          <cell r="Z690">
            <v>300</v>
          </cell>
          <cell r="AJ690">
            <v>900</v>
          </cell>
          <cell r="AW690">
            <v>0</v>
          </cell>
        </row>
        <row r="691">
          <cell r="B691">
            <v>4328</v>
          </cell>
          <cell r="C691" t="str">
            <v>EZ_73_</v>
          </cell>
          <cell r="D691" t="str">
            <v>Rancho Estanzuela No. 73</v>
          </cell>
          <cell r="E691" t="str">
            <v>García María del C.</v>
          </cell>
          <cell r="F691">
            <v>300</v>
          </cell>
          <cell r="G691">
            <v>1</v>
          </cell>
          <cell r="H691">
            <v>900</v>
          </cell>
          <cell r="I691">
            <v>41322</v>
          </cell>
          <cell r="J691">
            <v>0</v>
          </cell>
          <cell r="W691">
            <v>0</v>
          </cell>
          <cell r="X691">
            <v>300</v>
          </cell>
          <cell r="Y691">
            <v>300</v>
          </cell>
          <cell r="Z691">
            <v>300</v>
          </cell>
          <cell r="AJ691">
            <v>900</v>
          </cell>
          <cell r="AW691">
            <v>0</v>
          </cell>
        </row>
        <row r="692">
          <cell r="B692">
            <v>4329</v>
          </cell>
          <cell r="C692" t="str">
            <v>EZ_73_</v>
          </cell>
          <cell r="D692" t="str">
            <v>Rancho Estanzuela No. 73</v>
          </cell>
          <cell r="E692" t="str">
            <v>García María del C.</v>
          </cell>
          <cell r="F692">
            <v>300</v>
          </cell>
          <cell r="G692">
            <v>5</v>
          </cell>
          <cell r="H692">
            <v>20</v>
          </cell>
          <cell r="I692">
            <v>41322</v>
          </cell>
          <cell r="J692" t="str">
            <v>NO SUMA</v>
          </cell>
          <cell r="W692">
            <v>0</v>
          </cell>
          <cell r="AJ692">
            <v>0</v>
          </cell>
          <cell r="AW692">
            <v>0</v>
          </cell>
        </row>
        <row r="693">
          <cell r="B693">
            <v>4330</v>
          </cell>
          <cell r="C693" t="str">
            <v>EZ_3_</v>
          </cell>
          <cell r="D693" t="str">
            <v>Rancho Estanzuela No. 3</v>
          </cell>
          <cell r="E693" t="str">
            <v>Villanueva</v>
          </cell>
          <cell r="F693">
            <v>150</v>
          </cell>
          <cell r="G693">
            <v>1</v>
          </cell>
          <cell r="H693">
            <v>450</v>
          </cell>
          <cell r="I693">
            <v>41322</v>
          </cell>
          <cell r="J693">
            <v>0</v>
          </cell>
          <cell r="W693">
            <v>0</v>
          </cell>
          <cell r="Y693">
            <v>150</v>
          </cell>
          <cell r="Z693">
            <v>150</v>
          </cell>
          <cell r="AA693">
            <v>150</v>
          </cell>
          <cell r="AJ693">
            <v>450</v>
          </cell>
          <cell r="AW693">
            <v>0</v>
          </cell>
        </row>
        <row r="694">
          <cell r="B694">
            <v>4331</v>
          </cell>
          <cell r="C694" t="str">
            <v>CL_23_</v>
          </cell>
          <cell r="D694" t="str">
            <v>Rancho La Cuchilla No. 23</v>
          </cell>
          <cell r="E694" t="str">
            <v>Ocampo</v>
          </cell>
          <cell r="F694">
            <v>200</v>
          </cell>
          <cell r="G694">
            <v>1</v>
          </cell>
          <cell r="H694">
            <v>800</v>
          </cell>
          <cell r="I694">
            <v>41322</v>
          </cell>
          <cell r="J694">
            <v>0</v>
          </cell>
          <cell r="V694">
            <v>200</v>
          </cell>
          <cell r="W694">
            <v>200</v>
          </cell>
          <cell r="X694">
            <v>200</v>
          </cell>
          <cell r="Y694">
            <v>200</v>
          </cell>
          <cell r="Z694">
            <v>200</v>
          </cell>
          <cell r="AJ694">
            <v>600</v>
          </cell>
          <cell r="AW694">
            <v>0</v>
          </cell>
        </row>
        <row r="695">
          <cell r="B695">
            <v>4332</v>
          </cell>
          <cell r="C695" t="str">
            <v>EP_22_A</v>
          </cell>
          <cell r="D695" t="str">
            <v>Rancho Estopila No. 22, A</v>
          </cell>
          <cell r="E695" t="str">
            <v>Ayala Carranza</v>
          </cell>
          <cell r="F695">
            <v>150</v>
          </cell>
          <cell r="G695">
            <v>1</v>
          </cell>
          <cell r="H695">
            <v>150</v>
          </cell>
          <cell r="I695">
            <v>41322</v>
          </cell>
          <cell r="J695">
            <v>0</v>
          </cell>
          <cell r="W695">
            <v>0</v>
          </cell>
          <cell r="Y695">
            <v>150</v>
          </cell>
          <cell r="AJ695">
            <v>150</v>
          </cell>
          <cell r="AW695">
            <v>0</v>
          </cell>
        </row>
        <row r="696">
          <cell r="B696">
            <v>4333</v>
          </cell>
          <cell r="C696" t="str">
            <v>ZB_24_</v>
          </cell>
          <cell r="D696" t="str">
            <v>Rancho Zinamba No. 24</v>
          </cell>
          <cell r="E696" t="str">
            <v>Monroy García</v>
          </cell>
          <cell r="F696">
            <v>300</v>
          </cell>
          <cell r="G696">
            <v>1</v>
          </cell>
          <cell r="H696">
            <v>300</v>
          </cell>
          <cell r="I696">
            <v>41322</v>
          </cell>
          <cell r="J696">
            <v>0</v>
          </cell>
          <cell r="W696">
            <v>0</v>
          </cell>
          <cell r="Y696">
            <v>300</v>
          </cell>
          <cell r="AJ696">
            <v>300</v>
          </cell>
          <cell r="AW696">
            <v>0</v>
          </cell>
        </row>
        <row r="697">
          <cell r="B697">
            <v>4334</v>
          </cell>
          <cell r="C697" t="str">
            <v>UP_26_</v>
          </cell>
          <cell r="D697" t="str">
            <v>Rancho Upácuaro No. 26</v>
          </cell>
          <cell r="E697" t="str">
            <v>Salazar</v>
          </cell>
          <cell r="F697">
            <v>300</v>
          </cell>
          <cell r="G697">
            <v>1</v>
          </cell>
          <cell r="H697">
            <v>300</v>
          </cell>
          <cell r="I697">
            <v>41322</v>
          </cell>
          <cell r="J697">
            <v>0</v>
          </cell>
          <cell r="W697">
            <v>0</v>
          </cell>
          <cell r="Y697">
            <v>300</v>
          </cell>
          <cell r="AJ697">
            <v>300</v>
          </cell>
          <cell r="AW697">
            <v>0</v>
          </cell>
        </row>
        <row r="698">
          <cell r="B698">
            <v>4335</v>
          </cell>
          <cell r="C698" t="str">
            <v>CL_107_</v>
          </cell>
          <cell r="D698" t="str">
            <v>Rancho La Cuchilla No. 107</v>
          </cell>
          <cell r="E698" t="str">
            <v>Olivares Rivera</v>
          </cell>
          <cell r="F698">
            <v>300</v>
          </cell>
          <cell r="G698">
            <v>1</v>
          </cell>
          <cell r="H698">
            <v>300</v>
          </cell>
          <cell r="I698">
            <v>41322</v>
          </cell>
          <cell r="J698">
            <v>0</v>
          </cell>
          <cell r="W698">
            <v>0</v>
          </cell>
          <cell r="Y698">
            <v>300</v>
          </cell>
          <cell r="AJ698">
            <v>300</v>
          </cell>
          <cell r="AW698">
            <v>0</v>
          </cell>
        </row>
        <row r="699">
          <cell r="B699">
            <v>4336</v>
          </cell>
          <cell r="C699" t="str">
            <v>CL_7_102</v>
          </cell>
          <cell r="D699" t="str">
            <v>Rancho La Cuchilla No. 7, 102</v>
          </cell>
          <cell r="E699" t="str">
            <v>García Moreno</v>
          </cell>
          <cell r="F699">
            <v>100</v>
          </cell>
          <cell r="G699">
            <v>1</v>
          </cell>
          <cell r="H699">
            <v>100</v>
          </cell>
          <cell r="I699">
            <v>41322</v>
          </cell>
          <cell r="J699">
            <v>0</v>
          </cell>
          <cell r="W699">
            <v>0</v>
          </cell>
          <cell r="Y699">
            <v>100</v>
          </cell>
          <cell r="AJ699">
            <v>100</v>
          </cell>
          <cell r="AW699">
            <v>0</v>
          </cell>
        </row>
        <row r="700">
          <cell r="B700">
            <v>4337</v>
          </cell>
          <cell r="C700" t="str">
            <v>CL_7_202</v>
          </cell>
          <cell r="D700" t="str">
            <v>Rancho La Cuchilla No. 7, 202</v>
          </cell>
          <cell r="E700" t="str">
            <v>Carbajal Zayas</v>
          </cell>
          <cell r="F700">
            <v>100</v>
          </cell>
          <cell r="G700">
            <v>1</v>
          </cell>
          <cell r="H700">
            <v>100</v>
          </cell>
          <cell r="I700">
            <v>41322</v>
          </cell>
          <cell r="J700">
            <v>0</v>
          </cell>
          <cell r="W700">
            <v>0</v>
          </cell>
          <cell r="Y700">
            <v>100</v>
          </cell>
          <cell r="AJ700">
            <v>100</v>
          </cell>
          <cell r="AW700">
            <v>0</v>
          </cell>
        </row>
        <row r="701">
          <cell r="B701">
            <v>4338</v>
          </cell>
          <cell r="C701" t="str">
            <v>LD_8_</v>
          </cell>
          <cell r="D701" t="str">
            <v>Rancho Landero No. 8</v>
          </cell>
          <cell r="E701" t="str">
            <v>Peña Torres</v>
          </cell>
          <cell r="F701">
            <v>250</v>
          </cell>
          <cell r="G701">
            <v>1</v>
          </cell>
          <cell r="H701">
            <v>500</v>
          </cell>
          <cell r="I701">
            <v>41322</v>
          </cell>
          <cell r="J701">
            <v>0</v>
          </cell>
          <cell r="W701">
            <v>0</v>
          </cell>
          <cell r="Y701">
            <v>250</v>
          </cell>
          <cell r="Z701">
            <v>250</v>
          </cell>
          <cell r="AJ701">
            <v>500</v>
          </cell>
          <cell r="AW701">
            <v>0</v>
          </cell>
        </row>
        <row r="702">
          <cell r="B702">
            <v>4339</v>
          </cell>
          <cell r="C702" t="str">
            <v>LD_75_</v>
          </cell>
          <cell r="D702" t="str">
            <v>Rancho Landero No. 75</v>
          </cell>
          <cell r="E702" t="str">
            <v>Villaseñor Hernández</v>
          </cell>
          <cell r="F702">
            <v>300</v>
          </cell>
          <cell r="G702">
            <v>1</v>
          </cell>
          <cell r="H702">
            <v>1200</v>
          </cell>
          <cell r="I702">
            <v>41322</v>
          </cell>
          <cell r="J702">
            <v>0</v>
          </cell>
          <cell r="U702">
            <v>300</v>
          </cell>
          <cell r="V702">
            <v>300</v>
          </cell>
          <cell r="W702">
            <v>600</v>
          </cell>
          <cell r="X702">
            <v>300</v>
          </cell>
          <cell r="Y702">
            <v>300</v>
          </cell>
          <cell r="AJ702">
            <v>600</v>
          </cell>
          <cell r="AW702">
            <v>0</v>
          </cell>
        </row>
        <row r="703">
          <cell r="B703">
            <v>4340</v>
          </cell>
          <cell r="C703" t="str">
            <v>LD_101_</v>
          </cell>
          <cell r="D703" t="str">
            <v>Rancho Landero No. 101</v>
          </cell>
          <cell r="E703" t="str">
            <v>Ramírez</v>
          </cell>
          <cell r="F703">
            <v>300</v>
          </cell>
          <cell r="G703">
            <v>1</v>
          </cell>
          <cell r="H703">
            <v>300</v>
          </cell>
          <cell r="I703">
            <v>41322</v>
          </cell>
          <cell r="J703">
            <v>0</v>
          </cell>
          <cell r="W703">
            <v>0</v>
          </cell>
          <cell r="Y703">
            <v>300</v>
          </cell>
          <cell r="AJ703">
            <v>300</v>
          </cell>
          <cell r="AW703">
            <v>0</v>
          </cell>
        </row>
        <row r="704">
          <cell r="B704">
            <v>4340</v>
          </cell>
          <cell r="C704" t="str">
            <v>LD_101_</v>
          </cell>
          <cell r="D704" t="str">
            <v>Rancho Landero No. 101</v>
          </cell>
          <cell r="E704" t="str">
            <v>Ramírez</v>
          </cell>
          <cell r="F704">
            <v>300</v>
          </cell>
          <cell r="G704">
            <v>5</v>
          </cell>
          <cell r="H704">
            <v>40</v>
          </cell>
          <cell r="I704">
            <v>41322</v>
          </cell>
          <cell r="J704" t="str">
            <v>NO SUMA</v>
          </cell>
          <cell r="W704">
            <v>0</v>
          </cell>
          <cell r="AJ704">
            <v>0</v>
          </cell>
          <cell r="AW704">
            <v>0</v>
          </cell>
        </row>
        <row r="705">
          <cell r="B705">
            <v>4341</v>
          </cell>
          <cell r="C705" t="str">
            <v>LD_33_</v>
          </cell>
          <cell r="D705" t="str">
            <v>Rancho Landero No. 33</v>
          </cell>
          <cell r="E705" t="str">
            <v>González Uribe</v>
          </cell>
          <cell r="F705">
            <v>300</v>
          </cell>
          <cell r="G705">
            <v>1</v>
          </cell>
          <cell r="H705">
            <v>300</v>
          </cell>
          <cell r="I705">
            <v>41322</v>
          </cell>
          <cell r="J705">
            <v>0</v>
          </cell>
          <cell r="W705">
            <v>0</v>
          </cell>
          <cell r="Y705">
            <v>300</v>
          </cell>
          <cell r="AJ705">
            <v>300</v>
          </cell>
          <cell r="AW705">
            <v>0</v>
          </cell>
        </row>
        <row r="706">
          <cell r="B706">
            <v>4342</v>
          </cell>
          <cell r="C706" t="str">
            <v>EZ_99_</v>
          </cell>
          <cell r="D706" t="str">
            <v>Rancho Estanzuela No. 99</v>
          </cell>
          <cell r="E706" t="str">
            <v>García López</v>
          </cell>
          <cell r="F706">
            <v>300</v>
          </cell>
          <cell r="G706">
            <v>1</v>
          </cell>
          <cell r="H706">
            <v>300</v>
          </cell>
          <cell r="I706">
            <v>41322</v>
          </cell>
          <cell r="J706">
            <v>0</v>
          </cell>
          <cell r="W706">
            <v>0</v>
          </cell>
          <cell r="Y706">
            <v>300</v>
          </cell>
          <cell r="AJ706">
            <v>300</v>
          </cell>
          <cell r="AW706">
            <v>0</v>
          </cell>
        </row>
        <row r="707">
          <cell r="B707">
            <v>4343</v>
          </cell>
          <cell r="C707" t="str">
            <v>LD_80_</v>
          </cell>
          <cell r="D707" t="str">
            <v>Rancho Landero No. 80</v>
          </cell>
          <cell r="E707" t="str">
            <v>Villaseñor</v>
          </cell>
          <cell r="F707">
            <v>300</v>
          </cell>
          <cell r="G707">
            <v>1</v>
          </cell>
          <cell r="H707">
            <v>600</v>
          </cell>
          <cell r="I707">
            <v>41322</v>
          </cell>
          <cell r="J707">
            <v>0</v>
          </cell>
          <cell r="W707">
            <v>0</v>
          </cell>
          <cell r="X707">
            <v>300</v>
          </cell>
          <cell r="Y707">
            <v>300</v>
          </cell>
          <cell r="AJ707">
            <v>600</v>
          </cell>
          <cell r="AW707">
            <v>0</v>
          </cell>
        </row>
        <row r="708">
          <cell r="B708">
            <v>4344</v>
          </cell>
          <cell r="C708" t="str">
            <v>ZB_50_</v>
          </cell>
          <cell r="D708" t="str">
            <v>Rancho Zinamba No. 50</v>
          </cell>
          <cell r="E708" t="str">
            <v>Del Castillo</v>
          </cell>
          <cell r="F708">
            <v>300</v>
          </cell>
          <cell r="G708">
            <v>1</v>
          </cell>
          <cell r="H708">
            <v>300</v>
          </cell>
          <cell r="I708">
            <v>41322</v>
          </cell>
          <cell r="J708">
            <v>0</v>
          </cell>
          <cell r="W708">
            <v>0</v>
          </cell>
          <cell r="Y708">
            <v>300</v>
          </cell>
          <cell r="AJ708">
            <v>300</v>
          </cell>
          <cell r="AW708">
            <v>0</v>
          </cell>
        </row>
        <row r="709">
          <cell r="B709">
            <v>4345</v>
          </cell>
          <cell r="C709" t="str">
            <v>LD_73_</v>
          </cell>
          <cell r="D709" t="str">
            <v>Rancho Landero No. 73</v>
          </cell>
          <cell r="E709" t="str">
            <v>Islas Palacios</v>
          </cell>
          <cell r="F709">
            <v>300</v>
          </cell>
          <cell r="G709">
            <v>1</v>
          </cell>
          <cell r="H709">
            <v>300</v>
          </cell>
          <cell r="I709">
            <v>41322</v>
          </cell>
          <cell r="J709">
            <v>0</v>
          </cell>
          <cell r="W709">
            <v>0</v>
          </cell>
          <cell r="Y709">
            <v>300</v>
          </cell>
          <cell r="AJ709">
            <v>300</v>
          </cell>
          <cell r="AW709">
            <v>0</v>
          </cell>
        </row>
        <row r="710">
          <cell r="B710">
            <v>4346</v>
          </cell>
          <cell r="C710" t="str">
            <v>CL_82_</v>
          </cell>
          <cell r="D710" t="str">
            <v>Rancho La Cuchilla No. 82</v>
          </cell>
          <cell r="E710" t="str">
            <v>Cruz</v>
          </cell>
          <cell r="F710">
            <v>300</v>
          </cell>
          <cell r="G710">
            <v>1</v>
          </cell>
          <cell r="H710">
            <v>600</v>
          </cell>
          <cell r="I710">
            <v>41322</v>
          </cell>
          <cell r="J710">
            <v>0</v>
          </cell>
          <cell r="W710">
            <v>0</v>
          </cell>
          <cell r="X710">
            <v>300</v>
          </cell>
          <cell r="Y710">
            <v>300</v>
          </cell>
          <cell r="AJ710">
            <v>600</v>
          </cell>
          <cell r="AW710">
            <v>0</v>
          </cell>
        </row>
        <row r="711">
          <cell r="B711">
            <v>4347</v>
          </cell>
          <cell r="C711" t="str">
            <v>CL_18_</v>
          </cell>
          <cell r="D711" t="str">
            <v>Rancho La Cuchilla No. 18</v>
          </cell>
          <cell r="E711" t="str">
            <v>Aldana Sánchez</v>
          </cell>
          <cell r="F711">
            <v>300</v>
          </cell>
          <cell r="G711">
            <v>1</v>
          </cell>
          <cell r="H711">
            <v>300</v>
          </cell>
          <cell r="I711">
            <v>41322</v>
          </cell>
          <cell r="J711">
            <v>0</v>
          </cell>
          <cell r="W711">
            <v>0</v>
          </cell>
          <cell r="Y711">
            <v>300</v>
          </cell>
          <cell r="AJ711">
            <v>300</v>
          </cell>
          <cell r="AW711">
            <v>0</v>
          </cell>
        </row>
        <row r="712">
          <cell r="B712">
            <v>4348</v>
          </cell>
          <cell r="C712" t="str">
            <v>UP_96_</v>
          </cell>
          <cell r="D712" t="str">
            <v>Rancho Upácuaro No. 96</v>
          </cell>
          <cell r="E712" t="str">
            <v>Daza Gutiérrez</v>
          </cell>
          <cell r="F712">
            <v>300</v>
          </cell>
          <cell r="G712">
            <v>1</v>
          </cell>
          <cell r="H712">
            <v>300</v>
          </cell>
          <cell r="I712">
            <v>41322</v>
          </cell>
          <cell r="J712">
            <v>0</v>
          </cell>
          <cell r="W712">
            <v>0</v>
          </cell>
          <cell r="Y712">
            <v>300</v>
          </cell>
          <cell r="AJ712">
            <v>300</v>
          </cell>
          <cell r="AW712">
            <v>0</v>
          </cell>
        </row>
        <row r="713">
          <cell r="B713">
            <v>4349</v>
          </cell>
          <cell r="C713" t="str">
            <v>UP_88_</v>
          </cell>
          <cell r="D713" t="str">
            <v>Rancho Upácuaro No. 88</v>
          </cell>
          <cell r="E713" t="str">
            <v>Millán Núñez</v>
          </cell>
          <cell r="F713">
            <v>300</v>
          </cell>
          <cell r="G713">
            <v>1</v>
          </cell>
          <cell r="H713">
            <v>300</v>
          </cell>
          <cell r="I713">
            <v>41322</v>
          </cell>
          <cell r="J713">
            <v>0</v>
          </cell>
          <cell r="W713">
            <v>0</v>
          </cell>
          <cell r="Y713">
            <v>300</v>
          </cell>
          <cell r="AJ713">
            <v>300</v>
          </cell>
          <cell r="AW713">
            <v>0</v>
          </cell>
        </row>
        <row r="714">
          <cell r="B714">
            <v>4350</v>
          </cell>
          <cell r="C714" t="str">
            <v>UP_108_</v>
          </cell>
          <cell r="D714" t="str">
            <v>Rancho Upácuaro No. 108</v>
          </cell>
          <cell r="E714" t="str">
            <v>Mejía</v>
          </cell>
          <cell r="F714">
            <v>300</v>
          </cell>
          <cell r="G714">
            <v>1</v>
          </cell>
          <cell r="H714">
            <v>300</v>
          </cell>
          <cell r="I714">
            <v>41323</v>
          </cell>
          <cell r="J714">
            <v>0</v>
          </cell>
          <cell r="W714">
            <v>0</v>
          </cell>
          <cell r="Y714">
            <v>300</v>
          </cell>
          <cell r="AJ714">
            <v>300</v>
          </cell>
          <cell r="AW714">
            <v>0</v>
          </cell>
        </row>
        <row r="715">
          <cell r="B715">
            <v>4351</v>
          </cell>
          <cell r="C715" t="str">
            <v>UP_132_</v>
          </cell>
          <cell r="D715" t="str">
            <v>Rancho Upácuaro No. 132</v>
          </cell>
          <cell r="E715" t="str">
            <v>Tornero Saldaña</v>
          </cell>
          <cell r="F715">
            <v>300</v>
          </cell>
          <cell r="G715">
            <v>1</v>
          </cell>
          <cell r="H715">
            <v>1800</v>
          </cell>
          <cell r="I715">
            <v>41323</v>
          </cell>
          <cell r="J715">
            <v>0</v>
          </cell>
          <cell r="W715">
            <v>0</v>
          </cell>
          <cell r="AC715">
            <v>300</v>
          </cell>
          <cell r="AD715">
            <v>300</v>
          </cell>
          <cell r="AE715">
            <v>300</v>
          </cell>
          <cell r="AF715">
            <v>300</v>
          </cell>
          <cell r="AG715">
            <v>300</v>
          </cell>
          <cell r="AH715">
            <v>300</v>
          </cell>
          <cell r="AJ715">
            <v>1800</v>
          </cell>
          <cell r="AW715">
            <v>0</v>
          </cell>
        </row>
        <row r="716">
          <cell r="B716">
            <v>4352</v>
          </cell>
          <cell r="C716" t="str">
            <v>LD_40_</v>
          </cell>
          <cell r="D716" t="str">
            <v>Rancho Landero No. 40</v>
          </cell>
          <cell r="E716" t="str">
            <v>Almaguer Mireles</v>
          </cell>
          <cell r="F716">
            <v>300</v>
          </cell>
          <cell r="G716">
            <v>1</v>
          </cell>
          <cell r="H716">
            <v>600</v>
          </cell>
          <cell r="I716">
            <v>41326</v>
          </cell>
          <cell r="J716">
            <v>0</v>
          </cell>
          <cell r="W716">
            <v>0</v>
          </cell>
          <cell r="X716">
            <v>300</v>
          </cell>
          <cell r="Y716">
            <v>300</v>
          </cell>
          <cell r="AJ716">
            <v>600</v>
          </cell>
          <cell r="AW716">
            <v>0</v>
          </cell>
        </row>
        <row r="717">
          <cell r="B717">
            <v>4353</v>
          </cell>
          <cell r="C717" t="str">
            <v>CL_111_</v>
          </cell>
          <cell r="D717" t="str">
            <v>Rancho La Cuchilla No. 111</v>
          </cell>
          <cell r="E717" t="str">
            <v>García Santos O.</v>
          </cell>
          <cell r="F717">
            <v>150</v>
          </cell>
          <cell r="G717">
            <v>3</v>
          </cell>
          <cell r="H717">
            <v>150</v>
          </cell>
          <cell r="I717">
            <v>41326</v>
          </cell>
          <cell r="J717" t="str">
            <v>NO SUMA</v>
          </cell>
          <cell r="W717">
            <v>0</v>
          </cell>
          <cell r="AJ717">
            <v>0</v>
          </cell>
          <cell r="AW717">
            <v>0</v>
          </cell>
        </row>
        <row r="718">
          <cell r="B718">
            <v>4354</v>
          </cell>
          <cell r="C718" t="str">
            <v>RV_3_</v>
          </cell>
          <cell r="D718" t="str">
            <v>Rancho Recoveco No. 3</v>
          </cell>
          <cell r="E718" t="str">
            <v>Garduño</v>
          </cell>
          <cell r="F718">
            <v>300</v>
          </cell>
          <cell r="G718">
            <v>1</v>
          </cell>
          <cell r="H718">
            <v>300</v>
          </cell>
          <cell r="I718">
            <v>41326</v>
          </cell>
          <cell r="J718">
            <v>0</v>
          </cell>
          <cell r="W718">
            <v>0</v>
          </cell>
          <cell r="Y718">
            <v>300</v>
          </cell>
          <cell r="AJ718">
            <v>300</v>
          </cell>
          <cell r="AW718">
            <v>0</v>
          </cell>
        </row>
        <row r="719">
          <cell r="B719">
            <v>4355</v>
          </cell>
          <cell r="C719" t="str">
            <v>CL_149_</v>
          </cell>
          <cell r="D719" t="str">
            <v>Rancho La Cuchilla No. 149</v>
          </cell>
          <cell r="E719" t="str">
            <v>Montes Irineos</v>
          </cell>
          <cell r="F719">
            <v>300</v>
          </cell>
          <cell r="G719">
            <v>1</v>
          </cell>
          <cell r="H719">
            <v>1500</v>
          </cell>
          <cell r="I719">
            <v>41327</v>
          </cell>
          <cell r="J719">
            <v>0</v>
          </cell>
          <cell r="W719">
            <v>0</v>
          </cell>
          <cell r="AD719">
            <v>300</v>
          </cell>
          <cell r="AE719">
            <v>300</v>
          </cell>
          <cell r="AF719">
            <v>300</v>
          </cell>
          <cell r="AG719">
            <v>300</v>
          </cell>
          <cell r="AH719">
            <v>300</v>
          </cell>
          <cell r="AJ719">
            <v>1500</v>
          </cell>
          <cell r="AW719">
            <v>0</v>
          </cell>
        </row>
        <row r="720">
          <cell r="B720">
            <v>4356</v>
          </cell>
          <cell r="C720" t="str">
            <v>CL_61_</v>
          </cell>
          <cell r="D720" t="str">
            <v>Rancho La Cuchilla No. 61</v>
          </cell>
          <cell r="E720" t="str">
            <v>Rivera</v>
          </cell>
          <cell r="F720">
            <v>300</v>
          </cell>
          <cell r="G720">
            <v>1</v>
          </cell>
          <cell r="H720">
            <v>900</v>
          </cell>
          <cell r="I720">
            <v>41327</v>
          </cell>
          <cell r="J720">
            <v>0</v>
          </cell>
          <cell r="W720">
            <v>0</v>
          </cell>
          <cell r="X720">
            <v>300</v>
          </cell>
          <cell r="Y720">
            <v>300</v>
          </cell>
          <cell r="Z720">
            <v>300</v>
          </cell>
          <cell r="AJ720">
            <v>900</v>
          </cell>
          <cell r="AW720">
            <v>0</v>
          </cell>
        </row>
        <row r="721">
          <cell r="B721">
            <v>4357</v>
          </cell>
          <cell r="C721" t="str">
            <v>LD_15_</v>
          </cell>
          <cell r="D721" t="str">
            <v>Rancho Landero No. 15</v>
          </cell>
          <cell r="E721" t="str">
            <v>Morales D.</v>
          </cell>
          <cell r="F721">
            <v>300</v>
          </cell>
          <cell r="G721">
            <v>3</v>
          </cell>
          <cell r="H721">
            <v>150</v>
          </cell>
          <cell r="I721">
            <v>41327</v>
          </cell>
          <cell r="J721" t="str">
            <v>NO SUMA</v>
          </cell>
          <cell r="W721">
            <v>0</v>
          </cell>
          <cell r="AJ721">
            <v>0</v>
          </cell>
          <cell r="AW721">
            <v>0</v>
          </cell>
        </row>
        <row r="722">
          <cell r="B722">
            <v>4358</v>
          </cell>
          <cell r="C722" t="str">
            <v>RM_9_A</v>
          </cell>
          <cell r="D722" t="str">
            <v>Rancho Romeral No. 9, A</v>
          </cell>
          <cell r="E722" t="str">
            <v>Quiñones Hernández</v>
          </cell>
          <cell r="F722">
            <v>300</v>
          </cell>
          <cell r="G722">
            <v>1</v>
          </cell>
          <cell r="H722">
            <v>1200</v>
          </cell>
          <cell r="I722">
            <v>41329</v>
          </cell>
          <cell r="J722">
            <v>0</v>
          </cell>
          <cell r="W722">
            <v>0</v>
          </cell>
          <cell r="X722">
            <v>300</v>
          </cell>
          <cell r="Y722">
            <v>300</v>
          </cell>
          <cell r="Z722">
            <v>300</v>
          </cell>
          <cell r="AA722">
            <v>300</v>
          </cell>
          <cell r="AJ722">
            <v>1200</v>
          </cell>
          <cell r="AW722">
            <v>0</v>
          </cell>
        </row>
        <row r="723">
          <cell r="B723">
            <v>4359</v>
          </cell>
          <cell r="C723" t="str">
            <v>RV_179_</v>
          </cell>
          <cell r="D723" t="str">
            <v>Rancho Recoveco No. 179</v>
          </cell>
          <cell r="E723" t="str">
            <v>Flores Delgado</v>
          </cell>
          <cell r="F723">
            <v>300</v>
          </cell>
          <cell r="G723">
            <v>1</v>
          </cell>
          <cell r="H723">
            <v>600</v>
          </cell>
          <cell r="I723">
            <v>41329</v>
          </cell>
          <cell r="J723">
            <v>0</v>
          </cell>
          <cell r="W723">
            <v>0</v>
          </cell>
          <cell r="Y723">
            <v>300</v>
          </cell>
          <cell r="Z723">
            <v>300</v>
          </cell>
          <cell r="AJ723">
            <v>600</v>
          </cell>
          <cell r="AW723">
            <v>0</v>
          </cell>
        </row>
        <row r="724">
          <cell r="B724">
            <v>4360</v>
          </cell>
          <cell r="C724" t="str">
            <v>EZ_49_</v>
          </cell>
          <cell r="D724" t="str">
            <v>Rancho Estanzuela No. 49</v>
          </cell>
          <cell r="E724" t="str">
            <v>Sánchez Zamora</v>
          </cell>
          <cell r="F724">
            <v>300</v>
          </cell>
          <cell r="G724">
            <v>1</v>
          </cell>
          <cell r="H724">
            <v>600</v>
          </cell>
          <cell r="I724">
            <v>41329</v>
          </cell>
          <cell r="J724">
            <v>0</v>
          </cell>
          <cell r="V724">
            <v>300</v>
          </cell>
          <cell r="W724">
            <v>300</v>
          </cell>
          <cell r="X724">
            <v>300</v>
          </cell>
          <cell r="AJ724">
            <v>300</v>
          </cell>
          <cell r="AW724">
            <v>0</v>
          </cell>
        </row>
        <row r="725">
          <cell r="B725">
            <v>4361</v>
          </cell>
          <cell r="C725" t="str">
            <v>LD_42_</v>
          </cell>
          <cell r="D725" t="str">
            <v>Rancho Landero No. 42</v>
          </cell>
          <cell r="E725" t="str">
            <v>Ávila Fidel</v>
          </cell>
          <cell r="F725">
            <v>300</v>
          </cell>
          <cell r="G725">
            <v>2</v>
          </cell>
          <cell r="H725">
            <v>500</v>
          </cell>
          <cell r="I725">
            <v>41329</v>
          </cell>
          <cell r="J725" t="str">
            <v>NO SUMA</v>
          </cell>
          <cell r="W725">
            <v>0</v>
          </cell>
          <cell r="AJ725">
            <v>0</v>
          </cell>
          <cell r="AW725">
            <v>0</v>
          </cell>
        </row>
        <row r="726">
          <cell r="B726">
            <v>4362</v>
          </cell>
          <cell r="C726" t="str">
            <v>ZB_76_</v>
          </cell>
          <cell r="D726" t="str">
            <v>Rancho Zinamba No. 76</v>
          </cell>
          <cell r="E726" t="str">
            <v>Márquez</v>
          </cell>
          <cell r="F726">
            <v>300</v>
          </cell>
          <cell r="G726">
            <v>1</v>
          </cell>
          <cell r="H726">
            <v>600</v>
          </cell>
          <cell r="I726">
            <v>41329</v>
          </cell>
          <cell r="J726">
            <v>0</v>
          </cell>
          <cell r="W726">
            <v>0</v>
          </cell>
          <cell r="X726">
            <v>300</v>
          </cell>
          <cell r="Y726">
            <v>300</v>
          </cell>
          <cell r="AJ726">
            <v>600</v>
          </cell>
          <cell r="AW726">
            <v>0</v>
          </cell>
        </row>
        <row r="727">
          <cell r="B727">
            <v>4363</v>
          </cell>
          <cell r="C727" t="str">
            <v>ZB_76_</v>
          </cell>
          <cell r="D727" t="str">
            <v>Rancho Zinamba No. 76</v>
          </cell>
          <cell r="E727" t="str">
            <v>Márquez</v>
          </cell>
          <cell r="F727">
            <v>300</v>
          </cell>
          <cell r="G727">
            <v>2</v>
          </cell>
          <cell r="H727">
            <v>300</v>
          </cell>
          <cell r="I727">
            <v>41329</v>
          </cell>
          <cell r="J727" t="str">
            <v>NO SUMA</v>
          </cell>
          <cell r="W727">
            <v>0</v>
          </cell>
          <cell r="AJ727">
            <v>0</v>
          </cell>
          <cell r="AW727">
            <v>0</v>
          </cell>
        </row>
        <row r="728">
          <cell r="B728">
            <v>4364</v>
          </cell>
          <cell r="C728" t="str">
            <v>LD_25_</v>
          </cell>
          <cell r="D728" t="str">
            <v>Rancho Landero No. 25</v>
          </cell>
          <cell r="E728" t="str">
            <v>Escamilla Martínez</v>
          </cell>
          <cell r="F728">
            <v>300</v>
          </cell>
          <cell r="G728">
            <v>1</v>
          </cell>
          <cell r="H728">
            <v>300</v>
          </cell>
          <cell r="I728">
            <v>41329</v>
          </cell>
          <cell r="J728">
            <v>0</v>
          </cell>
          <cell r="W728">
            <v>0</v>
          </cell>
          <cell r="X728">
            <v>300</v>
          </cell>
          <cell r="AJ728">
            <v>300</v>
          </cell>
          <cell r="AW728">
            <v>0</v>
          </cell>
        </row>
        <row r="729">
          <cell r="B729">
            <v>4365</v>
          </cell>
          <cell r="C729" t="str">
            <v>UP_65_</v>
          </cell>
          <cell r="D729" t="str">
            <v>Rancho Upácuaro No. 65</v>
          </cell>
          <cell r="E729" t="str">
            <v>Olguín</v>
          </cell>
          <cell r="F729">
            <v>300</v>
          </cell>
          <cell r="G729">
            <v>1</v>
          </cell>
          <cell r="H729">
            <v>300</v>
          </cell>
          <cell r="I729">
            <v>41329</v>
          </cell>
          <cell r="J729">
            <v>0</v>
          </cell>
          <cell r="W729">
            <v>0</v>
          </cell>
          <cell r="Y729">
            <v>300</v>
          </cell>
          <cell r="AJ729">
            <v>300</v>
          </cell>
          <cell r="AW729">
            <v>0</v>
          </cell>
        </row>
        <row r="730">
          <cell r="B730">
            <v>4366</v>
          </cell>
          <cell r="C730" t="str">
            <v>UP_106_</v>
          </cell>
          <cell r="D730" t="str">
            <v>Rancho Upácuaro No. 106</v>
          </cell>
          <cell r="E730" t="str">
            <v>Hernández Sánchez</v>
          </cell>
          <cell r="F730">
            <v>300</v>
          </cell>
          <cell r="G730">
            <v>1</v>
          </cell>
          <cell r="H730">
            <v>600</v>
          </cell>
          <cell r="I730">
            <v>41329</v>
          </cell>
          <cell r="J730">
            <v>0</v>
          </cell>
          <cell r="W730">
            <v>0</v>
          </cell>
          <cell r="X730">
            <v>300</v>
          </cell>
          <cell r="Y730">
            <v>300</v>
          </cell>
          <cell r="AJ730">
            <v>600</v>
          </cell>
          <cell r="AW730">
            <v>0</v>
          </cell>
        </row>
        <row r="731">
          <cell r="B731">
            <v>4366</v>
          </cell>
          <cell r="C731" t="str">
            <v>UP_106_</v>
          </cell>
          <cell r="D731" t="str">
            <v>Rancho Upácuaro No. 106</v>
          </cell>
          <cell r="E731" t="str">
            <v>Hernández Sánchez</v>
          </cell>
          <cell r="F731">
            <v>300</v>
          </cell>
          <cell r="G731">
            <v>2</v>
          </cell>
          <cell r="H731">
            <v>300</v>
          </cell>
          <cell r="I731">
            <v>41329</v>
          </cell>
          <cell r="J731" t="str">
            <v>NO SUMA</v>
          </cell>
          <cell r="W731">
            <v>0</v>
          </cell>
          <cell r="AJ731">
            <v>0</v>
          </cell>
          <cell r="AW731">
            <v>0</v>
          </cell>
        </row>
        <row r="732">
          <cell r="B732">
            <v>4367</v>
          </cell>
          <cell r="C732" t="str">
            <v>ZB_34_</v>
          </cell>
          <cell r="D732" t="str">
            <v>Rancho Zinamba No. 34</v>
          </cell>
          <cell r="E732" t="str">
            <v>Torres Zavala</v>
          </cell>
          <cell r="F732">
            <v>300</v>
          </cell>
          <cell r="G732">
            <v>3</v>
          </cell>
          <cell r="H732">
            <v>150</v>
          </cell>
          <cell r="I732">
            <v>41329</v>
          </cell>
          <cell r="J732" t="str">
            <v>NO SUMA</v>
          </cell>
          <cell r="W732">
            <v>0</v>
          </cell>
          <cell r="AJ732">
            <v>0</v>
          </cell>
          <cell r="AW732">
            <v>0</v>
          </cell>
        </row>
        <row r="733">
          <cell r="B733">
            <v>4368</v>
          </cell>
          <cell r="C733" t="str">
            <v>UP_100_</v>
          </cell>
          <cell r="D733" t="str">
            <v>Rancho Upácuaro No. 100</v>
          </cell>
          <cell r="E733" t="str">
            <v>Mancera Rodríguez</v>
          </cell>
          <cell r="F733">
            <v>300</v>
          </cell>
          <cell r="G733">
            <v>1</v>
          </cell>
          <cell r="H733">
            <v>300</v>
          </cell>
          <cell r="I733">
            <v>41329</v>
          </cell>
          <cell r="J733">
            <v>0</v>
          </cell>
          <cell r="W733">
            <v>0</v>
          </cell>
          <cell r="Z733">
            <v>300</v>
          </cell>
          <cell r="AJ733">
            <v>300</v>
          </cell>
          <cell r="AW733">
            <v>0</v>
          </cell>
        </row>
        <row r="734">
          <cell r="B734">
            <v>4369</v>
          </cell>
          <cell r="C734" t="str">
            <v>UP_116_</v>
          </cell>
          <cell r="D734" t="str">
            <v>Rancho Upácuaro No. 116</v>
          </cell>
          <cell r="E734" t="str">
            <v>García Zamudio</v>
          </cell>
          <cell r="F734">
            <v>300</v>
          </cell>
          <cell r="G734">
            <v>1</v>
          </cell>
          <cell r="H734">
            <v>300</v>
          </cell>
          <cell r="I734">
            <v>41329</v>
          </cell>
          <cell r="J734">
            <v>0</v>
          </cell>
          <cell r="W734">
            <v>0</v>
          </cell>
          <cell r="Y734">
            <v>300</v>
          </cell>
          <cell r="AJ734">
            <v>300</v>
          </cell>
          <cell r="AW734">
            <v>0</v>
          </cell>
        </row>
        <row r="735">
          <cell r="B735">
            <v>4370</v>
          </cell>
          <cell r="C735" t="str">
            <v>EZ_77_</v>
          </cell>
          <cell r="D735" t="str">
            <v>Rancho Estanzuela No. 77</v>
          </cell>
          <cell r="E735" t="str">
            <v>De la Rosa Rico</v>
          </cell>
          <cell r="F735">
            <v>300</v>
          </cell>
          <cell r="G735">
            <v>1</v>
          </cell>
          <cell r="H735">
            <v>600</v>
          </cell>
          <cell r="I735">
            <v>41329</v>
          </cell>
          <cell r="J735">
            <v>0</v>
          </cell>
          <cell r="W735">
            <v>0</v>
          </cell>
          <cell r="X735">
            <v>300</v>
          </cell>
          <cell r="Y735">
            <v>300</v>
          </cell>
          <cell r="AJ735">
            <v>600</v>
          </cell>
          <cell r="AW735">
            <v>0</v>
          </cell>
        </row>
        <row r="736">
          <cell r="B736">
            <v>4370</v>
          </cell>
          <cell r="C736" t="str">
            <v>EZ_77_</v>
          </cell>
          <cell r="D736" t="str">
            <v>Rancho Estanzuela No. 77</v>
          </cell>
          <cell r="E736" t="str">
            <v>De la Rosa Rico</v>
          </cell>
          <cell r="F736">
            <v>300</v>
          </cell>
          <cell r="G736">
            <v>3</v>
          </cell>
          <cell r="H736">
            <v>150</v>
          </cell>
          <cell r="I736">
            <v>41329</v>
          </cell>
          <cell r="J736" t="str">
            <v>NO SUMA</v>
          </cell>
          <cell r="W736">
            <v>0</v>
          </cell>
          <cell r="AJ736">
            <v>0</v>
          </cell>
          <cell r="AW736">
            <v>0</v>
          </cell>
        </row>
        <row r="737">
          <cell r="B737">
            <v>4371</v>
          </cell>
          <cell r="C737" t="str">
            <v>EZ_55_</v>
          </cell>
          <cell r="D737" t="str">
            <v>Rancho Estanzuela No. 55</v>
          </cell>
          <cell r="E737" t="str">
            <v>Rodríguez Acevedo</v>
          </cell>
          <cell r="F737">
            <v>300</v>
          </cell>
          <cell r="G737">
            <v>1</v>
          </cell>
          <cell r="H737">
            <v>600</v>
          </cell>
          <cell r="I737">
            <v>41329</v>
          </cell>
          <cell r="J737">
            <v>0</v>
          </cell>
          <cell r="W737">
            <v>0</v>
          </cell>
          <cell r="Y737">
            <v>300</v>
          </cell>
          <cell r="Z737">
            <v>300</v>
          </cell>
          <cell r="AJ737">
            <v>600</v>
          </cell>
          <cell r="AW737">
            <v>0</v>
          </cell>
        </row>
        <row r="738">
          <cell r="B738">
            <v>4372</v>
          </cell>
          <cell r="C738" t="str">
            <v>UP_14_</v>
          </cell>
          <cell r="D738" t="str">
            <v>Rancho Upácuaro No. 14</v>
          </cell>
          <cell r="E738" t="str">
            <v>Guerrero</v>
          </cell>
          <cell r="F738">
            <v>300</v>
          </cell>
          <cell r="G738">
            <v>1</v>
          </cell>
          <cell r="H738">
            <v>600</v>
          </cell>
          <cell r="I738">
            <v>41329</v>
          </cell>
          <cell r="J738">
            <v>0</v>
          </cell>
          <cell r="V738">
            <v>300</v>
          </cell>
          <cell r="W738">
            <v>300</v>
          </cell>
          <cell r="X738">
            <v>300</v>
          </cell>
          <cell r="AJ738">
            <v>300</v>
          </cell>
          <cell r="AW738">
            <v>0</v>
          </cell>
        </row>
        <row r="739">
          <cell r="B739">
            <v>4373</v>
          </cell>
          <cell r="C739" t="str">
            <v>LD_24_</v>
          </cell>
          <cell r="D739" t="str">
            <v>Rancho Landero No. 24</v>
          </cell>
          <cell r="E739" t="str">
            <v>Vázquez Peralta</v>
          </cell>
          <cell r="F739">
            <v>300</v>
          </cell>
          <cell r="G739">
            <v>1</v>
          </cell>
          <cell r="H739">
            <v>300</v>
          </cell>
          <cell r="I739">
            <v>41329</v>
          </cell>
          <cell r="J739">
            <v>0</v>
          </cell>
          <cell r="W739">
            <v>0</v>
          </cell>
          <cell r="Y739">
            <v>300</v>
          </cell>
          <cell r="AJ739">
            <v>300</v>
          </cell>
          <cell r="AW739">
            <v>0</v>
          </cell>
        </row>
        <row r="740">
          <cell r="B740">
            <v>4374</v>
          </cell>
          <cell r="C740" t="str">
            <v>LD_92_</v>
          </cell>
          <cell r="D740" t="str">
            <v>Rancho Landero No. 92</v>
          </cell>
          <cell r="E740" t="str">
            <v>Ruiz Velasco</v>
          </cell>
          <cell r="F740">
            <v>300</v>
          </cell>
          <cell r="G740">
            <v>1</v>
          </cell>
          <cell r="H740">
            <v>900</v>
          </cell>
          <cell r="I740">
            <v>41329</v>
          </cell>
          <cell r="J740">
            <v>0</v>
          </cell>
          <cell r="W740">
            <v>0</v>
          </cell>
          <cell r="X740">
            <v>300</v>
          </cell>
          <cell r="Y740">
            <v>300</v>
          </cell>
          <cell r="Z740">
            <v>300</v>
          </cell>
          <cell r="AJ740">
            <v>900</v>
          </cell>
          <cell r="AW740">
            <v>0</v>
          </cell>
        </row>
        <row r="741">
          <cell r="B741">
            <v>4375</v>
          </cell>
          <cell r="C741" t="str">
            <v>CL_73_</v>
          </cell>
          <cell r="D741" t="str">
            <v>Rancho La Cuchilla No. 73</v>
          </cell>
          <cell r="E741" t="str">
            <v>Cooper</v>
          </cell>
          <cell r="F741">
            <v>300</v>
          </cell>
          <cell r="G741">
            <v>1</v>
          </cell>
          <cell r="H741">
            <v>600</v>
          </cell>
          <cell r="I741">
            <v>41329</v>
          </cell>
          <cell r="J741">
            <v>0</v>
          </cell>
          <cell r="W741">
            <v>0</v>
          </cell>
          <cell r="X741">
            <v>300</v>
          </cell>
          <cell r="Y741">
            <v>300</v>
          </cell>
          <cell r="AJ741">
            <v>600</v>
          </cell>
          <cell r="AW741">
            <v>0</v>
          </cell>
        </row>
        <row r="742">
          <cell r="B742">
            <v>4376</v>
          </cell>
          <cell r="C742" t="str">
            <v>ZB_36_</v>
          </cell>
          <cell r="D742" t="str">
            <v>Rancho Zinamba No. 36</v>
          </cell>
          <cell r="E742" t="str">
            <v>Rodríguez Ortiz</v>
          </cell>
          <cell r="F742">
            <v>300</v>
          </cell>
          <cell r="G742">
            <v>1</v>
          </cell>
          <cell r="H742">
            <v>300</v>
          </cell>
          <cell r="I742">
            <v>41329</v>
          </cell>
          <cell r="J742">
            <v>0</v>
          </cell>
          <cell r="W742">
            <v>0</v>
          </cell>
          <cell r="Z742">
            <v>300</v>
          </cell>
          <cell r="AJ742">
            <v>300</v>
          </cell>
          <cell r="AW742">
            <v>0</v>
          </cell>
        </row>
        <row r="743">
          <cell r="B743">
            <v>4377</v>
          </cell>
          <cell r="C743" t="str">
            <v>UP_12_</v>
          </cell>
          <cell r="D743" t="str">
            <v>Rancho Upácuaro No. 12</v>
          </cell>
          <cell r="E743" t="str">
            <v>Moreno Chávez</v>
          </cell>
          <cell r="F743">
            <v>300</v>
          </cell>
          <cell r="G743">
            <v>1</v>
          </cell>
          <cell r="H743">
            <v>3300</v>
          </cell>
          <cell r="I743">
            <v>41329</v>
          </cell>
          <cell r="J743">
            <v>0</v>
          </cell>
          <cell r="W743">
            <v>0</v>
          </cell>
          <cell r="X743">
            <v>300</v>
          </cell>
          <cell r="Y743">
            <v>300</v>
          </cell>
          <cell r="Z743">
            <v>300</v>
          </cell>
          <cell r="AA743">
            <v>300</v>
          </cell>
          <cell r="AB743">
            <v>300</v>
          </cell>
          <cell r="AC743">
            <v>300</v>
          </cell>
          <cell r="AD743">
            <v>300</v>
          </cell>
          <cell r="AE743">
            <v>300</v>
          </cell>
          <cell r="AF743">
            <v>300</v>
          </cell>
          <cell r="AG743">
            <v>300</v>
          </cell>
          <cell r="AH743">
            <v>300</v>
          </cell>
          <cell r="AJ743">
            <v>3300</v>
          </cell>
          <cell r="AW743">
            <v>0</v>
          </cell>
        </row>
        <row r="744">
          <cell r="B744">
            <v>4378</v>
          </cell>
          <cell r="C744" t="str">
            <v>LD_22_</v>
          </cell>
          <cell r="D744" t="str">
            <v>Rancho Landero No. 22</v>
          </cell>
          <cell r="E744" t="str">
            <v>Reyes</v>
          </cell>
          <cell r="F744">
            <v>150</v>
          </cell>
          <cell r="G744">
            <v>1</v>
          </cell>
          <cell r="H744">
            <v>150</v>
          </cell>
          <cell r="I744">
            <v>41329</v>
          </cell>
          <cell r="J744">
            <v>0</v>
          </cell>
          <cell r="W744">
            <v>0</v>
          </cell>
          <cell r="Y744">
            <v>150</v>
          </cell>
          <cell r="AJ744">
            <v>150</v>
          </cell>
          <cell r="AW744">
            <v>0</v>
          </cell>
        </row>
        <row r="745">
          <cell r="B745">
            <v>4379</v>
          </cell>
          <cell r="C745" t="str">
            <v>UP_71_</v>
          </cell>
          <cell r="D745" t="str">
            <v>Rancho Upácuaro No. 71</v>
          </cell>
          <cell r="E745" t="str">
            <v>Trejo Méndez</v>
          </cell>
          <cell r="F745">
            <v>300</v>
          </cell>
          <cell r="G745">
            <v>1</v>
          </cell>
          <cell r="H745">
            <v>300</v>
          </cell>
          <cell r="I745">
            <v>41329</v>
          </cell>
          <cell r="J745">
            <v>0</v>
          </cell>
          <cell r="W745">
            <v>0</v>
          </cell>
          <cell r="Z745">
            <v>300</v>
          </cell>
          <cell r="AJ745">
            <v>300</v>
          </cell>
          <cell r="AW745">
            <v>0</v>
          </cell>
        </row>
        <row r="746">
          <cell r="B746">
            <v>4380</v>
          </cell>
          <cell r="C746" t="str">
            <v>LD_87_</v>
          </cell>
          <cell r="D746" t="str">
            <v>Rancho Landero No. 87</v>
          </cell>
          <cell r="E746" t="str">
            <v>Fey Lafferla</v>
          </cell>
          <cell r="F746">
            <v>300</v>
          </cell>
          <cell r="G746">
            <v>1</v>
          </cell>
          <cell r="H746">
            <v>300</v>
          </cell>
          <cell r="I746">
            <v>41329</v>
          </cell>
          <cell r="J746">
            <v>0</v>
          </cell>
          <cell r="W746">
            <v>0</v>
          </cell>
          <cell r="Y746">
            <v>300</v>
          </cell>
          <cell r="AJ746">
            <v>300</v>
          </cell>
          <cell r="AW746">
            <v>0</v>
          </cell>
        </row>
        <row r="747">
          <cell r="B747" t="str">
            <v>s/n</v>
          </cell>
          <cell r="C747" t="str">
            <v>HS_B_</v>
          </cell>
          <cell r="D747" t="str">
            <v>Calzada del Hueso No. B</v>
          </cell>
          <cell r="E747" t="str">
            <v>CARSO</v>
          </cell>
          <cell r="F747">
            <v>1000</v>
          </cell>
          <cell r="G747">
            <v>1</v>
          </cell>
          <cell r="H747">
            <v>1000</v>
          </cell>
          <cell r="I747">
            <v>41333</v>
          </cell>
          <cell r="J747">
            <v>0</v>
          </cell>
          <cell r="W747">
            <v>0</v>
          </cell>
          <cell r="Y747">
            <v>1000</v>
          </cell>
          <cell r="AJ747">
            <v>1000</v>
          </cell>
          <cell r="AW747">
            <v>0</v>
          </cell>
        </row>
        <row r="748">
          <cell r="B748" t="str">
            <v>NÚMERO</v>
          </cell>
          <cell r="C748" t="str">
            <v>CASA</v>
          </cell>
          <cell r="D748" t="str">
            <v>DOMICILIO</v>
          </cell>
          <cell r="E748" t="str">
            <v>FAMILIA</v>
          </cell>
          <cell r="F748" t="str">
            <v>CUOTA</v>
          </cell>
          <cell r="G748" t="str">
            <v>C_ING</v>
          </cell>
          <cell r="H748" t="str">
            <v>IMPORTE</v>
          </cell>
          <cell r="I748" t="str">
            <v>FECHA</v>
          </cell>
          <cell r="J748" t="str">
            <v>CHK</v>
          </cell>
          <cell r="K748" t="str">
            <v>ENE
2012</v>
          </cell>
          <cell r="L748" t="str">
            <v>FEB
2012</v>
          </cell>
          <cell r="M748" t="str">
            <v>MAR
2012</v>
          </cell>
          <cell r="N748" t="str">
            <v>ABR
2012</v>
          </cell>
          <cell r="O748" t="str">
            <v>MAY
2012</v>
          </cell>
          <cell r="P748" t="str">
            <v>JUN
2012</v>
          </cell>
          <cell r="Q748" t="str">
            <v>JUL
2012</v>
          </cell>
          <cell r="R748" t="str">
            <v>AGO
2012</v>
          </cell>
          <cell r="S748" t="str">
            <v>SEP
2012</v>
          </cell>
          <cell r="T748" t="str">
            <v>OCT
2012</v>
          </cell>
          <cell r="U748" t="str">
            <v>NOV
2012</v>
          </cell>
          <cell r="V748" t="str">
            <v>DIC
2012</v>
          </cell>
          <cell r="W748" t="str">
            <v>SUMA
2012</v>
          </cell>
          <cell r="X748" t="str">
            <v>ENE
2013</v>
          </cell>
          <cell r="Y748" t="str">
            <v>FEB
2013</v>
          </cell>
          <cell r="Z748" t="str">
            <v>MAR
2013</v>
          </cell>
          <cell r="AA748" t="str">
            <v>ABR
2013</v>
          </cell>
          <cell r="AB748" t="str">
            <v>MAY
2013</v>
          </cell>
          <cell r="AC748" t="str">
            <v>JUN
2013</v>
          </cell>
          <cell r="AD748" t="str">
            <v>JUL
2013</v>
          </cell>
          <cell r="AE748" t="str">
            <v>AGO
2013</v>
          </cell>
          <cell r="AF748" t="str">
            <v>SEP
2013</v>
          </cell>
          <cell r="AG748" t="str">
            <v>OCT
2013</v>
          </cell>
          <cell r="AH748" t="str">
            <v>NOV
2013</v>
          </cell>
          <cell r="AI748" t="str">
            <v>DIC
2013</v>
          </cell>
          <cell r="AJ748" t="str">
            <v>SUMA
2013</v>
          </cell>
          <cell r="AK748" t="str">
            <v>ENE
2014</v>
          </cell>
          <cell r="AL748" t="str">
            <v>FEB
2014</v>
          </cell>
          <cell r="AM748" t="str">
            <v>MAR
2014</v>
          </cell>
          <cell r="AN748" t="str">
            <v>ABR
2014</v>
          </cell>
          <cell r="AO748" t="str">
            <v>MAY
2014</v>
          </cell>
          <cell r="AP748" t="str">
            <v>JUN
2014</v>
          </cell>
          <cell r="AQ748" t="str">
            <v>JUL
2014</v>
          </cell>
          <cell r="AR748" t="str">
            <v>AGO
2014</v>
          </cell>
          <cell r="AS748" t="str">
            <v>SEP
2014</v>
          </cell>
          <cell r="AT748" t="str">
            <v>OCT
2014</v>
          </cell>
          <cell r="AU748" t="str">
            <v>NOV
2014</v>
          </cell>
          <cell r="AV748" t="str">
            <v>DIC
2014</v>
          </cell>
          <cell r="AW748" t="str">
            <v>SUMA
2014</v>
          </cell>
        </row>
        <row r="749">
          <cell r="B749">
            <v>4381</v>
          </cell>
          <cell r="C749" t="str">
            <v>UP_10_</v>
          </cell>
          <cell r="D749" t="str">
            <v>Rancho Upácuaro No. 10</v>
          </cell>
          <cell r="E749" t="str">
            <v>Fernández García</v>
          </cell>
          <cell r="F749">
            <v>300</v>
          </cell>
          <cell r="G749">
            <v>1</v>
          </cell>
          <cell r="H749">
            <v>300</v>
          </cell>
          <cell r="I749">
            <v>41334</v>
          </cell>
          <cell r="J749">
            <v>0</v>
          </cell>
          <cell r="W749">
            <v>0</v>
          </cell>
          <cell r="Y749">
            <v>300</v>
          </cell>
          <cell r="AJ749">
            <v>300</v>
          </cell>
          <cell r="AW749">
            <v>0</v>
          </cell>
        </row>
        <row r="750">
          <cell r="B750">
            <v>4382</v>
          </cell>
          <cell r="C750" t="str">
            <v>RM_10_B</v>
          </cell>
          <cell r="D750" t="str">
            <v>Rancho Romeral No. 10, B</v>
          </cell>
          <cell r="E750" t="str">
            <v>López Castellano</v>
          </cell>
          <cell r="F750">
            <v>300</v>
          </cell>
          <cell r="G750">
            <v>1</v>
          </cell>
          <cell r="H750">
            <v>300</v>
          </cell>
          <cell r="I750">
            <v>41334</v>
          </cell>
          <cell r="J750">
            <v>0</v>
          </cell>
          <cell r="W750">
            <v>0</v>
          </cell>
          <cell r="Y750">
            <v>300</v>
          </cell>
          <cell r="AJ750">
            <v>300</v>
          </cell>
          <cell r="AW750">
            <v>0</v>
          </cell>
        </row>
        <row r="751">
          <cell r="B751">
            <v>4383</v>
          </cell>
          <cell r="C751" t="str">
            <v>EZ_147_2</v>
          </cell>
          <cell r="D751" t="str">
            <v>Rancho Estanzuela No. 147, 2</v>
          </cell>
          <cell r="E751" t="str">
            <v>Castrejón Ocampo</v>
          </cell>
          <cell r="F751">
            <v>300</v>
          </cell>
          <cell r="G751">
            <v>1</v>
          </cell>
          <cell r="H751">
            <v>600</v>
          </cell>
          <cell r="I751">
            <v>41334</v>
          </cell>
          <cell r="J751">
            <v>0</v>
          </cell>
          <cell r="W751">
            <v>0</v>
          </cell>
          <cell r="X751">
            <v>300</v>
          </cell>
          <cell r="Y751">
            <v>300</v>
          </cell>
          <cell r="AJ751">
            <v>600</v>
          </cell>
          <cell r="AW751">
            <v>0</v>
          </cell>
        </row>
        <row r="752">
          <cell r="B752">
            <v>4384</v>
          </cell>
          <cell r="C752" t="str">
            <v>UP_90_</v>
          </cell>
          <cell r="D752" t="str">
            <v>Rancho Upácuaro No. 90</v>
          </cell>
          <cell r="E752" t="str">
            <v>Moreno Calderón</v>
          </cell>
          <cell r="F752">
            <v>150</v>
          </cell>
          <cell r="G752">
            <v>1</v>
          </cell>
          <cell r="H752">
            <v>450</v>
          </cell>
          <cell r="I752">
            <v>41334</v>
          </cell>
          <cell r="J752">
            <v>0</v>
          </cell>
          <cell r="W752">
            <v>0</v>
          </cell>
          <cell r="X752">
            <v>150</v>
          </cell>
          <cell r="Y752">
            <v>150</v>
          </cell>
          <cell r="Z752">
            <v>150</v>
          </cell>
          <cell r="AJ752">
            <v>450</v>
          </cell>
          <cell r="AW752">
            <v>0</v>
          </cell>
        </row>
        <row r="753">
          <cell r="B753">
            <v>4384</v>
          </cell>
          <cell r="C753" t="str">
            <v>UP_90_</v>
          </cell>
          <cell r="D753" t="str">
            <v>Rancho Upácuaro No. 90</v>
          </cell>
          <cell r="E753" t="str">
            <v>Moreno Calderón</v>
          </cell>
          <cell r="F753">
            <v>150</v>
          </cell>
          <cell r="G753">
            <v>4</v>
          </cell>
          <cell r="H753">
            <v>160</v>
          </cell>
          <cell r="I753">
            <v>41334</v>
          </cell>
          <cell r="J753" t="str">
            <v>NO SUMA</v>
          </cell>
          <cell r="W753">
            <v>0</v>
          </cell>
          <cell r="AJ753">
            <v>0</v>
          </cell>
          <cell r="AW753">
            <v>0</v>
          </cell>
        </row>
        <row r="754">
          <cell r="B754" t="str">
            <v>s/n</v>
          </cell>
          <cell r="C754" t="str">
            <v>EZ_15_A</v>
          </cell>
          <cell r="D754" t="str">
            <v>Rancho Estanzuela No. 15, A</v>
          </cell>
          <cell r="E754" t="str">
            <v>González</v>
          </cell>
          <cell r="F754">
            <v>150</v>
          </cell>
          <cell r="G754">
            <v>1</v>
          </cell>
          <cell r="H754">
            <v>300</v>
          </cell>
          <cell r="I754">
            <v>41334</v>
          </cell>
          <cell r="J754">
            <v>0</v>
          </cell>
          <cell r="W754">
            <v>0</v>
          </cell>
          <cell r="X754">
            <v>150</v>
          </cell>
          <cell r="Y754">
            <v>150</v>
          </cell>
          <cell r="AJ754">
            <v>300</v>
          </cell>
          <cell r="AW754">
            <v>0</v>
          </cell>
        </row>
        <row r="755">
          <cell r="B755">
            <v>4385</v>
          </cell>
          <cell r="C755" t="str">
            <v>UP_87_</v>
          </cell>
          <cell r="D755" t="str">
            <v>Rancho Upácuaro No. 87</v>
          </cell>
          <cell r="E755" t="str">
            <v>Rodríguez Parés</v>
          </cell>
          <cell r="F755">
            <v>300</v>
          </cell>
          <cell r="G755">
            <v>1</v>
          </cell>
          <cell r="H755">
            <v>300</v>
          </cell>
          <cell r="I755">
            <v>41335</v>
          </cell>
          <cell r="J755">
            <v>0</v>
          </cell>
          <cell r="W755">
            <v>0</v>
          </cell>
          <cell r="Z755">
            <v>300</v>
          </cell>
          <cell r="AJ755">
            <v>300</v>
          </cell>
          <cell r="AW755">
            <v>0</v>
          </cell>
        </row>
        <row r="756">
          <cell r="B756">
            <v>4386</v>
          </cell>
          <cell r="C756" t="str">
            <v>LD_47_</v>
          </cell>
          <cell r="D756" t="str">
            <v>Rancho Landero No. 47</v>
          </cell>
          <cell r="E756" t="str">
            <v>García González</v>
          </cell>
          <cell r="F756">
            <v>300</v>
          </cell>
          <cell r="G756">
            <v>1</v>
          </cell>
          <cell r="H756">
            <v>900</v>
          </cell>
          <cell r="I756">
            <v>41336</v>
          </cell>
          <cell r="J756">
            <v>0</v>
          </cell>
          <cell r="W756">
            <v>0</v>
          </cell>
          <cell r="X756">
            <v>300</v>
          </cell>
          <cell r="Y756">
            <v>300</v>
          </cell>
          <cell r="Z756">
            <v>300</v>
          </cell>
          <cell r="AJ756">
            <v>900</v>
          </cell>
          <cell r="AW756">
            <v>0</v>
          </cell>
        </row>
        <row r="757">
          <cell r="B757">
            <v>4387</v>
          </cell>
          <cell r="C757" t="str">
            <v>LD_18_</v>
          </cell>
          <cell r="D757" t="str">
            <v>Rancho Landero No. 18</v>
          </cell>
          <cell r="E757" t="str">
            <v>Rosado</v>
          </cell>
          <cell r="F757">
            <v>250</v>
          </cell>
          <cell r="G757">
            <v>1</v>
          </cell>
          <cell r="H757">
            <v>250</v>
          </cell>
          <cell r="I757">
            <v>41336</v>
          </cell>
          <cell r="J757">
            <v>0</v>
          </cell>
          <cell r="W757">
            <v>0</v>
          </cell>
          <cell r="Z757">
            <v>250</v>
          </cell>
          <cell r="AJ757">
            <v>250</v>
          </cell>
          <cell r="AW757">
            <v>0</v>
          </cell>
        </row>
        <row r="758">
          <cell r="B758">
            <v>4388</v>
          </cell>
          <cell r="C758" t="str">
            <v>UP_120_</v>
          </cell>
          <cell r="D758" t="str">
            <v>Rancho Upácuaro No. 120</v>
          </cell>
          <cell r="E758" t="str">
            <v>Rayas Rivera</v>
          </cell>
          <cell r="F758">
            <v>300</v>
          </cell>
          <cell r="G758">
            <v>1</v>
          </cell>
          <cell r="H758">
            <v>300</v>
          </cell>
          <cell r="I758">
            <v>41336</v>
          </cell>
          <cell r="J758">
            <v>0</v>
          </cell>
          <cell r="W758">
            <v>0</v>
          </cell>
          <cell r="Z758">
            <v>300</v>
          </cell>
          <cell r="AJ758">
            <v>300</v>
          </cell>
          <cell r="AW758">
            <v>0</v>
          </cell>
        </row>
        <row r="759">
          <cell r="B759">
            <v>4389</v>
          </cell>
          <cell r="C759" t="str">
            <v>UP_21_</v>
          </cell>
          <cell r="D759" t="str">
            <v>Rancho Upácuaro No. 21</v>
          </cell>
          <cell r="E759" t="str">
            <v>Fierro Betancourt</v>
          </cell>
          <cell r="F759">
            <v>150</v>
          </cell>
          <cell r="G759">
            <v>1</v>
          </cell>
          <cell r="H759">
            <v>150</v>
          </cell>
          <cell r="I759">
            <v>41336</v>
          </cell>
          <cell r="J759">
            <v>0</v>
          </cell>
          <cell r="W759">
            <v>0</v>
          </cell>
          <cell r="Y759">
            <v>150</v>
          </cell>
          <cell r="AJ759">
            <v>150</v>
          </cell>
          <cell r="AW759">
            <v>0</v>
          </cell>
        </row>
        <row r="760">
          <cell r="B760">
            <v>4390</v>
          </cell>
          <cell r="C760" t="str">
            <v>CL_93_</v>
          </cell>
          <cell r="D760" t="str">
            <v>Rancho La Cuchilla No. 93</v>
          </cell>
          <cell r="E760" t="str">
            <v>Alcántara Silva</v>
          </cell>
          <cell r="F760">
            <v>300</v>
          </cell>
          <cell r="G760">
            <v>1</v>
          </cell>
          <cell r="H760">
            <v>300</v>
          </cell>
          <cell r="I760">
            <v>41336</v>
          </cell>
          <cell r="J760">
            <v>0</v>
          </cell>
          <cell r="W760">
            <v>0</v>
          </cell>
          <cell r="Z760">
            <v>300</v>
          </cell>
          <cell r="AJ760">
            <v>300</v>
          </cell>
          <cell r="AW760">
            <v>0</v>
          </cell>
        </row>
        <row r="761">
          <cell r="B761">
            <v>4391</v>
          </cell>
          <cell r="C761" t="str">
            <v>EZ_49_</v>
          </cell>
          <cell r="D761" t="str">
            <v>Rancho Estanzuela No. 49</v>
          </cell>
          <cell r="E761" t="str">
            <v>Sánchez Zamora</v>
          </cell>
          <cell r="F761">
            <v>300</v>
          </cell>
          <cell r="G761">
            <v>3</v>
          </cell>
          <cell r="H761">
            <v>150</v>
          </cell>
          <cell r="I761">
            <v>41336</v>
          </cell>
          <cell r="J761" t="str">
            <v>NO SUMA</v>
          </cell>
          <cell r="W761">
            <v>0</v>
          </cell>
          <cell r="AJ761">
            <v>0</v>
          </cell>
          <cell r="AW761">
            <v>0</v>
          </cell>
        </row>
        <row r="762">
          <cell r="B762">
            <v>4392</v>
          </cell>
          <cell r="C762" t="str">
            <v>RV_173_</v>
          </cell>
          <cell r="D762" t="str">
            <v>Rancho Recoveco No. 173</v>
          </cell>
          <cell r="E762" t="str">
            <v>Velarde</v>
          </cell>
          <cell r="F762">
            <v>300</v>
          </cell>
          <cell r="G762">
            <v>1</v>
          </cell>
          <cell r="H762">
            <v>300</v>
          </cell>
          <cell r="I762">
            <v>41336</v>
          </cell>
          <cell r="J762">
            <v>0</v>
          </cell>
          <cell r="W762">
            <v>0</v>
          </cell>
          <cell r="Z762">
            <v>300</v>
          </cell>
          <cell r="AJ762">
            <v>300</v>
          </cell>
          <cell r="AW762">
            <v>0</v>
          </cell>
        </row>
        <row r="763">
          <cell r="B763">
            <v>4393</v>
          </cell>
          <cell r="C763" t="str">
            <v>UP_114_</v>
          </cell>
          <cell r="D763" t="str">
            <v>Rancho Upácuaro No. 114</v>
          </cell>
          <cell r="E763" t="str">
            <v>Hernández Cornejo</v>
          </cell>
          <cell r="F763">
            <v>300</v>
          </cell>
          <cell r="G763">
            <v>1</v>
          </cell>
          <cell r="H763">
            <v>600</v>
          </cell>
          <cell r="I763">
            <v>41336</v>
          </cell>
          <cell r="J763">
            <v>0</v>
          </cell>
          <cell r="W763">
            <v>0</v>
          </cell>
          <cell r="Y763">
            <v>300</v>
          </cell>
          <cell r="Z763">
            <v>300</v>
          </cell>
          <cell r="AJ763">
            <v>600</v>
          </cell>
          <cell r="AW763">
            <v>0</v>
          </cell>
        </row>
        <row r="764">
          <cell r="B764">
            <v>4394</v>
          </cell>
          <cell r="C764" t="str">
            <v>CL_139_</v>
          </cell>
          <cell r="D764" t="str">
            <v>Rancho La Cuchilla No. 139</v>
          </cell>
          <cell r="E764" t="str">
            <v>Gloria García</v>
          </cell>
          <cell r="F764">
            <v>200</v>
          </cell>
          <cell r="G764">
            <v>1</v>
          </cell>
          <cell r="H764">
            <v>200</v>
          </cell>
          <cell r="I764">
            <v>41336</v>
          </cell>
          <cell r="J764">
            <v>0</v>
          </cell>
          <cell r="W764">
            <v>0</v>
          </cell>
          <cell r="Z764">
            <v>200</v>
          </cell>
          <cell r="AJ764">
            <v>200</v>
          </cell>
          <cell r="AW764">
            <v>0</v>
          </cell>
        </row>
        <row r="765">
          <cell r="B765">
            <v>4395</v>
          </cell>
          <cell r="C765" t="str">
            <v>LD_64_</v>
          </cell>
          <cell r="D765" t="str">
            <v>Rancho Landero No. 64</v>
          </cell>
          <cell r="E765" t="str">
            <v>Ocampo Melchor</v>
          </cell>
          <cell r="F765">
            <v>300</v>
          </cell>
          <cell r="G765">
            <v>1</v>
          </cell>
          <cell r="H765">
            <v>600</v>
          </cell>
          <cell r="I765">
            <v>41336</v>
          </cell>
          <cell r="J765">
            <v>0</v>
          </cell>
          <cell r="U765">
            <v>300</v>
          </cell>
          <cell r="V765">
            <v>300</v>
          </cell>
          <cell r="W765">
            <v>600</v>
          </cell>
          <cell r="AJ765">
            <v>0</v>
          </cell>
          <cell r="AW765">
            <v>0</v>
          </cell>
        </row>
        <row r="766">
          <cell r="B766">
            <v>4396</v>
          </cell>
          <cell r="C766" t="str">
            <v>CL_97_</v>
          </cell>
          <cell r="D766" t="str">
            <v>Rancho La Cuchilla No. 97</v>
          </cell>
          <cell r="E766" t="str">
            <v>López Ruiz</v>
          </cell>
          <cell r="F766">
            <v>300</v>
          </cell>
          <cell r="G766">
            <v>1</v>
          </cell>
          <cell r="H766">
            <v>300</v>
          </cell>
          <cell r="I766">
            <v>41336</v>
          </cell>
          <cell r="J766">
            <v>0</v>
          </cell>
          <cell r="W766">
            <v>0</v>
          </cell>
          <cell r="Y766">
            <v>300</v>
          </cell>
          <cell r="AJ766">
            <v>300</v>
          </cell>
          <cell r="AW766">
            <v>0</v>
          </cell>
        </row>
        <row r="767">
          <cell r="B767">
            <v>4397</v>
          </cell>
          <cell r="C767" t="str">
            <v>LD_83_</v>
          </cell>
          <cell r="D767" t="str">
            <v>Rancho Landero No. 83</v>
          </cell>
          <cell r="E767" t="str">
            <v>Aguilar</v>
          </cell>
          <cell r="F767">
            <v>300</v>
          </cell>
          <cell r="G767">
            <v>1</v>
          </cell>
          <cell r="H767">
            <v>300</v>
          </cell>
          <cell r="I767">
            <v>41336</v>
          </cell>
          <cell r="J767">
            <v>0</v>
          </cell>
          <cell r="W767">
            <v>0</v>
          </cell>
          <cell r="Z767">
            <v>300</v>
          </cell>
          <cell r="AJ767">
            <v>300</v>
          </cell>
          <cell r="AW767">
            <v>0</v>
          </cell>
        </row>
        <row r="768">
          <cell r="B768">
            <v>4398</v>
          </cell>
          <cell r="D768" t="str">
            <v/>
          </cell>
          <cell r="E768" t="str">
            <v/>
          </cell>
          <cell r="F768" t="str">
            <v/>
          </cell>
          <cell r="G768">
            <v>8</v>
          </cell>
          <cell r="I768">
            <v>41336</v>
          </cell>
          <cell r="J768" t="str">
            <v>NO SUMA</v>
          </cell>
          <cell r="W768">
            <v>0</v>
          </cell>
          <cell r="AJ768">
            <v>0</v>
          </cell>
          <cell r="AW768">
            <v>0</v>
          </cell>
        </row>
        <row r="769">
          <cell r="B769">
            <v>4399</v>
          </cell>
          <cell r="C769" t="str">
            <v>LD_80_</v>
          </cell>
          <cell r="D769" t="str">
            <v>Rancho Landero No. 80</v>
          </cell>
          <cell r="E769" t="str">
            <v>Villaseñor</v>
          </cell>
          <cell r="F769">
            <v>300</v>
          </cell>
          <cell r="G769">
            <v>1</v>
          </cell>
          <cell r="H769">
            <v>300</v>
          </cell>
          <cell r="I769">
            <v>41336</v>
          </cell>
          <cell r="J769">
            <v>0</v>
          </cell>
          <cell r="W769">
            <v>0</v>
          </cell>
          <cell r="Z769">
            <v>300</v>
          </cell>
          <cell r="AJ769">
            <v>300</v>
          </cell>
          <cell r="AW769">
            <v>0</v>
          </cell>
        </row>
        <row r="770">
          <cell r="B770">
            <v>4400</v>
          </cell>
          <cell r="C770" t="str">
            <v>CL_72_</v>
          </cell>
          <cell r="D770" t="str">
            <v>Rancho La Cuchilla No. 72</v>
          </cell>
          <cell r="E770" t="str">
            <v>Ortiz González</v>
          </cell>
          <cell r="F770">
            <v>300</v>
          </cell>
          <cell r="G770">
            <v>1</v>
          </cell>
          <cell r="H770">
            <v>300</v>
          </cell>
          <cell r="I770">
            <v>41336</v>
          </cell>
          <cell r="J770">
            <v>0</v>
          </cell>
          <cell r="W770">
            <v>0</v>
          </cell>
          <cell r="Z770">
            <v>300</v>
          </cell>
          <cell r="AJ770">
            <v>300</v>
          </cell>
          <cell r="AW770">
            <v>0</v>
          </cell>
        </row>
        <row r="771">
          <cell r="B771">
            <v>4401</v>
          </cell>
          <cell r="C771" t="str">
            <v>RV_173_</v>
          </cell>
          <cell r="D771" t="str">
            <v>Rancho Recoveco No. 173</v>
          </cell>
          <cell r="E771" t="str">
            <v>Velarde</v>
          </cell>
          <cell r="F771">
            <v>300</v>
          </cell>
          <cell r="G771">
            <v>1</v>
          </cell>
          <cell r="H771">
            <v>300</v>
          </cell>
          <cell r="I771">
            <v>41336</v>
          </cell>
          <cell r="J771">
            <v>0</v>
          </cell>
          <cell r="W771">
            <v>0</v>
          </cell>
          <cell r="Y771">
            <v>300</v>
          </cell>
          <cell r="AJ771">
            <v>300</v>
          </cell>
          <cell r="AW771">
            <v>0</v>
          </cell>
        </row>
        <row r="772">
          <cell r="B772">
            <v>4402</v>
          </cell>
          <cell r="C772" t="str">
            <v>LD_76_</v>
          </cell>
          <cell r="D772" t="str">
            <v>Rancho Landero No. 76</v>
          </cell>
          <cell r="E772" t="str">
            <v>Ugarte</v>
          </cell>
          <cell r="F772">
            <v>300</v>
          </cell>
          <cell r="G772">
            <v>1</v>
          </cell>
          <cell r="H772">
            <v>300</v>
          </cell>
          <cell r="I772">
            <v>41336</v>
          </cell>
          <cell r="J772">
            <v>0</v>
          </cell>
          <cell r="W772">
            <v>0</v>
          </cell>
          <cell r="Z772">
            <v>300</v>
          </cell>
          <cell r="AJ772">
            <v>300</v>
          </cell>
          <cell r="AW772">
            <v>0</v>
          </cell>
        </row>
        <row r="773">
          <cell r="B773">
            <v>4403</v>
          </cell>
          <cell r="C773" t="str">
            <v>RV_175_0</v>
          </cell>
          <cell r="D773" t="str">
            <v>Rancho Recoveco No. 175</v>
          </cell>
          <cell r="E773" t="str">
            <v>Ramírez</v>
          </cell>
          <cell r="F773">
            <v>300</v>
          </cell>
          <cell r="G773">
            <v>1</v>
          </cell>
          <cell r="H773">
            <v>300</v>
          </cell>
          <cell r="I773">
            <v>41336</v>
          </cell>
          <cell r="J773">
            <v>0</v>
          </cell>
          <cell r="W773">
            <v>0</v>
          </cell>
          <cell r="Z773">
            <v>300</v>
          </cell>
          <cell r="AJ773">
            <v>300</v>
          </cell>
          <cell r="AW773">
            <v>0</v>
          </cell>
        </row>
        <row r="774">
          <cell r="B774">
            <v>4404</v>
          </cell>
          <cell r="C774" t="str">
            <v>UP_93_</v>
          </cell>
          <cell r="D774" t="str">
            <v>Rancho Upácuaro No. 93</v>
          </cell>
          <cell r="E774" t="str">
            <v>Valdés</v>
          </cell>
          <cell r="F774">
            <v>300</v>
          </cell>
          <cell r="G774">
            <v>1</v>
          </cell>
          <cell r="H774">
            <v>300</v>
          </cell>
          <cell r="I774">
            <v>41336</v>
          </cell>
          <cell r="J774">
            <v>0</v>
          </cell>
          <cell r="W774">
            <v>0</v>
          </cell>
          <cell r="Z774">
            <v>300</v>
          </cell>
          <cell r="AJ774">
            <v>300</v>
          </cell>
          <cell r="AW774">
            <v>0</v>
          </cell>
        </row>
        <row r="775">
          <cell r="B775">
            <v>4405</v>
          </cell>
          <cell r="C775" t="str">
            <v>ZB_68_</v>
          </cell>
          <cell r="D775" t="str">
            <v>Rancho Zinamba No. 68</v>
          </cell>
          <cell r="E775" t="str">
            <v>Rivera Villicaña</v>
          </cell>
          <cell r="F775">
            <v>300</v>
          </cell>
          <cell r="G775">
            <v>1</v>
          </cell>
          <cell r="H775">
            <v>300</v>
          </cell>
          <cell r="I775">
            <v>41336</v>
          </cell>
          <cell r="J775">
            <v>0</v>
          </cell>
          <cell r="W775">
            <v>0</v>
          </cell>
          <cell r="Z775">
            <v>300</v>
          </cell>
          <cell r="AJ775">
            <v>300</v>
          </cell>
          <cell r="AW775">
            <v>0</v>
          </cell>
        </row>
        <row r="776">
          <cell r="B776">
            <v>4406</v>
          </cell>
          <cell r="C776" t="str">
            <v>ZB_44_</v>
          </cell>
          <cell r="D776" t="str">
            <v>Rancho Zinamba No. 44</v>
          </cell>
          <cell r="E776" t="str">
            <v>Canales</v>
          </cell>
          <cell r="F776">
            <v>300</v>
          </cell>
          <cell r="G776">
            <v>1</v>
          </cell>
          <cell r="H776">
            <v>300</v>
          </cell>
          <cell r="I776">
            <v>41336</v>
          </cell>
          <cell r="J776">
            <v>0</v>
          </cell>
          <cell r="W776">
            <v>0</v>
          </cell>
          <cell r="Z776">
            <v>300</v>
          </cell>
          <cell r="AJ776">
            <v>300</v>
          </cell>
          <cell r="AW776">
            <v>0</v>
          </cell>
        </row>
        <row r="777">
          <cell r="B777">
            <v>4407</v>
          </cell>
          <cell r="C777" t="str">
            <v>CL_45_</v>
          </cell>
          <cell r="D777" t="str">
            <v>Rancho La Cuchilla No. 45</v>
          </cell>
          <cell r="E777" t="str">
            <v>Estévez Hernández</v>
          </cell>
          <cell r="F777">
            <v>300</v>
          </cell>
          <cell r="G777">
            <v>1</v>
          </cell>
          <cell r="H777">
            <v>300</v>
          </cell>
          <cell r="I777">
            <v>41336</v>
          </cell>
          <cell r="J777">
            <v>0</v>
          </cell>
          <cell r="W777">
            <v>0</v>
          </cell>
          <cell r="Z777">
            <v>300</v>
          </cell>
          <cell r="AJ777">
            <v>300</v>
          </cell>
          <cell r="AW777">
            <v>0</v>
          </cell>
        </row>
        <row r="778">
          <cell r="B778">
            <v>4408</v>
          </cell>
          <cell r="C778" t="str">
            <v>UP_101_</v>
          </cell>
          <cell r="D778" t="str">
            <v>Rancho Upácuaro No. 101</v>
          </cell>
          <cell r="E778" t="str">
            <v>Chávez, Arturo</v>
          </cell>
          <cell r="F778">
            <v>300</v>
          </cell>
          <cell r="G778">
            <v>1</v>
          </cell>
          <cell r="H778">
            <v>300</v>
          </cell>
          <cell r="I778">
            <v>41336</v>
          </cell>
          <cell r="J778">
            <v>0</v>
          </cell>
          <cell r="W778">
            <v>0</v>
          </cell>
          <cell r="Z778">
            <v>300</v>
          </cell>
          <cell r="AJ778">
            <v>300</v>
          </cell>
          <cell r="AW778">
            <v>0</v>
          </cell>
        </row>
        <row r="779">
          <cell r="B779">
            <v>4409</v>
          </cell>
          <cell r="C779" t="str">
            <v>UP_101_</v>
          </cell>
          <cell r="D779" t="str">
            <v>Rancho Upácuaro No. 101</v>
          </cell>
          <cell r="E779" t="str">
            <v>Chávez, Arturo</v>
          </cell>
          <cell r="F779">
            <v>300</v>
          </cell>
          <cell r="G779">
            <v>1</v>
          </cell>
          <cell r="H779">
            <v>300</v>
          </cell>
          <cell r="I779">
            <v>41336</v>
          </cell>
          <cell r="J779">
            <v>0</v>
          </cell>
          <cell r="W779">
            <v>0</v>
          </cell>
          <cell r="AA779">
            <v>300</v>
          </cell>
          <cell r="AJ779">
            <v>300</v>
          </cell>
          <cell r="AW779">
            <v>0</v>
          </cell>
        </row>
        <row r="780">
          <cell r="B780">
            <v>4410</v>
          </cell>
          <cell r="C780" t="str">
            <v>UP_140_</v>
          </cell>
          <cell r="D780" t="str">
            <v>Rancho Upácuaro No. 140</v>
          </cell>
          <cell r="E780" t="str">
            <v>Gozain</v>
          </cell>
          <cell r="F780">
            <v>300</v>
          </cell>
          <cell r="G780">
            <v>1</v>
          </cell>
          <cell r="H780">
            <v>300</v>
          </cell>
          <cell r="I780">
            <v>41336</v>
          </cell>
          <cell r="J780">
            <v>0</v>
          </cell>
          <cell r="W780">
            <v>0</v>
          </cell>
          <cell r="Z780">
            <v>300</v>
          </cell>
          <cell r="AJ780">
            <v>300</v>
          </cell>
          <cell r="AW780">
            <v>0</v>
          </cell>
        </row>
        <row r="781">
          <cell r="B781">
            <v>4411</v>
          </cell>
          <cell r="C781" t="str">
            <v>CL_43_B</v>
          </cell>
          <cell r="D781" t="str">
            <v>Rancho La Cuchilla No. 43, B</v>
          </cell>
          <cell r="E781" t="str">
            <v>Luna Albertano</v>
          </cell>
          <cell r="F781">
            <v>125</v>
          </cell>
          <cell r="G781">
            <v>1</v>
          </cell>
          <cell r="H781">
            <v>125</v>
          </cell>
          <cell r="I781">
            <v>41336</v>
          </cell>
          <cell r="J781">
            <v>0</v>
          </cell>
          <cell r="W781">
            <v>0</v>
          </cell>
          <cell r="Z781">
            <v>125</v>
          </cell>
          <cell r="AJ781">
            <v>125</v>
          </cell>
          <cell r="AW781">
            <v>0</v>
          </cell>
        </row>
        <row r="782">
          <cell r="B782">
            <v>4412</v>
          </cell>
          <cell r="C782" t="str">
            <v>CL_131_</v>
          </cell>
          <cell r="D782" t="str">
            <v>Rancho La Cuchilla No. 131</v>
          </cell>
          <cell r="E782" t="str">
            <v>Cabrera Esc.</v>
          </cell>
          <cell r="F782">
            <v>300</v>
          </cell>
          <cell r="G782">
            <v>1</v>
          </cell>
          <cell r="H782">
            <v>600</v>
          </cell>
          <cell r="I782">
            <v>41336</v>
          </cell>
          <cell r="J782">
            <v>0</v>
          </cell>
          <cell r="W782">
            <v>0</v>
          </cell>
          <cell r="Z782">
            <v>300</v>
          </cell>
          <cell r="AA782">
            <v>300</v>
          </cell>
          <cell r="AJ782">
            <v>600</v>
          </cell>
          <cell r="AW782">
            <v>0</v>
          </cell>
        </row>
        <row r="783">
          <cell r="B783">
            <v>4413</v>
          </cell>
          <cell r="C783" t="str">
            <v>CL_95_</v>
          </cell>
          <cell r="D783" t="str">
            <v>Rancho La Cuchilla No. 95</v>
          </cell>
          <cell r="E783" t="str">
            <v>Gutiérrez Sánchez</v>
          </cell>
          <cell r="F783">
            <v>300</v>
          </cell>
          <cell r="G783">
            <v>1</v>
          </cell>
          <cell r="H783">
            <v>900</v>
          </cell>
          <cell r="I783">
            <v>41336</v>
          </cell>
          <cell r="J783">
            <v>0</v>
          </cell>
          <cell r="W783">
            <v>0</v>
          </cell>
          <cell r="Z783">
            <v>300</v>
          </cell>
          <cell r="AA783">
            <v>300</v>
          </cell>
          <cell r="AB783">
            <v>300</v>
          </cell>
          <cell r="AJ783">
            <v>900</v>
          </cell>
          <cell r="AW783">
            <v>0</v>
          </cell>
        </row>
        <row r="784">
          <cell r="B784">
            <v>4414</v>
          </cell>
          <cell r="C784" t="str">
            <v>EZ_149_</v>
          </cell>
          <cell r="D784" t="str">
            <v>Rancho Estanzuela No. 149</v>
          </cell>
          <cell r="E784" t="str">
            <v>Sala</v>
          </cell>
          <cell r="F784">
            <v>300</v>
          </cell>
          <cell r="G784">
            <v>1</v>
          </cell>
          <cell r="H784">
            <v>600</v>
          </cell>
          <cell r="I784">
            <v>41336</v>
          </cell>
          <cell r="J784">
            <v>0</v>
          </cell>
          <cell r="W784">
            <v>0</v>
          </cell>
          <cell r="AA784">
            <v>300</v>
          </cell>
          <cell r="AB784">
            <v>300</v>
          </cell>
          <cell r="AJ784">
            <v>600</v>
          </cell>
          <cell r="AW784">
            <v>0</v>
          </cell>
        </row>
        <row r="785">
          <cell r="B785">
            <v>4415</v>
          </cell>
          <cell r="C785" t="str">
            <v>CL_59_</v>
          </cell>
          <cell r="D785" t="str">
            <v>Rancho La Cuchilla No. 59</v>
          </cell>
          <cell r="E785" t="str">
            <v>Ortega Vega</v>
          </cell>
          <cell r="F785">
            <v>300</v>
          </cell>
          <cell r="G785">
            <v>1</v>
          </cell>
          <cell r="H785">
            <v>300</v>
          </cell>
          <cell r="I785">
            <v>41336</v>
          </cell>
          <cell r="J785">
            <v>0</v>
          </cell>
          <cell r="W785">
            <v>0</v>
          </cell>
          <cell r="Z785">
            <v>300</v>
          </cell>
          <cell r="AJ785">
            <v>300</v>
          </cell>
          <cell r="AW785">
            <v>0</v>
          </cell>
        </row>
        <row r="786">
          <cell r="B786">
            <v>4415</v>
          </cell>
          <cell r="C786" t="str">
            <v>CL_59_</v>
          </cell>
          <cell r="D786" t="str">
            <v>Rancho La Cuchilla No. 59</v>
          </cell>
          <cell r="E786" t="str">
            <v>Ortega Vega</v>
          </cell>
          <cell r="F786">
            <v>300</v>
          </cell>
          <cell r="G786">
            <v>4</v>
          </cell>
          <cell r="H786">
            <v>160</v>
          </cell>
          <cell r="I786">
            <v>41336</v>
          </cell>
          <cell r="J786" t="str">
            <v>NO SUMA</v>
          </cell>
          <cell r="W786">
            <v>0</v>
          </cell>
          <cell r="AJ786">
            <v>0</v>
          </cell>
          <cell r="AW786">
            <v>0</v>
          </cell>
        </row>
        <row r="787">
          <cell r="B787">
            <v>4416</v>
          </cell>
          <cell r="C787" t="str">
            <v>CL_40_</v>
          </cell>
          <cell r="D787" t="str">
            <v>Rancho La Cuchilla No. 40</v>
          </cell>
          <cell r="E787" t="str">
            <v>López Pico</v>
          </cell>
          <cell r="F787">
            <v>300</v>
          </cell>
          <cell r="G787">
            <v>1</v>
          </cell>
          <cell r="H787">
            <v>300</v>
          </cell>
          <cell r="I787">
            <v>41336</v>
          </cell>
          <cell r="J787">
            <v>0</v>
          </cell>
          <cell r="W787">
            <v>0</v>
          </cell>
          <cell r="Z787">
            <v>300</v>
          </cell>
          <cell r="AJ787">
            <v>300</v>
          </cell>
          <cell r="AW787">
            <v>0</v>
          </cell>
        </row>
        <row r="788">
          <cell r="B788">
            <v>4417</v>
          </cell>
          <cell r="C788" t="str">
            <v>RV_197_</v>
          </cell>
          <cell r="D788" t="str">
            <v>Rancho Recoveco No. 197</v>
          </cell>
          <cell r="E788" t="str">
            <v>Colín González</v>
          </cell>
          <cell r="F788">
            <v>300</v>
          </cell>
          <cell r="G788">
            <v>1</v>
          </cell>
          <cell r="H788">
            <v>300</v>
          </cell>
          <cell r="I788">
            <v>41336</v>
          </cell>
          <cell r="J788">
            <v>0</v>
          </cell>
          <cell r="W788">
            <v>0</v>
          </cell>
          <cell r="Z788">
            <v>300</v>
          </cell>
          <cell r="AJ788">
            <v>300</v>
          </cell>
          <cell r="AW788">
            <v>0</v>
          </cell>
        </row>
        <row r="789">
          <cell r="B789">
            <v>4418</v>
          </cell>
          <cell r="C789" t="str">
            <v>LD_34_</v>
          </cell>
          <cell r="D789" t="str">
            <v>Rancho Landero No. 34</v>
          </cell>
          <cell r="E789" t="str">
            <v>Barro</v>
          </cell>
          <cell r="F789">
            <v>300</v>
          </cell>
          <cell r="G789">
            <v>1</v>
          </cell>
          <cell r="H789">
            <v>600</v>
          </cell>
          <cell r="I789">
            <v>41336</v>
          </cell>
          <cell r="J789">
            <v>0</v>
          </cell>
          <cell r="W789">
            <v>0</v>
          </cell>
          <cell r="X789">
            <v>300</v>
          </cell>
          <cell r="Y789">
            <v>300</v>
          </cell>
          <cell r="AJ789">
            <v>600</v>
          </cell>
          <cell r="AW789">
            <v>0</v>
          </cell>
        </row>
        <row r="790">
          <cell r="B790">
            <v>4419</v>
          </cell>
          <cell r="C790" t="str">
            <v>LD_38_</v>
          </cell>
          <cell r="D790" t="str">
            <v>Rancho Landero No. 38</v>
          </cell>
          <cell r="E790" t="str">
            <v>Sánchez Peña</v>
          </cell>
          <cell r="F790">
            <v>300</v>
          </cell>
          <cell r="G790">
            <v>1</v>
          </cell>
          <cell r="H790">
            <v>600</v>
          </cell>
          <cell r="I790">
            <v>41336</v>
          </cell>
          <cell r="J790">
            <v>0</v>
          </cell>
          <cell r="W790">
            <v>0</v>
          </cell>
          <cell r="Z790">
            <v>300</v>
          </cell>
          <cell r="AA790">
            <v>300</v>
          </cell>
          <cell r="AJ790">
            <v>600</v>
          </cell>
          <cell r="AW790">
            <v>0</v>
          </cell>
        </row>
        <row r="791">
          <cell r="B791">
            <v>4419</v>
          </cell>
          <cell r="C791" t="str">
            <v>LD_38_</v>
          </cell>
          <cell r="D791" t="str">
            <v>Rancho Landero No. 38</v>
          </cell>
          <cell r="E791" t="str">
            <v>Sánchez Peña</v>
          </cell>
          <cell r="F791">
            <v>300</v>
          </cell>
          <cell r="G791">
            <v>3</v>
          </cell>
          <cell r="H791">
            <v>150</v>
          </cell>
          <cell r="I791">
            <v>41336</v>
          </cell>
          <cell r="J791" t="str">
            <v>NO SUMA</v>
          </cell>
          <cell r="W791">
            <v>0</v>
          </cell>
          <cell r="AJ791">
            <v>0</v>
          </cell>
          <cell r="AW791">
            <v>0</v>
          </cell>
        </row>
        <row r="792">
          <cell r="B792">
            <v>4420</v>
          </cell>
          <cell r="D792" t="str">
            <v/>
          </cell>
          <cell r="E792" t="str">
            <v/>
          </cell>
          <cell r="F792" t="str">
            <v/>
          </cell>
          <cell r="G792">
            <v>8</v>
          </cell>
          <cell r="I792">
            <v>41336</v>
          </cell>
          <cell r="J792" t="str">
            <v>NO SUMA</v>
          </cell>
          <cell r="W792">
            <v>0</v>
          </cell>
          <cell r="AJ792">
            <v>0</v>
          </cell>
          <cell r="AW792">
            <v>0</v>
          </cell>
        </row>
        <row r="793">
          <cell r="B793">
            <v>4421</v>
          </cell>
          <cell r="C793" t="str">
            <v>CL_77_</v>
          </cell>
          <cell r="D793" t="str">
            <v>Rancho La Cuchilla No. 77</v>
          </cell>
          <cell r="E793" t="str">
            <v>Loperena</v>
          </cell>
          <cell r="F793">
            <v>300</v>
          </cell>
          <cell r="G793">
            <v>1</v>
          </cell>
          <cell r="H793">
            <v>300</v>
          </cell>
          <cell r="I793">
            <v>41336</v>
          </cell>
          <cell r="J793">
            <v>0</v>
          </cell>
          <cell r="W793">
            <v>0</v>
          </cell>
          <cell r="Y793">
            <v>300</v>
          </cell>
          <cell r="AJ793">
            <v>300</v>
          </cell>
          <cell r="AW793">
            <v>0</v>
          </cell>
        </row>
        <row r="794">
          <cell r="B794">
            <v>4422</v>
          </cell>
          <cell r="C794" t="str">
            <v>CL_77_</v>
          </cell>
          <cell r="D794" t="str">
            <v>Rancho La Cuchilla No. 77</v>
          </cell>
          <cell r="E794" t="str">
            <v>Loperena</v>
          </cell>
          <cell r="F794">
            <v>300</v>
          </cell>
          <cell r="G794">
            <v>1</v>
          </cell>
          <cell r="H794">
            <v>300</v>
          </cell>
          <cell r="I794">
            <v>41336</v>
          </cell>
          <cell r="J794">
            <v>0</v>
          </cell>
          <cell r="W794">
            <v>0</v>
          </cell>
          <cell r="Z794">
            <v>300</v>
          </cell>
          <cell r="AJ794">
            <v>300</v>
          </cell>
          <cell r="AW794">
            <v>0</v>
          </cell>
        </row>
        <row r="795">
          <cell r="B795">
            <v>4423</v>
          </cell>
          <cell r="C795" t="str">
            <v>EZ_151_</v>
          </cell>
          <cell r="D795" t="str">
            <v>Rancho Estanzuela No. 151</v>
          </cell>
          <cell r="E795" t="str">
            <v>Pérez Salazar</v>
          </cell>
          <cell r="F795">
            <v>300</v>
          </cell>
          <cell r="G795">
            <v>1</v>
          </cell>
          <cell r="H795">
            <v>600</v>
          </cell>
          <cell r="I795">
            <v>41336</v>
          </cell>
          <cell r="J795">
            <v>0</v>
          </cell>
          <cell r="W795">
            <v>0</v>
          </cell>
          <cell r="Y795">
            <v>300</v>
          </cell>
          <cell r="Z795">
            <v>300</v>
          </cell>
          <cell r="AJ795">
            <v>600</v>
          </cell>
          <cell r="AW795">
            <v>0</v>
          </cell>
        </row>
        <row r="796">
          <cell r="B796">
            <v>4424</v>
          </cell>
          <cell r="C796" t="str">
            <v>CL_133_</v>
          </cell>
          <cell r="D796" t="str">
            <v>Rancho La Cuchilla No. 133</v>
          </cell>
          <cell r="E796" t="str">
            <v>Rivas</v>
          </cell>
          <cell r="F796">
            <v>300</v>
          </cell>
          <cell r="G796">
            <v>5</v>
          </cell>
          <cell r="H796">
            <v>40</v>
          </cell>
          <cell r="I796">
            <v>41336</v>
          </cell>
          <cell r="J796" t="str">
            <v>NO SUMA</v>
          </cell>
          <cell r="W796">
            <v>0</v>
          </cell>
          <cell r="AJ796">
            <v>0</v>
          </cell>
          <cell r="AW796">
            <v>0</v>
          </cell>
        </row>
        <row r="797">
          <cell r="B797">
            <v>4425</v>
          </cell>
          <cell r="C797" t="str">
            <v>CL_20_</v>
          </cell>
          <cell r="D797" t="str">
            <v>Rancho La Cuchilla No. 20</v>
          </cell>
          <cell r="E797" t="str">
            <v>Sánchez López</v>
          </cell>
          <cell r="F797">
            <v>300</v>
          </cell>
          <cell r="G797">
            <v>1</v>
          </cell>
          <cell r="H797">
            <v>300</v>
          </cell>
          <cell r="I797">
            <v>41336</v>
          </cell>
          <cell r="J797">
            <v>0</v>
          </cell>
          <cell r="W797">
            <v>0</v>
          </cell>
          <cell r="Z797">
            <v>300</v>
          </cell>
          <cell r="AJ797">
            <v>300</v>
          </cell>
          <cell r="AW797">
            <v>0</v>
          </cell>
        </row>
        <row r="798">
          <cell r="B798">
            <v>4426</v>
          </cell>
          <cell r="C798" t="str">
            <v>UP_73_A</v>
          </cell>
          <cell r="D798" t="str">
            <v>Rancho Upácuaro No. 73, A</v>
          </cell>
          <cell r="E798" t="str">
            <v>Ortega</v>
          </cell>
          <cell r="F798">
            <v>150</v>
          </cell>
          <cell r="G798">
            <v>1</v>
          </cell>
          <cell r="H798">
            <v>150</v>
          </cell>
          <cell r="I798">
            <v>41336</v>
          </cell>
          <cell r="J798">
            <v>0</v>
          </cell>
          <cell r="W798">
            <v>0</v>
          </cell>
          <cell r="Y798">
            <v>150</v>
          </cell>
          <cell r="AJ798">
            <v>150</v>
          </cell>
          <cell r="AW798">
            <v>0</v>
          </cell>
        </row>
        <row r="799">
          <cell r="B799">
            <v>4427</v>
          </cell>
          <cell r="C799" t="str">
            <v>EZ_159_</v>
          </cell>
          <cell r="D799" t="str">
            <v>Rancho Estanzuela No. 159</v>
          </cell>
          <cell r="E799" t="str">
            <v>Reyes</v>
          </cell>
          <cell r="F799">
            <v>250</v>
          </cell>
          <cell r="G799">
            <v>1</v>
          </cell>
          <cell r="H799">
            <v>500</v>
          </cell>
          <cell r="I799">
            <v>41336</v>
          </cell>
          <cell r="J799">
            <v>0</v>
          </cell>
          <cell r="W799">
            <v>0</v>
          </cell>
          <cell r="Y799">
            <v>250</v>
          </cell>
          <cell r="Z799">
            <v>250</v>
          </cell>
          <cell r="AJ799">
            <v>500</v>
          </cell>
          <cell r="AW799">
            <v>0</v>
          </cell>
        </row>
        <row r="800">
          <cell r="B800">
            <v>4428</v>
          </cell>
          <cell r="C800" t="str">
            <v>UP_33_</v>
          </cell>
          <cell r="D800" t="str">
            <v>Rancho Upácuaro No. 33</v>
          </cell>
          <cell r="E800" t="str">
            <v>Ulloa Miranda</v>
          </cell>
          <cell r="F800">
            <v>300</v>
          </cell>
          <cell r="G800">
            <v>1</v>
          </cell>
          <cell r="H800">
            <v>300</v>
          </cell>
          <cell r="I800">
            <v>41336</v>
          </cell>
          <cell r="J800">
            <v>0</v>
          </cell>
          <cell r="W800">
            <v>0</v>
          </cell>
          <cell r="Z800">
            <v>300</v>
          </cell>
          <cell r="AJ800">
            <v>300</v>
          </cell>
          <cell r="AW800">
            <v>0</v>
          </cell>
        </row>
        <row r="801">
          <cell r="B801">
            <v>4429</v>
          </cell>
          <cell r="C801" t="str">
            <v>CL_33_</v>
          </cell>
          <cell r="D801" t="str">
            <v>Rancho La Cuchilla No. 33</v>
          </cell>
          <cell r="E801" t="str">
            <v>Tanús</v>
          </cell>
          <cell r="F801">
            <v>300</v>
          </cell>
          <cell r="G801">
            <v>1</v>
          </cell>
          <cell r="H801">
            <v>300</v>
          </cell>
          <cell r="I801">
            <v>41336</v>
          </cell>
          <cell r="J801">
            <v>0</v>
          </cell>
          <cell r="W801">
            <v>0</v>
          </cell>
          <cell r="Z801">
            <v>300</v>
          </cell>
          <cell r="AJ801">
            <v>300</v>
          </cell>
          <cell r="AW801">
            <v>0</v>
          </cell>
        </row>
        <row r="802">
          <cell r="B802">
            <v>4430</v>
          </cell>
          <cell r="C802" t="str">
            <v>CL_47_</v>
          </cell>
          <cell r="D802" t="str">
            <v>Rancho La Cuchilla No. 47</v>
          </cell>
          <cell r="E802" t="str">
            <v>López</v>
          </cell>
          <cell r="F802">
            <v>300</v>
          </cell>
          <cell r="G802">
            <v>1</v>
          </cell>
          <cell r="H802">
            <v>900</v>
          </cell>
          <cell r="I802">
            <v>41336</v>
          </cell>
          <cell r="J802">
            <v>0</v>
          </cell>
          <cell r="W802">
            <v>0</v>
          </cell>
          <cell r="X802">
            <v>300</v>
          </cell>
          <cell r="Y802">
            <v>300</v>
          </cell>
          <cell r="Z802">
            <v>300</v>
          </cell>
          <cell r="AJ802">
            <v>900</v>
          </cell>
          <cell r="AW802">
            <v>0</v>
          </cell>
        </row>
        <row r="803">
          <cell r="B803">
            <v>4431</v>
          </cell>
          <cell r="C803" t="str">
            <v>LD_7_</v>
          </cell>
          <cell r="D803" t="str">
            <v>Rancho Landero No. 7</v>
          </cell>
          <cell r="E803" t="str">
            <v>Robles</v>
          </cell>
          <cell r="F803">
            <v>150</v>
          </cell>
          <cell r="G803">
            <v>1</v>
          </cell>
          <cell r="H803">
            <v>150</v>
          </cell>
          <cell r="I803">
            <v>41336</v>
          </cell>
          <cell r="J803">
            <v>0</v>
          </cell>
          <cell r="W803">
            <v>0</v>
          </cell>
          <cell r="Z803">
            <v>150</v>
          </cell>
          <cell r="AJ803">
            <v>150</v>
          </cell>
          <cell r="AW803">
            <v>0</v>
          </cell>
        </row>
        <row r="804">
          <cell r="B804">
            <v>4432</v>
          </cell>
          <cell r="C804" t="str">
            <v>CL_89_</v>
          </cell>
          <cell r="D804" t="str">
            <v>Rancho La Cuchilla No. 89</v>
          </cell>
          <cell r="E804" t="str">
            <v>Gálvez</v>
          </cell>
          <cell r="F804">
            <v>300</v>
          </cell>
          <cell r="G804">
            <v>1</v>
          </cell>
          <cell r="H804">
            <v>300</v>
          </cell>
          <cell r="I804">
            <v>41336</v>
          </cell>
          <cell r="J804">
            <v>0</v>
          </cell>
          <cell r="W804">
            <v>0</v>
          </cell>
          <cell r="Z804">
            <v>300</v>
          </cell>
          <cell r="AJ804">
            <v>300</v>
          </cell>
          <cell r="AW804">
            <v>0</v>
          </cell>
        </row>
        <row r="805">
          <cell r="B805">
            <v>4433</v>
          </cell>
          <cell r="C805" t="str">
            <v>CL_87_</v>
          </cell>
          <cell r="D805" t="str">
            <v>Rancho La Cuchilla No. 87</v>
          </cell>
          <cell r="E805" t="str">
            <v>Villanueva S.</v>
          </cell>
          <cell r="F805">
            <v>300</v>
          </cell>
          <cell r="G805">
            <v>1</v>
          </cell>
          <cell r="H805">
            <v>300</v>
          </cell>
          <cell r="I805">
            <v>41336</v>
          </cell>
          <cell r="J805">
            <v>0</v>
          </cell>
          <cell r="W805">
            <v>0</v>
          </cell>
          <cell r="Z805">
            <v>300</v>
          </cell>
          <cell r="AJ805">
            <v>300</v>
          </cell>
          <cell r="AW805">
            <v>0</v>
          </cell>
        </row>
        <row r="806">
          <cell r="B806">
            <v>4434</v>
          </cell>
          <cell r="C806" t="str">
            <v>UP_32_</v>
          </cell>
          <cell r="D806" t="str">
            <v>Rancho Upácuaro No. 32</v>
          </cell>
          <cell r="E806" t="str">
            <v>Sairafi Carmen</v>
          </cell>
          <cell r="F806">
            <v>300</v>
          </cell>
          <cell r="G806">
            <v>1</v>
          </cell>
          <cell r="H806">
            <v>300</v>
          </cell>
          <cell r="I806">
            <v>41336</v>
          </cell>
          <cell r="J806">
            <v>0</v>
          </cell>
          <cell r="W806">
            <v>0</v>
          </cell>
          <cell r="Z806">
            <v>300</v>
          </cell>
          <cell r="AJ806">
            <v>300</v>
          </cell>
          <cell r="AW806">
            <v>0</v>
          </cell>
        </row>
        <row r="807">
          <cell r="B807">
            <v>4435</v>
          </cell>
          <cell r="C807" t="str">
            <v>CL_19_</v>
          </cell>
          <cell r="D807" t="str">
            <v>Rancho La Cuchilla No. 19</v>
          </cell>
          <cell r="E807" t="str">
            <v>Tapia Vázquez</v>
          </cell>
          <cell r="F807">
            <v>300</v>
          </cell>
          <cell r="G807">
            <v>1</v>
          </cell>
          <cell r="H807">
            <v>300</v>
          </cell>
          <cell r="I807">
            <v>41336</v>
          </cell>
          <cell r="J807">
            <v>0</v>
          </cell>
          <cell r="W807">
            <v>0</v>
          </cell>
          <cell r="Z807">
            <v>300</v>
          </cell>
          <cell r="AJ807">
            <v>300</v>
          </cell>
          <cell r="AW807">
            <v>0</v>
          </cell>
        </row>
        <row r="808">
          <cell r="B808">
            <v>4436</v>
          </cell>
          <cell r="C808" t="str">
            <v>CL_12_</v>
          </cell>
          <cell r="D808" t="str">
            <v>Rancho La Cuchilla No. 12</v>
          </cell>
          <cell r="E808" t="str">
            <v>Rivera Flores</v>
          </cell>
          <cell r="F808">
            <v>300</v>
          </cell>
          <cell r="G808">
            <v>1</v>
          </cell>
          <cell r="H808">
            <v>300</v>
          </cell>
          <cell r="I808">
            <v>41336</v>
          </cell>
          <cell r="J808">
            <v>0</v>
          </cell>
          <cell r="W808">
            <v>0</v>
          </cell>
          <cell r="Z808">
            <v>300</v>
          </cell>
          <cell r="AJ808">
            <v>300</v>
          </cell>
          <cell r="AW808">
            <v>0</v>
          </cell>
        </row>
        <row r="809">
          <cell r="B809">
            <v>4437</v>
          </cell>
          <cell r="C809" t="str">
            <v>EZ_25_</v>
          </cell>
          <cell r="D809" t="str">
            <v>Rancho Estanzuela No. 25</v>
          </cell>
          <cell r="E809" t="str">
            <v>Contreras Figueroa</v>
          </cell>
          <cell r="F809">
            <v>300</v>
          </cell>
          <cell r="G809">
            <v>1</v>
          </cell>
          <cell r="H809">
            <v>300</v>
          </cell>
          <cell r="I809">
            <v>41336</v>
          </cell>
          <cell r="J809">
            <v>0</v>
          </cell>
          <cell r="W809">
            <v>0</v>
          </cell>
          <cell r="Z809">
            <v>300</v>
          </cell>
          <cell r="AJ809">
            <v>300</v>
          </cell>
          <cell r="AW809">
            <v>0</v>
          </cell>
        </row>
        <row r="810">
          <cell r="B810">
            <v>4438</v>
          </cell>
          <cell r="C810" t="str">
            <v>ZB_6_</v>
          </cell>
          <cell r="D810" t="str">
            <v>Rancho Zinamba No. 6</v>
          </cell>
          <cell r="E810" t="str">
            <v>Villafaña</v>
          </cell>
          <cell r="F810">
            <v>300</v>
          </cell>
          <cell r="G810">
            <v>1</v>
          </cell>
          <cell r="H810">
            <v>3600</v>
          </cell>
          <cell r="I810">
            <v>41336</v>
          </cell>
          <cell r="J810">
            <v>0</v>
          </cell>
          <cell r="W810">
            <v>0</v>
          </cell>
          <cell r="X810">
            <v>300</v>
          </cell>
          <cell r="Y810">
            <v>300</v>
          </cell>
          <cell r="Z810">
            <v>300</v>
          </cell>
          <cell r="AA810">
            <v>300</v>
          </cell>
          <cell r="AB810">
            <v>300</v>
          </cell>
          <cell r="AC810">
            <v>300</v>
          </cell>
          <cell r="AD810">
            <v>300</v>
          </cell>
          <cell r="AE810">
            <v>300</v>
          </cell>
          <cell r="AF810">
            <v>300</v>
          </cell>
          <cell r="AG810">
            <v>300</v>
          </cell>
          <cell r="AH810">
            <v>300</v>
          </cell>
          <cell r="AI810">
            <v>300</v>
          </cell>
          <cell r="AJ810">
            <v>3600</v>
          </cell>
          <cell r="AW810">
            <v>0</v>
          </cell>
        </row>
        <row r="811">
          <cell r="B811">
            <v>4439</v>
          </cell>
          <cell r="C811" t="str">
            <v>EZ_69_</v>
          </cell>
          <cell r="D811" t="str">
            <v>Rancho Estanzuela No. 69</v>
          </cell>
          <cell r="E811" t="str">
            <v>Apaez</v>
          </cell>
          <cell r="F811">
            <v>300</v>
          </cell>
          <cell r="G811">
            <v>1</v>
          </cell>
          <cell r="H811">
            <v>300</v>
          </cell>
          <cell r="I811">
            <v>41336</v>
          </cell>
          <cell r="J811">
            <v>0</v>
          </cell>
          <cell r="W811">
            <v>0</v>
          </cell>
          <cell r="Z811">
            <v>300</v>
          </cell>
          <cell r="AJ811">
            <v>300</v>
          </cell>
          <cell r="AW811">
            <v>0</v>
          </cell>
        </row>
        <row r="812">
          <cell r="B812">
            <v>4439</v>
          </cell>
          <cell r="C812" t="str">
            <v>EZ_69_</v>
          </cell>
          <cell r="D812" t="str">
            <v>Rancho Estanzuela No. 69</v>
          </cell>
          <cell r="E812" t="str">
            <v>Apaez</v>
          </cell>
          <cell r="F812">
            <v>300</v>
          </cell>
          <cell r="G812">
            <v>5</v>
          </cell>
          <cell r="H812">
            <v>20</v>
          </cell>
          <cell r="I812">
            <v>41336</v>
          </cell>
          <cell r="J812" t="str">
            <v>NO SUMA</v>
          </cell>
          <cell r="W812">
            <v>0</v>
          </cell>
          <cell r="AJ812">
            <v>0</v>
          </cell>
          <cell r="AW812">
            <v>0</v>
          </cell>
        </row>
        <row r="813">
          <cell r="B813">
            <v>4440</v>
          </cell>
          <cell r="C813" t="str">
            <v>UP_134_</v>
          </cell>
          <cell r="D813" t="str">
            <v>Rancho Upácuaro No. 134</v>
          </cell>
          <cell r="E813" t="str">
            <v>Flores Pérez</v>
          </cell>
          <cell r="F813">
            <v>300</v>
          </cell>
          <cell r="G813">
            <v>1</v>
          </cell>
          <cell r="H813">
            <v>600</v>
          </cell>
          <cell r="I813">
            <v>41336</v>
          </cell>
          <cell r="J813">
            <v>0</v>
          </cell>
          <cell r="W813">
            <v>0</v>
          </cell>
          <cell r="Y813">
            <v>300</v>
          </cell>
          <cell r="Z813">
            <v>300</v>
          </cell>
          <cell r="AJ813">
            <v>600</v>
          </cell>
          <cell r="AW813">
            <v>0</v>
          </cell>
        </row>
        <row r="814">
          <cell r="B814">
            <v>4441</v>
          </cell>
          <cell r="C814" t="str">
            <v>UP_76_</v>
          </cell>
          <cell r="D814" t="str">
            <v>Rancho Upácuaro No. 76</v>
          </cell>
          <cell r="E814" t="str">
            <v>Ruiz de San Pedro</v>
          </cell>
          <cell r="F814">
            <v>300</v>
          </cell>
          <cell r="G814">
            <v>1</v>
          </cell>
          <cell r="H814">
            <v>300</v>
          </cell>
          <cell r="I814">
            <v>41336</v>
          </cell>
          <cell r="J814">
            <v>0</v>
          </cell>
          <cell r="W814">
            <v>0</v>
          </cell>
          <cell r="Z814">
            <v>300</v>
          </cell>
          <cell r="AJ814">
            <v>300</v>
          </cell>
          <cell r="AW814">
            <v>0</v>
          </cell>
        </row>
        <row r="815">
          <cell r="B815">
            <v>4442</v>
          </cell>
          <cell r="D815" t="str">
            <v/>
          </cell>
          <cell r="E815" t="str">
            <v/>
          </cell>
          <cell r="F815" t="str">
            <v/>
          </cell>
          <cell r="G815">
            <v>8</v>
          </cell>
          <cell r="I815">
            <v>41336</v>
          </cell>
          <cell r="J815" t="str">
            <v>NO SUMA</v>
          </cell>
          <cell r="W815">
            <v>0</v>
          </cell>
          <cell r="AJ815">
            <v>0</v>
          </cell>
          <cell r="AW815">
            <v>0</v>
          </cell>
        </row>
        <row r="816">
          <cell r="B816">
            <v>4443</v>
          </cell>
          <cell r="C816" t="str">
            <v>UP_48_</v>
          </cell>
          <cell r="D816" t="str">
            <v>Rancho Upácuaro No. 48</v>
          </cell>
          <cell r="E816" t="str">
            <v>Bernal</v>
          </cell>
          <cell r="F816">
            <v>200</v>
          </cell>
          <cell r="G816">
            <v>1</v>
          </cell>
          <cell r="H816">
            <v>200</v>
          </cell>
          <cell r="I816">
            <v>41336</v>
          </cell>
          <cell r="J816">
            <v>0</v>
          </cell>
          <cell r="W816">
            <v>0</v>
          </cell>
          <cell r="Y816">
            <v>200</v>
          </cell>
          <cell r="AJ816">
            <v>200</v>
          </cell>
          <cell r="AW816">
            <v>0</v>
          </cell>
        </row>
        <row r="817">
          <cell r="B817">
            <v>4444</v>
          </cell>
          <cell r="C817" t="str">
            <v>UP_19_</v>
          </cell>
          <cell r="D817" t="str">
            <v>Rancho Upácuaro No. 19</v>
          </cell>
          <cell r="E817" t="str">
            <v>Peña Inclán</v>
          </cell>
          <cell r="F817">
            <v>200</v>
          </cell>
          <cell r="G817">
            <v>1</v>
          </cell>
          <cell r="H817">
            <v>200</v>
          </cell>
          <cell r="I817">
            <v>41336</v>
          </cell>
          <cell r="J817">
            <v>0</v>
          </cell>
          <cell r="W817">
            <v>0</v>
          </cell>
          <cell r="Z817">
            <v>200</v>
          </cell>
          <cell r="AJ817">
            <v>200</v>
          </cell>
          <cell r="AW817">
            <v>0</v>
          </cell>
        </row>
        <row r="818">
          <cell r="B818">
            <v>4445</v>
          </cell>
          <cell r="C818" t="str">
            <v>EZ_9_B</v>
          </cell>
          <cell r="D818" t="str">
            <v>Rancho Estanzuela No. 9, B</v>
          </cell>
          <cell r="E818" t="str">
            <v>Velasco Rojas</v>
          </cell>
          <cell r="F818">
            <v>200</v>
          </cell>
          <cell r="G818">
            <v>1</v>
          </cell>
          <cell r="H818">
            <v>200</v>
          </cell>
          <cell r="I818">
            <v>41336</v>
          </cell>
          <cell r="J818">
            <v>0</v>
          </cell>
          <cell r="W818">
            <v>0</v>
          </cell>
          <cell r="Z818">
            <v>200</v>
          </cell>
          <cell r="AJ818">
            <v>200</v>
          </cell>
          <cell r="AW818">
            <v>0</v>
          </cell>
        </row>
        <row r="819">
          <cell r="B819">
            <v>4446</v>
          </cell>
          <cell r="C819" t="str">
            <v>CL_7_202</v>
          </cell>
          <cell r="D819" t="str">
            <v>Rancho La Cuchilla No. 7, 202</v>
          </cell>
          <cell r="E819" t="str">
            <v>Carbajal Zayas</v>
          </cell>
          <cell r="F819">
            <v>100</v>
          </cell>
          <cell r="G819">
            <v>1</v>
          </cell>
          <cell r="H819">
            <v>100</v>
          </cell>
          <cell r="I819">
            <v>41336</v>
          </cell>
          <cell r="J819">
            <v>0</v>
          </cell>
          <cell r="W819">
            <v>0</v>
          </cell>
          <cell r="Z819">
            <v>100</v>
          </cell>
          <cell r="AJ819">
            <v>100</v>
          </cell>
          <cell r="AW819">
            <v>0</v>
          </cell>
        </row>
        <row r="820">
          <cell r="B820">
            <v>4447</v>
          </cell>
          <cell r="C820" t="str">
            <v>CL_7_102</v>
          </cell>
          <cell r="D820" t="str">
            <v>Rancho La Cuchilla No. 7, 102</v>
          </cell>
          <cell r="E820" t="str">
            <v>García Moreno</v>
          </cell>
          <cell r="F820">
            <v>100</v>
          </cell>
          <cell r="G820">
            <v>1</v>
          </cell>
          <cell r="H820">
            <v>100</v>
          </cell>
          <cell r="I820">
            <v>41336</v>
          </cell>
          <cell r="J820">
            <v>0</v>
          </cell>
          <cell r="W820">
            <v>0</v>
          </cell>
          <cell r="Z820">
            <v>100</v>
          </cell>
          <cell r="AJ820">
            <v>100</v>
          </cell>
          <cell r="AW820">
            <v>0</v>
          </cell>
        </row>
        <row r="821">
          <cell r="B821">
            <v>4448</v>
          </cell>
          <cell r="C821" t="str">
            <v>EZ_11_A</v>
          </cell>
          <cell r="D821" t="str">
            <v>Rancho Estanzuela No. 11, A</v>
          </cell>
          <cell r="E821" t="str">
            <v>Evans González</v>
          </cell>
          <cell r="F821">
            <v>300</v>
          </cell>
          <cell r="G821">
            <v>1</v>
          </cell>
          <cell r="H821">
            <v>600</v>
          </cell>
          <cell r="I821">
            <v>41336</v>
          </cell>
          <cell r="J821">
            <v>0</v>
          </cell>
          <cell r="W821">
            <v>0</v>
          </cell>
          <cell r="Y821">
            <v>300</v>
          </cell>
          <cell r="Z821">
            <v>300</v>
          </cell>
          <cell r="AJ821">
            <v>600</v>
          </cell>
          <cell r="AW821">
            <v>0</v>
          </cell>
        </row>
        <row r="822">
          <cell r="B822">
            <v>4449</v>
          </cell>
          <cell r="C822" t="str">
            <v>RV_1_</v>
          </cell>
          <cell r="D822" t="str">
            <v>Rancho Recoveco No. 1</v>
          </cell>
          <cell r="E822" t="str">
            <v>Díaz</v>
          </cell>
          <cell r="F822">
            <v>300</v>
          </cell>
          <cell r="G822">
            <v>1</v>
          </cell>
          <cell r="H822">
            <v>300</v>
          </cell>
          <cell r="I822">
            <v>41336</v>
          </cell>
          <cell r="J822">
            <v>0</v>
          </cell>
          <cell r="W822">
            <v>0</v>
          </cell>
          <cell r="Z822">
            <v>300</v>
          </cell>
          <cell r="AJ822">
            <v>300</v>
          </cell>
          <cell r="AW822">
            <v>0</v>
          </cell>
        </row>
        <row r="823">
          <cell r="B823">
            <v>4450</v>
          </cell>
          <cell r="C823" t="str">
            <v>CL_110_</v>
          </cell>
          <cell r="D823" t="str">
            <v>Rancho La Cuchilla No. 110</v>
          </cell>
          <cell r="E823" t="str">
            <v>Domínguez C.</v>
          </cell>
          <cell r="F823">
            <v>300</v>
          </cell>
          <cell r="G823">
            <v>1</v>
          </cell>
          <cell r="H823">
            <v>300</v>
          </cell>
          <cell r="I823">
            <v>41336</v>
          </cell>
          <cell r="J823">
            <v>0</v>
          </cell>
          <cell r="W823">
            <v>0</v>
          </cell>
          <cell r="Z823">
            <v>300</v>
          </cell>
          <cell r="AJ823">
            <v>300</v>
          </cell>
          <cell r="AW823">
            <v>0</v>
          </cell>
        </row>
        <row r="824">
          <cell r="B824">
            <v>4451</v>
          </cell>
          <cell r="C824" t="str">
            <v>LD_21_</v>
          </cell>
          <cell r="D824" t="str">
            <v>Rancho Landero No. 21</v>
          </cell>
          <cell r="E824" t="str">
            <v>Meza</v>
          </cell>
          <cell r="F824">
            <v>300</v>
          </cell>
          <cell r="G824">
            <v>1</v>
          </cell>
          <cell r="H824">
            <v>300</v>
          </cell>
          <cell r="I824">
            <v>41336</v>
          </cell>
          <cell r="J824">
            <v>0</v>
          </cell>
          <cell r="W824">
            <v>0</v>
          </cell>
          <cell r="Z824">
            <v>300</v>
          </cell>
          <cell r="AJ824">
            <v>300</v>
          </cell>
          <cell r="AW824">
            <v>0</v>
          </cell>
        </row>
        <row r="825">
          <cell r="B825">
            <v>4452</v>
          </cell>
          <cell r="C825" t="str">
            <v>UP_100_</v>
          </cell>
          <cell r="D825" t="str">
            <v>Rancho Upácuaro No. 100</v>
          </cell>
          <cell r="E825" t="str">
            <v>Mancera Rodríguez</v>
          </cell>
          <cell r="F825">
            <v>300</v>
          </cell>
          <cell r="G825">
            <v>5</v>
          </cell>
          <cell r="H825">
            <v>40</v>
          </cell>
          <cell r="I825">
            <v>41336</v>
          </cell>
          <cell r="J825" t="str">
            <v>NO SUMA</v>
          </cell>
          <cell r="W825">
            <v>0</v>
          </cell>
          <cell r="AJ825">
            <v>0</v>
          </cell>
          <cell r="AW825">
            <v>0</v>
          </cell>
        </row>
        <row r="826">
          <cell r="B826">
            <v>4453</v>
          </cell>
          <cell r="C826" t="str">
            <v>CL_36_</v>
          </cell>
          <cell r="D826" t="str">
            <v>Rancho La Cuchilla No. 36</v>
          </cell>
          <cell r="E826" t="str">
            <v>Castillo</v>
          </cell>
          <cell r="F826">
            <v>300</v>
          </cell>
          <cell r="G826">
            <v>1</v>
          </cell>
          <cell r="H826">
            <v>600</v>
          </cell>
          <cell r="I826">
            <v>41336</v>
          </cell>
          <cell r="J826">
            <v>0</v>
          </cell>
          <cell r="W826">
            <v>0</v>
          </cell>
          <cell r="Y826">
            <v>300</v>
          </cell>
          <cell r="Z826">
            <v>300</v>
          </cell>
          <cell r="AJ826">
            <v>600</v>
          </cell>
          <cell r="AW826">
            <v>0</v>
          </cell>
        </row>
        <row r="827">
          <cell r="B827">
            <v>4454</v>
          </cell>
          <cell r="C827" t="str">
            <v>UP_136_</v>
          </cell>
          <cell r="D827" t="str">
            <v>Rancho Upácuaro No. 136</v>
          </cell>
          <cell r="E827" t="str">
            <v>López Lena</v>
          </cell>
          <cell r="F827">
            <v>300</v>
          </cell>
          <cell r="G827">
            <v>1</v>
          </cell>
          <cell r="H827">
            <v>300</v>
          </cell>
          <cell r="I827">
            <v>41336</v>
          </cell>
          <cell r="J827">
            <v>0</v>
          </cell>
          <cell r="W827">
            <v>0</v>
          </cell>
          <cell r="Z827">
            <v>300</v>
          </cell>
          <cell r="AJ827">
            <v>300</v>
          </cell>
          <cell r="AW827">
            <v>0</v>
          </cell>
        </row>
        <row r="828">
          <cell r="B828">
            <v>4455</v>
          </cell>
          <cell r="C828" t="str">
            <v>EZ_89_</v>
          </cell>
          <cell r="D828" t="str">
            <v>Rancho Estanzuela No. 89</v>
          </cell>
          <cell r="E828" t="str">
            <v>Romero Ortiz</v>
          </cell>
          <cell r="F828">
            <v>300</v>
          </cell>
          <cell r="G828">
            <v>1</v>
          </cell>
          <cell r="H828">
            <v>300</v>
          </cell>
          <cell r="I828">
            <v>41336</v>
          </cell>
          <cell r="J828">
            <v>0</v>
          </cell>
          <cell r="W828">
            <v>0</v>
          </cell>
          <cell r="Z828">
            <v>300</v>
          </cell>
          <cell r="AJ828">
            <v>300</v>
          </cell>
          <cell r="AW828">
            <v>0</v>
          </cell>
        </row>
        <row r="829">
          <cell r="B829">
            <v>4456</v>
          </cell>
          <cell r="C829" t="str">
            <v>CL_129_</v>
          </cell>
          <cell r="D829" t="str">
            <v>Rancho La Cuchilla No. 129</v>
          </cell>
          <cell r="E829" t="str">
            <v>Gamboa Rueda</v>
          </cell>
          <cell r="F829">
            <v>200</v>
          </cell>
          <cell r="G829">
            <v>1</v>
          </cell>
          <cell r="H829">
            <v>400</v>
          </cell>
          <cell r="I829">
            <v>41336</v>
          </cell>
          <cell r="J829">
            <v>0</v>
          </cell>
          <cell r="W829">
            <v>0</v>
          </cell>
          <cell r="Y829">
            <v>200</v>
          </cell>
          <cell r="Z829">
            <v>200</v>
          </cell>
          <cell r="AJ829">
            <v>400</v>
          </cell>
          <cell r="AW829">
            <v>0</v>
          </cell>
        </row>
        <row r="830">
          <cell r="B830">
            <v>4457</v>
          </cell>
          <cell r="C830" t="str">
            <v>LD_99_</v>
          </cell>
          <cell r="D830" t="str">
            <v>Rancho Landero No. 99</v>
          </cell>
          <cell r="E830" t="str">
            <v>Rangel</v>
          </cell>
          <cell r="F830">
            <v>300</v>
          </cell>
          <cell r="G830">
            <v>1</v>
          </cell>
          <cell r="H830">
            <v>300</v>
          </cell>
          <cell r="I830">
            <v>41336</v>
          </cell>
          <cell r="J830">
            <v>0</v>
          </cell>
          <cell r="W830">
            <v>0</v>
          </cell>
          <cell r="X830">
            <v>300</v>
          </cell>
          <cell r="AJ830">
            <v>300</v>
          </cell>
          <cell r="AW830">
            <v>0</v>
          </cell>
        </row>
        <row r="831">
          <cell r="B831">
            <v>4458</v>
          </cell>
          <cell r="C831" t="str">
            <v>UP_146_</v>
          </cell>
          <cell r="D831" t="str">
            <v>Rancho Upácuaro No. 146</v>
          </cell>
          <cell r="E831" t="str">
            <v>Islas</v>
          </cell>
          <cell r="F831">
            <v>300</v>
          </cell>
          <cell r="G831">
            <v>1</v>
          </cell>
          <cell r="H831">
            <v>300</v>
          </cell>
          <cell r="I831">
            <v>41337</v>
          </cell>
          <cell r="J831">
            <v>0</v>
          </cell>
          <cell r="W831">
            <v>0</v>
          </cell>
          <cell r="Y831">
            <v>300</v>
          </cell>
          <cell r="AJ831">
            <v>300</v>
          </cell>
          <cell r="AW831">
            <v>0</v>
          </cell>
        </row>
        <row r="832">
          <cell r="B832">
            <v>4459</v>
          </cell>
          <cell r="C832" t="str">
            <v>CL_90_</v>
          </cell>
          <cell r="D832" t="str">
            <v>Rancho La Cuchilla No. 90</v>
          </cell>
          <cell r="E832" t="str">
            <v>Porras Fuentes</v>
          </cell>
          <cell r="F832">
            <v>150</v>
          </cell>
          <cell r="G832">
            <v>1</v>
          </cell>
          <cell r="H832">
            <v>300</v>
          </cell>
          <cell r="I832">
            <v>41337</v>
          </cell>
          <cell r="J832">
            <v>0</v>
          </cell>
          <cell r="W832">
            <v>0</v>
          </cell>
          <cell r="Y832">
            <v>150</v>
          </cell>
          <cell r="Z832">
            <v>150</v>
          </cell>
          <cell r="AJ832">
            <v>300</v>
          </cell>
          <cell r="AW832">
            <v>0</v>
          </cell>
        </row>
        <row r="833">
          <cell r="B833">
            <v>4460</v>
          </cell>
          <cell r="C833" t="str">
            <v>LD_19_</v>
          </cell>
          <cell r="D833" t="str">
            <v>Rancho Landero No. 19</v>
          </cell>
          <cell r="E833" t="str">
            <v>Jiménez Guadarrama</v>
          </cell>
          <cell r="F833">
            <v>300</v>
          </cell>
          <cell r="G833">
            <v>1</v>
          </cell>
          <cell r="H833">
            <v>900</v>
          </cell>
          <cell r="I833">
            <v>41337</v>
          </cell>
          <cell r="J833">
            <v>0</v>
          </cell>
          <cell r="W833">
            <v>0</v>
          </cell>
          <cell r="X833">
            <v>300</v>
          </cell>
          <cell r="Y833">
            <v>300</v>
          </cell>
          <cell r="Z833">
            <v>300</v>
          </cell>
          <cell r="AJ833">
            <v>900</v>
          </cell>
          <cell r="AW833">
            <v>0</v>
          </cell>
        </row>
        <row r="834">
          <cell r="B834">
            <v>4461</v>
          </cell>
          <cell r="C834" t="str">
            <v>HS_828_</v>
          </cell>
          <cell r="D834" t="str">
            <v>Calzada del Hueso No. 828</v>
          </cell>
          <cell r="E834" t="str">
            <v>Cervantes, Miguel</v>
          </cell>
          <cell r="F834">
            <v>300</v>
          </cell>
          <cell r="G834">
            <v>1</v>
          </cell>
          <cell r="H834">
            <v>300</v>
          </cell>
          <cell r="I834">
            <v>41338</v>
          </cell>
          <cell r="J834">
            <v>0</v>
          </cell>
          <cell r="W834">
            <v>0</v>
          </cell>
          <cell r="Z834">
            <v>300</v>
          </cell>
          <cell r="AJ834">
            <v>300</v>
          </cell>
          <cell r="AW834">
            <v>0</v>
          </cell>
        </row>
        <row r="835">
          <cell r="B835">
            <v>4462</v>
          </cell>
          <cell r="C835" t="str">
            <v>CL_130_</v>
          </cell>
          <cell r="D835" t="str">
            <v>Rancho La Cuchilla No. 130</v>
          </cell>
          <cell r="E835" t="str">
            <v>De la Huerta</v>
          </cell>
          <cell r="F835">
            <v>300</v>
          </cell>
          <cell r="G835">
            <v>1</v>
          </cell>
          <cell r="H835">
            <v>300</v>
          </cell>
          <cell r="I835">
            <v>41338</v>
          </cell>
          <cell r="J835">
            <v>0</v>
          </cell>
          <cell r="W835">
            <v>0</v>
          </cell>
          <cell r="Z835">
            <v>300</v>
          </cell>
          <cell r="AJ835">
            <v>300</v>
          </cell>
          <cell r="AW835">
            <v>0</v>
          </cell>
        </row>
        <row r="836">
          <cell r="B836">
            <v>4463</v>
          </cell>
          <cell r="C836" t="str">
            <v>CL_133_</v>
          </cell>
          <cell r="D836" t="str">
            <v>Rancho La Cuchilla No. 133</v>
          </cell>
          <cell r="E836" t="str">
            <v>Rivas</v>
          </cell>
          <cell r="F836">
            <v>300</v>
          </cell>
          <cell r="G836">
            <v>1</v>
          </cell>
          <cell r="H836">
            <v>1200</v>
          </cell>
          <cell r="I836">
            <v>41338</v>
          </cell>
          <cell r="J836">
            <v>0</v>
          </cell>
          <cell r="U836">
            <v>300</v>
          </cell>
          <cell r="V836">
            <v>300</v>
          </cell>
          <cell r="W836">
            <v>600</v>
          </cell>
          <cell r="X836">
            <v>300</v>
          </cell>
          <cell r="Y836">
            <v>300</v>
          </cell>
          <cell r="AJ836">
            <v>600</v>
          </cell>
          <cell r="AW836">
            <v>0</v>
          </cell>
        </row>
        <row r="837">
          <cell r="B837">
            <v>4463</v>
          </cell>
          <cell r="C837" t="str">
            <v>CL_133_</v>
          </cell>
          <cell r="D837" t="str">
            <v>Rancho La Cuchilla No. 133</v>
          </cell>
          <cell r="E837" t="str">
            <v>Rivas</v>
          </cell>
          <cell r="F837">
            <v>300</v>
          </cell>
          <cell r="G837">
            <v>2</v>
          </cell>
          <cell r="H837">
            <v>300</v>
          </cell>
          <cell r="I837">
            <v>41338</v>
          </cell>
          <cell r="J837" t="str">
            <v>NO SUMA</v>
          </cell>
          <cell r="W837">
            <v>0</v>
          </cell>
          <cell r="AJ837">
            <v>0</v>
          </cell>
          <cell r="AW837">
            <v>0</v>
          </cell>
        </row>
        <row r="838">
          <cell r="B838">
            <v>6093</v>
          </cell>
          <cell r="C838" t="str">
            <v>UP_86_</v>
          </cell>
          <cell r="D838" t="str">
            <v>Rancho Upácuaro No. 86</v>
          </cell>
          <cell r="E838" t="str">
            <v>López Canseco</v>
          </cell>
          <cell r="F838">
            <v>300</v>
          </cell>
          <cell r="G838">
            <v>1</v>
          </cell>
          <cell r="H838">
            <v>300</v>
          </cell>
          <cell r="I838">
            <v>41338</v>
          </cell>
          <cell r="J838">
            <v>0</v>
          </cell>
          <cell r="W838">
            <v>0</v>
          </cell>
          <cell r="Z838">
            <v>300</v>
          </cell>
          <cell r="AJ838">
            <v>300</v>
          </cell>
          <cell r="AW838">
            <v>0</v>
          </cell>
        </row>
        <row r="839">
          <cell r="B839">
            <v>4464</v>
          </cell>
          <cell r="C839" t="str">
            <v>CL_112_PB</v>
          </cell>
          <cell r="D839" t="str">
            <v>Rancho La Cuchilla No. 112, PB</v>
          </cell>
          <cell r="E839" t="str">
            <v>Soreque</v>
          </cell>
          <cell r="F839">
            <v>150</v>
          </cell>
          <cell r="G839">
            <v>1</v>
          </cell>
          <cell r="H839">
            <v>150</v>
          </cell>
          <cell r="I839">
            <v>41340</v>
          </cell>
          <cell r="J839">
            <v>0</v>
          </cell>
          <cell r="W839">
            <v>0</v>
          </cell>
          <cell r="Z839">
            <v>150</v>
          </cell>
          <cell r="AJ839">
            <v>150</v>
          </cell>
          <cell r="AW839">
            <v>0</v>
          </cell>
        </row>
        <row r="840">
          <cell r="B840">
            <v>4465</v>
          </cell>
          <cell r="C840" t="str">
            <v>EP_18_</v>
          </cell>
          <cell r="D840" t="str">
            <v>Rancho Estopila No. 18</v>
          </cell>
          <cell r="E840" t="str">
            <v>Aguilar Zarmeño</v>
          </cell>
          <cell r="F840">
            <v>300</v>
          </cell>
          <cell r="G840">
            <v>1</v>
          </cell>
          <cell r="H840">
            <v>300</v>
          </cell>
          <cell r="I840">
            <v>41341</v>
          </cell>
          <cell r="J840">
            <v>0</v>
          </cell>
          <cell r="W840">
            <v>0</v>
          </cell>
          <cell r="Z840">
            <v>300</v>
          </cell>
          <cell r="AJ840">
            <v>300</v>
          </cell>
          <cell r="AW840">
            <v>0</v>
          </cell>
        </row>
        <row r="841">
          <cell r="B841">
            <v>4466</v>
          </cell>
          <cell r="C841" t="str">
            <v>UP_124_</v>
          </cell>
          <cell r="D841" t="str">
            <v>Rancho Upácuaro No. 124</v>
          </cell>
          <cell r="E841" t="str">
            <v>Reyes Nicandro</v>
          </cell>
          <cell r="F841">
            <v>300</v>
          </cell>
          <cell r="G841">
            <v>1</v>
          </cell>
          <cell r="H841">
            <v>300</v>
          </cell>
          <cell r="I841">
            <v>41342</v>
          </cell>
          <cell r="J841">
            <v>0</v>
          </cell>
          <cell r="W841">
            <v>0</v>
          </cell>
          <cell r="Z841">
            <v>300</v>
          </cell>
          <cell r="AJ841">
            <v>300</v>
          </cell>
          <cell r="AW841">
            <v>0</v>
          </cell>
        </row>
        <row r="842">
          <cell r="B842">
            <v>4467</v>
          </cell>
          <cell r="C842" t="str">
            <v>RV_187_</v>
          </cell>
          <cell r="D842" t="str">
            <v>Rancho Recoveco No. 187</v>
          </cell>
          <cell r="E842" t="str">
            <v>Moreno</v>
          </cell>
          <cell r="F842">
            <v>300</v>
          </cell>
          <cell r="G842">
            <v>1</v>
          </cell>
          <cell r="H842">
            <v>600</v>
          </cell>
          <cell r="I842">
            <v>41342</v>
          </cell>
          <cell r="J842">
            <v>0</v>
          </cell>
          <cell r="W842">
            <v>0</v>
          </cell>
          <cell r="Z842">
            <v>300</v>
          </cell>
          <cell r="AA842">
            <v>300</v>
          </cell>
          <cell r="AJ842">
            <v>600</v>
          </cell>
          <cell r="AW842">
            <v>0</v>
          </cell>
        </row>
        <row r="843">
          <cell r="B843">
            <v>4468</v>
          </cell>
          <cell r="C843" t="str">
            <v>LD_25_</v>
          </cell>
          <cell r="D843" t="str">
            <v>Rancho Landero No. 25</v>
          </cell>
          <cell r="E843" t="str">
            <v>Escamilla Martínez</v>
          </cell>
          <cell r="F843">
            <v>300</v>
          </cell>
          <cell r="G843">
            <v>1</v>
          </cell>
          <cell r="H843">
            <v>300</v>
          </cell>
          <cell r="I843">
            <v>41343</v>
          </cell>
          <cell r="J843">
            <v>0</v>
          </cell>
          <cell r="W843">
            <v>0</v>
          </cell>
          <cell r="Y843">
            <v>300</v>
          </cell>
          <cell r="AJ843">
            <v>300</v>
          </cell>
          <cell r="AW843">
            <v>0</v>
          </cell>
        </row>
        <row r="844">
          <cell r="B844">
            <v>4469</v>
          </cell>
          <cell r="C844" t="str">
            <v>CL_41_</v>
          </cell>
          <cell r="D844" t="str">
            <v>Rancho La Cuchilla No. 41</v>
          </cell>
          <cell r="E844" t="str">
            <v>Arriaga Lemus</v>
          </cell>
          <cell r="F844">
            <v>250</v>
          </cell>
          <cell r="G844">
            <v>1</v>
          </cell>
          <cell r="H844">
            <v>250</v>
          </cell>
          <cell r="I844">
            <v>41343</v>
          </cell>
          <cell r="J844">
            <v>0</v>
          </cell>
          <cell r="W844">
            <v>0</v>
          </cell>
          <cell r="Z844">
            <v>250</v>
          </cell>
          <cell r="AJ844">
            <v>250</v>
          </cell>
          <cell r="AW844">
            <v>0</v>
          </cell>
        </row>
        <row r="845">
          <cell r="B845">
            <v>4470</v>
          </cell>
          <cell r="C845" t="str">
            <v>EZ_91_</v>
          </cell>
          <cell r="D845" t="str">
            <v>Rancho Estanzuela No. 91</v>
          </cell>
          <cell r="E845" t="str">
            <v>Lobato Torres</v>
          </cell>
          <cell r="F845">
            <v>300</v>
          </cell>
          <cell r="G845">
            <v>1</v>
          </cell>
          <cell r="H845">
            <v>300</v>
          </cell>
          <cell r="I845">
            <v>41343</v>
          </cell>
          <cell r="J845">
            <v>0</v>
          </cell>
          <cell r="W845">
            <v>0</v>
          </cell>
          <cell r="Z845">
            <v>300</v>
          </cell>
          <cell r="AJ845">
            <v>300</v>
          </cell>
          <cell r="AW845">
            <v>0</v>
          </cell>
        </row>
        <row r="846">
          <cell r="B846">
            <v>4471</v>
          </cell>
          <cell r="C846" t="str">
            <v>RM_10_A</v>
          </cell>
          <cell r="D846" t="str">
            <v>Rancho Romeral No. 10, A</v>
          </cell>
          <cell r="E846" t="str">
            <v>Casillas Álvarez</v>
          </cell>
          <cell r="F846">
            <v>150</v>
          </cell>
          <cell r="G846">
            <v>1</v>
          </cell>
          <cell r="H846">
            <v>150</v>
          </cell>
          <cell r="I846">
            <v>41343</v>
          </cell>
          <cell r="J846">
            <v>0</v>
          </cell>
          <cell r="W846">
            <v>0</v>
          </cell>
          <cell r="Z846">
            <v>150</v>
          </cell>
          <cell r="AJ846">
            <v>150</v>
          </cell>
          <cell r="AW846">
            <v>0</v>
          </cell>
        </row>
        <row r="847">
          <cell r="B847">
            <v>4472</v>
          </cell>
          <cell r="C847" t="str">
            <v>EZ_31_</v>
          </cell>
          <cell r="D847" t="str">
            <v>Rancho Estanzuela No. 31</v>
          </cell>
          <cell r="E847" t="str">
            <v>Chávez Valdés</v>
          </cell>
          <cell r="F847">
            <v>300</v>
          </cell>
          <cell r="G847">
            <v>1</v>
          </cell>
          <cell r="H847">
            <v>300</v>
          </cell>
          <cell r="I847">
            <v>41343</v>
          </cell>
          <cell r="J847">
            <v>0</v>
          </cell>
          <cell r="W847">
            <v>0</v>
          </cell>
          <cell r="Z847">
            <v>300</v>
          </cell>
          <cell r="AJ847">
            <v>300</v>
          </cell>
          <cell r="AW847">
            <v>0</v>
          </cell>
        </row>
        <row r="848">
          <cell r="B848">
            <v>4473</v>
          </cell>
          <cell r="C848" t="str">
            <v>UP_96_</v>
          </cell>
          <cell r="D848" t="str">
            <v>Rancho Upácuaro No. 96</v>
          </cell>
          <cell r="E848" t="str">
            <v>Daza Gutiérrez</v>
          </cell>
          <cell r="F848">
            <v>300</v>
          </cell>
          <cell r="G848">
            <v>1</v>
          </cell>
          <cell r="H848">
            <v>300</v>
          </cell>
          <cell r="I848">
            <v>41343</v>
          </cell>
          <cell r="J848">
            <v>0</v>
          </cell>
          <cell r="W848">
            <v>0</v>
          </cell>
          <cell r="Z848">
            <v>300</v>
          </cell>
          <cell r="AJ848">
            <v>300</v>
          </cell>
          <cell r="AW848">
            <v>0</v>
          </cell>
        </row>
        <row r="849">
          <cell r="B849">
            <v>4474</v>
          </cell>
          <cell r="C849" t="str">
            <v>LD_64_</v>
          </cell>
          <cell r="D849" t="str">
            <v>Rancho Landero No. 64</v>
          </cell>
          <cell r="E849" t="str">
            <v>Ocampo Melchor</v>
          </cell>
          <cell r="F849">
            <v>300</v>
          </cell>
          <cell r="G849">
            <v>1</v>
          </cell>
          <cell r="H849">
            <v>600</v>
          </cell>
          <cell r="I849">
            <v>41343</v>
          </cell>
          <cell r="J849">
            <v>0</v>
          </cell>
          <cell r="W849">
            <v>0</v>
          </cell>
          <cell r="X849">
            <v>300</v>
          </cell>
          <cell r="Y849">
            <v>300</v>
          </cell>
          <cell r="AJ849">
            <v>600</v>
          </cell>
          <cell r="AW849">
            <v>0</v>
          </cell>
        </row>
        <row r="850">
          <cell r="B850">
            <v>4475</v>
          </cell>
          <cell r="C850" t="str">
            <v>CL_120_</v>
          </cell>
          <cell r="D850" t="str">
            <v>Rancho La Cuchilla No. 120</v>
          </cell>
          <cell r="E850" t="str">
            <v>Pozos Vilchis</v>
          </cell>
          <cell r="F850">
            <v>300</v>
          </cell>
          <cell r="G850">
            <v>1</v>
          </cell>
          <cell r="H850">
            <v>300</v>
          </cell>
          <cell r="I850">
            <v>41343</v>
          </cell>
          <cell r="J850">
            <v>0</v>
          </cell>
          <cell r="W850">
            <v>0</v>
          </cell>
          <cell r="Z850">
            <v>300</v>
          </cell>
          <cell r="AJ850">
            <v>300</v>
          </cell>
          <cell r="AW850">
            <v>0</v>
          </cell>
        </row>
        <row r="851">
          <cell r="B851">
            <v>4476</v>
          </cell>
          <cell r="C851" t="str">
            <v>EZ_139_</v>
          </cell>
          <cell r="D851" t="str">
            <v>Rancho Estanzuela No. 139</v>
          </cell>
          <cell r="E851" t="str">
            <v>Ortiz</v>
          </cell>
          <cell r="F851">
            <v>300</v>
          </cell>
          <cell r="G851">
            <v>1</v>
          </cell>
          <cell r="H851">
            <v>300</v>
          </cell>
          <cell r="I851">
            <v>41343</v>
          </cell>
          <cell r="J851">
            <v>0</v>
          </cell>
          <cell r="W851">
            <v>0</v>
          </cell>
          <cell r="Z851">
            <v>300</v>
          </cell>
          <cell r="AJ851">
            <v>300</v>
          </cell>
          <cell r="AW851">
            <v>0</v>
          </cell>
        </row>
        <row r="852">
          <cell r="B852">
            <v>4477</v>
          </cell>
          <cell r="D852" t="str">
            <v/>
          </cell>
          <cell r="E852" t="str">
            <v/>
          </cell>
          <cell r="F852" t="str">
            <v/>
          </cell>
          <cell r="G852">
            <v>8</v>
          </cell>
          <cell r="I852">
            <v>41343</v>
          </cell>
          <cell r="J852" t="str">
            <v>NO SUMA</v>
          </cell>
          <cell r="W852">
            <v>0</v>
          </cell>
          <cell r="AJ852">
            <v>0</v>
          </cell>
          <cell r="AW852">
            <v>0</v>
          </cell>
        </row>
        <row r="853">
          <cell r="B853">
            <v>4478</v>
          </cell>
          <cell r="C853" t="str">
            <v>UP_30_</v>
          </cell>
          <cell r="D853" t="str">
            <v>Rancho Upácuaro No. 30</v>
          </cell>
          <cell r="E853" t="str">
            <v>Dorantes</v>
          </cell>
          <cell r="F853">
            <v>300</v>
          </cell>
          <cell r="G853">
            <v>1</v>
          </cell>
          <cell r="H853">
            <v>600</v>
          </cell>
          <cell r="I853">
            <v>41343</v>
          </cell>
          <cell r="J853">
            <v>0</v>
          </cell>
          <cell r="W853">
            <v>0</v>
          </cell>
          <cell r="Y853">
            <v>300</v>
          </cell>
          <cell r="Z853">
            <v>300</v>
          </cell>
          <cell r="AJ853">
            <v>600</v>
          </cell>
          <cell r="AW853">
            <v>0</v>
          </cell>
        </row>
        <row r="854">
          <cell r="B854">
            <v>4479</v>
          </cell>
          <cell r="C854" t="str">
            <v>CL_42_</v>
          </cell>
          <cell r="D854" t="str">
            <v>Rancho La Cuchilla No. 42</v>
          </cell>
          <cell r="E854" t="str">
            <v>Mac Kinney</v>
          </cell>
          <cell r="F854">
            <v>300</v>
          </cell>
          <cell r="G854">
            <v>1</v>
          </cell>
          <cell r="H854">
            <v>300</v>
          </cell>
          <cell r="I854">
            <v>41343</v>
          </cell>
          <cell r="J854">
            <v>0</v>
          </cell>
          <cell r="W854">
            <v>0</v>
          </cell>
          <cell r="Z854">
            <v>300</v>
          </cell>
          <cell r="AJ854">
            <v>300</v>
          </cell>
          <cell r="AW854">
            <v>0</v>
          </cell>
        </row>
        <row r="855">
          <cell r="B855">
            <v>4480</v>
          </cell>
          <cell r="C855" t="str">
            <v>ZB_26_</v>
          </cell>
          <cell r="D855" t="str">
            <v>Rancho Zinamba No. 26</v>
          </cell>
          <cell r="E855" t="str">
            <v>Ayala</v>
          </cell>
          <cell r="F855">
            <v>300</v>
          </cell>
          <cell r="G855">
            <v>1</v>
          </cell>
          <cell r="H855">
            <v>300</v>
          </cell>
          <cell r="I855">
            <v>41343</v>
          </cell>
          <cell r="J855">
            <v>0</v>
          </cell>
          <cell r="W855">
            <v>0</v>
          </cell>
          <cell r="Z855">
            <v>300</v>
          </cell>
          <cell r="AJ855">
            <v>300</v>
          </cell>
          <cell r="AW855">
            <v>0</v>
          </cell>
        </row>
        <row r="856">
          <cell r="B856">
            <v>4481</v>
          </cell>
          <cell r="C856" t="str">
            <v>CL_81_A</v>
          </cell>
          <cell r="D856" t="str">
            <v>Rancho La Cuchilla No. 81, A</v>
          </cell>
          <cell r="E856" t="str">
            <v>Barrientos López</v>
          </cell>
          <cell r="F856">
            <v>300</v>
          </cell>
          <cell r="G856">
            <v>1</v>
          </cell>
          <cell r="H856">
            <v>300</v>
          </cell>
          <cell r="I856">
            <v>41343</v>
          </cell>
          <cell r="J856">
            <v>0</v>
          </cell>
          <cell r="W856">
            <v>0</v>
          </cell>
          <cell r="Z856">
            <v>300</v>
          </cell>
          <cell r="AJ856">
            <v>300</v>
          </cell>
          <cell r="AW856">
            <v>0</v>
          </cell>
        </row>
        <row r="857">
          <cell r="B857">
            <v>4482</v>
          </cell>
          <cell r="C857" t="str">
            <v>ZB_80_</v>
          </cell>
          <cell r="D857" t="str">
            <v>Rancho Zinamba No. 80</v>
          </cell>
          <cell r="E857" t="str">
            <v>Vázquez</v>
          </cell>
          <cell r="F857">
            <v>250</v>
          </cell>
          <cell r="G857">
            <v>1</v>
          </cell>
          <cell r="H857">
            <v>250</v>
          </cell>
          <cell r="I857">
            <v>41343</v>
          </cell>
          <cell r="J857">
            <v>0</v>
          </cell>
          <cell r="W857">
            <v>0</v>
          </cell>
          <cell r="Z857">
            <v>250</v>
          </cell>
          <cell r="AJ857">
            <v>250</v>
          </cell>
          <cell r="AW857">
            <v>0</v>
          </cell>
        </row>
        <row r="858">
          <cell r="B858">
            <v>4483</v>
          </cell>
          <cell r="C858" t="str">
            <v>LD_42_</v>
          </cell>
          <cell r="D858" t="str">
            <v>Rancho Landero No. 42</v>
          </cell>
          <cell r="E858" t="str">
            <v>Ávila Fidel</v>
          </cell>
          <cell r="F858">
            <v>300</v>
          </cell>
          <cell r="G858">
            <v>1</v>
          </cell>
          <cell r="H858">
            <v>300</v>
          </cell>
          <cell r="I858">
            <v>41343</v>
          </cell>
          <cell r="J858">
            <v>0</v>
          </cell>
          <cell r="W858">
            <v>0</v>
          </cell>
          <cell r="Z858">
            <v>300</v>
          </cell>
          <cell r="AJ858">
            <v>300</v>
          </cell>
          <cell r="AW858">
            <v>0</v>
          </cell>
        </row>
        <row r="859">
          <cell r="B859">
            <v>4484</v>
          </cell>
          <cell r="C859" t="str">
            <v>CL_71_</v>
          </cell>
          <cell r="D859" t="str">
            <v>Rancho La Cuchilla No. 71</v>
          </cell>
          <cell r="E859" t="str">
            <v>Pulido</v>
          </cell>
          <cell r="F859">
            <v>300</v>
          </cell>
          <cell r="G859">
            <v>1</v>
          </cell>
          <cell r="H859">
            <v>300</v>
          </cell>
          <cell r="I859">
            <v>41343</v>
          </cell>
          <cell r="J859">
            <v>0</v>
          </cell>
          <cell r="W859">
            <v>0</v>
          </cell>
          <cell r="Z859">
            <v>300</v>
          </cell>
          <cell r="AJ859">
            <v>300</v>
          </cell>
          <cell r="AW859">
            <v>0</v>
          </cell>
        </row>
        <row r="860">
          <cell r="B860">
            <v>4485</v>
          </cell>
          <cell r="C860" t="str">
            <v>LD_69_</v>
          </cell>
          <cell r="D860" t="str">
            <v>Rancho Landero No. 69</v>
          </cell>
          <cell r="E860" t="str">
            <v>Gómez Ayala</v>
          </cell>
          <cell r="F860">
            <v>300</v>
          </cell>
          <cell r="G860">
            <v>1</v>
          </cell>
          <cell r="H860">
            <v>300</v>
          </cell>
          <cell r="I860">
            <v>41343</v>
          </cell>
          <cell r="J860">
            <v>0</v>
          </cell>
          <cell r="W860">
            <v>0</v>
          </cell>
          <cell r="Z860">
            <v>300</v>
          </cell>
          <cell r="AJ860">
            <v>300</v>
          </cell>
          <cell r="AW860">
            <v>0</v>
          </cell>
        </row>
        <row r="861">
          <cell r="B861">
            <v>4486</v>
          </cell>
          <cell r="C861" t="str">
            <v>EZ_65_</v>
          </cell>
          <cell r="D861" t="str">
            <v>Rancho Estanzuela No. 65</v>
          </cell>
          <cell r="E861" t="str">
            <v>López Becerril</v>
          </cell>
          <cell r="F861">
            <v>300</v>
          </cell>
          <cell r="G861">
            <v>1</v>
          </cell>
          <cell r="H861">
            <v>600</v>
          </cell>
          <cell r="I861">
            <v>41343</v>
          </cell>
          <cell r="J861">
            <v>0</v>
          </cell>
          <cell r="W861">
            <v>0</v>
          </cell>
          <cell r="Z861">
            <v>300</v>
          </cell>
          <cell r="AA861">
            <v>300</v>
          </cell>
          <cell r="AJ861">
            <v>600</v>
          </cell>
          <cell r="AW861">
            <v>0</v>
          </cell>
        </row>
        <row r="862">
          <cell r="B862">
            <v>4487</v>
          </cell>
          <cell r="C862" t="str">
            <v>LD_37_</v>
          </cell>
          <cell r="D862" t="str">
            <v>Rancho Landero No. 37</v>
          </cell>
          <cell r="E862" t="str">
            <v>Hernández</v>
          </cell>
          <cell r="F862">
            <v>300</v>
          </cell>
          <cell r="G862">
            <v>1</v>
          </cell>
          <cell r="H862">
            <v>300</v>
          </cell>
          <cell r="I862">
            <v>41343</v>
          </cell>
          <cell r="J862">
            <v>0</v>
          </cell>
          <cell r="W862">
            <v>0</v>
          </cell>
          <cell r="Z862">
            <v>300</v>
          </cell>
          <cell r="AJ862">
            <v>300</v>
          </cell>
          <cell r="AW862">
            <v>0</v>
          </cell>
        </row>
        <row r="863">
          <cell r="B863">
            <v>4488</v>
          </cell>
          <cell r="C863" t="str">
            <v>LD_69_</v>
          </cell>
          <cell r="D863" t="str">
            <v>Rancho Landero No. 69</v>
          </cell>
          <cell r="E863" t="str">
            <v>Gómez Ayala</v>
          </cell>
          <cell r="F863">
            <v>300</v>
          </cell>
          <cell r="G863">
            <v>3</v>
          </cell>
          <cell r="H863">
            <v>150</v>
          </cell>
          <cell r="I863">
            <v>41343</v>
          </cell>
          <cell r="J863" t="str">
            <v>NO SUMA</v>
          </cell>
          <cell r="W863">
            <v>0</v>
          </cell>
          <cell r="AJ863">
            <v>0</v>
          </cell>
          <cell r="AW863">
            <v>0</v>
          </cell>
        </row>
        <row r="864">
          <cell r="B864">
            <v>4489</v>
          </cell>
          <cell r="C864" t="str">
            <v>ZB_12_</v>
          </cell>
          <cell r="D864" t="str">
            <v>Rancho Zinamba No. 12</v>
          </cell>
          <cell r="E864" t="str">
            <v>Rodríguez</v>
          </cell>
          <cell r="F864">
            <v>400</v>
          </cell>
          <cell r="G864">
            <v>3</v>
          </cell>
          <cell r="H864">
            <v>150</v>
          </cell>
          <cell r="I864">
            <v>41343</v>
          </cell>
          <cell r="J864" t="str">
            <v>NO SUMA</v>
          </cell>
          <cell r="W864">
            <v>0</v>
          </cell>
          <cell r="AJ864">
            <v>0</v>
          </cell>
          <cell r="AW864">
            <v>0</v>
          </cell>
        </row>
        <row r="865">
          <cell r="B865">
            <v>4490</v>
          </cell>
          <cell r="C865" t="str">
            <v>UP_80_</v>
          </cell>
          <cell r="D865" t="str">
            <v>Rancho Upácuaro No. 80</v>
          </cell>
          <cell r="E865" t="str">
            <v>De los Ríos</v>
          </cell>
          <cell r="F865">
            <v>300</v>
          </cell>
          <cell r="G865">
            <v>1</v>
          </cell>
          <cell r="H865">
            <v>300</v>
          </cell>
          <cell r="I865">
            <v>41343</v>
          </cell>
          <cell r="J865">
            <v>0</v>
          </cell>
          <cell r="W865">
            <v>0</v>
          </cell>
          <cell r="Z865">
            <v>300</v>
          </cell>
          <cell r="AJ865">
            <v>300</v>
          </cell>
          <cell r="AW865">
            <v>0</v>
          </cell>
        </row>
        <row r="866">
          <cell r="B866">
            <v>4491</v>
          </cell>
          <cell r="C866" t="str">
            <v>ZB_88_</v>
          </cell>
          <cell r="D866" t="str">
            <v>Rancho Zinamba No. 88</v>
          </cell>
          <cell r="E866" t="str">
            <v>Martínez</v>
          </cell>
          <cell r="F866">
            <v>250</v>
          </cell>
          <cell r="G866">
            <v>1</v>
          </cell>
          <cell r="H866">
            <v>250</v>
          </cell>
          <cell r="I866">
            <v>41343</v>
          </cell>
          <cell r="J866">
            <v>0</v>
          </cell>
          <cell r="W866">
            <v>0</v>
          </cell>
          <cell r="Z866">
            <v>250</v>
          </cell>
          <cell r="AJ866">
            <v>250</v>
          </cell>
          <cell r="AW866">
            <v>0</v>
          </cell>
        </row>
        <row r="867">
          <cell r="B867">
            <v>4492</v>
          </cell>
          <cell r="C867" t="str">
            <v>ZB_56_</v>
          </cell>
          <cell r="D867" t="str">
            <v>Rancho Zinamba No. 56</v>
          </cell>
          <cell r="E867" t="str">
            <v>Aguado</v>
          </cell>
          <cell r="F867">
            <v>250</v>
          </cell>
          <cell r="G867">
            <v>1</v>
          </cell>
          <cell r="H867">
            <v>250</v>
          </cell>
          <cell r="I867">
            <v>41343</v>
          </cell>
          <cell r="J867">
            <v>0</v>
          </cell>
          <cell r="W867">
            <v>0</v>
          </cell>
          <cell r="Z867">
            <v>250</v>
          </cell>
          <cell r="AJ867">
            <v>250</v>
          </cell>
          <cell r="AW867">
            <v>0</v>
          </cell>
        </row>
        <row r="868">
          <cell r="B868">
            <v>4493</v>
          </cell>
          <cell r="C868" t="str">
            <v>UP_18_</v>
          </cell>
          <cell r="D868" t="str">
            <v>Rancho Upácuaro No. 18</v>
          </cell>
          <cell r="E868" t="str">
            <v>Guzmán</v>
          </cell>
          <cell r="F868">
            <v>300</v>
          </cell>
          <cell r="G868">
            <v>1</v>
          </cell>
          <cell r="H868">
            <v>300</v>
          </cell>
          <cell r="I868">
            <v>41343</v>
          </cell>
          <cell r="J868">
            <v>0</v>
          </cell>
          <cell r="W868">
            <v>0</v>
          </cell>
          <cell r="Z868">
            <v>300</v>
          </cell>
          <cell r="AJ868">
            <v>300</v>
          </cell>
          <cell r="AW868">
            <v>0</v>
          </cell>
        </row>
        <row r="869">
          <cell r="B869">
            <v>4494</v>
          </cell>
          <cell r="C869" t="str">
            <v>LD_31_</v>
          </cell>
          <cell r="D869" t="str">
            <v>Rancho Landero No. 31</v>
          </cell>
          <cell r="E869" t="str">
            <v>Díaz Hernández</v>
          </cell>
          <cell r="F869">
            <v>200</v>
          </cell>
          <cell r="G869">
            <v>1</v>
          </cell>
          <cell r="H869">
            <v>200</v>
          </cell>
          <cell r="I869">
            <v>41343</v>
          </cell>
          <cell r="J869">
            <v>0</v>
          </cell>
          <cell r="W869">
            <v>0</v>
          </cell>
          <cell r="Z869">
            <v>200</v>
          </cell>
          <cell r="AJ869">
            <v>200</v>
          </cell>
          <cell r="AW869">
            <v>0</v>
          </cell>
        </row>
        <row r="870">
          <cell r="B870">
            <v>4495</v>
          </cell>
          <cell r="C870" t="str">
            <v>CL_132_</v>
          </cell>
          <cell r="D870" t="str">
            <v>Rancho La Cuchilla No. 132</v>
          </cell>
          <cell r="E870" t="str">
            <v>Téllez Girón</v>
          </cell>
          <cell r="F870">
            <v>300</v>
          </cell>
          <cell r="G870">
            <v>1</v>
          </cell>
          <cell r="H870">
            <v>300</v>
          </cell>
          <cell r="I870">
            <v>41343</v>
          </cell>
          <cell r="J870">
            <v>0</v>
          </cell>
          <cell r="W870">
            <v>0</v>
          </cell>
          <cell r="Z870">
            <v>300</v>
          </cell>
          <cell r="AJ870">
            <v>300</v>
          </cell>
          <cell r="AW870">
            <v>0</v>
          </cell>
        </row>
        <row r="871">
          <cell r="B871">
            <v>4496</v>
          </cell>
          <cell r="C871" t="str">
            <v>UP_26_</v>
          </cell>
          <cell r="D871" t="str">
            <v>Rancho Upácuaro No. 26</v>
          </cell>
          <cell r="E871" t="str">
            <v>Salazar</v>
          </cell>
          <cell r="F871">
            <v>300</v>
          </cell>
          <cell r="G871">
            <v>1</v>
          </cell>
          <cell r="H871">
            <v>300</v>
          </cell>
          <cell r="I871">
            <v>41343</v>
          </cell>
          <cell r="J871">
            <v>0</v>
          </cell>
          <cell r="W871">
            <v>0</v>
          </cell>
          <cell r="Z871">
            <v>300</v>
          </cell>
          <cell r="AJ871">
            <v>300</v>
          </cell>
          <cell r="AW871">
            <v>0</v>
          </cell>
        </row>
        <row r="872">
          <cell r="B872">
            <v>4497</v>
          </cell>
          <cell r="C872" t="str">
            <v>UP_63_</v>
          </cell>
          <cell r="D872" t="str">
            <v>Rancho Upácuaro No. 63</v>
          </cell>
          <cell r="E872" t="str">
            <v>González Benavides</v>
          </cell>
          <cell r="F872">
            <v>300</v>
          </cell>
          <cell r="G872">
            <v>7</v>
          </cell>
          <cell r="H872">
            <v>50</v>
          </cell>
          <cell r="I872">
            <v>41343</v>
          </cell>
          <cell r="J872" t="str">
            <v>NO SUMA</v>
          </cell>
          <cell r="W872">
            <v>0</v>
          </cell>
          <cell r="AJ872">
            <v>0</v>
          </cell>
          <cell r="AW872">
            <v>0</v>
          </cell>
        </row>
        <row r="873">
          <cell r="B873">
            <v>4498</v>
          </cell>
          <cell r="C873" t="str">
            <v>UP_108_</v>
          </cell>
          <cell r="D873" t="str">
            <v>Rancho Upácuaro No. 108</v>
          </cell>
          <cell r="E873" t="str">
            <v>Mejía</v>
          </cell>
          <cell r="F873">
            <v>300</v>
          </cell>
          <cell r="G873">
            <v>1</v>
          </cell>
          <cell r="H873">
            <v>300</v>
          </cell>
          <cell r="I873">
            <v>41343</v>
          </cell>
          <cell r="J873">
            <v>0</v>
          </cell>
          <cell r="W873">
            <v>0</v>
          </cell>
          <cell r="Z873">
            <v>300</v>
          </cell>
          <cell r="AJ873">
            <v>300</v>
          </cell>
          <cell r="AW873">
            <v>0</v>
          </cell>
        </row>
        <row r="874">
          <cell r="B874">
            <v>4499</v>
          </cell>
          <cell r="C874" t="str">
            <v>UP_23_</v>
          </cell>
          <cell r="D874" t="str">
            <v>Rancho Upácuaro No. 23</v>
          </cell>
          <cell r="E874" t="str">
            <v>Arredondo</v>
          </cell>
          <cell r="F874">
            <v>300</v>
          </cell>
          <cell r="G874">
            <v>1</v>
          </cell>
          <cell r="H874">
            <v>300</v>
          </cell>
          <cell r="I874">
            <v>41343</v>
          </cell>
          <cell r="J874">
            <v>0</v>
          </cell>
          <cell r="W874">
            <v>0</v>
          </cell>
          <cell r="AA874">
            <v>300</v>
          </cell>
          <cell r="AJ874">
            <v>300</v>
          </cell>
          <cell r="AW874">
            <v>0</v>
          </cell>
        </row>
        <row r="875">
          <cell r="B875">
            <v>4500</v>
          </cell>
          <cell r="C875" t="str">
            <v>UP_63_</v>
          </cell>
          <cell r="D875" t="str">
            <v>Rancho Upácuaro No. 63</v>
          </cell>
          <cell r="E875" t="str">
            <v>González Benavides</v>
          </cell>
          <cell r="F875">
            <v>300</v>
          </cell>
          <cell r="G875">
            <v>1</v>
          </cell>
          <cell r="H875">
            <v>300</v>
          </cell>
          <cell r="I875">
            <v>41343</v>
          </cell>
          <cell r="J875">
            <v>0</v>
          </cell>
          <cell r="W875">
            <v>0</v>
          </cell>
          <cell r="Z875">
            <v>300</v>
          </cell>
          <cell r="AJ875">
            <v>300</v>
          </cell>
          <cell r="AW875">
            <v>0</v>
          </cell>
        </row>
        <row r="876">
          <cell r="B876">
            <v>4501</v>
          </cell>
          <cell r="C876" t="str">
            <v>UP_110_</v>
          </cell>
          <cell r="D876" t="str">
            <v>Rancho Upácuaro No. 110</v>
          </cell>
          <cell r="E876" t="str">
            <v>Ruiz Mijangos</v>
          </cell>
          <cell r="F876">
            <v>300</v>
          </cell>
          <cell r="G876">
            <v>1</v>
          </cell>
          <cell r="H876">
            <v>300</v>
          </cell>
          <cell r="I876">
            <v>41343</v>
          </cell>
          <cell r="J876">
            <v>0</v>
          </cell>
          <cell r="W876">
            <v>0</v>
          </cell>
          <cell r="Z876">
            <v>300</v>
          </cell>
          <cell r="AJ876">
            <v>300</v>
          </cell>
          <cell r="AW876">
            <v>0</v>
          </cell>
        </row>
        <row r="877">
          <cell r="B877">
            <v>4502</v>
          </cell>
          <cell r="C877" t="str">
            <v>EZ_111_</v>
          </cell>
          <cell r="D877" t="str">
            <v>Rancho Estanzuela No. 111</v>
          </cell>
          <cell r="E877" t="str">
            <v>Flores Pérez</v>
          </cell>
          <cell r="F877">
            <v>300</v>
          </cell>
          <cell r="G877">
            <v>1</v>
          </cell>
          <cell r="H877">
            <v>300</v>
          </cell>
          <cell r="I877">
            <v>41343</v>
          </cell>
          <cell r="J877">
            <v>0</v>
          </cell>
          <cell r="W877">
            <v>0</v>
          </cell>
          <cell r="Z877">
            <v>300</v>
          </cell>
          <cell r="AJ877">
            <v>300</v>
          </cell>
          <cell r="AW877">
            <v>0</v>
          </cell>
        </row>
        <row r="878">
          <cell r="B878">
            <v>6094</v>
          </cell>
          <cell r="C878" t="str">
            <v>CL_29_</v>
          </cell>
          <cell r="D878" t="str">
            <v>Rancho La Cuchilla No. 29</v>
          </cell>
          <cell r="E878" t="str">
            <v>Vega Sánchez C.</v>
          </cell>
          <cell r="F878">
            <v>300</v>
          </cell>
          <cell r="G878">
            <v>1</v>
          </cell>
          <cell r="H878">
            <v>300</v>
          </cell>
          <cell r="I878">
            <v>41344</v>
          </cell>
          <cell r="J878">
            <v>0</v>
          </cell>
          <cell r="W878">
            <v>0</v>
          </cell>
          <cell r="Z878">
            <v>300</v>
          </cell>
          <cell r="AJ878">
            <v>300</v>
          </cell>
          <cell r="AW878">
            <v>0</v>
          </cell>
        </row>
        <row r="879">
          <cell r="B879">
            <v>4503</v>
          </cell>
          <cell r="C879" t="str">
            <v>ZB_38_</v>
          </cell>
          <cell r="D879" t="str">
            <v>Rancho Zinamba No. 38</v>
          </cell>
          <cell r="E879" t="str">
            <v>Ramírez Díaz</v>
          </cell>
          <cell r="F879">
            <v>300</v>
          </cell>
          <cell r="G879">
            <v>1</v>
          </cell>
          <cell r="H879">
            <v>300</v>
          </cell>
          <cell r="I879">
            <v>41345</v>
          </cell>
          <cell r="J879">
            <v>0</v>
          </cell>
          <cell r="W879">
            <v>0</v>
          </cell>
          <cell r="Z879">
            <v>300</v>
          </cell>
          <cell r="AJ879">
            <v>300</v>
          </cell>
          <cell r="AW879">
            <v>0</v>
          </cell>
        </row>
        <row r="880">
          <cell r="B880">
            <v>4504</v>
          </cell>
          <cell r="C880" t="str">
            <v>CL_62_</v>
          </cell>
          <cell r="D880" t="str">
            <v>Rancho La Cuchilla No. 62</v>
          </cell>
          <cell r="E880" t="str">
            <v>Frías</v>
          </cell>
          <cell r="F880">
            <v>200</v>
          </cell>
          <cell r="G880">
            <v>1</v>
          </cell>
          <cell r="H880">
            <v>800</v>
          </cell>
          <cell r="I880">
            <v>41346</v>
          </cell>
          <cell r="J880">
            <v>0</v>
          </cell>
          <cell r="V880">
            <v>200</v>
          </cell>
          <cell r="W880">
            <v>200</v>
          </cell>
          <cell r="X880">
            <v>200</v>
          </cell>
          <cell r="Y880">
            <v>200</v>
          </cell>
          <cell r="Z880">
            <v>200</v>
          </cell>
          <cell r="AJ880">
            <v>600</v>
          </cell>
          <cell r="AW880">
            <v>0</v>
          </cell>
        </row>
        <row r="881">
          <cell r="B881">
            <v>4505</v>
          </cell>
          <cell r="C881" t="str">
            <v>UP_61_</v>
          </cell>
          <cell r="D881" t="str">
            <v>Rancho Upácuaro No. 61</v>
          </cell>
          <cell r="E881" t="str">
            <v>Campos Granados</v>
          </cell>
          <cell r="F881">
            <v>300</v>
          </cell>
          <cell r="G881">
            <v>1</v>
          </cell>
          <cell r="H881">
            <v>3300</v>
          </cell>
          <cell r="I881">
            <v>41346</v>
          </cell>
          <cell r="J881">
            <v>0</v>
          </cell>
          <cell r="W881">
            <v>0</v>
          </cell>
          <cell r="X881">
            <v>300</v>
          </cell>
          <cell r="Y881">
            <v>300</v>
          </cell>
          <cell r="Z881">
            <v>300</v>
          </cell>
          <cell r="AA881">
            <v>300</v>
          </cell>
          <cell r="AB881">
            <v>300</v>
          </cell>
          <cell r="AC881">
            <v>300</v>
          </cell>
          <cell r="AD881">
            <v>300</v>
          </cell>
          <cell r="AE881">
            <v>300</v>
          </cell>
          <cell r="AF881">
            <v>300</v>
          </cell>
          <cell r="AG881">
            <v>300</v>
          </cell>
          <cell r="AH881">
            <v>300</v>
          </cell>
          <cell r="AJ881">
            <v>3300</v>
          </cell>
          <cell r="AW881">
            <v>0</v>
          </cell>
        </row>
        <row r="882">
          <cell r="B882">
            <v>4506</v>
          </cell>
          <cell r="C882" t="str">
            <v>EZ_57_</v>
          </cell>
          <cell r="D882" t="str">
            <v>Rancho Estanzuela No. 57</v>
          </cell>
          <cell r="E882" t="str">
            <v>Olivares</v>
          </cell>
          <cell r="F882">
            <v>300</v>
          </cell>
          <cell r="G882">
            <v>1</v>
          </cell>
          <cell r="H882">
            <v>1200</v>
          </cell>
          <cell r="I882">
            <v>41346</v>
          </cell>
          <cell r="J882">
            <v>0</v>
          </cell>
          <cell r="T882">
            <v>300</v>
          </cell>
          <cell r="U882">
            <v>300</v>
          </cell>
          <cell r="V882">
            <v>300</v>
          </cell>
          <cell r="W882">
            <v>900</v>
          </cell>
          <cell r="X882">
            <v>300</v>
          </cell>
          <cell r="AJ882">
            <v>300</v>
          </cell>
          <cell r="AW882">
            <v>0</v>
          </cell>
        </row>
        <row r="883">
          <cell r="B883">
            <v>4507</v>
          </cell>
          <cell r="C883" t="str">
            <v>LD_85_</v>
          </cell>
          <cell r="D883" t="str">
            <v>Rancho Landero No. 85</v>
          </cell>
          <cell r="E883" t="str">
            <v>Martínez Olague</v>
          </cell>
          <cell r="F883">
            <v>300</v>
          </cell>
          <cell r="G883">
            <v>1</v>
          </cell>
          <cell r="H883">
            <v>300</v>
          </cell>
          <cell r="I883">
            <v>41346</v>
          </cell>
          <cell r="J883">
            <v>0</v>
          </cell>
          <cell r="W883">
            <v>0</v>
          </cell>
          <cell r="Z883">
            <v>300</v>
          </cell>
          <cell r="AJ883">
            <v>300</v>
          </cell>
          <cell r="AW883">
            <v>0</v>
          </cell>
        </row>
        <row r="884">
          <cell r="B884">
            <v>6095</v>
          </cell>
          <cell r="C884" t="str">
            <v>UP_46_</v>
          </cell>
          <cell r="D884" t="str">
            <v>Rancho Upácuaro No. 46</v>
          </cell>
          <cell r="E884" t="str">
            <v>Fuentes</v>
          </cell>
          <cell r="F884">
            <v>300</v>
          </cell>
          <cell r="G884">
            <v>1</v>
          </cell>
          <cell r="H884">
            <v>300</v>
          </cell>
          <cell r="I884">
            <v>41349</v>
          </cell>
          <cell r="J884">
            <v>0</v>
          </cell>
          <cell r="W884">
            <v>0</v>
          </cell>
          <cell r="Z884">
            <v>300</v>
          </cell>
          <cell r="AJ884">
            <v>300</v>
          </cell>
          <cell r="AW884">
            <v>0</v>
          </cell>
        </row>
        <row r="885">
          <cell r="B885">
            <v>4508</v>
          </cell>
          <cell r="C885" t="str">
            <v>EZ_111_</v>
          </cell>
          <cell r="D885" t="str">
            <v>Rancho Estanzuela No. 111</v>
          </cell>
          <cell r="E885" t="str">
            <v>Flores Pérez</v>
          </cell>
          <cell r="F885">
            <v>300</v>
          </cell>
          <cell r="G885">
            <v>3</v>
          </cell>
          <cell r="H885">
            <v>300</v>
          </cell>
          <cell r="I885">
            <v>41351</v>
          </cell>
          <cell r="J885" t="str">
            <v>NO SUMA</v>
          </cell>
          <cell r="W885">
            <v>0</v>
          </cell>
          <cell r="AJ885">
            <v>0</v>
          </cell>
          <cell r="AW885">
            <v>0</v>
          </cell>
        </row>
        <row r="886">
          <cell r="B886">
            <v>4509</v>
          </cell>
          <cell r="C886" t="str">
            <v>LD_36_</v>
          </cell>
          <cell r="D886" t="str">
            <v>Rancho Landero No. 36</v>
          </cell>
          <cell r="E886" t="str">
            <v>Jaime</v>
          </cell>
          <cell r="F886">
            <v>200</v>
          </cell>
          <cell r="G886">
            <v>1</v>
          </cell>
          <cell r="H886">
            <v>600</v>
          </cell>
          <cell r="I886">
            <v>41350</v>
          </cell>
          <cell r="J886">
            <v>0</v>
          </cell>
          <cell r="W886">
            <v>0</v>
          </cell>
          <cell r="X886">
            <v>200</v>
          </cell>
          <cell r="Y886">
            <v>200</v>
          </cell>
          <cell r="Z886">
            <v>200</v>
          </cell>
          <cell r="AJ886">
            <v>600</v>
          </cell>
          <cell r="AW886">
            <v>0</v>
          </cell>
        </row>
        <row r="887">
          <cell r="B887">
            <v>4510</v>
          </cell>
          <cell r="C887" t="str">
            <v>CL_92_</v>
          </cell>
          <cell r="D887" t="str">
            <v>Rancho La Cuchilla No. 92</v>
          </cell>
          <cell r="E887" t="str">
            <v>Cabrera</v>
          </cell>
          <cell r="F887">
            <v>300</v>
          </cell>
          <cell r="G887">
            <v>1</v>
          </cell>
          <cell r="H887">
            <v>300</v>
          </cell>
          <cell r="I887">
            <v>41350</v>
          </cell>
          <cell r="J887">
            <v>0</v>
          </cell>
          <cell r="W887">
            <v>0</v>
          </cell>
          <cell r="Z887">
            <v>300</v>
          </cell>
          <cell r="AJ887">
            <v>300</v>
          </cell>
          <cell r="AW887">
            <v>0</v>
          </cell>
        </row>
        <row r="888">
          <cell r="B888">
            <v>4511</v>
          </cell>
          <cell r="C888" t="str">
            <v>UP_40_</v>
          </cell>
          <cell r="D888" t="str">
            <v>Rancho Upácuaro No. 40</v>
          </cell>
          <cell r="E888" t="str">
            <v>López Ramírez</v>
          </cell>
          <cell r="F888">
            <v>300</v>
          </cell>
          <cell r="G888">
            <v>1</v>
          </cell>
          <cell r="H888">
            <v>300</v>
          </cell>
          <cell r="I888">
            <v>41350</v>
          </cell>
          <cell r="J888">
            <v>0</v>
          </cell>
          <cell r="W888">
            <v>0</v>
          </cell>
          <cell r="Y888">
            <v>300</v>
          </cell>
          <cell r="AJ888">
            <v>300</v>
          </cell>
          <cell r="AW888">
            <v>0</v>
          </cell>
        </row>
        <row r="889">
          <cell r="B889">
            <v>4512</v>
          </cell>
          <cell r="C889" t="str">
            <v>LD_24_</v>
          </cell>
          <cell r="D889" t="str">
            <v>Rancho Landero No. 24</v>
          </cell>
          <cell r="E889" t="str">
            <v>Vázquez Peralta</v>
          </cell>
          <cell r="F889">
            <v>300</v>
          </cell>
          <cell r="G889">
            <v>1</v>
          </cell>
          <cell r="H889">
            <v>300</v>
          </cell>
          <cell r="I889">
            <v>41350</v>
          </cell>
          <cell r="J889">
            <v>0</v>
          </cell>
          <cell r="W889">
            <v>0</v>
          </cell>
          <cell r="Z889">
            <v>300</v>
          </cell>
          <cell r="AJ889">
            <v>300</v>
          </cell>
          <cell r="AW889">
            <v>0</v>
          </cell>
        </row>
        <row r="890">
          <cell r="B890">
            <v>4513</v>
          </cell>
          <cell r="C890" t="str">
            <v>LD_71_</v>
          </cell>
          <cell r="D890" t="str">
            <v>Rancho Landero No. 71</v>
          </cell>
          <cell r="E890" t="str">
            <v>Cabrera Balcázar</v>
          </cell>
          <cell r="F890">
            <v>300</v>
          </cell>
          <cell r="G890">
            <v>1</v>
          </cell>
          <cell r="H890">
            <v>300</v>
          </cell>
          <cell r="I890">
            <v>41350</v>
          </cell>
          <cell r="J890">
            <v>0</v>
          </cell>
          <cell r="W890">
            <v>0</v>
          </cell>
          <cell r="Z890">
            <v>300</v>
          </cell>
          <cell r="AJ890">
            <v>300</v>
          </cell>
          <cell r="AW890">
            <v>0</v>
          </cell>
        </row>
        <row r="891">
          <cell r="B891">
            <v>4514</v>
          </cell>
          <cell r="C891" t="str">
            <v>ZB_34_</v>
          </cell>
          <cell r="D891" t="str">
            <v>Rancho Zinamba No. 34</v>
          </cell>
          <cell r="E891" t="str">
            <v>Torres Zavala</v>
          </cell>
          <cell r="F891">
            <v>300</v>
          </cell>
          <cell r="G891">
            <v>1</v>
          </cell>
          <cell r="H891">
            <v>300</v>
          </cell>
          <cell r="I891">
            <v>41350</v>
          </cell>
          <cell r="J891">
            <v>0</v>
          </cell>
          <cell r="W891">
            <v>0</v>
          </cell>
          <cell r="Z891">
            <v>300</v>
          </cell>
          <cell r="AJ891">
            <v>300</v>
          </cell>
          <cell r="AW891">
            <v>0</v>
          </cell>
        </row>
        <row r="892">
          <cell r="B892">
            <v>4515</v>
          </cell>
          <cell r="C892" t="str">
            <v>EZ_19_</v>
          </cell>
          <cell r="D892" t="str">
            <v>Rancho Estanzuela No. 19</v>
          </cell>
          <cell r="E892" t="str">
            <v>Robles</v>
          </cell>
          <cell r="F892">
            <v>300</v>
          </cell>
          <cell r="G892">
            <v>1</v>
          </cell>
          <cell r="H892">
            <v>600</v>
          </cell>
          <cell r="I892">
            <v>41350</v>
          </cell>
          <cell r="J892">
            <v>0</v>
          </cell>
          <cell r="W892">
            <v>0</v>
          </cell>
          <cell r="Y892">
            <v>300</v>
          </cell>
          <cell r="Z892">
            <v>300</v>
          </cell>
          <cell r="AJ892">
            <v>600</v>
          </cell>
          <cell r="AW892">
            <v>0</v>
          </cell>
        </row>
        <row r="893">
          <cell r="B893">
            <v>4516</v>
          </cell>
          <cell r="C893" t="str">
            <v>EZ_61_</v>
          </cell>
          <cell r="D893" t="str">
            <v>Rancho Estanzuela No. 61</v>
          </cell>
          <cell r="E893" t="str">
            <v>González Almazán</v>
          </cell>
          <cell r="F893">
            <v>300</v>
          </cell>
          <cell r="G893">
            <v>1</v>
          </cell>
          <cell r="H893">
            <v>300</v>
          </cell>
          <cell r="I893">
            <v>41350</v>
          </cell>
          <cell r="J893">
            <v>0</v>
          </cell>
          <cell r="W893">
            <v>0</v>
          </cell>
          <cell r="Z893">
            <v>300</v>
          </cell>
          <cell r="AJ893">
            <v>300</v>
          </cell>
          <cell r="AW893">
            <v>0</v>
          </cell>
        </row>
        <row r="894">
          <cell r="B894">
            <v>4517</v>
          </cell>
          <cell r="C894" t="str">
            <v>UP_47_</v>
          </cell>
          <cell r="D894" t="str">
            <v>Rancho Upácuaro No. 47</v>
          </cell>
          <cell r="E894" t="str">
            <v>Flores Muñoz</v>
          </cell>
          <cell r="F894">
            <v>300</v>
          </cell>
          <cell r="G894">
            <v>1</v>
          </cell>
          <cell r="H894">
            <v>300</v>
          </cell>
          <cell r="I894">
            <v>41350</v>
          </cell>
          <cell r="J894">
            <v>0</v>
          </cell>
          <cell r="W894">
            <v>0</v>
          </cell>
          <cell r="Z894">
            <v>300</v>
          </cell>
          <cell r="AJ894">
            <v>300</v>
          </cell>
          <cell r="AW894">
            <v>0</v>
          </cell>
        </row>
        <row r="895">
          <cell r="B895">
            <v>4518</v>
          </cell>
          <cell r="C895" t="str">
            <v>EZ_31_</v>
          </cell>
          <cell r="D895" t="str">
            <v>Rancho Estanzuela No. 31</v>
          </cell>
          <cell r="E895" t="str">
            <v>Chávez Valdés</v>
          </cell>
          <cell r="F895">
            <v>300</v>
          </cell>
          <cell r="G895">
            <v>4</v>
          </cell>
          <cell r="H895">
            <v>160</v>
          </cell>
          <cell r="I895">
            <v>41350</v>
          </cell>
          <cell r="J895" t="str">
            <v>NO SUMA</v>
          </cell>
          <cell r="W895">
            <v>0</v>
          </cell>
          <cell r="AJ895">
            <v>0</v>
          </cell>
          <cell r="AW895">
            <v>0</v>
          </cell>
        </row>
        <row r="896">
          <cell r="B896">
            <v>4519</v>
          </cell>
          <cell r="C896" t="str">
            <v>LD_93_</v>
          </cell>
          <cell r="D896" t="str">
            <v>Rancho Landero No. 93</v>
          </cell>
          <cell r="E896" t="str">
            <v>Ortega López</v>
          </cell>
          <cell r="F896">
            <v>300</v>
          </cell>
          <cell r="G896">
            <v>1</v>
          </cell>
          <cell r="H896">
            <v>600</v>
          </cell>
          <cell r="I896">
            <v>41350</v>
          </cell>
          <cell r="J896">
            <v>0</v>
          </cell>
          <cell r="W896">
            <v>0</v>
          </cell>
          <cell r="Y896">
            <v>300</v>
          </cell>
          <cell r="Z896">
            <v>300</v>
          </cell>
          <cell r="AJ896">
            <v>600</v>
          </cell>
          <cell r="AW896">
            <v>0</v>
          </cell>
        </row>
        <row r="897">
          <cell r="B897">
            <v>4520</v>
          </cell>
          <cell r="C897" t="str">
            <v>LD_58_</v>
          </cell>
          <cell r="D897" t="str">
            <v>Rancho Landero No. 58</v>
          </cell>
          <cell r="E897" t="str">
            <v>Valero</v>
          </cell>
          <cell r="F897">
            <v>300</v>
          </cell>
          <cell r="G897">
            <v>1</v>
          </cell>
          <cell r="H897">
            <v>900</v>
          </cell>
          <cell r="I897">
            <v>41350</v>
          </cell>
          <cell r="J897">
            <v>0</v>
          </cell>
          <cell r="W897">
            <v>0</v>
          </cell>
          <cell r="Y897">
            <v>300</v>
          </cell>
          <cell r="Z897">
            <v>300</v>
          </cell>
          <cell r="AA897">
            <v>300</v>
          </cell>
          <cell r="AJ897">
            <v>900</v>
          </cell>
          <cell r="AW897">
            <v>0</v>
          </cell>
        </row>
        <row r="898">
          <cell r="B898">
            <v>4521</v>
          </cell>
          <cell r="C898" t="str">
            <v>CL_53_</v>
          </cell>
          <cell r="D898" t="str">
            <v>Rancho La Cuchilla No. 53</v>
          </cell>
          <cell r="E898" t="str">
            <v>Loyo Ochoa</v>
          </cell>
          <cell r="F898">
            <v>300</v>
          </cell>
          <cell r="G898">
            <v>1</v>
          </cell>
          <cell r="H898">
            <v>900</v>
          </cell>
          <cell r="I898">
            <v>41350</v>
          </cell>
          <cell r="J898">
            <v>0</v>
          </cell>
          <cell r="W898">
            <v>0</v>
          </cell>
          <cell r="Z898">
            <v>300</v>
          </cell>
          <cell r="AA898">
            <v>300</v>
          </cell>
          <cell r="AB898">
            <v>300</v>
          </cell>
          <cell r="AJ898">
            <v>900</v>
          </cell>
          <cell r="AW898">
            <v>0</v>
          </cell>
        </row>
        <row r="899">
          <cell r="B899">
            <v>4522</v>
          </cell>
          <cell r="C899" t="str">
            <v>RM_9_B</v>
          </cell>
          <cell r="D899" t="str">
            <v>Rancho Romeral No. 9, B</v>
          </cell>
          <cell r="E899" t="str">
            <v>Morales Macías</v>
          </cell>
          <cell r="F899">
            <v>100</v>
          </cell>
          <cell r="G899">
            <v>1</v>
          </cell>
          <cell r="H899">
            <v>100</v>
          </cell>
          <cell r="I899">
            <v>41350</v>
          </cell>
          <cell r="J899">
            <v>0</v>
          </cell>
          <cell r="W899">
            <v>0</v>
          </cell>
          <cell r="Z899">
            <v>100</v>
          </cell>
          <cell r="AJ899">
            <v>100</v>
          </cell>
          <cell r="AW899">
            <v>0</v>
          </cell>
        </row>
        <row r="900">
          <cell r="B900">
            <v>4523</v>
          </cell>
          <cell r="C900" t="str">
            <v>CL_68_</v>
          </cell>
          <cell r="D900" t="str">
            <v>Rancho La Cuchilla No. 68</v>
          </cell>
          <cell r="E900" t="str">
            <v>Montesinos</v>
          </cell>
          <cell r="F900">
            <v>300</v>
          </cell>
          <cell r="G900">
            <v>1</v>
          </cell>
          <cell r="H900">
            <v>600</v>
          </cell>
          <cell r="I900">
            <v>41350</v>
          </cell>
          <cell r="J900">
            <v>0</v>
          </cell>
          <cell r="W900">
            <v>0</v>
          </cell>
          <cell r="X900">
            <v>300</v>
          </cell>
          <cell r="Y900">
            <v>300</v>
          </cell>
          <cell r="AJ900">
            <v>600</v>
          </cell>
          <cell r="AW900">
            <v>0</v>
          </cell>
        </row>
        <row r="901">
          <cell r="B901">
            <v>4524</v>
          </cell>
          <cell r="C901" t="str">
            <v>EP_22_A</v>
          </cell>
          <cell r="D901" t="str">
            <v>Rancho Estopila No. 22, A</v>
          </cell>
          <cell r="E901" t="str">
            <v>Ayala Carranza</v>
          </cell>
          <cell r="F901">
            <v>150</v>
          </cell>
          <cell r="G901">
            <v>1</v>
          </cell>
          <cell r="H901">
            <v>150</v>
          </cell>
          <cell r="I901">
            <v>41350</v>
          </cell>
          <cell r="J901">
            <v>0</v>
          </cell>
          <cell r="W901">
            <v>0</v>
          </cell>
          <cell r="Z901">
            <v>150</v>
          </cell>
          <cell r="AJ901">
            <v>150</v>
          </cell>
          <cell r="AW901">
            <v>0</v>
          </cell>
        </row>
        <row r="902">
          <cell r="B902">
            <v>4525</v>
          </cell>
          <cell r="C902" t="str">
            <v>ZB_8_</v>
          </cell>
          <cell r="D902" t="str">
            <v>Rancho Zinamba No. 8</v>
          </cell>
          <cell r="E902" t="str">
            <v>Florido</v>
          </cell>
          <cell r="F902">
            <v>300</v>
          </cell>
          <cell r="G902">
            <v>1</v>
          </cell>
          <cell r="H902">
            <v>300</v>
          </cell>
          <cell r="I902">
            <v>41350</v>
          </cell>
          <cell r="J902">
            <v>0</v>
          </cell>
          <cell r="W902">
            <v>0</v>
          </cell>
          <cell r="Z902">
            <v>300</v>
          </cell>
          <cell r="AJ902">
            <v>300</v>
          </cell>
          <cell r="AW902">
            <v>0</v>
          </cell>
        </row>
        <row r="903">
          <cell r="B903">
            <v>4526</v>
          </cell>
          <cell r="C903" t="str">
            <v>CL_43_A</v>
          </cell>
          <cell r="D903" t="str">
            <v>Rancho La Cuchilla No. 43, A</v>
          </cell>
          <cell r="E903" t="str">
            <v>De la Rosa</v>
          </cell>
          <cell r="F903">
            <v>200</v>
          </cell>
          <cell r="G903">
            <v>1</v>
          </cell>
          <cell r="H903">
            <v>200</v>
          </cell>
          <cell r="I903">
            <v>41350</v>
          </cell>
          <cell r="J903">
            <v>0</v>
          </cell>
          <cell r="W903">
            <v>0</v>
          </cell>
          <cell r="Z903">
            <v>200</v>
          </cell>
          <cell r="AJ903">
            <v>200</v>
          </cell>
          <cell r="AW903">
            <v>0</v>
          </cell>
        </row>
        <row r="904">
          <cell r="B904">
            <v>4527</v>
          </cell>
          <cell r="C904" t="str">
            <v>LD_45_</v>
          </cell>
          <cell r="D904" t="str">
            <v>Rancho Landero No. 45</v>
          </cell>
          <cell r="E904" t="str">
            <v>Almazán</v>
          </cell>
          <cell r="F904">
            <v>300</v>
          </cell>
          <cell r="G904">
            <v>1</v>
          </cell>
          <cell r="H904">
            <v>300</v>
          </cell>
          <cell r="I904">
            <v>41350</v>
          </cell>
          <cell r="J904">
            <v>0</v>
          </cell>
          <cell r="W904">
            <v>0</v>
          </cell>
          <cell r="Z904">
            <v>300</v>
          </cell>
          <cell r="AJ904">
            <v>300</v>
          </cell>
          <cell r="AW904">
            <v>0</v>
          </cell>
        </row>
        <row r="905">
          <cell r="B905">
            <v>4528</v>
          </cell>
          <cell r="C905" t="str">
            <v>LD_62_</v>
          </cell>
          <cell r="D905" t="str">
            <v>Rancho Landero No. 62</v>
          </cell>
          <cell r="E905" t="str">
            <v>Narvaez Sara</v>
          </cell>
          <cell r="F905">
            <v>300</v>
          </cell>
          <cell r="G905">
            <v>1</v>
          </cell>
          <cell r="H905">
            <v>600</v>
          </cell>
          <cell r="I905">
            <v>41350</v>
          </cell>
          <cell r="J905">
            <v>0</v>
          </cell>
          <cell r="W905">
            <v>0</v>
          </cell>
          <cell r="Y905">
            <v>300</v>
          </cell>
          <cell r="Z905">
            <v>300</v>
          </cell>
          <cell r="AJ905">
            <v>600</v>
          </cell>
          <cell r="AW905">
            <v>0</v>
          </cell>
        </row>
        <row r="906">
          <cell r="B906">
            <v>4529</v>
          </cell>
          <cell r="C906" t="str">
            <v>LD_90_</v>
          </cell>
          <cell r="D906" t="str">
            <v>Rancho Landero No. 90</v>
          </cell>
          <cell r="E906" t="str">
            <v>Córdova Reséndiz</v>
          </cell>
          <cell r="F906">
            <v>300</v>
          </cell>
          <cell r="G906">
            <v>1</v>
          </cell>
          <cell r="H906">
            <v>900</v>
          </cell>
          <cell r="I906">
            <v>41350</v>
          </cell>
          <cell r="J906">
            <v>0</v>
          </cell>
          <cell r="W906">
            <v>0</v>
          </cell>
          <cell r="X906">
            <v>300</v>
          </cell>
          <cell r="Y906">
            <v>300</v>
          </cell>
          <cell r="Z906">
            <v>300</v>
          </cell>
          <cell r="AJ906">
            <v>900</v>
          </cell>
          <cell r="AW906">
            <v>0</v>
          </cell>
        </row>
        <row r="907">
          <cell r="B907">
            <v>4530</v>
          </cell>
          <cell r="C907" t="str">
            <v>CL_107_</v>
          </cell>
          <cell r="D907" t="str">
            <v>Rancho La Cuchilla No. 107</v>
          </cell>
          <cell r="E907" t="str">
            <v>Olivares Rivera</v>
          </cell>
          <cell r="F907">
            <v>300</v>
          </cell>
          <cell r="G907">
            <v>1</v>
          </cell>
          <cell r="H907">
            <v>300</v>
          </cell>
          <cell r="I907">
            <v>41350</v>
          </cell>
          <cell r="J907">
            <v>0</v>
          </cell>
          <cell r="W907">
            <v>0</v>
          </cell>
          <cell r="Z907">
            <v>300</v>
          </cell>
          <cell r="AJ907">
            <v>300</v>
          </cell>
          <cell r="AW907">
            <v>0</v>
          </cell>
        </row>
        <row r="908">
          <cell r="B908">
            <v>4531</v>
          </cell>
          <cell r="C908" t="str">
            <v>LD_90_</v>
          </cell>
          <cell r="D908" t="str">
            <v>Rancho Landero No. 90</v>
          </cell>
          <cell r="E908" t="str">
            <v>Córdova Reséndiz</v>
          </cell>
          <cell r="F908">
            <v>300</v>
          </cell>
          <cell r="G908">
            <v>1</v>
          </cell>
          <cell r="H908">
            <v>300</v>
          </cell>
          <cell r="I908">
            <v>41350</v>
          </cell>
          <cell r="J908">
            <v>0</v>
          </cell>
          <cell r="V908">
            <v>300</v>
          </cell>
          <cell r="W908">
            <v>300</v>
          </cell>
          <cell r="AJ908">
            <v>0</v>
          </cell>
          <cell r="AW908">
            <v>0</v>
          </cell>
        </row>
        <row r="909">
          <cell r="B909">
            <v>4532</v>
          </cell>
          <cell r="C909" t="str">
            <v>LD_90_</v>
          </cell>
          <cell r="D909" t="str">
            <v>Rancho Landero No. 90</v>
          </cell>
          <cell r="E909" t="str">
            <v>Córdova Reséndiz</v>
          </cell>
          <cell r="F909">
            <v>300</v>
          </cell>
          <cell r="G909">
            <v>3</v>
          </cell>
          <cell r="H909">
            <v>150</v>
          </cell>
          <cell r="I909">
            <v>41350</v>
          </cell>
          <cell r="J909" t="str">
            <v>NO SUMA</v>
          </cell>
          <cell r="W909">
            <v>0</v>
          </cell>
          <cell r="AJ909">
            <v>0</v>
          </cell>
          <cell r="AW909">
            <v>0</v>
          </cell>
        </row>
        <row r="910">
          <cell r="B910">
            <v>4533</v>
          </cell>
          <cell r="C910" t="str">
            <v>UP_65_</v>
          </cell>
          <cell r="D910" t="str">
            <v>Rancho Upácuaro No. 65</v>
          </cell>
          <cell r="E910" t="str">
            <v>Olguín</v>
          </cell>
          <cell r="F910">
            <v>300</v>
          </cell>
          <cell r="G910">
            <v>4</v>
          </cell>
          <cell r="H910">
            <v>160</v>
          </cell>
          <cell r="I910">
            <v>41350</v>
          </cell>
          <cell r="J910" t="str">
            <v>NO SUMA</v>
          </cell>
          <cell r="W910">
            <v>0</v>
          </cell>
          <cell r="AJ910">
            <v>0</v>
          </cell>
          <cell r="AW910">
            <v>0</v>
          </cell>
        </row>
        <row r="911">
          <cell r="B911">
            <v>4534</v>
          </cell>
          <cell r="C911" t="str">
            <v>UP_60_</v>
          </cell>
          <cell r="D911" t="str">
            <v>Rancho Upácuaro No. 60</v>
          </cell>
          <cell r="E911" t="str">
            <v>Zavala</v>
          </cell>
          <cell r="F911">
            <v>300</v>
          </cell>
          <cell r="G911">
            <v>1</v>
          </cell>
          <cell r="H911">
            <v>300</v>
          </cell>
          <cell r="I911">
            <v>41350</v>
          </cell>
          <cell r="J911">
            <v>0</v>
          </cell>
          <cell r="W911">
            <v>0</v>
          </cell>
          <cell r="Z911">
            <v>300</v>
          </cell>
          <cell r="AJ911">
            <v>300</v>
          </cell>
          <cell r="AW911">
            <v>0</v>
          </cell>
        </row>
        <row r="912">
          <cell r="B912">
            <v>4535</v>
          </cell>
          <cell r="C912" t="str">
            <v>LD_51_</v>
          </cell>
          <cell r="D912" t="str">
            <v>Rancho Landero No. 51</v>
          </cell>
          <cell r="E912" t="str">
            <v>H. Robles Tamayo</v>
          </cell>
          <cell r="F912">
            <v>300</v>
          </cell>
          <cell r="G912">
            <v>1</v>
          </cell>
          <cell r="H912">
            <v>300</v>
          </cell>
          <cell r="I912">
            <v>41350</v>
          </cell>
          <cell r="J912">
            <v>0</v>
          </cell>
          <cell r="W912">
            <v>0</v>
          </cell>
          <cell r="Z912">
            <v>300</v>
          </cell>
          <cell r="AJ912">
            <v>300</v>
          </cell>
          <cell r="AW912">
            <v>0</v>
          </cell>
        </row>
        <row r="913">
          <cell r="B913">
            <v>4535</v>
          </cell>
          <cell r="C913" t="str">
            <v>LD_51_</v>
          </cell>
          <cell r="D913" t="str">
            <v>Rancho Landero No. 51</v>
          </cell>
          <cell r="E913" t="str">
            <v>H. Robles Tamayo</v>
          </cell>
          <cell r="F913">
            <v>300</v>
          </cell>
          <cell r="G913">
            <v>4</v>
          </cell>
          <cell r="H913">
            <v>160</v>
          </cell>
          <cell r="I913">
            <v>41350</v>
          </cell>
          <cell r="J913" t="str">
            <v>NO SUMA</v>
          </cell>
          <cell r="W913">
            <v>0</v>
          </cell>
          <cell r="AJ913">
            <v>0</v>
          </cell>
          <cell r="AW913">
            <v>0</v>
          </cell>
        </row>
        <row r="914">
          <cell r="B914">
            <v>4536</v>
          </cell>
          <cell r="C914" t="str">
            <v>EZ_99_</v>
          </cell>
          <cell r="D914" t="str">
            <v>Rancho Estanzuela No. 99</v>
          </cell>
          <cell r="E914" t="str">
            <v>García López</v>
          </cell>
          <cell r="F914">
            <v>300</v>
          </cell>
          <cell r="G914">
            <v>1</v>
          </cell>
          <cell r="H914">
            <v>300</v>
          </cell>
          <cell r="I914">
            <v>41350</v>
          </cell>
          <cell r="J914">
            <v>0</v>
          </cell>
          <cell r="W914">
            <v>0</v>
          </cell>
          <cell r="Z914">
            <v>300</v>
          </cell>
          <cell r="AJ914">
            <v>300</v>
          </cell>
          <cell r="AW914">
            <v>0</v>
          </cell>
        </row>
        <row r="915">
          <cell r="B915">
            <v>4537</v>
          </cell>
          <cell r="C915" t="str">
            <v>CL_75_</v>
          </cell>
          <cell r="D915" t="str">
            <v>Rancho La Cuchilla No. 75</v>
          </cell>
          <cell r="E915" t="str">
            <v>Sosa Lucio</v>
          </cell>
          <cell r="F915">
            <v>300</v>
          </cell>
          <cell r="G915">
            <v>1</v>
          </cell>
          <cell r="H915">
            <v>300</v>
          </cell>
          <cell r="I915">
            <v>41350</v>
          </cell>
          <cell r="J915">
            <v>0</v>
          </cell>
          <cell r="W915">
            <v>0</v>
          </cell>
          <cell r="Z915">
            <v>300</v>
          </cell>
          <cell r="AJ915">
            <v>300</v>
          </cell>
          <cell r="AW915">
            <v>0</v>
          </cell>
        </row>
        <row r="916">
          <cell r="B916">
            <v>4537</v>
          </cell>
          <cell r="C916" t="str">
            <v>CL_75_</v>
          </cell>
          <cell r="D916" t="str">
            <v>Rancho La Cuchilla No. 75</v>
          </cell>
          <cell r="E916" t="str">
            <v>Sosa Lucio</v>
          </cell>
          <cell r="F916">
            <v>300</v>
          </cell>
          <cell r="G916">
            <v>4</v>
          </cell>
          <cell r="H916">
            <v>160</v>
          </cell>
          <cell r="I916">
            <v>41350</v>
          </cell>
          <cell r="J916" t="str">
            <v>NO SUMA</v>
          </cell>
          <cell r="W916">
            <v>0</v>
          </cell>
          <cell r="AJ916">
            <v>0</v>
          </cell>
          <cell r="AW916">
            <v>0</v>
          </cell>
        </row>
        <row r="917">
          <cell r="B917">
            <v>4538</v>
          </cell>
          <cell r="C917" t="str">
            <v>EZ_161_1</v>
          </cell>
          <cell r="D917" t="str">
            <v>Rancho Estanzuela No. 161, 1</v>
          </cell>
          <cell r="E917" t="str">
            <v>Guevara</v>
          </cell>
          <cell r="F917">
            <v>150</v>
          </cell>
          <cell r="G917">
            <v>1</v>
          </cell>
          <cell r="H917">
            <v>300</v>
          </cell>
          <cell r="I917">
            <v>41350</v>
          </cell>
          <cell r="J917">
            <v>0</v>
          </cell>
          <cell r="W917">
            <v>0</v>
          </cell>
          <cell r="Y917">
            <v>150</v>
          </cell>
          <cell r="Z917">
            <v>150</v>
          </cell>
          <cell r="AJ917">
            <v>300</v>
          </cell>
          <cell r="AW917">
            <v>0</v>
          </cell>
        </row>
        <row r="918">
          <cell r="B918">
            <v>4539</v>
          </cell>
          <cell r="C918" t="str">
            <v>CL_66_</v>
          </cell>
          <cell r="D918" t="str">
            <v>Rancho La Cuchilla No. 66</v>
          </cell>
          <cell r="E918" t="str">
            <v>Prieto</v>
          </cell>
          <cell r="F918">
            <v>300</v>
          </cell>
          <cell r="G918">
            <v>1</v>
          </cell>
          <cell r="H918">
            <v>300</v>
          </cell>
          <cell r="I918">
            <v>41350</v>
          </cell>
          <cell r="J918">
            <v>0</v>
          </cell>
          <cell r="W918">
            <v>0</v>
          </cell>
          <cell r="Z918">
            <v>300</v>
          </cell>
          <cell r="AJ918">
            <v>300</v>
          </cell>
          <cell r="AW918">
            <v>0</v>
          </cell>
        </row>
        <row r="919">
          <cell r="B919">
            <v>4540</v>
          </cell>
          <cell r="D919" t="str">
            <v/>
          </cell>
          <cell r="E919" t="str">
            <v/>
          </cell>
          <cell r="F919" t="str">
            <v/>
          </cell>
          <cell r="G919">
            <v>8</v>
          </cell>
          <cell r="I919">
            <v>41350</v>
          </cell>
          <cell r="J919" t="str">
            <v>NO SUMA</v>
          </cell>
          <cell r="W919">
            <v>0</v>
          </cell>
          <cell r="AJ919">
            <v>0</v>
          </cell>
          <cell r="AW919">
            <v>0</v>
          </cell>
        </row>
        <row r="920">
          <cell r="B920">
            <v>4541</v>
          </cell>
          <cell r="C920" t="str">
            <v>EZ_103_</v>
          </cell>
          <cell r="D920" t="str">
            <v>Rancho Estanzuela No. 103</v>
          </cell>
          <cell r="E920" t="str">
            <v>Valencia Aranda</v>
          </cell>
          <cell r="F920">
            <v>300</v>
          </cell>
          <cell r="G920">
            <v>4</v>
          </cell>
          <cell r="H920">
            <v>160</v>
          </cell>
          <cell r="I920">
            <v>41350</v>
          </cell>
          <cell r="J920" t="str">
            <v>NO SUMA</v>
          </cell>
          <cell r="W920">
            <v>0</v>
          </cell>
          <cell r="AJ920">
            <v>0</v>
          </cell>
          <cell r="AW920">
            <v>0</v>
          </cell>
        </row>
        <row r="921">
          <cell r="B921">
            <v>4542</v>
          </cell>
          <cell r="C921" t="str">
            <v>EP_15_</v>
          </cell>
          <cell r="D921" t="str">
            <v>Rancho Estopila No. 15</v>
          </cell>
          <cell r="E921" t="str">
            <v>Zhang</v>
          </cell>
          <cell r="F921">
            <v>300</v>
          </cell>
          <cell r="G921">
            <v>3</v>
          </cell>
          <cell r="H921">
            <v>150</v>
          </cell>
          <cell r="I921">
            <v>41350</v>
          </cell>
          <cell r="J921" t="str">
            <v>NO SUMA</v>
          </cell>
          <cell r="W921">
            <v>0</v>
          </cell>
          <cell r="AJ921">
            <v>0</v>
          </cell>
          <cell r="AW921">
            <v>0</v>
          </cell>
        </row>
        <row r="922">
          <cell r="B922">
            <v>4543</v>
          </cell>
          <cell r="C922" t="str">
            <v>UP_101_</v>
          </cell>
          <cell r="D922" t="str">
            <v>Rancho Upácuaro No. 101</v>
          </cell>
          <cell r="E922" t="str">
            <v>Chávez, Arturo</v>
          </cell>
          <cell r="F922">
            <v>300</v>
          </cell>
          <cell r="G922">
            <v>4</v>
          </cell>
          <cell r="H922">
            <v>160</v>
          </cell>
          <cell r="I922">
            <v>41350</v>
          </cell>
          <cell r="J922" t="str">
            <v>NO SUMA</v>
          </cell>
          <cell r="W922">
            <v>0</v>
          </cell>
          <cell r="AJ922">
            <v>0</v>
          </cell>
          <cell r="AW922">
            <v>0</v>
          </cell>
        </row>
        <row r="923">
          <cell r="B923">
            <v>4544</v>
          </cell>
          <cell r="C923" t="str">
            <v>UP_19_</v>
          </cell>
          <cell r="D923" t="str">
            <v>Rancho Upácuaro No. 19</v>
          </cell>
          <cell r="E923" t="str">
            <v>Peña Inclán</v>
          </cell>
          <cell r="F923">
            <v>200</v>
          </cell>
          <cell r="G923">
            <v>4</v>
          </cell>
          <cell r="H923">
            <v>160</v>
          </cell>
          <cell r="I923">
            <v>41350</v>
          </cell>
          <cell r="J923" t="str">
            <v>NO SUMA</v>
          </cell>
          <cell r="W923">
            <v>0</v>
          </cell>
          <cell r="AJ923">
            <v>0</v>
          </cell>
          <cell r="AW923">
            <v>0</v>
          </cell>
        </row>
        <row r="924">
          <cell r="B924">
            <v>4545</v>
          </cell>
          <cell r="C924" t="str">
            <v>HS_828_</v>
          </cell>
          <cell r="D924" t="str">
            <v>Calzada del Hueso No. 828</v>
          </cell>
          <cell r="E924" t="str">
            <v>Cervantes, Miguel</v>
          </cell>
          <cell r="F924">
            <v>300</v>
          </cell>
          <cell r="G924">
            <v>3</v>
          </cell>
          <cell r="H924">
            <v>150</v>
          </cell>
          <cell r="I924">
            <v>41352</v>
          </cell>
          <cell r="J924" t="str">
            <v>NO SUMA</v>
          </cell>
          <cell r="W924">
            <v>0</v>
          </cell>
          <cell r="AJ924">
            <v>0</v>
          </cell>
          <cell r="AW924">
            <v>0</v>
          </cell>
        </row>
        <row r="925">
          <cell r="B925">
            <v>4546</v>
          </cell>
          <cell r="C925" t="str">
            <v>EZ_79_</v>
          </cell>
          <cell r="D925" t="str">
            <v>Rancho Estanzuela No. 79</v>
          </cell>
          <cell r="E925" t="str">
            <v>Mendoza</v>
          </cell>
          <cell r="F925">
            <v>300</v>
          </cell>
          <cell r="G925">
            <v>4</v>
          </cell>
          <cell r="H925">
            <v>320</v>
          </cell>
          <cell r="I925">
            <v>41354</v>
          </cell>
          <cell r="J925" t="str">
            <v>NO SUMA</v>
          </cell>
          <cell r="W925">
            <v>0</v>
          </cell>
          <cell r="AJ925">
            <v>0</v>
          </cell>
          <cell r="AW925">
            <v>0</v>
          </cell>
        </row>
        <row r="926">
          <cell r="B926">
            <v>4547</v>
          </cell>
          <cell r="C926" t="str">
            <v>ZB_12_</v>
          </cell>
          <cell r="D926" t="str">
            <v>Rancho Zinamba No. 12</v>
          </cell>
          <cell r="E926" t="str">
            <v>Rodríguez</v>
          </cell>
          <cell r="F926">
            <v>400</v>
          </cell>
          <cell r="G926">
            <v>1</v>
          </cell>
          <cell r="H926">
            <v>400</v>
          </cell>
          <cell r="I926">
            <v>41354</v>
          </cell>
          <cell r="J926">
            <v>0</v>
          </cell>
          <cell r="W926">
            <v>0</v>
          </cell>
          <cell r="Z926">
            <v>400</v>
          </cell>
          <cell r="AJ926">
            <v>400</v>
          </cell>
          <cell r="AW926">
            <v>0</v>
          </cell>
        </row>
        <row r="927">
          <cell r="B927" t="str">
            <v>l76</v>
          </cell>
          <cell r="C927" t="str">
            <v>CM_130_A</v>
          </cell>
          <cell r="D927" t="str">
            <v>Rancho Estanzuela No. 130, A</v>
          </cell>
          <cell r="E927" t="str">
            <v>Colegio Carmel</v>
          </cell>
          <cell r="F927">
            <v>10000</v>
          </cell>
          <cell r="G927">
            <v>1</v>
          </cell>
          <cell r="H927">
            <v>10000</v>
          </cell>
          <cell r="I927">
            <v>41354</v>
          </cell>
          <cell r="J927">
            <v>0</v>
          </cell>
          <cell r="W927">
            <v>0</v>
          </cell>
          <cell r="Z927">
            <v>10000</v>
          </cell>
          <cell r="AJ927">
            <v>10000</v>
          </cell>
          <cell r="AW927">
            <v>0</v>
          </cell>
        </row>
        <row r="928">
          <cell r="B928">
            <v>4548</v>
          </cell>
          <cell r="C928" t="str">
            <v>CL_148_</v>
          </cell>
          <cell r="D928" t="str">
            <v>Rancho La Cuchilla No. 148</v>
          </cell>
          <cell r="E928" t="str">
            <v>Vázquez Vázquez</v>
          </cell>
          <cell r="F928">
            <v>300</v>
          </cell>
          <cell r="G928">
            <v>1</v>
          </cell>
          <cell r="H928">
            <v>600</v>
          </cell>
          <cell r="I928">
            <v>41357</v>
          </cell>
          <cell r="J928">
            <v>0</v>
          </cell>
          <cell r="W928">
            <v>0</v>
          </cell>
          <cell r="Y928">
            <v>300</v>
          </cell>
          <cell r="Z928">
            <v>300</v>
          </cell>
          <cell r="AJ928">
            <v>600</v>
          </cell>
          <cell r="AW928">
            <v>0</v>
          </cell>
        </row>
        <row r="929">
          <cell r="B929">
            <v>4549</v>
          </cell>
          <cell r="C929" t="str">
            <v>EZ_47_</v>
          </cell>
          <cell r="D929" t="str">
            <v>Rancho Estanzuela No. 47</v>
          </cell>
          <cell r="E929" t="str">
            <v>Bussey García</v>
          </cell>
          <cell r="F929">
            <v>300</v>
          </cell>
          <cell r="G929">
            <v>1</v>
          </cell>
          <cell r="H929">
            <v>300</v>
          </cell>
          <cell r="I929">
            <v>41357</v>
          </cell>
          <cell r="J929">
            <v>0</v>
          </cell>
          <cell r="W929">
            <v>0</v>
          </cell>
          <cell r="Z929">
            <v>300</v>
          </cell>
          <cell r="AJ929">
            <v>300</v>
          </cell>
          <cell r="AW929">
            <v>0</v>
          </cell>
        </row>
        <row r="930">
          <cell r="B930">
            <v>4550</v>
          </cell>
          <cell r="C930" t="str">
            <v>UP_88_</v>
          </cell>
          <cell r="D930" t="str">
            <v>Rancho Upácuaro No. 88</v>
          </cell>
          <cell r="E930" t="str">
            <v>Millán Núñez</v>
          </cell>
          <cell r="F930">
            <v>300</v>
          </cell>
          <cell r="G930">
            <v>1</v>
          </cell>
          <cell r="H930">
            <v>600</v>
          </cell>
          <cell r="I930">
            <v>41357</v>
          </cell>
          <cell r="J930">
            <v>0</v>
          </cell>
          <cell r="W930">
            <v>0</v>
          </cell>
          <cell r="Z930">
            <v>300</v>
          </cell>
          <cell r="AA930">
            <v>300</v>
          </cell>
          <cell r="AJ930">
            <v>600</v>
          </cell>
          <cell r="AW930">
            <v>0</v>
          </cell>
        </row>
        <row r="931">
          <cell r="B931">
            <v>4551</v>
          </cell>
          <cell r="C931" t="str">
            <v>LD_34_</v>
          </cell>
          <cell r="D931" t="str">
            <v>Rancho Landero No. 34</v>
          </cell>
          <cell r="E931" t="str">
            <v>Barro</v>
          </cell>
          <cell r="F931">
            <v>300</v>
          </cell>
          <cell r="G931">
            <v>1</v>
          </cell>
          <cell r="H931">
            <v>300</v>
          </cell>
          <cell r="I931">
            <v>41357</v>
          </cell>
          <cell r="J931">
            <v>0</v>
          </cell>
          <cell r="W931">
            <v>0</v>
          </cell>
          <cell r="Z931">
            <v>300</v>
          </cell>
          <cell r="AJ931">
            <v>300</v>
          </cell>
          <cell r="AW931">
            <v>0</v>
          </cell>
        </row>
        <row r="932">
          <cell r="B932">
            <v>4552</v>
          </cell>
          <cell r="C932" t="str">
            <v>RM_10_A</v>
          </cell>
          <cell r="D932" t="str">
            <v>Rancho Romeral No. 10, A</v>
          </cell>
          <cell r="E932" t="str">
            <v>Casillas Álvarez</v>
          </cell>
          <cell r="F932">
            <v>150</v>
          </cell>
          <cell r="G932">
            <v>1</v>
          </cell>
          <cell r="H932">
            <v>150</v>
          </cell>
          <cell r="I932">
            <v>41357</v>
          </cell>
          <cell r="J932">
            <v>0</v>
          </cell>
          <cell r="W932">
            <v>0</v>
          </cell>
          <cell r="AA932">
            <v>150</v>
          </cell>
          <cell r="AJ932">
            <v>150</v>
          </cell>
          <cell r="AW932">
            <v>0</v>
          </cell>
        </row>
        <row r="933">
          <cell r="B933">
            <v>4553</v>
          </cell>
          <cell r="C933" t="str">
            <v>LD_89_</v>
          </cell>
          <cell r="D933" t="str">
            <v>Rancho Landero No. 89</v>
          </cell>
          <cell r="E933" t="str">
            <v>Del Pozo Solís</v>
          </cell>
          <cell r="F933">
            <v>300</v>
          </cell>
          <cell r="G933">
            <v>3</v>
          </cell>
          <cell r="H933">
            <v>150</v>
          </cell>
          <cell r="I933">
            <v>41357</v>
          </cell>
          <cell r="J933" t="str">
            <v>NO SUMA</v>
          </cell>
          <cell r="W933">
            <v>0</v>
          </cell>
          <cell r="AJ933">
            <v>0</v>
          </cell>
          <cell r="AW933">
            <v>0</v>
          </cell>
        </row>
        <row r="934">
          <cell r="B934">
            <v>4554</v>
          </cell>
          <cell r="C934" t="str">
            <v>CL_Terreno_</v>
          </cell>
          <cell r="D934" t="str">
            <v>Rancho La Cuchilla No. terreno</v>
          </cell>
          <cell r="E934" t="str">
            <v>Martínez Flores</v>
          </cell>
          <cell r="F934">
            <v>300</v>
          </cell>
          <cell r="G934">
            <v>1</v>
          </cell>
          <cell r="H934">
            <v>600</v>
          </cell>
          <cell r="I934">
            <v>41357</v>
          </cell>
          <cell r="J934">
            <v>0</v>
          </cell>
          <cell r="W934">
            <v>0</v>
          </cell>
          <cell r="X934">
            <v>300</v>
          </cell>
          <cell r="Y934">
            <v>300</v>
          </cell>
          <cell r="AJ934">
            <v>600</v>
          </cell>
          <cell r="AW934">
            <v>0</v>
          </cell>
        </row>
        <row r="935">
          <cell r="B935">
            <v>4555</v>
          </cell>
          <cell r="C935" t="str">
            <v>CL_12_</v>
          </cell>
          <cell r="D935" t="str">
            <v>Rancho La Cuchilla No. 12</v>
          </cell>
          <cell r="E935" t="str">
            <v>Rivera Flores</v>
          </cell>
          <cell r="F935">
            <v>300</v>
          </cell>
          <cell r="G935">
            <v>1</v>
          </cell>
          <cell r="H935">
            <v>300</v>
          </cell>
          <cell r="I935">
            <v>41357</v>
          </cell>
          <cell r="J935">
            <v>0</v>
          </cell>
          <cell r="W935">
            <v>0</v>
          </cell>
          <cell r="Y935">
            <v>300</v>
          </cell>
          <cell r="AJ935">
            <v>300</v>
          </cell>
          <cell r="AW935">
            <v>0</v>
          </cell>
        </row>
        <row r="936">
          <cell r="B936">
            <v>4556</v>
          </cell>
          <cell r="C936" t="str">
            <v>CL_12_</v>
          </cell>
          <cell r="D936" t="str">
            <v>Rancho La Cuchilla No. 12</v>
          </cell>
          <cell r="E936" t="str">
            <v>Rivera Flores</v>
          </cell>
          <cell r="F936">
            <v>300</v>
          </cell>
          <cell r="G936">
            <v>4</v>
          </cell>
          <cell r="H936">
            <v>160</v>
          </cell>
          <cell r="I936">
            <v>41357</v>
          </cell>
          <cell r="J936" t="str">
            <v>NO SUMA</v>
          </cell>
          <cell r="W936">
            <v>0</v>
          </cell>
          <cell r="AJ936">
            <v>0</v>
          </cell>
          <cell r="AW936">
            <v>0</v>
          </cell>
        </row>
        <row r="937">
          <cell r="B937">
            <v>4557</v>
          </cell>
          <cell r="C937" t="str">
            <v>LD_58_</v>
          </cell>
          <cell r="D937" t="str">
            <v>Rancho Landero No. 58</v>
          </cell>
          <cell r="E937" t="str">
            <v>Valero</v>
          </cell>
          <cell r="F937">
            <v>300</v>
          </cell>
          <cell r="G937">
            <v>4</v>
          </cell>
          <cell r="H937">
            <v>320</v>
          </cell>
          <cell r="I937">
            <v>41357</v>
          </cell>
          <cell r="J937" t="str">
            <v>NO SUMA</v>
          </cell>
          <cell r="W937">
            <v>0</v>
          </cell>
          <cell r="AJ937">
            <v>0</v>
          </cell>
          <cell r="AW937">
            <v>0</v>
          </cell>
        </row>
        <row r="938">
          <cell r="B938">
            <v>4557</v>
          </cell>
          <cell r="C938" t="str">
            <v>LD_58_</v>
          </cell>
          <cell r="D938" t="str">
            <v>Rancho Landero No. 58</v>
          </cell>
          <cell r="E938" t="str">
            <v>Valero</v>
          </cell>
          <cell r="F938">
            <v>300</v>
          </cell>
          <cell r="G938">
            <v>5</v>
          </cell>
          <cell r="H938">
            <v>40</v>
          </cell>
          <cell r="I938">
            <v>41357</v>
          </cell>
          <cell r="J938" t="str">
            <v>NO SUMA</v>
          </cell>
          <cell r="W938">
            <v>0</v>
          </cell>
          <cell r="AJ938">
            <v>0</v>
          </cell>
          <cell r="AW938">
            <v>0</v>
          </cell>
        </row>
        <row r="939">
          <cell r="B939">
            <v>4558</v>
          </cell>
          <cell r="C939" t="str">
            <v>RV_3_</v>
          </cell>
          <cell r="D939" t="str">
            <v>Rancho Recoveco No. 3</v>
          </cell>
          <cell r="E939" t="str">
            <v>Garduño</v>
          </cell>
          <cell r="F939">
            <v>300</v>
          </cell>
          <cell r="G939">
            <v>1</v>
          </cell>
          <cell r="H939">
            <v>300</v>
          </cell>
          <cell r="I939">
            <v>41357</v>
          </cell>
          <cell r="J939">
            <v>0</v>
          </cell>
          <cell r="W939">
            <v>0</v>
          </cell>
          <cell r="Z939">
            <v>300</v>
          </cell>
          <cell r="AJ939">
            <v>300</v>
          </cell>
          <cell r="AW939">
            <v>0</v>
          </cell>
        </row>
        <row r="940">
          <cell r="B940">
            <v>4558</v>
          </cell>
          <cell r="C940" t="str">
            <v>RV_3_</v>
          </cell>
          <cell r="D940" t="str">
            <v>Rancho Recoveco No. 3</v>
          </cell>
          <cell r="E940" t="str">
            <v>Garduño</v>
          </cell>
          <cell r="F940">
            <v>300</v>
          </cell>
          <cell r="G940">
            <v>5</v>
          </cell>
          <cell r="H940">
            <v>40</v>
          </cell>
          <cell r="I940">
            <v>41357</v>
          </cell>
          <cell r="J940" t="str">
            <v>NO SUMA</v>
          </cell>
          <cell r="W940">
            <v>0</v>
          </cell>
          <cell r="AJ940">
            <v>0</v>
          </cell>
          <cell r="AW940">
            <v>0</v>
          </cell>
        </row>
        <row r="941">
          <cell r="B941">
            <v>4559</v>
          </cell>
          <cell r="C941" t="str">
            <v>UP_106_</v>
          </cell>
          <cell r="D941" t="str">
            <v>Rancho Upácuaro No. 106</v>
          </cell>
          <cell r="E941" t="str">
            <v>Hernández Sánchez</v>
          </cell>
          <cell r="F941">
            <v>300</v>
          </cell>
          <cell r="G941">
            <v>1</v>
          </cell>
          <cell r="H941">
            <v>300</v>
          </cell>
          <cell r="I941">
            <v>41357</v>
          </cell>
          <cell r="J941">
            <v>0</v>
          </cell>
          <cell r="W941">
            <v>0</v>
          </cell>
          <cell r="Z941">
            <v>300</v>
          </cell>
          <cell r="AJ941">
            <v>300</v>
          </cell>
          <cell r="AW941">
            <v>0</v>
          </cell>
        </row>
        <row r="942">
          <cell r="B942">
            <v>4560</v>
          </cell>
          <cell r="C942" t="str">
            <v>RV_187_</v>
          </cell>
          <cell r="D942" t="str">
            <v>Rancho Recoveco No. 187</v>
          </cell>
          <cell r="E942" t="str">
            <v>Moreno</v>
          </cell>
          <cell r="F942">
            <v>300</v>
          </cell>
          <cell r="G942">
            <v>5</v>
          </cell>
          <cell r="H942">
            <v>60</v>
          </cell>
          <cell r="I942">
            <v>41357</v>
          </cell>
          <cell r="J942" t="str">
            <v>NO SUMA</v>
          </cell>
          <cell r="W942">
            <v>0</v>
          </cell>
          <cell r="AJ942">
            <v>0</v>
          </cell>
          <cell r="AW942">
            <v>0</v>
          </cell>
        </row>
        <row r="943">
          <cell r="B943">
            <v>4561</v>
          </cell>
          <cell r="C943" t="str">
            <v>UP_104_</v>
          </cell>
          <cell r="D943" t="str">
            <v>Rancho Upácuaro No. 104</v>
          </cell>
          <cell r="E943" t="str">
            <v>Jiménez Almazo</v>
          </cell>
          <cell r="F943">
            <v>300</v>
          </cell>
          <cell r="G943">
            <v>1</v>
          </cell>
          <cell r="H943">
            <v>300</v>
          </cell>
          <cell r="I943">
            <v>41357</v>
          </cell>
          <cell r="J943">
            <v>0</v>
          </cell>
          <cell r="W943">
            <v>0</v>
          </cell>
          <cell r="Z943">
            <v>300</v>
          </cell>
          <cell r="AJ943">
            <v>300</v>
          </cell>
          <cell r="AW943">
            <v>0</v>
          </cell>
        </row>
        <row r="944">
          <cell r="B944">
            <v>4562</v>
          </cell>
          <cell r="C944" t="str">
            <v>EZ_35_</v>
          </cell>
          <cell r="D944" t="str">
            <v>Rancho Estanzuela No. 35</v>
          </cell>
          <cell r="E944" t="str">
            <v>Rodríguez</v>
          </cell>
          <cell r="F944">
            <v>300</v>
          </cell>
          <cell r="G944">
            <v>1</v>
          </cell>
          <cell r="H944">
            <v>600</v>
          </cell>
          <cell r="I944">
            <v>41357</v>
          </cell>
          <cell r="J944">
            <v>0</v>
          </cell>
          <cell r="W944">
            <v>0</v>
          </cell>
          <cell r="Z944">
            <v>300</v>
          </cell>
          <cell r="AA944">
            <v>300</v>
          </cell>
          <cell r="AJ944">
            <v>600</v>
          </cell>
          <cell r="AW944">
            <v>0</v>
          </cell>
        </row>
        <row r="945">
          <cell r="B945">
            <v>4563</v>
          </cell>
          <cell r="D945" t="str">
            <v/>
          </cell>
          <cell r="E945" t="str">
            <v/>
          </cell>
          <cell r="F945" t="str">
            <v/>
          </cell>
          <cell r="G945">
            <v>8</v>
          </cell>
          <cell r="I945">
            <v>41357</v>
          </cell>
          <cell r="J945" t="str">
            <v>NO SUMA</v>
          </cell>
          <cell r="W945">
            <v>0</v>
          </cell>
          <cell r="AJ945">
            <v>0</v>
          </cell>
          <cell r="AW945">
            <v>0</v>
          </cell>
        </row>
        <row r="946">
          <cell r="B946">
            <v>4564</v>
          </cell>
          <cell r="C946" t="str">
            <v>EZ_35_</v>
          </cell>
          <cell r="D946" t="str">
            <v>Rancho Estanzuela No. 35</v>
          </cell>
          <cell r="E946" t="str">
            <v>Rodríguez</v>
          </cell>
          <cell r="F946">
            <v>300</v>
          </cell>
          <cell r="G946">
            <v>4</v>
          </cell>
          <cell r="H946">
            <v>160</v>
          </cell>
          <cell r="I946">
            <v>41357</v>
          </cell>
          <cell r="J946" t="str">
            <v>NO SUMA</v>
          </cell>
          <cell r="W946">
            <v>0</v>
          </cell>
          <cell r="AJ946">
            <v>0</v>
          </cell>
          <cell r="AW946">
            <v>0</v>
          </cell>
        </row>
        <row r="947">
          <cell r="B947">
            <v>4565</v>
          </cell>
          <cell r="C947" t="str">
            <v>UP_21_</v>
          </cell>
          <cell r="D947" t="str">
            <v>Rancho Upácuaro No. 21</v>
          </cell>
          <cell r="E947" t="str">
            <v>Fierro Betancourt</v>
          </cell>
          <cell r="F947">
            <v>150</v>
          </cell>
          <cell r="G947">
            <v>1</v>
          </cell>
          <cell r="H947">
            <v>150</v>
          </cell>
          <cell r="I947">
            <v>41357</v>
          </cell>
          <cell r="J947">
            <v>0</v>
          </cell>
          <cell r="W947">
            <v>0</v>
          </cell>
          <cell r="Z947">
            <v>150</v>
          </cell>
          <cell r="AJ947">
            <v>150</v>
          </cell>
          <cell r="AW947">
            <v>0</v>
          </cell>
        </row>
        <row r="948">
          <cell r="B948">
            <v>4566</v>
          </cell>
          <cell r="C948" t="str">
            <v>UP_10_</v>
          </cell>
          <cell r="D948" t="str">
            <v>Rancho Upácuaro No. 10</v>
          </cell>
          <cell r="E948" t="str">
            <v>Fernández García</v>
          </cell>
          <cell r="F948">
            <v>300</v>
          </cell>
          <cell r="G948">
            <v>1</v>
          </cell>
          <cell r="H948">
            <v>300</v>
          </cell>
          <cell r="I948">
            <v>41358</v>
          </cell>
          <cell r="J948">
            <v>0</v>
          </cell>
          <cell r="W948">
            <v>0</v>
          </cell>
          <cell r="Z948">
            <v>300</v>
          </cell>
          <cell r="AJ948">
            <v>300</v>
          </cell>
          <cell r="AW948">
            <v>0</v>
          </cell>
        </row>
        <row r="949">
          <cell r="B949">
            <v>4567</v>
          </cell>
          <cell r="C949" t="str">
            <v>UP_42_</v>
          </cell>
          <cell r="D949" t="str">
            <v>Rancho Upácuaro No. 42</v>
          </cell>
          <cell r="E949" t="str">
            <v>García Ramírez</v>
          </cell>
          <cell r="F949">
            <v>300</v>
          </cell>
          <cell r="G949">
            <v>1</v>
          </cell>
          <cell r="H949">
            <v>300</v>
          </cell>
          <cell r="I949">
            <v>41358</v>
          </cell>
          <cell r="J949">
            <v>0</v>
          </cell>
          <cell r="W949">
            <v>0</v>
          </cell>
          <cell r="Z949">
            <v>300</v>
          </cell>
          <cell r="AJ949">
            <v>300</v>
          </cell>
          <cell r="AW949">
            <v>0</v>
          </cell>
        </row>
        <row r="950">
          <cell r="B950">
            <v>4568</v>
          </cell>
          <cell r="C950" t="str">
            <v>ZB_14_</v>
          </cell>
          <cell r="D950" t="str">
            <v>Rancho Zinamba No. 14</v>
          </cell>
          <cell r="E950" t="str">
            <v>Gutiérrez García</v>
          </cell>
          <cell r="F950">
            <v>300</v>
          </cell>
          <cell r="G950">
            <v>1</v>
          </cell>
          <cell r="H950">
            <v>600</v>
          </cell>
          <cell r="I950">
            <v>41358</v>
          </cell>
          <cell r="J950">
            <v>0</v>
          </cell>
          <cell r="W950">
            <v>0</v>
          </cell>
          <cell r="Y950">
            <v>300</v>
          </cell>
          <cell r="Z950">
            <v>300</v>
          </cell>
          <cell r="AJ950">
            <v>600</v>
          </cell>
          <cell r="AW950">
            <v>0</v>
          </cell>
        </row>
        <row r="951">
          <cell r="B951">
            <v>4569</v>
          </cell>
          <cell r="C951" t="str">
            <v>UP_68_</v>
          </cell>
          <cell r="D951" t="str">
            <v>Rancho Upácuaro No. 68</v>
          </cell>
          <cell r="E951" t="str">
            <v>Lozano</v>
          </cell>
          <cell r="F951">
            <v>300</v>
          </cell>
          <cell r="G951">
            <v>1</v>
          </cell>
          <cell r="H951">
            <v>300</v>
          </cell>
          <cell r="I951">
            <v>41359</v>
          </cell>
          <cell r="J951">
            <v>0</v>
          </cell>
          <cell r="W951">
            <v>0</v>
          </cell>
          <cell r="Z951">
            <v>300</v>
          </cell>
          <cell r="AJ951">
            <v>300</v>
          </cell>
          <cell r="AW951">
            <v>0</v>
          </cell>
        </row>
        <row r="952">
          <cell r="B952">
            <v>4570</v>
          </cell>
          <cell r="C952" t="str">
            <v>EZ_149_</v>
          </cell>
          <cell r="D952" t="str">
            <v>Rancho Estanzuela No. 149</v>
          </cell>
          <cell r="E952" t="str">
            <v>Sala</v>
          </cell>
          <cell r="F952">
            <v>300</v>
          </cell>
          <cell r="G952">
            <v>1</v>
          </cell>
          <cell r="H952">
            <v>2100</v>
          </cell>
          <cell r="I952">
            <v>41360</v>
          </cell>
          <cell r="J952">
            <v>0</v>
          </cell>
          <cell r="W952">
            <v>0</v>
          </cell>
          <cell r="AC952">
            <v>300</v>
          </cell>
          <cell r="AD952">
            <v>300</v>
          </cell>
          <cell r="AE952">
            <v>300</v>
          </cell>
          <cell r="AF952">
            <v>300</v>
          </cell>
          <cell r="AG952">
            <v>300</v>
          </cell>
          <cell r="AH952">
            <v>300</v>
          </cell>
          <cell r="AI952">
            <v>300</v>
          </cell>
          <cell r="AJ952">
            <v>2100</v>
          </cell>
          <cell r="AW952">
            <v>0</v>
          </cell>
        </row>
        <row r="953">
          <cell r="B953">
            <v>4571</v>
          </cell>
          <cell r="C953" t="str">
            <v>UP_138_</v>
          </cell>
          <cell r="D953" t="str">
            <v>Rancho Upácuaro No. 138</v>
          </cell>
          <cell r="E953" t="str">
            <v>Ramírez Valencia</v>
          </cell>
          <cell r="F953">
            <v>300</v>
          </cell>
          <cell r="G953">
            <v>1</v>
          </cell>
          <cell r="H953">
            <v>600</v>
          </cell>
          <cell r="I953">
            <v>41360</v>
          </cell>
          <cell r="J953">
            <v>0</v>
          </cell>
          <cell r="W953">
            <v>0</v>
          </cell>
          <cell r="Z953">
            <v>300</v>
          </cell>
          <cell r="AA953">
            <v>300</v>
          </cell>
          <cell r="AJ953">
            <v>600</v>
          </cell>
          <cell r="AW953">
            <v>0</v>
          </cell>
        </row>
        <row r="954">
          <cell r="B954">
            <v>4572</v>
          </cell>
          <cell r="C954" t="str">
            <v>UP_118_</v>
          </cell>
          <cell r="D954" t="str">
            <v>Rancho Upácuaro No. 118</v>
          </cell>
          <cell r="E954" t="str">
            <v>Siegrist</v>
          </cell>
          <cell r="F954">
            <v>300</v>
          </cell>
          <cell r="G954">
            <v>1</v>
          </cell>
          <cell r="H954">
            <v>300</v>
          </cell>
          <cell r="I954">
            <v>41364</v>
          </cell>
          <cell r="J954">
            <v>0</v>
          </cell>
          <cell r="W954">
            <v>0</v>
          </cell>
          <cell r="Z954">
            <v>300</v>
          </cell>
          <cell r="AJ954">
            <v>300</v>
          </cell>
          <cell r="AW954">
            <v>0</v>
          </cell>
        </row>
        <row r="955">
          <cell r="B955">
            <v>4573</v>
          </cell>
          <cell r="C955" t="str">
            <v>EZ_100_</v>
          </cell>
          <cell r="D955" t="str">
            <v>Rancho Estanzuela No. 100</v>
          </cell>
          <cell r="E955" t="str">
            <v>Arias Monter</v>
          </cell>
          <cell r="F955">
            <v>300</v>
          </cell>
          <cell r="G955">
            <v>1</v>
          </cell>
          <cell r="H955">
            <v>600</v>
          </cell>
          <cell r="I955">
            <v>41364</v>
          </cell>
          <cell r="J955">
            <v>0</v>
          </cell>
          <cell r="W955">
            <v>0</v>
          </cell>
          <cell r="Y955">
            <v>300</v>
          </cell>
          <cell r="Z955">
            <v>300</v>
          </cell>
          <cell r="AJ955">
            <v>600</v>
          </cell>
          <cell r="AW955">
            <v>0</v>
          </cell>
        </row>
        <row r="956">
          <cell r="B956">
            <v>4574</v>
          </cell>
          <cell r="C956" t="str">
            <v>CL_20_</v>
          </cell>
          <cell r="D956" t="str">
            <v>Rancho La Cuchilla No. 20</v>
          </cell>
          <cell r="E956" t="str">
            <v>Sánchez López</v>
          </cell>
          <cell r="F956">
            <v>300</v>
          </cell>
          <cell r="G956">
            <v>1</v>
          </cell>
          <cell r="H956">
            <v>300</v>
          </cell>
          <cell r="I956">
            <v>41364</v>
          </cell>
          <cell r="J956">
            <v>0</v>
          </cell>
          <cell r="W956">
            <v>0</v>
          </cell>
          <cell r="AA956">
            <v>300</v>
          </cell>
          <cell r="AJ956">
            <v>300</v>
          </cell>
          <cell r="AW956">
            <v>0</v>
          </cell>
        </row>
        <row r="957">
          <cell r="B957">
            <v>4575</v>
          </cell>
          <cell r="C957" t="str">
            <v>LD_73_</v>
          </cell>
          <cell r="D957" t="str">
            <v>Rancho Landero No. 73</v>
          </cell>
          <cell r="E957" t="str">
            <v>Islas Palacios</v>
          </cell>
          <cell r="F957">
            <v>300</v>
          </cell>
          <cell r="G957">
            <v>1</v>
          </cell>
          <cell r="H957">
            <v>300</v>
          </cell>
          <cell r="I957">
            <v>41364</v>
          </cell>
          <cell r="J957">
            <v>0</v>
          </cell>
          <cell r="W957">
            <v>0</v>
          </cell>
          <cell r="Z957">
            <v>300</v>
          </cell>
          <cell r="AJ957">
            <v>300</v>
          </cell>
          <cell r="AW957">
            <v>0</v>
          </cell>
        </row>
        <row r="958">
          <cell r="B958">
            <v>4575</v>
          </cell>
          <cell r="C958" t="str">
            <v>LD_73_</v>
          </cell>
          <cell r="D958" t="str">
            <v>Rancho Landero No. 73</v>
          </cell>
          <cell r="E958" t="str">
            <v>Islas Palacios</v>
          </cell>
          <cell r="F958">
            <v>300</v>
          </cell>
          <cell r="G958">
            <v>3</v>
          </cell>
          <cell r="H958">
            <v>150</v>
          </cell>
          <cell r="I958">
            <v>41364</v>
          </cell>
          <cell r="J958" t="str">
            <v>NO SUMA</v>
          </cell>
          <cell r="W958">
            <v>0</v>
          </cell>
          <cell r="AJ958">
            <v>0</v>
          </cell>
          <cell r="AW958">
            <v>0</v>
          </cell>
        </row>
        <row r="959">
          <cell r="B959">
            <v>4576</v>
          </cell>
          <cell r="C959" t="str">
            <v>RV_195_</v>
          </cell>
          <cell r="D959" t="str">
            <v>Rancho Recoveco No. 195</v>
          </cell>
          <cell r="E959" t="str">
            <v>Sandoval</v>
          </cell>
          <cell r="F959">
            <v>300</v>
          </cell>
          <cell r="G959">
            <v>1</v>
          </cell>
          <cell r="H959">
            <v>600</v>
          </cell>
          <cell r="I959">
            <v>41364</v>
          </cell>
          <cell r="J959">
            <v>0</v>
          </cell>
          <cell r="W959">
            <v>0</v>
          </cell>
          <cell r="Z959">
            <v>300</v>
          </cell>
          <cell r="AA959">
            <v>300</v>
          </cell>
          <cell r="AJ959">
            <v>600</v>
          </cell>
          <cell r="AW959">
            <v>0</v>
          </cell>
        </row>
        <row r="960">
          <cell r="B960">
            <v>4577</v>
          </cell>
          <cell r="C960" t="str">
            <v>UP_100_</v>
          </cell>
          <cell r="D960" t="str">
            <v>Rancho Upácuaro No. 100</v>
          </cell>
          <cell r="E960" t="str">
            <v>Mancera Rodríguez</v>
          </cell>
          <cell r="F960">
            <v>300</v>
          </cell>
          <cell r="G960">
            <v>1</v>
          </cell>
          <cell r="H960">
            <v>300</v>
          </cell>
          <cell r="I960">
            <v>41364</v>
          </cell>
          <cell r="J960">
            <v>0</v>
          </cell>
          <cell r="W960">
            <v>0</v>
          </cell>
          <cell r="AA960">
            <v>300</v>
          </cell>
          <cell r="AJ960">
            <v>300</v>
          </cell>
          <cell r="AW960">
            <v>0</v>
          </cell>
        </row>
        <row r="961">
          <cell r="B961">
            <v>4578</v>
          </cell>
          <cell r="C961" t="str">
            <v>LD_80_</v>
          </cell>
          <cell r="D961" t="str">
            <v>Rancho Landero No. 80</v>
          </cell>
          <cell r="E961" t="str">
            <v>Villaseñor</v>
          </cell>
          <cell r="F961">
            <v>300</v>
          </cell>
          <cell r="G961">
            <v>1</v>
          </cell>
          <cell r="H961">
            <v>300</v>
          </cell>
          <cell r="I961">
            <v>41364</v>
          </cell>
          <cell r="J961">
            <v>0</v>
          </cell>
          <cell r="W961">
            <v>0</v>
          </cell>
          <cell r="AA961">
            <v>300</v>
          </cell>
          <cell r="AJ961">
            <v>300</v>
          </cell>
          <cell r="AW961">
            <v>0</v>
          </cell>
        </row>
        <row r="962">
          <cell r="B962">
            <v>4579</v>
          </cell>
          <cell r="C962" t="str">
            <v>CL_97_</v>
          </cell>
          <cell r="D962" t="str">
            <v>Rancho La Cuchilla No. 97</v>
          </cell>
          <cell r="E962" t="str">
            <v>López Ruiz</v>
          </cell>
          <cell r="F962">
            <v>300</v>
          </cell>
          <cell r="G962">
            <v>1</v>
          </cell>
          <cell r="H962">
            <v>300</v>
          </cell>
          <cell r="I962">
            <v>41364</v>
          </cell>
          <cell r="J962">
            <v>0</v>
          </cell>
          <cell r="W962">
            <v>0</v>
          </cell>
          <cell r="Z962">
            <v>300</v>
          </cell>
          <cell r="AJ962">
            <v>300</v>
          </cell>
          <cell r="AW962">
            <v>0</v>
          </cell>
        </row>
        <row r="963">
          <cell r="B963">
            <v>4579</v>
          </cell>
          <cell r="C963" t="str">
            <v>CL_97_</v>
          </cell>
          <cell r="D963" t="str">
            <v>Rancho La Cuchilla No. 97</v>
          </cell>
          <cell r="E963" t="str">
            <v>López Ruiz</v>
          </cell>
          <cell r="F963">
            <v>300</v>
          </cell>
          <cell r="G963">
            <v>5</v>
          </cell>
          <cell r="H963">
            <v>20</v>
          </cell>
          <cell r="I963">
            <v>41364</v>
          </cell>
          <cell r="J963" t="str">
            <v>NO SUMA</v>
          </cell>
          <cell r="W963">
            <v>0</v>
          </cell>
          <cell r="AJ963">
            <v>0</v>
          </cell>
          <cell r="AW963">
            <v>0</v>
          </cell>
        </row>
        <row r="964">
          <cell r="B964">
            <v>4580</v>
          </cell>
          <cell r="C964" t="str">
            <v>EZ_49_</v>
          </cell>
          <cell r="D964" t="str">
            <v>Rancho Estanzuela No. 49</v>
          </cell>
          <cell r="E964" t="str">
            <v>Sánchez Zamora</v>
          </cell>
          <cell r="F964">
            <v>300</v>
          </cell>
          <cell r="G964">
            <v>1</v>
          </cell>
          <cell r="H964">
            <v>300</v>
          </cell>
          <cell r="I964">
            <v>41364</v>
          </cell>
          <cell r="J964">
            <v>0</v>
          </cell>
          <cell r="W964">
            <v>0</v>
          </cell>
          <cell r="Y964">
            <v>300</v>
          </cell>
          <cell r="AJ964">
            <v>300</v>
          </cell>
          <cell r="AW964">
            <v>0</v>
          </cell>
        </row>
        <row r="965">
          <cell r="B965">
            <v>4581</v>
          </cell>
          <cell r="C965" t="str">
            <v>EZ_49_</v>
          </cell>
          <cell r="D965" t="str">
            <v>Rancho Estanzuela No. 49</v>
          </cell>
          <cell r="E965" t="str">
            <v>Sánchez Zamora</v>
          </cell>
          <cell r="F965">
            <v>300</v>
          </cell>
          <cell r="G965">
            <v>5</v>
          </cell>
          <cell r="H965">
            <v>40</v>
          </cell>
          <cell r="I965">
            <v>41364</v>
          </cell>
          <cell r="J965" t="str">
            <v>NO SUMA</v>
          </cell>
          <cell r="W965">
            <v>0</v>
          </cell>
          <cell r="AJ965">
            <v>0</v>
          </cell>
          <cell r="AW965">
            <v>0</v>
          </cell>
        </row>
        <row r="966">
          <cell r="B966">
            <v>4582</v>
          </cell>
          <cell r="C966" t="str">
            <v>UP_47_</v>
          </cell>
          <cell r="D966" t="str">
            <v>Rancho Upácuaro No. 47</v>
          </cell>
          <cell r="E966" t="str">
            <v>Flores Muñoz</v>
          </cell>
          <cell r="F966">
            <v>300</v>
          </cell>
          <cell r="G966">
            <v>1</v>
          </cell>
          <cell r="H966">
            <v>300</v>
          </cell>
          <cell r="I966">
            <v>41364</v>
          </cell>
          <cell r="J966">
            <v>0</v>
          </cell>
          <cell r="W966">
            <v>0</v>
          </cell>
          <cell r="AA966">
            <v>300</v>
          </cell>
          <cell r="AJ966">
            <v>300</v>
          </cell>
          <cell r="AW966">
            <v>0</v>
          </cell>
        </row>
        <row r="967">
          <cell r="B967">
            <v>4583</v>
          </cell>
          <cell r="C967" t="str">
            <v>LD_87_</v>
          </cell>
          <cell r="D967" t="str">
            <v>Rancho Landero No. 87</v>
          </cell>
          <cell r="E967" t="str">
            <v>Fey Lafferla</v>
          </cell>
          <cell r="F967">
            <v>300</v>
          </cell>
          <cell r="G967">
            <v>1</v>
          </cell>
          <cell r="H967">
            <v>300</v>
          </cell>
          <cell r="I967">
            <v>41364</v>
          </cell>
          <cell r="J967">
            <v>0</v>
          </cell>
          <cell r="W967">
            <v>0</v>
          </cell>
          <cell r="Z967">
            <v>300</v>
          </cell>
          <cell r="AJ967">
            <v>300</v>
          </cell>
          <cell r="AW967">
            <v>0</v>
          </cell>
        </row>
        <row r="968">
          <cell r="B968">
            <v>4584</v>
          </cell>
          <cell r="C968" t="str">
            <v>UP_87_</v>
          </cell>
          <cell r="D968" t="str">
            <v>Rancho Upácuaro No. 87</v>
          </cell>
          <cell r="E968" t="str">
            <v>Rodríguez Parés</v>
          </cell>
          <cell r="F968">
            <v>300</v>
          </cell>
          <cell r="G968">
            <v>1</v>
          </cell>
          <cell r="H968">
            <v>300</v>
          </cell>
          <cell r="I968">
            <v>41364</v>
          </cell>
          <cell r="J968">
            <v>0</v>
          </cell>
          <cell r="W968">
            <v>0</v>
          </cell>
          <cell r="AA968">
            <v>300</v>
          </cell>
          <cell r="AJ968">
            <v>300</v>
          </cell>
          <cell r="AW968">
            <v>0</v>
          </cell>
        </row>
        <row r="969">
          <cell r="B969">
            <v>4585</v>
          </cell>
          <cell r="C969" t="str">
            <v>UP_140_</v>
          </cell>
          <cell r="D969" t="str">
            <v>Rancho Upácuaro No. 140</v>
          </cell>
          <cell r="E969" t="str">
            <v>Gozain</v>
          </cell>
          <cell r="F969">
            <v>300</v>
          </cell>
          <cell r="G969">
            <v>1</v>
          </cell>
          <cell r="H969">
            <v>300</v>
          </cell>
          <cell r="I969">
            <v>41364</v>
          </cell>
          <cell r="J969">
            <v>0</v>
          </cell>
          <cell r="W969">
            <v>0</v>
          </cell>
          <cell r="AA969">
            <v>300</v>
          </cell>
          <cell r="AJ969">
            <v>300</v>
          </cell>
          <cell r="AW969">
            <v>0</v>
          </cell>
        </row>
        <row r="970">
          <cell r="B970">
            <v>4586</v>
          </cell>
          <cell r="C970" t="str">
            <v>CL_87_</v>
          </cell>
          <cell r="D970" t="str">
            <v>Rancho La Cuchilla No. 87</v>
          </cell>
          <cell r="E970" t="str">
            <v>Villanueva S.</v>
          </cell>
          <cell r="F970">
            <v>300</v>
          </cell>
          <cell r="G970">
            <v>1</v>
          </cell>
          <cell r="H970">
            <v>300</v>
          </cell>
          <cell r="I970">
            <v>41364</v>
          </cell>
          <cell r="J970">
            <v>0</v>
          </cell>
          <cell r="W970">
            <v>0</v>
          </cell>
          <cell r="AA970">
            <v>300</v>
          </cell>
          <cell r="AJ970">
            <v>300</v>
          </cell>
          <cell r="AW970">
            <v>0</v>
          </cell>
        </row>
        <row r="971">
          <cell r="B971">
            <v>4587</v>
          </cell>
          <cell r="C971" t="str">
            <v>CL_40_</v>
          </cell>
          <cell r="D971" t="str">
            <v>Rancho La Cuchilla No. 40</v>
          </cell>
          <cell r="E971" t="str">
            <v>López Pico</v>
          </cell>
          <cell r="F971">
            <v>300</v>
          </cell>
          <cell r="G971">
            <v>1</v>
          </cell>
          <cell r="H971">
            <v>300</v>
          </cell>
          <cell r="I971">
            <v>41364</v>
          </cell>
          <cell r="J971">
            <v>0</v>
          </cell>
          <cell r="W971">
            <v>0</v>
          </cell>
          <cell r="AA971">
            <v>300</v>
          </cell>
          <cell r="AJ971">
            <v>300</v>
          </cell>
          <cell r="AW971">
            <v>0</v>
          </cell>
        </row>
        <row r="972">
          <cell r="B972">
            <v>4588</v>
          </cell>
          <cell r="C972" t="str">
            <v>UP_75_</v>
          </cell>
          <cell r="D972" t="str">
            <v>Rancho Upácuaro No. 75</v>
          </cell>
          <cell r="E972" t="str">
            <v>Montaño Zetina</v>
          </cell>
          <cell r="F972">
            <v>300</v>
          </cell>
          <cell r="G972">
            <v>1</v>
          </cell>
          <cell r="H972">
            <v>600</v>
          </cell>
          <cell r="I972">
            <v>41364</v>
          </cell>
          <cell r="J972">
            <v>0</v>
          </cell>
          <cell r="W972">
            <v>0</v>
          </cell>
          <cell r="AA972">
            <v>300</v>
          </cell>
          <cell r="AB972">
            <v>300</v>
          </cell>
          <cell r="AJ972">
            <v>600</v>
          </cell>
          <cell r="AW972">
            <v>0</v>
          </cell>
        </row>
        <row r="973">
          <cell r="B973">
            <v>4589</v>
          </cell>
          <cell r="C973" t="str">
            <v>EZ_7_A</v>
          </cell>
          <cell r="D973" t="str">
            <v>Rancho Estanzuela No. 7, A</v>
          </cell>
          <cell r="E973" t="str">
            <v>Herrera Izquierdo</v>
          </cell>
          <cell r="F973">
            <v>150</v>
          </cell>
          <cell r="G973">
            <v>1</v>
          </cell>
          <cell r="H973">
            <v>150</v>
          </cell>
          <cell r="I973">
            <v>41364</v>
          </cell>
          <cell r="J973">
            <v>0</v>
          </cell>
          <cell r="W973">
            <v>0</v>
          </cell>
          <cell r="Z973">
            <v>150</v>
          </cell>
          <cell r="AJ973">
            <v>150</v>
          </cell>
          <cell r="AW973">
            <v>0</v>
          </cell>
        </row>
        <row r="974">
          <cell r="B974">
            <v>4590</v>
          </cell>
          <cell r="C974" t="str">
            <v>UP_32_</v>
          </cell>
          <cell r="D974" t="str">
            <v>Rancho Upácuaro No. 32</v>
          </cell>
          <cell r="E974" t="str">
            <v>Sairafi Carmen</v>
          </cell>
          <cell r="F974">
            <v>300</v>
          </cell>
          <cell r="G974">
            <v>1</v>
          </cell>
          <cell r="H974">
            <v>300</v>
          </cell>
          <cell r="I974">
            <v>41364</v>
          </cell>
          <cell r="J974">
            <v>0</v>
          </cell>
          <cell r="W974">
            <v>0</v>
          </cell>
          <cell r="AA974">
            <v>300</v>
          </cell>
          <cell r="AJ974">
            <v>300</v>
          </cell>
          <cell r="AW974">
            <v>0</v>
          </cell>
        </row>
        <row r="975">
          <cell r="B975">
            <v>4591</v>
          </cell>
          <cell r="C975" t="str">
            <v>UP_68_</v>
          </cell>
          <cell r="D975" t="str">
            <v>Rancho Upácuaro No. 68</v>
          </cell>
          <cell r="E975" t="str">
            <v>Lozano</v>
          </cell>
          <cell r="F975">
            <v>300</v>
          </cell>
          <cell r="G975">
            <v>1</v>
          </cell>
          <cell r="H975">
            <v>300</v>
          </cell>
          <cell r="I975">
            <v>41364</v>
          </cell>
          <cell r="J975">
            <v>0</v>
          </cell>
          <cell r="W975">
            <v>0</v>
          </cell>
          <cell r="Y975">
            <v>300</v>
          </cell>
          <cell r="AJ975">
            <v>300</v>
          </cell>
          <cell r="AW975">
            <v>0</v>
          </cell>
        </row>
        <row r="976">
          <cell r="B976">
            <v>4592</v>
          </cell>
          <cell r="C976" t="str">
            <v>CL_19_</v>
          </cell>
          <cell r="D976" t="str">
            <v>Rancho La Cuchilla No. 19</v>
          </cell>
          <cell r="E976" t="str">
            <v>Tapia Vázquez</v>
          </cell>
          <cell r="F976">
            <v>300</v>
          </cell>
          <cell r="G976">
            <v>1</v>
          </cell>
          <cell r="H976">
            <v>300</v>
          </cell>
          <cell r="I976">
            <v>41364</v>
          </cell>
          <cell r="J976">
            <v>0</v>
          </cell>
          <cell r="W976">
            <v>0</v>
          </cell>
          <cell r="AA976">
            <v>300</v>
          </cell>
          <cell r="AJ976">
            <v>300</v>
          </cell>
          <cell r="AW976">
            <v>0</v>
          </cell>
        </row>
        <row r="977">
          <cell r="B977">
            <v>4593</v>
          </cell>
          <cell r="C977" t="str">
            <v>CL_46_</v>
          </cell>
          <cell r="D977" t="str">
            <v>Rancho La Cuchilla No. 46</v>
          </cell>
          <cell r="E977" t="str">
            <v>Cruz López</v>
          </cell>
          <cell r="F977">
            <v>300</v>
          </cell>
          <cell r="G977">
            <v>1</v>
          </cell>
          <cell r="H977">
            <v>600</v>
          </cell>
          <cell r="I977">
            <v>41364</v>
          </cell>
          <cell r="J977">
            <v>0</v>
          </cell>
          <cell r="W977">
            <v>0</v>
          </cell>
          <cell r="Z977">
            <v>300</v>
          </cell>
          <cell r="AA977">
            <v>300</v>
          </cell>
          <cell r="AJ977">
            <v>600</v>
          </cell>
          <cell r="AW977">
            <v>0</v>
          </cell>
        </row>
        <row r="978">
          <cell r="B978">
            <v>4594</v>
          </cell>
          <cell r="C978" t="str">
            <v>UP_120_</v>
          </cell>
          <cell r="D978" t="str">
            <v>Rancho Upácuaro No. 120</v>
          </cell>
          <cell r="E978" t="str">
            <v>Rayas Rivera</v>
          </cell>
          <cell r="F978">
            <v>300</v>
          </cell>
          <cell r="G978">
            <v>1</v>
          </cell>
          <cell r="H978">
            <v>300</v>
          </cell>
          <cell r="I978">
            <v>41364</v>
          </cell>
          <cell r="J978">
            <v>0</v>
          </cell>
          <cell r="W978">
            <v>0</v>
          </cell>
          <cell r="AA978">
            <v>300</v>
          </cell>
          <cell r="AJ978">
            <v>300</v>
          </cell>
          <cell r="AW978">
            <v>0</v>
          </cell>
        </row>
        <row r="979">
          <cell r="B979">
            <v>4595</v>
          </cell>
          <cell r="C979" t="str">
            <v>CL_55_</v>
          </cell>
          <cell r="D979" t="str">
            <v>Rancho La Cuchilla No. 55</v>
          </cell>
          <cell r="E979" t="str">
            <v>López Velázquez</v>
          </cell>
          <cell r="F979">
            <v>300</v>
          </cell>
          <cell r="G979">
            <v>1</v>
          </cell>
          <cell r="H979">
            <v>600</v>
          </cell>
          <cell r="I979">
            <v>41364</v>
          </cell>
          <cell r="J979">
            <v>0</v>
          </cell>
          <cell r="W979">
            <v>0</v>
          </cell>
          <cell r="Z979">
            <v>300</v>
          </cell>
          <cell r="AA979">
            <v>300</v>
          </cell>
          <cell r="AJ979">
            <v>600</v>
          </cell>
          <cell r="AW979">
            <v>0</v>
          </cell>
        </row>
        <row r="980">
          <cell r="B980">
            <v>4596</v>
          </cell>
          <cell r="C980" t="str">
            <v>RM_33_</v>
          </cell>
          <cell r="D980" t="str">
            <v>Rancho Romeral No. 33</v>
          </cell>
          <cell r="E980" t="str">
            <v>Juárez Alva</v>
          </cell>
          <cell r="F980">
            <v>300</v>
          </cell>
          <cell r="G980">
            <v>1</v>
          </cell>
          <cell r="H980">
            <v>900</v>
          </cell>
          <cell r="I980">
            <v>41364</v>
          </cell>
          <cell r="J980">
            <v>0</v>
          </cell>
          <cell r="W980">
            <v>0</v>
          </cell>
          <cell r="X980">
            <v>300</v>
          </cell>
          <cell r="Y980">
            <v>300</v>
          </cell>
          <cell r="Z980">
            <v>300</v>
          </cell>
          <cell r="AJ980">
            <v>900</v>
          </cell>
          <cell r="AW980">
            <v>0</v>
          </cell>
        </row>
        <row r="981">
          <cell r="B981">
            <v>4597</v>
          </cell>
          <cell r="C981" t="str">
            <v>LD_47_</v>
          </cell>
          <cell r="D981" t="str">
            <v>Rancho Landero No. 47</v>
          </cell>
          <cell r="E981" t="str">
            <v>García González</v>
          </cell>
          <cell r="F981">
            <v>300</v>
          </cell>
          <cell r="G981">
            <v>1</v>
          </cell>
          <cell r="H981">
            <v>300</v>
          </cell>
          <cell r="I981">
            <v>41364</v>
          </cell>
          <cell r="J981">
            <v>0</v>
          </cell>
          <cell r="W981">
            <v>0</v>
          </cell>
          <cell r="AA981">
            <v>300</v>
          </cell>
          <cell r="AJ981">
            <v>300</v>
          </cell>
          <cell r="AW981">
            <v>0</v>
          </cell>
        </row>
        <row r="982">
          <cell r="B982">
            <v>4598</v>
          </cell>
          <cell r="C982" t="str">
            <v>LD_33_</v>
          </cell>
          <cell r="D982" t="str">
            <v>Rancho Landero No. 33</v>
          </cell>
          <cell r="E982" t="str">
            <v>González Uribe</v>
          </cell>
          <cell r="F982">
            <v>300</v>
          </cell>
          <cell r="G982">
            <v>1</v>
          </cell>
          <cell r="H982">
            <v>600</v>
          </cell>
          <cell r="I982">
            <v>41364</v>
          </cell>
          <cell r="J982">
            <v>0</v>
          </cell>
          <cell r="W982">
            <v>0</v>
          </cell>
          <cell r="Z982">
            <v>300</v>
          </cell>
          <cell r="AA982">
            <v>300</v>
          </cell>
          <cell r="AJ982">
            <v>600</v>
          </cell>
          <cell r="AW982">
            <v>0</v>
          </cell>
        </row>
        <row r="983">
          <cell r="B983">
            <v>4598</v>
          </cell>
          <cell r="C983" t="str">
            <v>LD_33_</v>
          </cell>
          <cell r="D983" t="str">
            <v>Rancho Landero No. 33</v>
          </cell>
          <cell r="E983" t="str">
            <v>González Uribe</v>
          </cell>
          <cell r="F983">
            <v>300</v>
          </cell>
          <cell r="G983">
            <v>4</v>
          </cell>
          <cell r="H983">
            <v>160</v>
          </cell>
          <cell r="I983">
            <v>41364</v>
          </cell>
          <cell r="J983" t="str">
            <v>NO SUMA</v>
          </cell>
          <cell r="W983">
            <v>0</v>
          </cell>
          <cell r="AJ983">
            <v>0</v>
          </cell>
          <cell r="AW983">
            <v>0</v>
          </cell>
        </row>
        <row r="984">
          <cell r="B984">
            <v>4599</v>
          </cell>
          <cell r="C984" t="str">
            <v>RM_30_</v>
          </cell>
          <cell r="D984" t="str">
            <v>Rancho Romeral No. 30</v>
          </cell>
          <cell r="E984" t="str">
            <v>Osorio</v>
          </cell>
          <cell r="F984">
            <v>200</v>
          </cell>
          <cell r="G984">
            <v>1</v>
          </cell>
          <cell r="H984">
            <v>400</v>
          </cell>
          <cell r="I984">
            <v>41364</v>
          </cell>
          <cell r="J984">
            <v>0</v>
          </cell>
          <cell r="W984">
            <v>0</v>
          </cell>
          <cell r="Y984">
            <v>200</v>
          </cell>
          <cell r="Z984">
            <v>200</v>
          </cell>
          <cell r="AJ984">
            <v>400</v>
          </cell>
          <cell r="AW984">
            <v>0</v>
          </cell>
        </row>
        <row r="985">
          <cell r="B985">
            <v>4600</v>
          </cell>
          <cell r="C985" t="str">
            <v>UP_85_</v>
          </cell>
          <cell r="D985" t="str">
            <v>Rancho Upácuaro No. 85</v>
          </cell>
          <cell r="E985" t="str">
            <v>Del Toro Huerta</v>
          </cell>
          <cell r="F985">
            <v>300</v>
          </cell>
          <cell r="G985">
            <v>1</v>
          </cell>
          <cell r="H985">
            <v>300</v>
          </cell>
          <cell r="I985">
            <v>41364</v>
          </cell>
          <cell r="J985">
            <v>0</v>
          </cell>
          <cell r="W985">
            <v>0</v>
          </cell>
          <cell r="Z985">
            <v>300</v>
          </cell>
          <cell r="AJ985">
            <v>300</v>
          </cell>
          <cell r="AW985">
            <v>0</v>
          </cell>
        </row>
        <row r="986">
          <cell r="B986">
            <v>4601</v>
          </cell>
          <cell r="C986" t="str">
            <v>CL_72_</v>
          </cell>
          <cell r="D986" t="str">
            <v>Rancho La Cuchilla No. 72</v>
          </cell>
          <cell r="E986" t="str">
            <v>Ortiz González</v>
          </cell>
          <cell r="F986">
            <v>300</v>
          </cell>
          <cell r="G986">
            <v>1</v>
          </cell>
          <cell r="H986">
            <v>300</v>
          </cell>
          <cell r="I986">
            <v>41364</v>
          </cell>
          <cell r="J986">
            <v>0</v>
          </cell>
          <cell r="W986">
            <v>0</v>
          </cell>
          <cell r="AA986">
            <v>300</v>
          </cell>
          <cell r="AJ986">
            <v>300</v>
          </cell>
          <cell r="AW986">
            <v>0</v>
          </cell>
        </row>
        <row r="987">
          <cell r="B987">
            <v>4602</v>
          </cell>
          <cell r="C987" t="str">
            <v>LD_75_</v>
          </cell>
          <cell r="D987" t="str">
            <v>Rancho Landero No. 75</v>
          </cell>
          <cell r="E987" t="str">
            <v>Villaseñor Hernández</v>
          </cell>
          <cell r="F987">
            <v>300</v>
          </cell>
          <cell r="G987">
            <v>1</v>
          </cell>
          <cell r="H987">
            <v>600</v>
          </cell>
          <cell r="I987">
            <v>41364</v>
          </cell>
          <cell r="J987">
            <v>0</v>
          </cell>
          <cell r="W987">
            <v>0</v>
          </cell>
          <cell r="Z987">
            <v>300</v>
          </cell>
          <cell r="AA987">
            <v>300</v>
          </cell>
          <cell r="AJ987">
            <v>600</v>
          </cell>
          <cell r="AW987">
            <v>0</v>
          </cell>
        </row>
        <row r="988">
          <cell r="B988">
            <v>4602</v>
          </cell>
          <cell r="C988" t="str">
            <v>LD_75_</v>
          </cell>
          <cell r="D988" t="str">
            <v>Rancho Landero No. 75</v>
          </cell>
          <cell r="E988" t="str">
            <v>Villaseñor Hernández</v>
          </cell>
          <cell r="F988">
            <v>300</v>
          </cell>
          <cell r="G988">
            <v>5</v>
          </cell>
          <cell r="H988">
            <v>20</v>
          </cell>
          <cell r="I988">
            <v>41364</v>
          </cell>
          <cell r="J988" t="str">
            <v>NO SUMA</v>
          </cell>
          <cell r="W988">
            <v>0</v>
          </cell>
          <cell r="AJ988">
            <v>0</v>
          </cell>
          <cell r="AW988">
            <v>0</v>
          </cell>
        </row>
        <row r="989">
          <cell r="B989" t="str">
            <v>s/n</v>
          </cell>
          <cell r="C989" t="str">
            <v>HS_B_</v>
          </cell>
          <cell r="D989" t="str">
            <v>Calzada del Hueso No. B</v>
          </cell>
          <cell r="E989" t="str">
            <v>CARSO</v>
          </cell>
          <cell r="F989">
            <v>1000</v>
          </cell>
          <cell r="G989">
            <v>1</v>
          </cell>
          <cell r="H989">
            <v>1000</v>
          </cell>
          <cell r="I989">
            <v>41364</v>
          </cell>
          <cell r="J989">
            <v>0</v>
          </cell>
          <cell r="W989">
            <v>0</v>
          </cell>
          <cell r="Z989">
            <v>1000</v>
          </cell>
          <cell r="AJ989">
            <v>1000</v>
          </cell>
          <cell r="AW989">
            <v>0</v>
          </cell>
        </row>
        <row r="990">
          <cell r="B990" t="str">
            <v>NÚMERO</v>
          </cell>
          <cell r="C990" t="str">
            <v>CASA</v>
          </cell>
          <cell r="D990" t="str">
            <v>DOMICILIO</v>
          </cell>
          <cell r="E990" t="str">
            <v>FAMILIA</v>
          </cell>
          <cell r="F990" t="str">
            <v>CUOTA</v>
          </cell>
          <cell r="G990" t="str">
            <v>C_ING</v>
          </cell>
          <cell r="H990" t="str">
            <v>IMPORTE</v>
          </cell>
          <cell r="I990" t="str">
            <v>FECHA</v>
          </cell>
          <cell r="J990" t="str">
            <v>CHK</v>
          </cell>
          <cell r="K990" t="str">
            <v>ENE
2012</v>
          </cell>
          <cell r="L990" t="str">
            <v>FEB
2012</v>
          </cell>
          <cell r="M990" t="str">
            <v>MAR
2012</v>
          </cell>
          <cell r="N990" t="str">
            <v>ABR
2012</v>
          </cell>
          <cell r="O990" t="str">
            <v>MAY
2012</v>
          </cell>
          <cell r="P990" t="str">
            <v>JUN
2012</v>
          </cell>
          <cell r="Q990" t="str">
            <v>JUL
2012</v>
          </cell>
          <cell r="R990" t="str">
            <v>AGO
2012</v>
          </cell>
          <cell r="S990" t="str">
            <v>SEP
2012</v>
          </cell>
          <cell r="T990" t="str">
            <v>OCT
2012</v>
          </cell>
          <cell r="U990" t="str">
            <v>NOV
2012</v>
          </cell>
          <cell r="V990" t="str">
            <v>DIC
2012</v>
          </cell>
          <cell r="W990" t="str">
            <v>SUMA
2012</v>
          </cell>
          <cell r="X990" t="str">
            <v>ENE
2013</v>
          </cell>
          <cell r="Y990" t="str">
            <v>FEB
2013</v>
          </cell>
          <cell r="Z990" t="str">
            <v>MAR
2013</v>
          </cell>
          <cell r="AA990" t="str">
            <v>ABR
2013</v>
          </cell>
          <cell r="AB990" t="str">
            <v>MAY
2013</v>
          </cell>
          <cell r="AC990" t="str">
            <v>JUN
2013</v>
          </cell>
          <cell r="AD990" t="str">
            <v>JUL
2013</v>
          </cell>
          <cell r="AE990" t="str">
            <v>AGO
2013</v>
          </cell>
          <cell r="AF990" t="str">
            <v>SEP
2013</v>
          </cell>
          <cell r="AG990" t="str">
            <v>OCT
2013</v>
          </cell>
          <cell r="AH990" t="str">
            <v>NOV
2013</v>
          </cell>
          <cell r="AI990" t="str">
            <v>DIC
2013</v>
          </cell>
          <cell r="AJ990" t="str">
            <v>SUMA
2013</v>
          </cell>
          <cell r="AK990" t="str">
            <v>ENE
2014</v>
          </cell>
          <cell r="AL990" t="str">
            <v>FEB
2014</v>
          </cell>
          <cell r="AM990" t="str">
            <v>MAR
2014</v>
          </cell>
          <cell r="AN990" t="str">
            <v>ABR
2014</v>
          </cell>
          <cell r="AO990" t="str">
            <v>MAY
2014</v>
          </cell>
          <cell r="AP990" t="str">
            <v>JUN
2014</v>
          </cell>
          <cell r="AQ990" t="str">
            <v>JUL
2014</v>
          </cell>
          <cell r="AR990" t="str">
            <v>AGO
2014</v>
          </cell>
          <cell r="AS990" t="str">
            <v>SEP
2014</v>
          </cell>
          <cell r="AT990" t="str">
            <v>OCT
2014</v>
          </cell>
          <cell r="AU990" t="str">
            <v>NOV
2014</v>
          </cell>
          <cell r="AV990" t="str">
            <v>DIC
2014</v>
          </cell>
          <cell r="AW990" t="str">
            <v>SUMA
2014</v>
          </cell>
        </row>
        <row r="991">
          <cell r="B991">
            <v>4603</v>
          </cell>
          <cell r="C991" t="str">
            <v>EZ_21_</v>
          </cell>
          <cell r="D991" t="str">
            <v>Rancho Estanzuela No. 21</v>
          </cell>
          <cell r="E991" t="str">
            <v>Chavero Barrera</v>
          </cell>
          <cell r="F991">
            <v>300</v>
          </cell>
          <cell r="G991">
            <v>1</v>
          </cell>
          <cell r="H991">
            <v>600</v>
          </cell>
          <cell r="I991">
            <v>41365</v>
          </cell>
          <cell r="J991">
            <v>0</v>
          </cell>
          <cell r="W991">
            <v>0</v>
          </cell>
          <cell r="Y991">
            <v>300</v>
          </cell>
          <cell r="Z991">
            <v>300</v>
          </cell>
          <cell r="AJ991">
            <v>600</v>
          </cell>
          <cell r="AW991">
            <v>0</v>
          </cell>
        </row>
        <row r="992">
          <cell r="B992">
            <v>4604</v>
          </cell>
          <cell r="C992" t="str">
            <v>UP_146_</v>
          </cell>
          <cell r="D992" t="str">
            <v>Rancho Upácuaro No. 146</v>
          </cell>
          <cell r="E992" t="str">
            <v>Islas</v>
          </cell>
          <cell r="F992">
            <v>300</v>
          </cell>
          <cell r="G992">
            <v>1</v>
          </cell>
          <cell r="H992">
            <v>300</v>
          </cell>
          <cell r="I992">
            <v>41366</v>
          </cell>
          <cell r="J992">
            <v>0</v>
          </cell>
          <cell r="W992">
            <v>0</v>
          </cell>
          <cell r="Z992">
            <v>300</v>
          </cell>
          <cell r="AJ992">
            <v>300</v>
          </cell>
          <cell r="AW992">
            <v>0</v>
          </cell>
        </row>
        <row r="993">
          <cell r="B993">
            <v>4605</v>
          </cell>
          <cell r="C993" t="str">
            <v>CL_139_</v>
          </cell>
          <cell r="D993" t="str">
            <v>Rancho La Cuchilla No. 139</v>
          </cell>
          <cell r="E993" t="str">
            <v>Gloria García</v>
          </cell>
          <cell r="F993">
            <v>200</v>
          </cell>
          <cell r="G993">
            <v>1</v>
          </cell>
          <cell r="H993">
            <v>200</v>
          </cell>
          <cell r="I993">
            <v>41366</v>
          </cell>
          <cell r="J993">
            <v>0</v>
          </cell>
          <cell r="W993">
            <v>0</v>
          </cell>
          <cell r="AA993">
            <v>200</v>
          </cell>
          <cell r="AJ993">
            <v>200</v>
          </cell>
          <cell r="AW993">
            <v>0</v>
          </cell>
        </row>
        <row r="994">
          <cell r="B994">
            <v>4606</v>
          </cell>
          <cell r="C994" t="str">
            <v>CL_111_</v>
          </cell>
          <cell r="D994" t="str">
            <v>Rancho La Cuchilla No. 111</v>
          </cell>
          <cell r="E994" t="str">
            <v>García Santos O.</v>
          </cell>
          <cell r="F994">
            <v>150</v>
          </cell>
          <cell r="G994">
            <v>1</v>
          </cell>
          <cell r="H994">
            <v>150</v>
          </cell>
          <cell r="I994">
            <v>41366</v>
          </cell>
          <cell r="J994">
            <v>0</v>
          </cell>
          <cell r="W994">
            <v>0</v>
          </cell>
          <cell r="AA994">
            <v>150</v>
          </cell>
          <cell r="AJ994">
            <v>150</v>
          </cell>
          <cell r="AW994">
            <v>0</v>
          </cell>
        </row>
        <row r="995">
          <cell r="B995">
            <v>4607</v>
          </cell>
          <cell r="C995" t="str">
            <v>CL_86_</v>
          </cell>
          <cell r="D995" t="str">
            <v>Rancho La Cuchilla No. 86</v>
          </cell>
          <cell r="E995" t="str">
            <v>Del Villar</v>
          </cell>
          <cell r="F995">
            <v>300</v>
          </cell>
          <cell r="G995">
            <v>1</v>
          </cell>
          <cell r="H995">
            <v>900</v>
          </cell>
          <cell r="I995">
            <v>41366</v>
          </cell>
          <cell r="J995">
            <v>0</v>
          </cell>
          <cell r="W995">
            <v>0</v>
          </cell>
          <cell r="X995">
            <v>300</v>
          </cell>
          <cell r="Y995">
            <v>300</v>
          </cell>
          <cell r="Z995">
            <v>300</v>
          </cell>
          <cell r="AJ995">
            <v>900</v>
          </cell>
          <cell r="AW995">
            <v>0</v>
          </cell>
        </row>
        <row r="996">
          <cell r="B996">
            <v>4608</v>
          </cell>
          <cell r="C996" t="str">
            <v>EZ_41_</v>
          </cell>
          <cell r="D996" t="str">
            <v>Rancho Estanzuela No. 41</v>
          </cell>
          <cell r="E996" t="str">
            <v>Díaz</v>
          </cell>
          <cell r="F996">
            <v>300</v>
          </cell>
          <cell r="G996">
            <v>1</v>
          </cell>
          <cell r="H996">
            <v>300</v>
          </cell>
          <cell r="I996">
            <v>41366</v>
          </cell>
          <cell r="J996">
            <v>0</v>
          </cell>
          <cell r="W996">
            <v>0</v>
          </cell>
          <cell r="Z996">
            <v>300</v>
          </cell>
          <cell r="AJ996">
            <v>300</v>
          </cell>
          <cell r="AW996">
            <v>0</v>
          </cell>
        </row>
        <row r="997">
          <cell r="B997">
            <v>4609</v>
          </cell>
          <cell r="C997" t="str">
            <v>ZB_68_</v>
          </cell>
          <cell r="D997" t="str">
            <v>Rancho Zinamba No. 68</v>
          </cell>
          <cell r="E997" t="str">
            <v>Rivera Villicaña</v>
          </cell>
          <cell r="F997">
            <v>300</v>
          </cell>
          <cell r="G997">
            <v>1</v>
          </cell>
          <cell r="H997">
            <v>300</v>
          </cell>
          <cell r="I997">
            <v>41368</v>
          </cell>
          <cell r="J997">
            <v>0</v>
          </cell>
          <cell r="W997">
            <v>0</v>
          </cell>
          <cell r="AA997">
            <v>300</v>
          </cell>
          <cell r="AJ997">
            <v>300</v>
          </cell>
          <cell r="AW997">
            <v>0</v>
          </cell>
        </row>
        <row r="998">
          <cell r="B998">
            <v>4610</v>
          </cell>
          <cell r="C998" t="str">
            <v>EZ_141_</v>
          </cell>
          <cell r="D998" t="str">
            <v>Rancho Estanzuela No. 141</v>
          </cell>
          <cell r="E998" t="str">
            <v>Castillo Toledano</v>
          </cell>
          <cell r="F998">
            <v>300</v>
          </cell>
          <cell r="G998">
            <v>1</v>
          </cell>
          <cell r="H998">
            <v>1800</v>
          </cell>
          <cell r="I998">
            <v>41368</v>
          </cell>
          <cell r="J998">
            <v>0</v>
          </cell>
          <cell r="W998">
            <v>0</v>
          </cell>
          <cell r="X998">
            <v>300</v>
          </cell>
          <cell r="Y998">
            <v>300</v>
          </cell>
          <cell r="Z998">
            <v>300</v>
          </cell>
          <cell r="AA998">
            <v>300</v>
          </cell>
          <cell r="AB998">
            <v>300</v>
          </cell>
          <cell r="AC998">
            <v>300</v>
          </cell>
          <cell r="AJ998">
            <v>1800</v>
          </cell>
          <cell r="AW998">
            <v>0</v>
          </cell>
        </row>
        <row r="999">
          <cell r="B999">
            <v>4611</v>
          </cell>
          <cell r="C999" t="str">
            <v>EZ_141_</v>
          </cell>
          <cell r="D999" t="str">
            <v>Rancho Estanzuela No. 141</v>
          </cell>
          <cell r="E999" t="str">
            <v>Castillo Toledano</v>
          </cell>
          <cell r="F999">
            <v>300</v>
          </cell>
          <cell r="G999">
            <v>3</v>
          </cell>
          <cell r="H999">
            <v>150</v>
          </cell>
          <cell r="I999">
            <v>41368</v>
          </cell>
          <cell r="J999" t="str">
            <v>NO SUMA</v>
          </cell>
          <cell r="W999">
            <v>0</v>
          </cell>
          <cell r="AJ999">
            <v>0</v>
          </cell>
          <cell r="AW999">
            <v>0</v>
          </cell>
        </row>
        <row r="1000">
          <cell r="B1000">
            <v>4612</v>
          </cell>
          <cell r="C1000" t="str">
            <v>HS_828_</v>
          </cell>
          <cell r="D1000" t="str">
            <v>Calzada del Hueso No. 828</v>
          </cell>
          <cell r="E1000" t="str">
            <v>Cervantes, Miguel</v>
          </cell>
          <cell r="F1000">
            <v>300</v>
          </cell>
          <cell r="G1000">
            <v>1</v>
          </cell>
          <cell r="H1000">
            <v>300</v>
          </cell>
          <cell r="I1000">
            <v>41369</v>
          </cell>
          <cell r="J1000">
            <v>0</v>
          </cell>
          <cell r="W1000">
            <v>0</v>
          </cell>
          <cell r="AA1000">
            <v>300</v>
          </cell>
          <cell r="AJ1000">
            <v>300</v>
          </cell>
          <cell r="AW1000">
            <v>0</v>
          </cell>
        </row>
        <row r="1001">
          <cell r="B1001">
            <v>4613</v>
          </cell>
          <cell r="C1001" t="str">
            <v>UP_33_</v>
          </cell>
          <cell r="D1001" t="str">
            <v>Rancho Upácuaro No. 33</v>
          </cell>
          <cell r="E1001" t="str">
            <v>Ulloa Miranda</v>
          </cell>
          <cell r="F1001">
            <v>300</v>
          </cell>
          <cell r="G1001">
            <v>1</v>
          </cell>
          <cell r="H1001">
            <v>600</v>
          </cell>
          <cell r="I1001">
            <v>41371</v>
          </cell>
          <cell r="J1001">
            <v>0</v>
          </cell>
          <cell r="W1001">
            <v>0</v>
          </cell>
          <cell r="AA1001">
            <v>300</v>
          </cell>
          <cell r="AB1001">
            <v>300</v>
          </cell>
          <cell r="AJ1001">
            <v>600</v>
          </cell>
          <cell r="AW1001">
            <v>0</v>
          </cell>
        </row>
        <row r="1002">
          <cell r="B1002">
            <v>4613</v>
          </cell>
          <cell r="C1002" t="str">
            <v>UP_33_</v>
          </cell>
          <cell r="D1002" t="str">
            <v>Rancho Upácuaro No. 33</v>
          </cell>
          <cell r="E1002" t="str">
            <v>Ulloa Miranda</v>
          </cell>
          <cell r="F1002">
            <v>300</v>
          </cell>
          <cell r="G1002">
            <v>4</v>
          </cell>
          <cell r="H1002">
            <v>160</v>
          </cell>
          <cell r="I1002">
            <v>41371</v>
          </cell>
          <cell r="J1002" t="str">
            <v>NO SUMA</v>
          </cell>
          <cell r="W1002">
            <v>0</v>
          </cell>
          <cell r="AJ1002">
            <v>0</v>
          </cell>
          <cell r="AW1002">
            <v>0</v>
          </cell>
        </row>
        <row r="1003">
          <cell r="B1003">
            <v>4614</v>
          </cell>
          <cell r="C1003" t="str">
            <v>LD_84_</v>
          </cell>
          <cell r="D1003" t="str">
            <v>Rancho Landero No. 84</v>
          </cell>
          <cell r="E1003" t="str">
            <v>Alcántara</v>
          </cell>
          <cell r="F1003">
            <v>300</v>
          </cell>
          <cell r="G1003">
            <v>1</v>
          </cell>
          <cell r="H1003">
            <v>600</v>
          </cell>
          <cell r="I1003">
            <v>41371</v>
          </cell>
          <cell r="J1003">
            <v>0</v>
          </cell>
          <cell r="W1003">
            <v>0</v>
          </cell>
          <cell r="Z1003">
            <v>300</v>
          </cell>
          <cell r="AA1003">
            <v>300</v>
          </cell>
          <cell r="AJ1003">
            <v>600</v>
          </cell>
          <cell r="AW1003">
            <v>0</v>
          </cell>
        </row>
        <row r="1004">
          <cell r="B1004">
            <v>4615</v>
          </cell>
          <cell r="C1004" t="str">
            <v>ZB_80_</v>
          </cell>
          <cell r="D1004" t="str">
            <v>Rancho Zinamba No. 80</v>
          </cell>
          <cell r="E1004" t="str">
            <v>Vázquez</v>
          </cell>
          <cell r="F1004">
            <v>250</v>
          </cell>
          <cell r="G1004">
            <v>1</v>
          </cell>
          <cell r="H1004">
            <v>250</v>
          </cell>
          <cell r="I1004">
            <v>41371</v>
          </cell>
          <cell r="J1004">
            <v>0</v>
          </cell>
          <cell r="W1004">
            <v>0</v>
          </cell>
          <cell r="AA1004">
            <v>250</v>
          </cell>
          <cell r="AJ1004">
            <v>250</v>
          </cell>
          <cell r="AW1004">
            <v>0</v>
          </cell>
        </row>
        <row r="1005">
          <cell r="B1005">
            <v>4616</v>
          </cell>
          <cell r="C1005" t="str">
            <v>UP_108_</v>
          </cell>
          <cell r="D1005" t="str">
            <v>Rancho Upácuaro No. 108</v>
          </cell>
          <cell r="E1005" t="str">
            <v>Mejía</v>
          </cell>
          <cell r="F1005">
            <v>300</v>
          </cell>
          <cell r="G1005">
            <v>1</v>
          </cell>
          <cell r="H1005">
            <v>300</v>
          </cell>
          <cell r="I1005">
            <v>41371</v>
          </cell>
          <cell r="J1005">
            <v>0</v>
          </cell>
          <cell r="W1005">
            <v>0</v>
          </cell>
          <cell r="AA1005">
            <v>300</v>
          </cell>
          <cell r="AJ1005">
            <v>300</v>
          </cell>
          <cell r="AW1005">
            <v>0</v>
          </cell>
        </row>
        <row r="1006">
          <cell r="B1006">
            <v>4617</v>
          </cell>
          <cell r="C1006" t="str">
            <v>LD_31_</v>
          </cell>
          <cell r="D1006" t="str">
            <v>Rancho Landero No. 31</v>
          </cell>
          <cell r="E1006" t="str">
            <v>Díaz Hernández</v>
          </cell>
          <cell r="F1006">
            <v>200</v>
          </cell>
          <cell r="G1006">
            <v>1</v>
          </cell>
          <cell r="H1006">
            <v>200</v>
          </cell>
          <cell r="I1006">
            <v>41371</v>
          </cell>
          <cell r="J1006">
            <v>0</v>
          </cell>
          <cell r="W1006">
            <v>0</v>
          </cell>
          <cell r="AA1006">
            <v>200</v>
          </cell>
          <cell r="AJ1006">
            <v>200</v>
          </cell>
          <cell r="AW1006">
            <v>0</v>
          </cell>
        </row>
        <row r="1007">
          <cell r="B1007">
            <v>4618</v>
          </cell>
          <cell r="C1007" t="str">
            <v>CL_45_</v>
          </cell>
          <cell r="D1007" t="str">
            <v>Rancho La Cuchilla No. 45</v>
          </cell>
          <cell r="E1007" t="str">
            <v>Estévez Hernández</v>
          </cell>
          <cell r="F1007">
            <v>300</v>
          </cell>
          <cell r="G1007">
            <v>1</v>
          </cell>
          <cell r="H1007">
            <v>300</v>
          </cell>
          <cell r="I1007">
            <v>41371</v>
          </cell>
          <cell r="J1007">
            <v>0</v>
          </cell>
          <cell r="W1007">
            <v>0</v>
          </cell>
          <cell r="AA1007">
            <v>300</v>
          </cell>
          <cell r="AJ1007">
            <v>300</v>
          </cell>
          <cell r="AW1007">
            <v>0</v>
          </cell>
        </row>
        <row r="1008">
          <cell r="B1008">
            <v>4619</v>
          </cell>
          <cell r="C1008" t="str">
            <v>LD_18_</v>
          </cell>
          <cell r="D1008" t="str">
            <v>Rancho Landero No. 18</v>
          </cell>
          <cell r="E1008" t="str">
            <v>Rosado</v>
          </cell>
          <cell r="F1008">
            <v>250</v>
          </cell>
          <cell r="G1008">
            <v>1</v>
          </cell>
          <cell r="H1008">
            <v>250</v>
          </cell>
          <cell r="I1008">
            <v>41371</v>
          </cell>
          <cell r="J1008">
            <v>0</v>
          </cell>
          <cell r="W1008">
            <v>0</v>
          </cell>
          <cell r="AA1008">
            <v>250</v>
          </cell>
          <cell r="AJ1008">
            <v>250</v>
          </cell>
          <cell r="AW1008">
            <v>0</v>
          </cell>
        </row>
        <row r="1009">
          <cell r="B1009">
            <v>4620</v>
          </cell>
          <cell r="C1009" t="str">
            <v>EZ_19_</v>
          </cell>
          <cell r="D1009" t="str">
            <v>Rancho Estanzuela No. 19</v>
          </cell>
          <cell r="E1009" t="str">
            <v>Robles</v>
          </cell>
          <cell r="F1009">
            <v>300</v>
          </cell>
          <cell r="G1009">
            <v>1</v>
          </cell>
          <cell r="H1009">
            <v>300</v>
          </cell>
          <cell r="I1009">
            <v>41371</v>
          </cell>
          <cell r="J1009">
            <v>0</v>
          </cell>
          <cell r="W1009">
            <v>0</v>
          </cell>
          <cell r="AA1009">
            <v>300</v>
          </cell>
          <cell r="AJ1009">
            <v>300</v>
          </cell>
          <cell r="AW1009">
            <v>0</v>
          </cell>
        </row>
        <row r="1010">
          <cell r="B1010">
            <v>4621</v>
          </cell>
          <cell r="C1010" t="str">
            <v>RV_179_</v>
          </cell>
          <cell r="D1010" t="str">
            <v>Rancho Recoveco No. 179</v>
          </cell>
          <cell r="E1010" t="str">
            <v>Flores Delgado</v>
          </cell>
          <cell r="F1010">
            <v>300</v>
          </cell>
          <cell r="G1010">
            <v>1</v>
          </cell>
          <cell r="H1010">
            <v>300</v>
          </cell>
          <cell r="I1010">
            <v>41371</v>
          </cell>
          <cell r="J1010">
            <v>0</v>
          </cell>
          <cell r="W1010">
            <v>0</v>
          </cell>
          <cell r="AA1010">
            <v>300</v>
          </cell>
          <cell r="AJ1010">
            <v>300</v>
          </cell>
          <cell r="AW1010">
            <v>0</v>
          </cell>
        </row>
        <row r="1011">
          <cell r="B1011">
            <v>4622</v>
          </cell>
          <cell r="C1011" t="str">
            <v>UP_42_</v>
          </cell>
          <cell r="D1011" t="str">
            <v>Rancho Upácuaro No. 42</v>
          </cell>
          <cell r="E1011" t="str">
            <v>García Ramírez</v>
          </cell>
          <cell r="F1011">
            <v>300</v>
          </cell>
          <cell r="G1011">
            <v>1</v>
          </cell>
          <cell r="H1011">
            <v>300</v>
          </cell>
          <cell r="I1011">
            <v>41371</v>
          </cell>
          <cell r="J1011">
            <v>0</v>
          </cell>
          <cell r="W1011">
            <v>0</v>
          </cell>
          <cell r="AA1011">
            <v>300</v>
          </cell>
          <cell r="AJ1011">
            <v>300</v>
          </cell>
          <cell r="AW1011">
            <v>0</v>
          </cell>
        </row>
        <row r="1012">
          <cell r="B1012">
            <v>4622</v>
          </cell>
          <cell r="C1012" t="str">
            <v>UP_42_</v>
          </cell>
          <cell r="D1012" t="str">
            <v>Rancho Upácuaro No. 42</v>
          </cell>
          <cell r="E1012" t="str">
            <v>García Ramírez</v>
          </cell>
          <cell r="F1012">
            <v>300</v>
          </cell>
          <cell r="G1012">
            <v>4</v>
          </cell>
          <cell r="H1012">
            <v>160</v>
          </cell>
          <cell r="I1012">
            <v>41371</v>
          </cell>
          <cell r="J1012" t="str">
            <v>NO SUMA</v>
          </cell>
          <cell r="W1012">
            <v>0</v>
          </cell>
          <cell r="AJ1012">
            <v>0</v>
          </cell>
          <cell r="AW1012">
            <v>0</v>
          </cell>
        </row>
        <row r="1013">
          <cell r="B1013">
            <v>4622</v>
          </cell>
          <cell r="C1013" t="str">
            <v>UP_42_</v>
          </cell>
          <cell r="D1013" t="str">
            <v>Rancho Upácuaro No. 42</v>
          </cell>
          <cell r="E1013" t="str">
            <v>García Ramírez</v>
          </cell>
          <cell r="F1013">
            <v>300</v>
          </cell>
          <cell r="G1013">
            <v>5</v>
          </cell>
          <cell r="H1013">
            <v>20</v>
          </cell>
          <cell r="I1013">
            <v>41371</v>
          </cell>
          <cell r="J1013" t="str">
            <v>NO SUMA</v>
          </cell>
          <cell r="W1013">
            <v>0</v>
          </cell>
          <cell r="AJ1013">
            <v>0</v>
          </cell>
          <cell r="AW1013">
            <v>0</v>
          </cell>
        </row>
        <row r="1014">
          <cell r="B1014">
            <v>4623</v>
          </cell>
          <cell r="C1014" t="str">
            <v>UP_60_</v>
          </cell>
          <cell r="D1014" t="str">
            <v>Rancho Upácuaro No. 60</v>
          </cell>
          <cell r="E1014" t="str">
            <v>Zavala</v>
          </cell>
          <cell r="F1014">
            <v>300</v>
          </cell>
          <cell r="G1014">
            <v>1</v>
          </cell>
          <cell r="H1014">
            <v>300</v>
          </cell>
          <cell r="I1014">
            <v>41371</v>
          </cell>
          <cell r="J1014">
            <v>0</v>
          </cell>
          <cell r="W1014">
            <v>0</v>
          </cell>
          <cell r="AA1014">
            <v>300</v>
          </cell>
          <cell r="AJ1014">
            <v>300</v>
          </cell>
          <cell r="AW1014">
            <v>0</v>
          </cell>
        </row>
        <row r="1015">
          <cell r="B1015">
            <v>4624</v>
          </cell>
          <cell r="D1015" t="str">
            <v/>
          </cell>
          <cell r="E1015" t="str">
            <v/>
          </cell>
          <cell r="F1015" t="str">
            <v/>
          </cell>
          <cell r="G1015">
            <v>8</v>
          </cell>
          <cell r="I1015">
            <v>41371</v>
          </cell>
          <cell r="J1015" t="str">
            <v>NO SUMA</v>
          </cell>
          <cell r="W1015">
            <v>0</v>
          </cell>
          <cell r="AJ1015">
            <v>0</v>
          </cell>
          <cell r="AW1015">
            <v>0</v>
          </cell>
        </row>
        <row r="1016">
          <cell r="B1016">
            <v>4625</v>
          </cell>
          <cell r="C1016" t="str">
            <v>RV_173_</v>
          </cell>
          <cell r="D1016" t="str">
            <v>Rancho Recoveco No. 173</v>
          </cell>
          <cell r="E1016" t="str">
            <v>Velarde</v>
          </cell>
          <cell r="F1016">
            <v>300</v>
          </cell>
          <cell r="G1016">
            <v>1</v>
          </cell>
          <cell r="H1016">
            <v>300</v>
          </cell>
          <cell r="I1016">
            <v>41371</v>
          </cell>
          <cell r="J1016">
            <v>0</v>
          </cell>
          <cell r="W1016">
            <v>0</v>
          </cell>
          <cell r="AA1016">
            <v>300</v>
          </cell>
          <cell r="AJ1016">
            <v>300</v>
          </cell>
          <cell r="AW1016">
            <v>0</v>
          </cell>
        </row>
        <row r="1017">
          <cell r="B1017">
            <v>4626</v>
          </cell>
          <cell r="C1017" t="str">
            <v>EZ_31_</v>
          </cell>
          <cell r="D1017" t="str">
            <v>Rancho Estanzuela No. 31</v>
          </cell>
          <cell r="E1017" t="str">
            <v>Chávez Valdés</v>
          </cell>
          <cell r="F1017">
            <v>300</v>
          </cell>
          <cell r="G1017">
            <v>1</v>
          </cell>
          <cell r="H1017">
            <v>300</v>
          </cell>
          <cell r="I1017">
            <v>41371</v>
          </cell>
          <cell r="J1017">
            <v>0</v>
          </cell>
          <cell r="W1017">
            <v>0</v>
          </cell>
          <cell r="AA1017">
            <v>300</v>
          </cell>
          <cell r="AJ1017">
            <v>300</v>
          </cell>
          <cell r="AW1017">
            <v>0</v>
          </cell>
        </row>
        <row r="1018">
          <cell r="B1018">
            <v>4627</v>
          </cell>
          <cell r="C1018" t="str">
            <v>CL_43_B</v>
          </cell>
          <cell r="D1018" t="str">
            <v>Rancho La Cuchilla No. 43, B</v>
          </cell>
          <cell r="E1018" t="str">
            <v>Luna Albertano</v>
          </cell>
          <cell r="F1018">
            <v>125</v>
          </cell>
          <cell r="G1018">
            <v>1</v>
          </cell>
          <cell r="H1018">
            <v>125</v>
          </cell>
          <cell r="I1018">
            <v>41371</v>
          </cell>
          <cell r="J1018">
            <v>0</v>
          </cell>
          <cell r="W1018">
            <v>0</v>
          </cell>
          <cell r="AA1018">
            <v>125</v>
          </cell>
          <cell r="AJ1018">
            <v>125</v>
          </cell>
          <cell r="AW1018">
            <v>0</v>
          </cell>
        </row>
        <row r="1019">
          <cell r="B1019">
            <v>4628</v>
          </cell>
          <cell r="C1019" t="str">
            <v>UP_134_</v>
          </cell>
          <cell r="D1019" t="str">
            <v>Rancho Upácuaro No. 134</v>
          </cell>
          <cell r="E1019" t="str">
            <v>Flores Pérez</v>
          </cell>
          <cell r="F1019">
            <v>300</v>
          </cell>
          <cell r="G1019">
            <v>1</v>
          </cell>
          <cell r="H1019">
            <v>300</v>
          </cell>
          <cell r="I1019">
            <v>41371</v>
          </cell>
          <cell r="J1019">
            <v>0</v>
          </cell>
          <cell r="W1019">
            <v>0</v>
          </cell>
          <cell r="AA1019">
            <v>300</v>
          </cell>
          <cell r="AJ1019">
            <v>300</v>
          </cell>
          <cell r="AW1019">
            <v>0</v>
          </cell>
        </row>
        <row r="1020">
          <cell r="B1020">
            <v>4628</v>
          </cell>
          <cell r="C1020" t="str">
            <v>UP_134_</v>
          </cell>
          <cell r="D1020" t="str">
            <v>Rancho Upácuaro No. 134</v>
          </cell>
          <cell r="E1020" t="str">
            <v>Flores Pérez</v>
          </cell>
          <cell r="F1020">
            <v>300</v>
          </cell>
          <cell r="G1020">
            <v>4</v>
          </cell>
          <cell r="H1020">
            <v>160</v>
          </cell>
          <cell r="I1020">
            <v>41371</v>
          </cell>
          <cell r="J1020" t="str">
            <v>NO SUMA</v>
          </cell>
          <cell r="W1020">
            <v>0</v>
          </cell>
          <cell r="AJ1020">
            <v>0</v>
          </cell>
          <cell r="AW1020">
            <v>0</v>
          </cell>
        </row>
        <row r="1021">
          <cell r="B1021">
            <v>4629</v>
          </cell>
          <cell r="C1021" t="str">
            <v>LD_83_</v>
          </cell>
          <cell r="D1021" t="str">
            <v>Rancho Landero No. 83</v>
          </cell>
          <cell r="E1021" t="str">
            <v>Aguilar</v>
          </cell>
          <cell r="F1021">
            <v>300</v>
          </cell>
          <cell r="G1021">
            <v>1</v>
          </cell>
          <cell r="H1021">
            <v>300</v>
          </cell>
          <cell r="I1021">
            <v>41371</v>
          </cell>
          <cell r="J1021">
            <v>0</v>
          </cell>
          <cell r="W1021">
            <v>0</v>
          </cell>
          <cell r="AA1021">
            <v>300</v>
          </cell>
          <cell r="AJ1021">
            <v>300</v>
          </cell>
          <cell r="AW1021">
            <v>0</v>
          </cell>
        </row>
        <row r="1022">
          <cell r="B1022">
            <v>4630</v>
          </cell>
          <cell r="C1022" t="str">
            <v>CL_32_</v>
          </cell>
          <cell r="D1022" t="str">
            <v>Rancho La Cuchilla No. 32</v>
          </cell>
          <cell r="E1022" t="str">
            <v>Hernández</v>
          </cell>
          <cell r="F1022">
            <v>300</v>
          </cell>
          <cell r="G1022">
            <v>1</v>
          </cell>
          <cell r="H1022">
            <v>900</v>
          </cell>
          <cell r="I1022">
            <v>41371</v>
          </cell>
          <cell r="J1022">
            <v>0</v>
          </cell>
          <cell r="W1022">
            <v>0</v>
          </cell>
          <cell r="X1022">
            <v>300</v>
          </cell>
          <cell r="Y1022">
            <v>300</v>
          </cell>
          <cell r="Z1022">
            <v>300</v>
          </cell>
          <cell r="AJ1022">
            <v>900</v>
          </cell>
          <cell r="AW1022">
            <v>0</v>
          </cell>
        </row>
        <row r="1023">
          <cell r="B1023">
            <v>4630</v>
          </cell>
          <cell r="C1023" t="str">
            <v>CL_32_</v>
          </cell>
          <cell r="D1023" t="str">
            <v>Rancho La Cuchilla No. 32</v>
          </cell>
          <cell r="E1023" t="str">
            <v>Hernández</v>
          </cell>
          <cell r="F1023">
            <v>300</v>
          </cell>
          <cell r="G1023">
            <v>4</v>
          </cell>
          <cell r="H1023">
            <v>160</v>
          </cell>
          <cell r="I1023">
            <v>41371</v>
          </cell>
          <cell r="J1023" t="str">
            <v>NO SUMA</v>
          </cell>
          <cell r="W1023">
            <v>0</v>
          </cell>
          <cell r="AJ1023">
            <v>0</v>
          </cell>
          <cell r="AW1023">
            <v>0</v>
          </cell>
        </row>
        <row r="1024">
          <cell r="B1024">
            <v>4631</v>
          </cell>
          <cell r="C1024" t="str">
            <v>UP_93_</v>
          </cell>
          <cell r="D1024" t="str">
            <v>Rancho Upácuaro No. 93</v>
          </cell>
          <cell r="E1024" t="str">
            <v>Valdés</v>
          </cell>
          <cell r="F1024">
            <v>300</v>
          </cell>
          <cell r="G1024">
            <v>1</v>
          </cell>
          <cell r="H1024">
            <v>300</v>
          </cell>
          <cell r="I1024">
            <v>41371</v>
          </cell>
          <cell r="J1024">
            <v>0</v>
          </cell>
          <cell r="W1024">
            <v>0</v>
          </cell>
          <cell r="AA1024">
            <v>300</v>
          </cell>
          <cell r="AJ1024">
            <v>300</v>
          </cell>
          <cell r="AW1024">
            <v>0</v>
          </cell>
        </row>
        <row r="1025">
          <cell r="B1025">
            <v>4632</v>
          </cell>
          <cell r="C1025" t="str">
            <v>CL_89_</v>
          </cell>
          <cell r="D1025" t="str">
            <v>Rancho La Cuchilla No. 89</v>
          </cell>
          <cell r="E1025" t="str">
            <v>Gálvez</v>
          </cell>
          <cell r="F1025">
            <v>300</v>
          </cell>
          <cell r="G1025">
            <v>1</v>
          </cell>
          <cell r="H1025">
            <v>300</v>
          </cell>
          <cell r="I1025">
            <v>41371</v>
          </cell>
          <cell r="J1025">
            <v>0</v>
          </cell>
          <cell r="W1025">
            <v>0</v>
          </cell>
          <cell r="AA1025">
            <v>300</v>
          </cell>
          <cell r="AJ1025">
            <v>300</v>
          </cell>
          <cell r="AW1025">
            <v>0</v>
          </cell>
        </row>
        <row r="1026">
          <cell r="B1026">
            <v>4633</v>
          </cell>
          <cell r="C1026" t="str">
            <v>UP_85_</v>
          </cell>
          <cell r="D1026" t="str">
            <v>Rancho Upácuaro No. 85</v>
          </cell>
          <cell r="E1026" t="str">
            <v>Del Toro Huerta</v>
          </cell>
          <cell r="F1026">
            <v>300</v>
          </cell>
          <cell r="G1026">
            <v>1</v>
          </cell>
          <cell r="H1026">
            <v>300</v>
          </cell>
          <cell r="I1026">
            <v>41371</v>
          </cell>
          <cell r="J1026">
            <v>0</v>
          </cell>
          <cell r="W1026">
            <v>0</v>
          </cell>
          <cell r="AA1026">
            <v>300</v>
          </cell>
          <cell r="AJ1026">
            <v>300</v>
          </cell>
          <cell r="AW1026">
            <v>0</v>
          </cell>
        </row>
        <row r="1027">
          <cell r="B1027">
            <v>4633</v>
          </cell>
          <cell r="C1027" t="str">
            <v>UP_85_</v>
          </cell>
          <cell r="D1027" t="str">
            <v>Rancho Upácuaro No. 85</v>
          </cell>
          <cell r="E1027" t="str">
            <v>Del Toro Huerta</v>
          </cell>
          <cell r="F1027">
            <v>300</v>
          </cell>
          <cell r="G1027">
            <v>4</v>
          </cell>
          <cell r="H1027">
            <v>160</v>
          </cell>
          <cell r="I1027">
            <v>41371</v>
          </cell>
          <cell r="J1027" t="str">
            <v>NO SUMA</v>
          </cell>
          <cell r="W1027">
            <v>0</v>
          </cell>
          <cell r="AJ1027">
            <v>0</v>
          </cell>
          <cell r="AW1027">
            <v>0</v>
          </cell>
        </row>
        <row r="1028">
          <cell r="B1028">
            <v>4634</v>
          </cell>
          <cell r="C1028" t="str">
            <v>CL_120_</v>
          </cell>
          <cell r="D1028" t="str">
            <v>Rancho La Cuchilla No. 120</v>
          </cell>
          <cell r="E1028" t="str">
            <v>Pozos Vilchis</v>
          </cell>
          <cell r="F1028">
            <v>300</v>
          </cell>
          <cell r="G1028">
            <v>1</v>
          </cell>
          <cell r="H1028">
            <v>300</v>
          </cell>
          <cell r="I1028">
            <v>41371</v>
          </cell>
          <cell r="J1028">
            <v>0</v>
          </cell>
          <cell r="W1028">
            <v>0</v>
          </cell>
          <cell r="AA1028">
            <v>300</v>
          </cell>
          <cell r="AJ1028">
            <v>300</v>
          </cell>
          <cell r="AW1028">
            <v>0</v>
          </cell>
        </row>
        <row r="1029">
          <cell r="B1029">
            <v>4635</v>
          </cell>
          <cell r="C1029" t="str">
            <v>LD_25_</v>
          </cell>
          <cell r="D1029" t="str">
            <v>Rancho Landero No. 25</v>
          </cell>
          <cell r="E1029" t="str">
            <v>Escamilla Martínez</v>
          </cell>
          <cell r="F1029">
            <v>300</v>
          </cell>
          <cell r="G1029">
            <v>1</v>
          </cell>
          <cell r="H1029">
            <v>300</v>
          </cell>
          <cell r="I1029">
            <v>41371</v>
          </cell>
          <cell r="J1029">
            <v>0</v>
          </cell>
          <cell r="W1029">
            <v>0</v>
          </cell>
          <cell r="Z1029">
            <v>300</v>
          </cell>
          <cell r="AJ1029">
            <v>300</v>
          </cell>
          <cell r="AW1029">
            <v>0</v>
          </cell>
        </row>
        <row r="1030">
          <cell r="B1030">
            <v>4636</v>
          </cell>
          <cell r="C1030" t="str">
            <v>UP_76_</v>
          </cell>
          <cell r="D1030" t="str">
            <v>Rancho Upácuaro No. 76</v>
          </cell>
          <cell r="E1030" t="str">
            <v>Ruiz de San Pedro</v>
          </cell>
          <cell r="F1030">
            <v>300</v>
          </cell>
          <cell r="G1030">
            <v>1</v>
          </cell>
          <cell r="H1030">
            <v>300</v>
          </cell>
          <cell r="I1030">
            <v>41371</v>
          </cell>
          <cell r="J1030">
            <v>0</v>
          </cell>
          <cell r="W1030">
            <v>0</v>
          </cell>
          <cell r="AA1030">
            <v>300</v>
          </cell>
          <cell r="AJ1030">
            <v>300</v>
          </cell>
          <cell r="AW1030">
            <v>0</v>
          </cell>
        </row>
        <row r="1031">
          <cell r="B1031">
            <v>4637</v>
          </cell>
          <cell r="C1031" t="str">
            <v>ZB_44_</v>
          </cell>
          <cell r="D1031" t="str">
            <v>Rancho Zinamba No. 44</v>
          </cell>
          <cell r="E1031" t="str">
            <v>Canales</v>
          </cell>
          <cell r="F1031">
            <v>300</v>
          </cell>
          <cell r="G1031">
            <v>1</v>
          </cell>
          <cell r="H1031">
            <v>300</v>
          </cell>
          <cell r="I1031">
            <v>41371</v>
          </cell>
          <cell r="J1031">
            <v>0</v>
          </cell>
          <cell r="W1031">
            <v>0</v>
          </cell>
          <cell r="AA1031">
            <v>300</v>
          </cell>
          <cell r="AJ1031">
            <v>300</v>
          </cell>
          <cell r="AW1031">
            <v>0</v>
          </cell>
        </row>
        <row r="1032">
          <cell r="B1032">
            <v>4638</v>
          </cell>
          <cell r="C1032" t="str">
            <v>EZ_79_</v>
          </cell>
          <cell r="D1032" t="str">
            <v>Rancho Estanzuela No. 79</v>
          </cell>
          <cell r="E1032" t="str">
            <v>Mendoza</v>
          </cell>
          <cell r="F1032">
            <v>300</v>
          </cell>
          <cell r="G1032">
            <v>1</v>
          </cell>
          <cell r="H1032">
            <v>900</v>
          </cell>
          <cell r="I1032">
            <v>41371</v>
          </cell>
          <cell r="J1032">
            <v>0</v>
          </cell>
          <cell r="W1032">
            <v>0</v>
          </cell>
          <cell r="Y1032">
            <v>300</v>
          </cell>
          <cell r="Z1032">
            <v>300</v>
          </cell>
          <cell r="AA1032">
            <v>300</v>
          </cell>
          <cell r="AJ1032">
            <v>900</v>
          </cell>
          <cell r="AW1032">
            <v>0</v>
          </cell>
        </row>
        <row r="1033">
          <cell r="B1033">
            <v>4639</v>
          </cell>
          <cell r="C1033" t="str">
            <v>UP_21_</v>
          </cell>
          <cell r="D1033" t="str">
            <v>Rancho Upácuaro No. 21</v>
          </cell>
          <cell r="E1033" t="str">
            <v>Fierro Betancourt</v>
          </cell>
          <cell r="F1033">
            <v>150</v>
          </cell>
          <cell r="G1033">
            <v>1</v>
          </cell>
          <cell r="H1033">
            <v>150</v>
          </cell>
          <cell r="I1033">
            <v>41371</v>
          </cell>
          <cell r="J1033">
            <v>0</v>
          </cell>
          <cell r="W1033">
            <v>0</v>
          </cell>
          <cell r="AA1033">
            <v>150</v>
          </cell>
          <cell r="AJ1033">
            <v>150</v>
          </cell>
          <cell r="AW1033">
            <v>0</v>
          </cell>
        </row>
        <row r="1034">
          <cell r="B1034">
            <v>4640</v>
          </cell>
          <cell r="C1034" t="str">
            <v>UP_114_</v>
          </cell>
          <cell r="D1034" t="str">
            <v>Rancho Upácuaro No. 114</v>
          </cell>
          <cell r="E1034" t="str">
            <v>Hernández Cornejo</v>
          </cell>
          <cell r="F1034">
            <v>300</v>
          </cell>
          <cell r="G1034">
            <v>1</v>
          </cell>
          <cell r="H1034">
            <v>300</v>
          </cell>
          <cell r="I1034">
            <v>41371</v>
          </cell>
          <cell r="J1034">
            <v>0</v>
          </cell>
          <cell r="W1034">
            <v>0</v>
          </cell>
          <cell r="AA1034">
            <v>300</v>
          </cell>
          <cell r="AJ1034">
            <v>300</v>
          </cell>
          <cell r="AW1034">
            <v>0</v>
          </cell>
        </row>
        <row r="1035">
          <cell r="B1035">
            <v>4641</v>
          </cell>
          <cell r="C1035" t="str">
            <v>LD_91_</v>
          </cell>
          <cell r="D1035" t="str">
            <v>Rancho Landero No. 91</v>
          </cell>
          <cell r="E1035" t="str">
            <v>Llaca</v>
          </cell>
          <cell r="F1035">
            <v>300</v>
          </cell>
          <cell r="G1035">
            <v>1</v>
          </cell>
          <cell r="H1035">
            <v>300</v>
          </cell>
          <cell r="I1035">
            <v>41371</v>
          </cell>
          <cell r="J1035">
            <v>0</v>
          </cell>
          <cell r="W1035">
            <v>0</v>
          </cell>
          <cell r="AA1035">
            <v>300</v>
          </cell>
          <cell r="AJ1035">
            <v>300</v>
          </cell>
          <cell r="AW1035">
            <v>0</v>
          </cell>
        </row>
        <row r="1036">
          <cell r="B1036">
            <v>4642</v>
          </cell>
          <cell r="C1036" t="str">
            <v>CL_75_</v>
          </cell>
          <cell r="D1036" t="str">
            <v>Rancho La Cuchilla No. 75</v>
          </cell>
          <cell r="E1036" t="str">
            <v>Sosa Lucio</v>
          </cell>
          <cell r="F1036">
            <v>300</v>
          </cell>
          <cell r="G1036">
            <v>1</v>
          </cell>
          <cell r="H1036">
            <v>300</v>
          </cell>
          <cell r="I1036">
            <v>41371</v>
          </cell>
          <cell r="J1036">
            <v>0</v>
          </cell>
          <cell r="W1036">
            <v>0</v>
          </cell>
          <cell r="AA1036">
            <v>300</v>
          </cell>
          <cell r="AJ1036">
            <v>300</v>
          </cell>
          <cell r="AW1036">
            <v>0</v>
          </cell>
        </row>
        <row r="1037">
          <cell r="B1037">
            <v>4643</v>
          </cell>
          <cell r="C1037" t="str">
            <v>LD_91_</v>
          </cell>
          <cell r="D1037" t="str">
            <v>Rancho Landero No. 91</v>
          </cell>
          <cell r="E1037" t="str">
            <v>Llaca</v>
          </cell>
          <cell r="F1037">
            <v>300</v>
          </cell>
          <cell r="G1037">
            <v>5</v>
          </cell>
          <cell r="H1037">
            <v>20</v>
          </cell>
          <cell r="I1037">
            <v>41371</v>
          </cell>
          <cell r="J1037" t="str">
            <v>NO SUMA</v>
          </cell>
          <cell r="W1037">
            <v>0</v>
          </cell>
          <cell r="AJ1037">
            <v>0</v>
          </cell>
          <cell r="AW1037">
            <v>0</v>
          </cell>
        </row>
        <row r="1038">
          <cell r="B1038">
            <v>4644</v>
          </cell>
          <cell r="C1038" t="str">
            <v>CL_90_</v>
          </cell>
          <cell r="D1038" t="str">
            <v>Rancho La Cuchilla No. 90</v>
          </cell>
          <cell r="E1038" t="str">
            <v>Porras Fuentes</v>
          </cell>
          <cell r="F1038">
            <v>150</v>
          </cell>
          <cell r="G1038">
            <v>1</v>
          </cell>
          <cell r="H1038">
            <v>150</v>
          </cell>
          <cell r="I1038">
            <v>41371</v>
          </cell>
          <cell r="J1038">
            <v>0</v>
          </cell>
          <cell r="W1038">
            <v>0</v>
          </cell>
          <cell r="AA1038">
            <v>150</v>
          </cell>
          <cell r="AJ1038">
            <v>150</v>
          </cell>
          <cell r="AW1038">
            <v>0</v>
          </cell>
        </row>
        <row r="1039">
          <cell r="B1039">
            <v>4645</v>
          </cell>
          <cell r="C1039" t="str">
            <v>CL_42_</v>
          </cell>
          <cell r="D1039" t="str">
            <v>Rancho La Cuchilla No. 42</v>
          </cell>
          <cell r="E1039" t="str">
            <v>Mac Kinney</v>
          </cell>
          <cell r="F1039">
            <v>300</v>
          </cell>
          <cell r="G1039">
            <v>1</v>
          </cell>
          <cell r="H1039">
            <v>300</v>
          </cell>
          <cell r="I1039">
            <v>41371</v>
          </cell>
          <cell r="J1039">
            <v>0</v>
          </cell>
          <cell r="W1039">
            <v>0</v>
          </cell>
          <cell r="AA1039">
            <v>300</v>
          </cell>
          <cell r="AJ1039">
            <v>300</v>
          </cell>
          <cell r="AW1039">
            <v>0</v>
          </cell>
        </row>
        <row r="1040">
          <cell r="B1040">
            <v>4646</v>
          </cell>
          <cell r="C1040" t="str">
            <v>ZB_20_</v>
          </cell>
          <cell r="D1040" t="str">
            <v>Rancho Zinamba No. 20</v>
          </cell>
          <cell r="E1040" t="str">
            <v>Alegre Retana</v>
          </cell>
          <cell r="F1040">
            <v>300</v>
          </cell>
          <cell r="G1040">
            <v>1</v>
          </cell>
          <cell r="H1040">
            <v>300</v>
          </cell>
          <cell r="I1040">
            <v>41371</v>
          </cell>
          <cell r="J1040">
            <v>0</v>
          </cell>
          <cell r="W1040">
            <v>0</v>
          </cell>
          <cell r="Z1040">
            <v>300</v>
          </cell>
          <cell r="AJ1040">
            <v>300</v>
          </cell>
          <cell r="AW1040">
            <v>0</v>
          </cell>
        </row>
        <row r="1041">
          <cell r="B1041">
            <v>4647</v>
          </cell>
          <cell r="C1041" t="str">
            <v>EZ_15_A</v>
          </cell>
          <cell r="D1041" t="str">
            <v>Rancho Estanzuela No. 15, A</v>
          </cell>
          <cell r="E1041" t="str">
            <v>González</v>
          </cell>
          <cell r="F1041">
            <v>150</v>
          </cell>
          <cell r="G1041">
            <v>5</v>
          </cell>
          <cell r="H1041">
            <v>20</v>
          </cell>
          <cell r="I1041">
            <v>41371</v>
          </cell>
          <cell r="J1041" t="str">
            <v>NO SUMA</v>
          </cell>
          <cell r="W1041">
            <v>0</v>
          </cell>
          <cell r="AJ1041">
            <v>0</v>
          </cell>
          <cell r="AW1041">
            <v>0</v>
          </cell>
        </row>
        <row r="1042">
          <cell r="B1042">
            <v>4648</v>
          </cell>
          <cell r="C1042" t="str">
            <v>RV_197_</v>
          </cell>
          <cell r="D1042" t="str">
            <v>Rancho Recoveco No. 197</v>
          </cell>
          <cell r="E1042" t="str">
            <v>Colín González</v>
          </cell>
          <cell r="F1042">
            <v>300</v>
          </cell>
          <cell r="G1042">
            <v>1</v>
          </cell>
          <cell r="H1042">
            <v>300</v>
          </cell>
          <cell r="I1042">
            <v>41371</v>
          </cell>
          <cell r="J1042">
            <v>0</v>
          </cell>
          <cell r="W1042">
            <v>0</v>
          </cell>
          <cell r="AA1042">
            <v>300</v>
          </cell>
          <cell r="AJ1042">
            <v>300</v>
          </cell>
          <cell r="AW1042">
            <v>0</v>
          </cell>
        </row>
        <row r="1043">
          <cell r="B1043">
            <v>4649</v>
          </cell>
          <cell r="C1043" t="str">
            <v>LD_42_</v>
          </cell>
          <cell r="D1043" t="str">
            <v>Rancho Landero No. 42</v>
          </cell>
          <cell r="E1043" t="str">
            <v>Ávila Fidel</v>
          </cell>
          <cell r="F1043">
            <v>300</v>
          </cell>
          <cell r="G1043">
            <v>1</v>
          </cell>
          <cell r="H1043">
            <v>300</v>
          </cell>
          <cell r="I1043">
            <v>41371</v>
          </cell>
          <cell r="J1043">
            <v>0</v>
          </cell>
          <cell r="W1043">
            <v>0</v>
          </cell>
          <cell r="AA1043">
            <v>300</v>
          </cell>
          <cell r="AJ1043">
            <v>300</v>
          </cell>
          <cell r="AW1043">
            <v>0</v>
          </cell>
        </row>
        <row r="1044">
          <cell r="B1044">
            <v>4650</v>
          </cell>
          <cell r="C1044" t="str">
            <v>LD_69_</v>
          </cell>
          <cell r="D1044" t="str">
            <v>Rancho Landero No. 69</v>
          </cell>
          <cell r="E1044" t="str">
            <v>Gómez Ayala</v>
          </cell>
          <cell r="F1044">
            <v>300</v>
          </cell>
          <cell r="G1044">
            <v>1</v>
          </cell>
          <cell r="H1044">
            <v>300</v>
          </cell>
          <cell r="I1044">
            <v>41371</v>
          </cell>
          <cell r="J1044">
            <v>0</v>
          </cell>
          <cell r="W1044">
            <v>0</v>
          </cell>
          <cell r="AA1044">
            <v>300</v>
          </cell>
          <cell r="AJ1044">
            <v>300</v>
          </cell>
          <cell r="AW1044">
            <v>0</v>
          </cell>
        </row>
        <row r="1045">
          <cell r="B1045">
            <v>4651</v>
          </cell>
          <cell r="C1045" t="str">
            <v>CL_112_PB</v>
          </cell>
          <cell r="D1045" t="str">
            <v>Rancho La Cuchilla No. 112, PB</v>
          </cell>
          <cell r="E1045" t="str">
            <v>Soreque</v>
          </cell>
          <cell r="F1045">
            <v>150</v>
          </cell>
          <cell r="G1045">
            <v>1</v>
          </cell>
          <cell r="H1045">
            <v>150</v>
          </cell>
          <cell r="I1045">
            <v>41371</v>
          </cell>
          <cell r="J1045">
            <v>0</v>
          </cell>
          <cell r="W1045">
            <v>0</v>
          </cell>
          <cell r="AA1045">
            <v>150</v>
          </cell>
          <cell r="AJ1045">
            <v>150</v>
          </cell>
          <cell r="AW1045">
            <v>0</v>
          </cell>
        </row>
        <row r="1046">
          <cell r="B1046">
            <v>4652</v>
          </cell>
          <cell r="C1046" t="str">
            <v>EZ_73_</v>
          </cell>
          <cell r="D1046" t="str">
            <v>Rancho Estanzuela No. 73</v>
          </cell>
          <cell r="E1046" t="str">
            <v>García María del C.</v>
          </cell>
          <cell r="F1046">
            <v>300</v>
          </cell>
          <cell r="G1046">
            <v>1</v>
          </cell>
          <cell r="H1046">
            <v>600</v>
          </cell>
          <cell r="I1046">
            <v>41371</v>
          </cell>
          <cell r="J1046">
            <v>0</v>
          </cell>
          <cell r="W1046">
            <v>0</v>
          </cell>
          <cell r="AA1046">
            <v>300</v>
          </cell>
          <cell r="AB1046">
            <v>300</v>
          </cell>
          <cell r="AJ1046">
            <v>600</v>
          </cell>
          <cell r="AW1046">
            <v>0</v>
          </cell>
        </row>
        <row r="1047">
          <cell r="B1047">
            <v>6096</v>
          </cell>
          <cell r="C1047" t="str">
            <v>UP_86_</v>
          </cell>
          <cell r="D1047" t="str">
            <v>Rancho Upácuaro No. 86</v>
          </cell>
          <cell r="E1047" t="str">
            <v>López Canseco</v>
          </cell>
          <cell r="F1047">
            <v>300</v>
          </cell>
          <cell r="G1047">
            <v>1</v>
          </cell>
          <cell r="H1047">
            <v>300</v>
          </cell>
          <cell r="I1047">
            <v>41372</v>
          </cell>
          <cell r="J1047">
            <v>0</v>
          </cell>
          <cell r="W1047">
            <v>0</v>
          </cell>
          <cell r="AA1047">
            <v>300</v>
          </cell>
          <cell r="AJ1047">
            <v>300</v>
          </cell>
          <cell r="AW1047">
            <v>0</v>
          </cell>
        </row>
        <row r="1048">
          <cell r="B1048">
            <v>6097</v>
          </cell>
          <cell r="C1048" t="str">
            <v>CL_29_</v>
          </cell>
          <cell r="D1048" t="str">
            <v>Rancho La Cuchilla No. 29</v>
          </cell>
          <cell r="E1048" t="str">
            <v>Vega Sánchez C.</v>
          </cell>
          <cell r="F1048">
            <v>300</v>
          </cell>
          <cell r="G1048">
            <v>1</v>
          </cell>
          <cell r="H1048">
            <v>300</v>
          </cell>
          <cell r="I1048">
            <v>41373</v>
          </cell>
          <cell r="J1048">
            <v>0</v>
          </cell>
          <cell r="W1048">
            <v>0</v>
          </cell>
          <cell r="AA1048">
            <v>300</v>
          </cell>
          <cell r="AJ1048">
            <v>300</v>
          </cell>
          <cell r="AW1048">
            <v>0</v>
          </cell>
        </row>
        <row r="1049">
          <cell r="B1049">
            <v>4653</v>
          </cell>
          <cell r="C1049" t="str">
            <v>CL_130_</v>
          </cell>
          <cell r="D1049" t="str">
            <v>Rancho La Cuchilla No. 130</v>
          </cell>
          <cell r="E1049" t="str">
            <v>De la Huerta</v>
          </cell>
          <cell r="F1049">
            <v>300</v>
          </cell>
          <cell r="G1049">
            <v>1</v>
          </cell>
          <cell r="H1049">
            <v>300</v>
          </cell>
          <cell r="I1049">
            <v>41376</v>
          </cell>
          <cell r="J1049">
            <v>0</v>
          </cell>
          <cell r="W1049">
            <v>0</v>
          </cell>
          <cell r="AA1049">
            <v>300</v>
          </cell>
          <cell r="AJ1049">
            <v>300</v>
          </cell>
          <cell r="AW1049">
            <v>0</v>
          </cell>
        </row>
        <row r="1050">
          <cell r="B1050">
            <v>4654</v>
          </cell>
          <cell r="C1050" t="str">
            <v>EZ_41_</v>
          </cell>
          <cell r="D1050" t="str">
            <v>Rancho Estanzuela No. 41</v>
          </cell>
          <cell r="E1050" t="str">
            <v>Díaz</v>
          </cell>
          <cell r="F1050">
            <v>300</v>
          </cell>
          <cell r="G1050">
            <v>1</v>
          </cell>
          <cell r="H1050">
            <v>300</v>
          </cell>
          <cell r="I1050">
            <v>41378</v>
          </cell>
          <cell r="J1050">
            <v>0</v>
          </cell>
          <cell r="W1050">
            <v>0</v>
          </cell>
          <cell r="AA1050">
            <v>300</v>
          </cell>
          <cell r="AJ1050">
            <v>300</v>
          </cell>
          <cell r="AW1050">
            <v>0</v>
          </cell>
        </row>
        <row r="1051">
          <cell r="B1051">
            <v>4655</v>
          </cell>
          <cell r="C1051" t="str">
            <v>CL_45_</v>
          </cell>
          <cell r="D1051" t="str">
            <v>Rancho La Cuchilla No. 45</v>
          </cell>
          <cell r="E1051" t="str">
            <v>Estévez Hernández</v>
          </cell>
          <cell r="F1051">
            <v>300</v>
          </cell>
          <cell r="G1051">
            <v>3</v>
          </cell>
          <cell r="H1051">
            <v>150</v>
          </cell>
          <cell r="I1051">
            <v>41378</v>
          </cell>
          <cell r="J1051" t="str">
            <v>NO SUMA</v>
          </cell>
          <cell r="W1051">
            <v>0</v>
          </cell>
          <cell r="AJ1051">
            <v>0</v>
          </cell>
          <cell r="AW1051">
            <v>0</v>
          </cell>
        </row>
        <row r="1052">
          <cell r="B1052">
            <v>4655</v>
          </cell>
          <cell r="C1052" t="str">
            <v>CL_45_</v>
          </cell>
          <cell r="D1052" t="str">
            <v>Rancho La Cuchilla No. 45</v>
          </cell>
          <cell r="E1052" t="str">
            <v>Estévez Hernández</v>
          </cell>
          <cell r="F1052">
            <v>300</v>
          </cell>
          <cell r="G1052">
            <v>4</v>
          </cell>
          <cell r="H1052">
            <v>160</v>
          </cell>
          <cell r="I1052">
            <v>41378</v>
          </cell>
          <cell r="J1052" t="str">
            <v>NO SUMA</v>
          </cell>
          <cell r="W1052">
            <v>0</v>
          </cell>
          <cell r="AJ1052">
            <v>0</v>
          </cell>
          <cell r="AW1052">
            <v>0</v>
          </cell>
        </row>
        <row r="1053">
          <cell r="B1053">
            <v>4656</v>
          </cell>
          <cell r="C1053" t="str">
            <v>CL_94_</v>
          </cell>
          <cell r="D1053" t="str">
            <v>Rancho La Cuchilla No. 94</v>
          </cell>
          <cell r="E1053" t="str">
            <v>Sánchez Márquez</v>
          </cell>
          <cell r="F1053">
            <v>300</v>
          </cell>
          <cell r="G1053">
            <v>1</v>
          </cell>
          <cell r="H1053">
            <v>600</v>
          </cell>
          <cell r="I1053">
            <v>41378</v>
          </cell>
          <cell r="J1053">
            <v>0</v>
          </cell>
          <cell r="W1053">
            <v>0</v>
          </cell>
          <cell r="AA1053">
            <v>300</v>
          </cell>
          <cell r="AB1053">
            <v>300</v>
          </cell>
          <cell r="AJ1053">
            <v>600</v>
          </cell>
          <cell r="AW1053">
            <v>0</v>
          </cell>
        </row>
        <row r="1054">
          <cell r="B1054">
            <v>4657</v>
          </cell>
          <cell r="C1054" t="str">
            <v>ZB_38_</v>
          </cell>
          <cell r="D1054" t="str">
            <v>Rancho Zinamba No. 38</v>
          </cell>
          <cell r="E1054" t="str">
            <v>Ramírez Díaz</v>
          </cell>
          <cell r="F1054">
            <v>300</v>
          </cell>
          <cell r="G1054">
            <v>1</v>
          </cell>
          <cell r="H1054">
            <v>300</v>
          </cell>
          <cell r="I1054">
            <v>41378</v>
          </cell>
          <cell r="J1054">
            <v>0</v>
          </cell>
          <cell r="W1054">
            <v>0</v>
          </cell>
          <cell r="AA1054">
            <v>300</v>
          </cell>
          <cell r="AJ1054">
            <v>300</v>
          </cell>
          <cell r="AW1054">
            <v>0</v>
          </cell>
        </row>
        <row r="1055">
          <cell r="B1055">
            <v>4658</v>
          </cell>
          <cell r="C1055" t="str">
            <v>CL_132_</v>
          </cell>
          <cell r="D1055" t="str">
            <v>Rancho La Cuchilla No. 132</v>
          </cell>
          <cell r="E1055" t="str">
            <v>Téllez Girón</v>
          </cell>
          <cell r="F1055">
            <v>300</v>
          </cell>
          <cell r="G1055">
            <v>1</v>
          </cell>
          <cell r="H1055">
            <v>300</v>
          </cell>
          <cell r="I1055">
            <v>41378</v>
          </cell>
          <cell r="J1055">
            <v>0</v>
          </cell>
          <cell r="W1055">
            <v>0</v>
          </cell>
          <cell r="AA1055">
            <v>300</v>
          </cell>
          <cell r="AJ1055">
            <v>300</v>
          </cell>
          <cell r="AW1055">
            <v>0</v>
          </cell>
        </row>
        <row r="1056">
          <cell r="B1056">
            <v>4659</v>
          </cell>
          <cell r="C1056" t="str">
            <v>CL_33_</v>
          </cell>
          <cell r="D1056" t="str">
            <v>Rancho La Cuchilla No. 33</v>
          </cell>
          <cell r="E1056" t="str">
            <v>Tanús</v>
          </cell>
          <cell r="F1056">
            <v>300</v>
          </cell>
          <cell r="G1056">
            <v>1</v>
          </cell>
          <cell r="H1056">
            <v>300</v>
          </cell>
          <cell r="I1056">
            <v>41378</v>
          </cell>
          <cell r="J1056">
            <v>0</v>
          </cell>
          <cell r="W1056">
            <v>0</v>
          </cell>
          <cell r="AA1056">
            <v>300</v>
          </cell>
          <cell r="AJ1056">
            <v>300</v>
          </cell>
          <cell r="AW1056">
            <v>0</v>
          </cell>
        </row>
        <row r="1057">
          <cell r="B1057">
            <v>4660</v>
          </cell>
          <cell r="C1057" t="str">
            <v>UP_26_</v>
          </cell>
          <cell r="D1057" t="str">
            <v>Rancho Upácuaro No. 26</v>
          </cell>
          <cell r="E1057" t="str">
            <v>Salazar</v>
          </cell>
          <cell r="F1057">
            <v>300</v>
          </cell>
          <cell r="G1057">
            <v>1</v>
          </cell>
          <cell r="H1057">
            <v>300</v>
          </cell>
          <cell r="I1057">
            <v>41378</v>
          </cell>
          <cell r="J1057">
            <v>0</v>
          </cell>
          <cell r="W1057">
            <v>0</v>
          </cell>
          <cell r="AA1057">
            <v>300</v>
          </cell>
          <cell r="AJ1057">
            <v>300</v>
          </cell>
          <cell r="AW1057">
            <v>0</v>
          </cell>
        </row>
        <row r="1058">
          <cell r="B1058">
            <v>4661</v>
          </cell>
          <cell r="C1058" t="str">
            <v>CL_115_</v>
          </cell>
          <cell r="D1058" t="str">
            <v>Rancho La Cuchilla No. 115</v>
          </cell>
          <cell r="E1058" t="str">
            <v>Alfaro</v>
          </cell>
          <cell r="F1058">
            <v>300</v>
          </cell>
          <cell r="G1058">
            <v>1</v>
          </cell>
          <cell r="H1058">
            <v>900</v>
          </cell>
          <cell r="I1058">
            <v>41378</v>
          </cell>
          <cell r="J1058">
            <v>0</v>
          </cell>
          <cell r="W1058">
            <v>0</v>
          </cell>
          <cell r="AA1058">
            <v>300</v>
          </cell>
          <cell r="AB1058">
            <v>300</v>
          </cell>
          <cell r="AC1058">
            <v>300</v>
          </cell>
          <cell r="AJ1058">
            <v>900</v>
          </cell>
          <cell r="AW1058">
            <v>0</v>
          </cell>
        </row>
        <row r="1059">
          <cell r="B1059">
            <v>4662</v>
          </cell>
          <cell r="C1059" t="str">
            <v>UP_19_</v>
          </cell>
          <cell r="D1059" t="str">
            <v>Rancho Upácuaro No. 19</v>
          </cell>
          <cell r="E1059" t="str">
            <v>Peña Inclán</v>
          </cell>
          <cell r="F1059">
            <v>200</v>
          </cell>
          <cell r="G1059">
            <v>1</v>
          </cell>
          <cell r="H1059">
            <v>200</v>
          </cell>
          <cell r="I1059">
            <v>41378</v>
          </cell>
          <cell r="J1059">
            <v>0</v>
          </cell>
          <cell r="W1059">
            <v>0</v>
          </cell>
          <cell r="AA1059">
            <v>200</v>
          </cell>
          <cell r="AJ1059">
            <v>200</v>
          </cell>
          <cell r="AW1059">
            <v>0</v>
          </cell>
        </row>
        <row r="1060">
          <cell r="B1060">
            <v>4663</v>
          </cell>
          <cell r="C1060" t="str">
            <v>UP_40_</v>
          </cell>
          <cell r="D1060" t="str">
            <v>Rancho Upácuaro No. 40</v>
          </cell>
          <cell r="E1060" t="str">
            <v>López Ramírez</v>
          </cell>
          <cell r="F1060">
            <v>300</v>
          </cell>
          <cell r="G1060">
            <v>1</v>
          </cell>
          <cell r="H1060">
            <v>300</v>
          </cell>
          <cell r="I1060">
            <v>41378</v>
          </cell>
          <cell r="J1060">
            <v>0</v>
          </cell>
          <cell r="W1060">
            <v>0</v>
          </cell>
          <cell r="AA1060">
            <v>300</v>
          </cell>
          <cell r="AJ1060">
            <v>300</v>
          </cell>
          <cell r="AW1060">
            <v>0</v>
          </cell>
        </row>
        <row r="1061">
          <cell r="B1061">
            <v>4664</v>
          </cell>
          <cell r="C1061" t="str">
            <v>ZB_34_</v>
          </cell>
          <cell r="D1061" t="str">
            <v>Rancho Zinamba No. 34</v>
          </cell>
          <cell r="E1061" t="str">
            <v>Torres Zavala</v>
          </cell>
          <cell r="F1061">
            <v>300</v>
          </cell>
          <cell r="G1061">
            <v>1</v>
          </cell>
          <cell r="H1061">
            <v>300</v>
          </cell>
          <cell r="I1061">
            <v>41378</v>
          </cell>
          <cell r="J1061">
            <v>0</v>
          </cell>
          <cell r="W1061">
            <v>0</v>
          </cell>
          <cell r="AA1061">
            <v>300</v>
          </cell>
          <cell r="AJ1061">
            <v>300</v>
          </cell>
          <cell r="AW1061">
            <v>0</v>
          </cell>
        </row>
        <row r="1062">
          <cell r="B1062">
            <v>4665</v>
          </cell>
          <cell r="C1062" t="str">
            <v>LD_22_</v>
          </cell>
          <cell r="D1062" t="str">
            <v>Rancho Landero No. 22</v>
          </cell>
          <cell r="E1062" t="str">
            <v>Reyes</v>
          </cell>
          <cell r="F1062">
            <v>150</v>
          </cell>
          <cell r="G1062">
            <v>1</v>
          </cell>
          <cell r="H1062">
            <v>150</v>
          </cell>
          <cell r="I1062">
            <v>41378</v>
          </cell>
          <cell r="J1062">
            <v>0</v>
          </cell>
          <cell r="W1062">
            <v>0</v>
          </cell>
          <cell r="Z1062">
            <v>150</v>
          </cell>
          <cell r="AJ1062">
            <v>150</v>
          </cell>
          <cell r="AW1062">
            <v>0</v>
          </cell>
        </row>
        <row r="1063">
          <cell r="B1063">
            <v>4666</v>
          </cell>
          <cell r="C1063" t="str">
            <v>RV_175_B</v>
          </cell>
          <cell r="D1063" t="str">
            <v>Rancho Recoveco No. 175, B</v>
          </cell>
          <cell r="E1063" t="str">
            <v>García Calderón</v>
          </cell>
          <cell r="F1063">
            <v>150</v>
          </cell>
          <cell r="G1063">
            <v>1</v>
          </cell>
          <cell r="H1063">
            <v>300</v>
          </cell>
          <cell r="I1063">
            <v>41378</v>
          </cell>
          <cell r="J1063">
            <v>0</v>
          </cell>
          <cell r="W1063">
            <v>0</v>
          </cell>
          <cell r="Z1063">
            <v>150</v>
          </cell>
          <cell r="AA1063">
            <v>150</v>
          </cell>
          <cell r="AJ1063">
            <v>300</v>
          </cell>
          <cell r="AW1063">
            <v>0</v>
          </cell>
        </row>
        <row r="1064">
          <cell r="B1064">
            <v>4667</v>
          </cell>
          <cell r="C1064" t="str">
            <v>EZ_95_</v>
          </cell>
          <cell r="D1064" t="str">
            <v>Rancho Estanzuela No. 95</v>
          </cell>
          <cell r="E1064" t="str">
            <v>Castro Puente</v>
          </cell>
          <cell r="F1064">
            <v>300</v>
          </cell>
          <cell r="G1064">
            <v>1</v>
          </cell>
          <cell r="H1064">
            <v>600</v>
          </cell>
          <cell r="I1064">
            <v>41378</v>
          </cell>
          <cell r="J1064">
            <v>0</v>
          </cell>
          <cell r="W1064">
            <v>0</v>
          </cell>
          <cell r="AA1064">
            <v>300</v>
          </cell>
          <cell r="AB1064">
            <v>300</v>
          </cell>
          <cell r="AJ1064">
            <v>600</v>
          </cell>
          <cell r="AW1064">
            <v>0</v>
          </cell>
        </row>
        <row r="1065">
          <cell r="B1065">
            <v>4668</v>
          </cell>
          <cell r="C1065" t="str">
            <v>CL_81_A</v>
          </cell>
          <cell r="D1065" t="str">
            <v>Rancho La Cuchilla No. 81, A</v>
          </cell>
          <cell r="E1065" t="str">
            <v>Barrientos López</v>
          </cell>
          <cell r="F1065">
            <v>300</v>
          </cell>
          <cell r="G1065">
            <v>1</v>
          </cell>
          <cell r="H1065">
            <v>300</v>
          </cell>
          <cell r="I1065">
            <v>41378</v>
          </cell>
          <cell r="J1065">
            <v>0</v>
          </cell>
          <cell r="W1065">
            <v>0</v>
          </cell>
          <cell r="AA1065">
            <v>300</v>
          </cell>
          <cell r="AJ1065">
            <v>300</v>
          </cell>
          <cell r="AW1065">
            <v>0</v>
          </cell>
        </row>
        <row r="1066">
          <cell r="B1066">
            <v>4669</v>
          </cell>
          <cell r="C1066" t="str">
            <v>CL_148_</v>
          </cell>
          <cell r="D1066" t="str">
            <v>Rancho La Cuchilla No. 148</v>
          </cell>
          <cell r="E1066" t="str">
            <v>Vázquez Vázquez</v>
          </cell>
          <cell r="F1066">
            <v>300</v>
          </cell>
          <cell r="G1066">
            <v>1</v>
          </cell>
          <cell r="H1066">
            <v>300</v>
          </cell>
          <cell r="I1066">
            <v>41378</v>
          </cell>
          <cell r="J1066">
            <v>0</v>
          </cell>
          <cell r="W1066">
            <v>0</v>
          </cell>
          <cell r="AA1066">
            <v>300</v>
          </cell>
          <cell r="AJ1066">
            <v>300</v>
          </cell>
          <cell r="AW1066">
            <v>0</v>
          </cell>
        </row>
        <row r="1067">
          <cell r="B1067">
            <v>4670</v>
          </cell>
          <cell r="C1067" t="str">
            <v>UP_18_</v>
          </cell>
          <cell r="D1067" t="str">
            <v>Rancho Upácuaro No. 18</v>
          </cell>
          <cell r="E1067" t="str">
            <v>Guzmán</v>
          </cell>
          <cell r="F1067">
            <v>300</v>
          </cell>
          <cell r="G1067">
            <v>1</v>
          </cell>
          <cell r="H1067">
            <v>300</v>
          </cell>
          <cell r="I1067">
            <v>41378</v>
          </cell>
          <cell r="J1067">
            <v>0</v>
          </cell>
          <cell r="W1067">
            <v>0</v>
          </cell>
          <cell r="AA1067">
            <v>300</v>
          </cell>
          <cell r="AJ1067">
            <v>300</v>
          </cell>
          <cell r="AW1067">
            <v>0</v>
          </cell>
        </row>
        <row r="1068">
          <cell r="B1068">
            <v>4671</v>
          </cell>
          <cell r="C1068" t="str">
            <v>EZ_25_</v>
          </cell>
          <cell r="D1068" t="str">
            <v>Rancho Estanzuela No. 25</v>
          </cell>
          <cell r="E1068" t="str">
            <v>Contreras Figueroa</v>
          </cell>
          <cell r="F1068">
            <v>300</v>
          </cell>
          <cell r="G1068">
            <v>1</v>
          </cell>
          <cell r="H1068">
            <v>300</v>
          </cell>
          <cell r="I1068">
            <v>41378</v>
          </cell>
          <cell r="J1068">
            <v>0</v>
          </cell>
          <cell r="W1068">
            <v>0</v>
          </cell>
          <cell r="AA1068">
            <v>300</v>
          </cell>
          <cell r="AJ1068">
            <v>300</v>
          </cell>
          <cell r="AW1068">
            <v>0</v>
          </cell>
        </row>
        <row r="1069">
          <cell r="B1069">
            <v>4672</v>
          </cell>
          <cell r="C1069" t="str">
            <v>UP_24_</v>
          </cell>
          <cell r="D1069" t="str">
            <v>Rancho Upácuaro No. 24</v>
          </cell>
          <cell r="E1069" t="str">
            <v>Parra</v>
          </cell>
          <cell r="F1069">
            <v>300</v>
          </cell>
          <cell r="G1069">
            <v>1</v>
          </cell>
          <cell r="H1069">
            <v>300</v>
          </cell>
          <cell r="I1069">
            <v>41378</v>
          </cell>
          <cell r="J1069">
            <v>0</v>
          </cell>
          <cell r="W1069">
            <v>0</v>
          </cell>
          <cell r="X1069">
            <v>300</v>
          </cell>
          <cell r="AJ1069">
            <v>300</v>
          </cell>
          <cell r="AW1069">
            <v>0</v>
          </cell>
        </row>
        <row r="1070">
          <cell r="B1070">
            <v>4673</v>
          </cell>
          <cell r="C1070" t="str">
            <v>RV_3_</v>
          </cell>
          <cell r="D1070" t="str">
            <v>Rancho Recoveco No. 3</v>
          </cell>
          <cell r="E1070" t="str">
            <v>Garduño</v>
          </cell>
          <cell r="F1070">
            <v>300</v>
          </cell>
          <cell r="G1070">
            <v>1</v>
          </cell>
          <cell r="H1070">
            <v>300</v>
          </cell>
          <cell r="I1070">
            <v>41378</v>
          </cell>
          <cell r="J1070">
            <v>0</v>
          </cell>
          <cell r="W1070">
            <v>0</v>
          </cell>
          <cell r="AA1070">
            <v>300</v>
          </cell>
          <cell r="AJ1070">
            <v>300</v>
          </cell>
          <cell r="AW1070">
            <v>0</v>
          </cell>
        </row>
        <row r="1071">
          <cell r="B1071">
            <v>4674</v>
          </cell>
          <cell r="C1071" t="str">
            <v>EZ_9_B</v>
          </cell>
          <cell r="D1071" t="str">
            <v>Rancho Estanzuela No. 9, B</v>
          </cell>
          <cell r="E1071" t="str">
            <v>Velasco Rojas</v>
          </cell>
          <cell r="F1071">
            <v>200</v>
          </cell>
          <cell r="G1071">
            <v>1</v>
          </cell>
          <cell r="H1071">
            <v>200</v>
          </cell>
          <cell r="I1071">
            <v>41378</v>
          </cell>
          <cell r="J1071">
            <v>0</v>
          </cell>
          <cell r="W1071">
            <v>0</v>
          </cell>
          <cell r="AA1071">
            <v>200</v>
          </cell>
          <cell r="AJ1071">
            <v>200</v>
          </cell>
          <cell r="AW1071">
            <v>0</v>
          </cell>
        </row>
        <row r="1072">
          <cell r="B1072">
            <v>4675</v>
          </cell>
          <cell r="C1072" t="str">
            <v>EZ_61_</v>
          </cell>
          <cell r="D1072" t="str">
            <v>Rancho Estanzuela No. 61</v>
          </cell>
          <cell r="E1072" t="str">
            <v>González Almazán</v>
          </cell>
          <cell r="F1072">
            <v>300</v>
          </cell>
          <cell r="G1072">
            <v>1</v>
          </cell>
          <cell r="H1072">
            <v>300</v>
          </cell>
          <cell r="I1072">
            <v>41378</v>
          </cell>
          <cell r="J1072">
            <v>0</v>
          </cell>
          <cell r="W1072">
            <v>0</v>
          </cell>
          <cell r="AA1072">
            <v>300</v>
          </cell>
          <cell r="AJ1072">
            <v>300</v>
          </cell>
          <cell r="AW1072">
            <v>0</v>
          </cell>
        </row>
        <row r="1073">
          <cell r="B1073">
            <v>4676</v>
          </cell>
          <cell r="C1073" t="str">
            <v>UP_136_</v>
          </cell>
          <cell r="D1073" t="str">
            <v>Rancho Upácuaro No. 136</v>
          </cell>
          <cell r="E1073" t="str">
            <v>López Lena</v>
          </cell>
          <cell r="F1073">
            <v>300</v>
          </cell>
          <cell r="G1073">
            <v>1</v>
          </cell>
          <cell r="H1073">
            <v>300</v>
          </cell>
          <cell r="I1073">
            <v>41378</v>
          </cell>
          <cell r="J1073">
            <v>0</v>
          </cell>
          <cell r="W1073">
            <v>0</v>
          </cell>
          <cell r="AA1073">
            <v>300</v>
          </cell>
          <cell r="AJ1073">
            <v>300</v>
          </cell>
          <cell r="AW1073">
            <v>0</v>
          </cell>
        </row>
        <row r="1074">
          <cell r="B1074">
            <v>4677</v>
          </cell>
          <cell r="C1074" t="str">
            <v>RM_10_A</v>
          </cell>
          <cell r="D1074" t="str">
            <v>Rancho Romeral No. 10, A</v>
          </cell>
          <cell r="E1074" t="str">
            <v>Casillas Álvarez</v>
          </cell>
          <cell r="F1074">
            <v>150</v>
          </cell>
          <cell r="G1074">
            <v>1</v>
          </cell>
          <cell r="H1074">
            <v>150</v>
          </cell>
          <cell r="I1074">
            <v>41378</v>
          </cell>
          <cell r="J1074">
            <v>0</v>
          </cell>
          <cell r="W1074">
            <v>0</v>
          </cell>
          <cell r="AB1074">
            <v>150</v>
          </cell>
          <cell r="AJ1074">
            <v>150</v>
          </cell>
          <cell r="AW1074">
            <v>0</v>
          </cell>
        </row>
        <row r="1075">
          <cell r="B1075">
            <v>4678</v>
          </cell>
          <cell r="C1075" t="str">
            <v>UP_96_</v>
          </cell>
          <cell r="D1075" t="str">
            <v>Rancho Upácuaro No. 96</v>
          </cell>
          <cell r="E1075" t="str">
            <v>Daza Gutiérrez</v>
          </cell>
          <cell r="F1075">
            <v>300</v>
          </cell>
          <cell r="G1075">
            <v>1</v>
          </cell>
          <cell r="H1075">
            <v>300</v>
          </cell>
          <cell r="I1075">
            <v>41378</v>
          </cell>
          <cell r="J1075">
            <v>0</v>
          </cell>
          <cell r="W1075">
            <v>0</v>
          </cell>
          <cell r="AA1075">
            <v>300</v>
          </cell>
          <cell r="AJ1075">
            <v>300</v>
          </cell>
          <cell r="AW1075">
            <v>0</v>
          </cell>
        </row>
        <row r="1076">
          <cell r="B1076">
            <v>4679</v>
          </cell>
          <cell r="C1076" t="str">
            <v>LD_25_</v>
          </cell>
          <cell r="D1076" t="str">
            <v>Rancho Landero No. 25</v>
          </cell>
          <cell r="E1076" t="str">
            <v>Escamilla Martínez</v>
          </cell>
          <cell r="F1076">
            <v>300</v>
          </cell>
          <cell r="G1076">
            <v>1</v>
          </cell>
          <cell r="H1076">
            <v>300</v>
          </cell>
          <cell r="I1076">
            <v>41378</v>
          </cell>
          <cell r="J1076">
            <v>0</v>
          </cell>
          <cell r="W1076">
            <v>0</v>
          </cell>
          <cell r="AA1076">
            <v>300</v>
          </cell>
          <cell r="AJ1076">
            <v>300</v>
          </cell>
          <cell r="AW1076">
            <v>0</v>
          </cell>
        </row>
        <row r="1077">
          <cell r="B1077">
            <v>4680</v>
          </cell>
          <cell r="C1077" t="str">
            <v>LD_76_</v>
          </cell>
          <cell r="D1077" t="str">
            <v>Rancho Landero No. 76</v>
          </cell>
          <cell r="E1077" t="str">
            <v>Ugarte</v>
          </cell>
          <cell r="F1077">
            <v>300</v>
          </cell>
          <cell r="G1077">
            <v>1</v>
          </cell>
          <cell r="H1077">
            <v>300</v>
          </cell>
          <cell r="I1077">
            <v>41378</v>
          </cell>
          <cell r="J1077">
            <v>0</v>
          </cell>
          <cell r="W1077">
            <v>0</v>
          </cell>
          <cell r="AA1077">
            <v>300</v>
          </cell>
          <cell r="AJ1077">
            <v>300</v>
          </cell>
          <cell r="AW1077">
            <v>0</v>
          </cell>
        </row>
        <row r="1078">
          <cell r="B1078">
            <v>4681</v>
          </cell>
          <cell r="C1078" t="str">
            <v>EZ_11_B</v>
          </cell>
          <cell r="D1078" t="str">
            <v>Rancho Estanzuela No. 11, B</v>
          </cell>
          <cell r="E1078" t="str">
            <v>Gómez Miguel</v>
          </cell>
          <cell r="F1078">
            <v>200</v>
          </cell>
          <cell r="G1078">
            <v>1</v>
          </cell>
          <cell r="H1078">
            <v>400</v>
          </cell>
          <cell r="I1078">
            <v>41378</v>
          </cell>
          <cell r="J1078">
            <v>0</v>
          </cell>
          <cell r="W1078">
            <v>0</v>
          </cell>
          <cell r="Z1078">
            <v>200</v>
          </cell>
          <cell r="AA1078">
            <v>200</v>
          </cell>
          <cell r="AJ1078">
            <v>400</v>
          </cell>
          <cell r="AW1078">
            <v>0</v>
          </cell>
        </row>
        <row r="1079">
          <cell r="B1079">
            <v>4682</v>
          </cell>
          <cell r="C1079" t="str">
            <v>UP_73_A</v>
          </cell>
          <cell r="D1079" t="str">
            <v>Rancho Upácuaro No. 73, A</v>
          </cell>
          <cell r="E1079" t="str">
            <v>Ortega</v>
          </cell>
          <cell r="F1079">
            <v>150</v>
          </cell>
          <cell r="G1079">
            <v>1</v>
          </cell>
          <cell r="H1079">
            <v>150</v>
          </cell>
          <cell r="I1079">
            <v>41378</v>
          </cell>
          <cell r="J1079">
            <v>0</v>
          </cell>
          <cell r="W1079">
            <v>0</v>
          </cell>
          <cell r="Z1079">
            <v>150</v>
          </cell>
          <cell r="AJ1079">
            <v>150</v>
          </cell>
          <cell r="AW1079">
            <v>0</v>
          </cell>
        </row>
        <row r="1080">
          <cell r="B1080">
            <v>4683</v>
          </cell>
          <cell r="C1080" t="str">
            <v>UP_65_</v>
          </cell>
          <cell r="D1080" t="str">
            <v>Rancho Upácuaro No. 65</v>
          </cell>
          <cell r="E1080" t="str">
            <v>Olguín</v>
          </cell>
          <cell r="F1080">
            <v>300</v>
          </cell>
          <cell r="G1080">
            <v>1</v>
          </cell>
          <cell r="H1080">
            <v>600</v>
          </cell>
          <cell r="I1080">
            <v>41380</v>
          </cell>
          <cell r="J1080">
            <v>0</v>
          </cell>
          <cell r="W1080">
            <v>0</v>
          </cell>
          <cell r="Z1080">
            <v>300</v>
          </cell>
          <cell r="AA1080">
            <v>300</v>
          </cell>
          <cell r="AJ1080">
            <v>600</v>
          </cell>
          <cell r="AW1080">
            <v>0</v>
          </cell>
        </row>
        <row r="1081">
          <cell r="B1081">
            <v>4684</v>
          </cell>
          <cell r="C1081" t="str">
            <v>CL_107_</v>
          </cell>
          <cell r="D1081" t="str">
            <v>Rancho La Cuchilla No. 107</v>
          </cell>
          <cell r="E1081" t="str">
            <v>Olivares Rivera</v>
          </cell>
          <cell r="F1081">
            <v>300</v>
          </cell>
          <cell r="G1081">
            <v>1</v>
          </cell>
          <cell r="H1081">
            <v>300</v>
          </cell>
          <cell r="I1081">
            <v>41378</v>
          </cell>
          <cell r="J1081">
            <v>0</v>
          </cell>
          <cell r="W1081">
            <v>0</v>
          </cell>
          <cell r="AA1081">
            <v>300</v>
          </cell>
          <cell r="AJ1081">
            <v>300</v>
          </cell>
          <cell r="AW1081">
            <v>0</v>
          </cell>
        </row>
        <row r="1082">
          <cell r="B1082">
            <v>4685</v>
          </cell>
          <cell r="C1082" t="str">
            <v>EZ_57_</v>
          </cell>
          <cell r="D1082" t="str">
            <v>Rancho Estanzuela No. 57</v>
          </cell>
          <cell r="E1082" t="str">
            <v>Olivares</v>
          </cell>
          <cell r="F1082">
            <v>300</v>
          </cell>
          <cell r="G1082">
            <v>1</v>
          </cell>
          <cell r="H1082">
            <v>900</v>
          </cell>
          <cell r="I1082">
            <v>41378</v>
          </cell>
          <cell r="J1082">
            <v>0</v>
          </cell>
          <cell r="W1082">
            <v>0</v>
          </cell>
          <cell r="X1082">
            <v>300</v>
          </cell>
          <cell r="Y1082">
            <v>300</v>
          </cell>
          <cell r="Z1082">
            <v>300</v>
          </cell>
          <cell r="AJ1082">
            <v>900</v>
          </cell>
          <cell r="AW1082">
            <v>0</v>
          </cell>
        </row>
        <row r="1083">
          <cell r="B1083">
            <v>4686</v>
          </cell>
          <cell r="C1083" t="str">
            <v>CL_35_</v>
          </cell>
          <cell r="D1083" t="str">
            <v>Rancho La Cuchilla No. 35</v>
          </cell>
          <cell r="E1083" t="str">
            <v>Mendoza</v>
          </cell>
          <cell r="F1083">
            <v>150</v>
          </cell>
          <cell r="G1083">
            <v>1</v>
          </cell>
          <cell r="H1083">
            <v>450</v>
          </cell>
          <cell r="I1083">
            <v>41378</v>
          </cell>
          <cell r="J1083">
            <v>0</v>
          </cell>
          <cell r="W1083">
            <v>0</v>
          </cell>
          <cell r="X1083">
            <v>150</v>
          </cell>
          <cell r="Y1083">
            <v>150</v>
          </cell>
          <cell r="Z1083">
            <v>150</v>
          </cell>
          <cell r="AJ1083">
            <v>450</v>
          </cell>
          <cell r="AW1083">
            <v>0</v>
          </cell>
        </row>
        <row r="1084">
          <cell r="B1084">
            <v>4687</v>
          </cell>
          <cell r="C1084" t="str">
            <v>CL_73_</v>
          </cell>
          <cell r="D1084" t="str">
            <v>Rancho La Cuchilla No. 73</v>
          </cell>
          <cell r="E1084" t="str">
            <v>Cooper</v>
          </cell>
          <cell r="F1084">
            <v>300</v>
          </cell>
          <cell r="G1084">
            <v>1</v>
          </cell>
          <cell r="H1084">
            <v>600</v>
          </cell>
          <cell r="I1084">
            <v>41378</v>
          </cell>
          <cell r="J1084">
            <v>0</v>
          </cell>
          <cell r="W1084">
            <v>0</v>
          </cell>
          <cell r="AA1084">
            <v>300</v>
          </cell>
          <cell r="AB1084">
            <v>300</v>
          </cell>
          <cell r="AJ1084">
            <v>600</v>
          </cell>
          <cell r="AW1084">
            <v>0</v>
          </cell>
        </row>
        <row r="1085">
          <cell r="B1085">
            <v>4688</v>
          </cell>
          <cell r="C1085" t="str">
            <v>CL_82_</v>
          </cell>
          <cell r="D1085" t="str">
            <v>Rancho La Cuchilla No. 82</v>
          </cell>
          <cell r="E1085" t="str">
            <v>Cruz</v>
          </cell>
          <cell r="F1085">
            <v>300</v>
          </cell>
          <cell r="G1085">
            <v>1</v>
          </cell>
          <cell r="H1085">
            <v>600</v>
          </cell>
          <cell r="I1085">
            <v>41378</v>
          </cell>
          <cell r="J1085">
            <v>0</v>
          </cell>
          <cell r="W1085">
            <v>0</v>
          </cell>
          <cell r="Z1085">
            <v>300</v>
          </cell>
          <cell r="AA1085">
            <v>300</v>
          </cell>
          <cell r="AJ1085">
            <v>600</v>
          </cell>
          <cell r="AW1085">
            <v>0</v>
          </cell>
        </row>
        <row r="1086">
          <cell r="B1086">
            <v>4689</v>
          </cell>
          <cell r="C1086" t="str">
            <v>CL_93_</v>
          </cell>
          <cell r="D1086" t="str">
            <v>Rancho La Cuchilla No. 93</v>
          </cell>
          <cell r="E1086" t="str">
            <v>Alcántara Silva</v>
          </cell>
          <cell r="F1086">
            <v>150</v>
          </cell>
          <cell r="G1086">
            <v>1</v>
          </cell>
          <cell r="H1086">
            <v>150</v>
          </cell>
          <cell r="I1086">
            <v>41378</v>
          </cell>
          <cell r="J1086">
            <v>0</v>
          </cell>
          <cell r="W1086">
            <v>0</v>
          </cell>
          <cell r="AA1086">
            <v>150</v>
          </cell>
          <cell r="AJ1086">
            <v>150</v>
          </cell>
          <cell r="AW1086">
            <v>0</v>
          </cell>
        </row>
        <row r="1087">
          <cell r="B1087">
            <v>4690</v>
          </cell>
          <cell r="C1087" t="str">
            <v>LD_30_</v>
          </cell>
          <cell r="D1087" t="str">
            <v>Rancho Landero No. 30</v>
          </cell>
          <cell r="E1087" t="str">
            <v>Torres Guzmán</v>
          </cell>
          <cell r="F1087">
            <v>300</v>
          </cell>
          <cell r="G1087">
            <v>1</v>
          </cell>
          <cell r="H1087">
            <v>600</v>
          </cell>
          <cell r="I1087">
            <v>41378</v>
          </cell>
          <cell r="J1087">
            <v>0</v>
          </cell>
          <cell r="W1087">
            <v>0</v>
          </cell>
          <cell r="AA1087">
            <v>300</v>
          </cell>
          <cell r="AB1087">
            <v>300</v>
          </cell>
          <cell r="AJ1087">
            <v>600</v>
          </cell>
          <cell r="AW1087">
            <v>0</v>
          </cell>
        </row>
        <row r="1088">
          <cell r="B1088">
            <v>4691</v>
          </cell>
          <cell r="C1088" t="str">
            <v>LD_26_</v>
          </cell>
          <cell r="D1088" t="str">
            <v>Rancho Landero No. 26</v>
          </cell>
          <cell r="E1088" t="str">
            <v>Balderas Martínez</v>
          </cell>
          <cell r="F1088">
            <v>200</v>
          </cell>
          <cell r="G1088">
            <v>1</v>
          </cell>
          <cell r="H1088">
            <v>600</v>
          </cell>
          <cell r="I1088">
            <v>41378</v>
          </cell>
          <cell r="J1088">
            <v>0</v>
          </cell>
          <cell r="W1088">
            <v>0</v>
          </cell>
          <cell r="X1088">
            <v>200</v>
          </cell>
          <cell r="Y1088">
            <v>200</v>
          </cell>
          <cell r="Z1088">
            <v>200</v>
          </cell>
          <cell r="AJ1088">
            <v>600</v>
          </cell>
          <cell r="AW1088">
            <v>0</v>
          </cell>
        </row>
        <row r="1089">
          <cell r="B1089">
            <v>4692</v>
          </cell>
          <cell r="C1089" t="str">
            <v>ZB_42_</v>
          </cell>
          <cell r="D1089" t="str">
            <v>Rancho Zinamba No. 42</v>
          </cell>
          <cell r="E1089" t="str">
            <v>López Aldave</v>
          </cell>
          <cell r="F1089">
            <v>250</v>
          </cell>
          <cell r="G1089">
            <v>1</v>
          </cell>
          <cell r="H1089">
            <v>750</v>
          </cell>
          <cell r="I1089">
            <v>41378</v>
          </cell>
          <cell r="J1089">
            <v>0</v>
          </cell>
          <cell r="W1089">
            <v>0</v>
          </cell>
          <cell r="Y1089">
            <v>250</v>
          </cell>
          <cell r="Z1089">
            <v>250</v>
          </cell>
          <cell r="AA1089">
            <v>250</v>
          </cell>
          <cell r="AJ1089">
            <v>750</v>
          </cell>
          <cell r="AW1089">
            <v>0</v>
          </cell>
        </row>
        <row r="1090">
          <cell r="B1090">
            <v>4693</v>
          </cell>
          <cell r="C1090" t="str">
            <v>EZ_55_</v>
          </cell>
          <cell r="D1090" t="str">
            <v>Rancho Estanzuela No. 55</v>
          </cell>
          <cell r="E1090" t="str">
            <v>Rodríguez Acevedo</v>
          </cell>
          <cell r="F1090">
            <v>300</v>
          </cell>
          <cell r="G1090">
            <v>1</v>
          </cell>
          <cell r="H1090">
            <v>300</v>
          </cell>
          <cell r="I1090">
            <v>41378</v>
          </cell>
          <cell r="J1090">
            <v>0</v>
          </cell>
          <cell r="W1090">
            <v>0</v>
          </cell>
          <cell r="AA1090">
            <v>300</v>
          </cell>
          <cell r="AJ1090">
            <v>300</v>
          </cell>
          <cell r="AW1090">
            <v>0</v>
          </cell>
        </row>
        <row r="1091">
          <cell r="B1091">
            <v>4694</v>
          </cell>
          <cell r="C1091" t="str">
            <v>EZ_69_</v>
          </cell>
          <cell r="D1091" t="str">
            <v>Rancho Estanzuela No. 69</v>
          </cell>
          <cell r="E1091" t="str">
            <v>Apaez</v>
          </cell>
          <cell r="F1091">
            <v>300</v>
          </cell>
          <cell r="G1091">
            <v>1</v>
          </cell>
          <cell r="H1091">
            <v>300</v>
          </cell>
          <cell r="I1091">
            <v>41378</v>
          </cell>
          <cell r="J1091">
            <v>0</v>
          </cell>
          <cell r="W1091">
            <v>0</v>
          </cell>
          <cell r="AA1091">
            <v>300</v>
          </cell>
          <cell r="AJ1091">
            <v>300</v>
          </cell>
          <cell r="AW1091">
            <v>0</v>
          </cell>
        </row>
        <row r="1092">
          <cell r="B1092">
            <v>4695</v>
          </cell>
          <cell r="C1092" t="str">
            <v>EZ_133_B</v>
          </cell>
          <cell r="D1092" t="str">
            <v>Rancho Estanzuela No. 133, B</v>
          </cell>
          <cell r="E1092" t="str">
            <v>Hernández Salazar</v>
          </cell>
          <cell r="F1092">
            <v>250</v>
          </cell>
          <cell r="G1092">
            <v>1</v>
          </cell>
          <cell r="H1092">
            <v>500</v>
          </cell>
          <cell r="I1092">
            <v>41378</v>
          </cell>
          <cell r="J1092">
            <v>0</v>
          </cell>
          <cell r="W1092">
            <v>0</v>
          </cell>
          <cell r="Y1092">
            <v>250</v>
          </cell>
          <cell r="Z1092">
            <v>250</v>
          </cell>
          <cell r="AJ1092">
            <v>500</v>
          </cell>
          <cell r="AW1092">
            <v>0</v>
          </cell>
        </row>
        <row r="1093">
          <cell r="B1093">
            <v>4696</v>
          </cell>
          <cell r="C1093" t="str">
            <v>RV_1_</v>
          </cell>
          <cell r="D1093" t="str">
            <v>Rancho Recoveco No. 1</v>
          </cell>
          <cell r="E1093" t="str">
            <v>Díaz</v>
          </cell>
          <cell r="F1093">
            <v>300</v>
          </cell>
          <cell r="G1093">
            <v>1</v>
          </cell>
          <cell r="H1093">
            <v>300</v>
          </cell>
          <cell r="I1093">
            <v>41378</v>
          </cell>
          <cell r="J1093">
            <v>0</v>
          </cell>
          <cell r="W1093">
            <v>0</v>
          </cell>
          <cell r="AA1093">
            <v>300</v>
          </cell>
          <cell r="AJ1093">
            <v>300</v>
          </cell>
          <cell r="AW1093">
            <v>0</v>
          </cell>
        </row>
        <row r="1094">
          <cell r="B1094">
            <v>4697</v>
          </cell>
          <cell r="C1094" t="str">
            <v>LD_94_</v>
          </cell>
          <cell r="D1094" t="str">
            <v>Rancho Landero No. 94</v>
          </cell>
          <cell r="E1094" t="str">
            <v>Medina</v>
          </cell>
          <cell r="F1094">
            <v>150</v>
          </cell>
          <cell r="G1094">
            <v>1</v>
          </cell>
          <cell r="H1094">
            <v>300</v>
          </cell>
          <cell r="I1094">
            <v>41378</v>
          </cell>
          <cell r="J1094">
            <v>0</v>
          </cell>
          <cell r="W1094">
            <v>0</v>
          </cell>
          <cell r="X1094">
            <v>150</v>
          </cell>
          <cell r="Y1094">
            <v>150</v>
          </cell>
          <cell r="AJ1094">
            <v>300</v>
          </cell>
          <cell r="AW1094">
            <v>0</v>
          </cell>
        </row>
        <row r="1095">
          <cell r="B1095">
            <v>4698</v>
          </cell>
          <cell r="C1095" t="str">
            <v>LD_21_</v>
          </cell>
          <cell r="D1095" t="str">
            <v>Rancho Landero No. 21</v>
          </cell>
          <cell r="E1095" t="str">
            <v>Meza</v>
          </cell>
          <cell r="F1095">
            <v>300</v>
          </cell>
          <cell r="G1095">
            <v>1</v>
          </cell>
          <cell r="H1095">
            <v>300</v>
          </cell>
          <cell r="I1095">
            <v>41378</v>
          </cell>
          <cell r="J1095">
            <v>0</v>
          </cell>
          <cell r="W1095">
            <v>0</v>
          </cell>
          <cell r="AA1095">
            <v>300</v>
          </cell>
          <cell r="AJ1095">
            <v>300</v>
          </cell>
          <cell r="AW1095">
            <v>0</v>
          </cell>
        </row>
        <row r="1096">
          <cell r="B1096">
            <v>4699</v>
          </cell>
          <cell r="C1096" t="str">
            <v>CL_111_</v>
          </cell>
          <cell r="D1096" t="str">
            <v>Rancho La Cuchilla No. 111</v>
          </cell>
          <cell r="E1096" t="str">
            <v>García Santos O.</v>
          </cell>
          <cell r="F1096">
            <v>150</v>
          </cell>
          <cell r="G1096">
            <v>1</v>
          </cell>
          <cell r="H1096">
            <v>150</v>
          </cell>
          <cell r="I1096">
            <v>41378</v>
          </cell>
          <cell r="J1096">
            <v>0</v>
          </cell>
          <cell r="W1096">
            <v>0</v>
          </cell>
          <cell r="AA1096">
            <v>150</v>
          </cell>
          <cell r="AJ1096">
            <v>150</v>
          </cell>
          <cell r="AW1096">
            <v>0</v>
          </cell>
        </row>
        <row r="1097">
          <cell r="B1097">
            <v>4700</v>
          </cell>
          <cell r="C1097" t="str">
            <v>LD_51_</v>
          </cell>
          <cell r="D1097" t="str">
            <v>Rancho Landero No. 51</v>
          </cell>
          <cell r="E1097" t="str">
            <v>H. Robles Tamayo</v>
          </cell>
          <cell r="F1097">
            <v>300</v>
          </cell>
          <cell r="G1097">
            <v>1</v>
          </cell>
          <cell r="H1097">
            <v>300</v>
          </cell>
          <cell r="I1097">
            <v>41378</v>
          </cell>
          <cell r="J1097">
            <v>0</v>
          </cell>
          <cell r="W1097">
            <v>0</v>
          </cell>
          <cell r="AA1097">
            <v>300</v>
          </cell>
          <cell r="AJ1097">
            <v>300</v>
          </cell>
          <cell r="AW1097">
            <v>0</v>
          </cell>
        </row>
        <row r="1098">
          <cell r="B1098">
            <v>4701</v>
          </cell>
          <cell r="C1098" t="str">
            <v>RV_175_0</v>
          </cell>
          <cell r="D1098" t="str">
            <v>Rancho Recoveco No. 175</v>
          </cell>
          <cell r="E1098" t="str">
            <v>Ramírez</v>
          </cell>
          <cell r="F1098">
            <v>300</v>
          </cell>
          <cell r="G1098">
            <v>1</v>
          </cell>
          <cell r="H1098">
            <v>300</v>
          </cell>
          <cell r="I1098">
            <v>41378</v>
          </cell>
          <cell r="J1098">
            <v>0</v>
          </cell>
          <cell r="W1098">
            <v>0</v>
          </cell>
          <cell r="AA1098">
            <v>300</v>
          </cell>
          <cell r="AJ1098">
            <v>300</v>
          </cell>
          <cell r="AW1098">
            <v>0</v>
          </cell>
        </row>
        <row r="1099">
          <cell r="B1099">
            <v>4702</v>
          </cell>
          <cell r="C1099" t="str">
            <v>EZ_91_</v>
          </cell>
          <cell r="D1099" t="str">
            <v>Rancho Estanzuela No. 91</v>
          </cell>
          <cell r="E1099" t="str">
            <v>Lobato Torres</v>
          </cell>
          <cell r="F1099">
            <v>300</v>
          </cell>
          <cell r="G1099">
            <v>1</v>
          </cell>
          <cell r="H1099">
            <v>300</v>
          </cell>
          <cell r="I1099">
            <v>41378</v>
          </cell>
          <cell r="J1099">
            <v>0</v>
          </cell>
          <cell r="W1099">
            <v>0</v>
          </cell>
          <cell r="AA1099">
            <v>300</v>
          </cell>
          <cell r="AJ1099">
            <v>300</v>
          </cell>
          <cell r="AW1099">
            <v>0</v>
          </cell>
        </row>
        <row r="1100">
          <cell r="B1100">
            <v>4703</v>
          </cell>
          <cell r="C1100" t="str">
            <v>UP_130_</v>
          </cell>
          <cell r="D1100" t="str">
            <v>Rancho Upácuaro No. 130</v>
          </cell>
          <cell r="E1100" t="str">
            <v>Rodríguez Álvarez</v>
          </cell>
          <cell r="F1100">
            <v>150</v>
          </cell>
          <cell r="G1100">
            <v>1</v>
          </cell>
          <cell r="H1100">
            <v>300</v>
          </cell>
          <cell r="I1100">
            <v>41378</v>
          </cell>
          <cell r="J1100">
            <v>0</v>
          </cell>
          <cell r="W1100">
            <v>0</v>
          </cell>
          <cell r="Z1100">
            <v>150</v>
          </cell>
          <cell r="AA1100">
            <v>150</v>
          </cell>
          <cell r="AJ1100">
            <v>300</v>
          </cell>
          <cell r="AW1100">
            <v>0</v>
          </cell>
        </row>
        <row r="1101">
          <cell r="B1101">
            <v>4704</v>
          </cell>
          <cell r="C1101" t="str">
            <v>UP_130_</v>
          </cell>
          <cell r="D1101" t="str">
            <v>Rancho Upácuaro No. 130</v>
          </cell>
          <cell r="E1101" t="str">
            <v>Rodríguez Álvarez</v>
          </cell>
          <cell r="F1101">
            <v>150</v>
          </cell>
          <cell r="G1101">
            <v>5</v>
          </cell>
          <cell r="H1101">
            <v>20</v>
          </cell>
          <cell r="I1101">
            <v>41378</v>
          </cell>
          <cell r="J1101" t="str">
            <v>NO SUMA</v>
          </cell>
          <cell r="W1101">
            <v>0</v>
          </cell>
          <cell r="AJ1101">
            <v>0</v>
          </cell>
          <cell r="AW1101">
            <v>0</v>
          </cell>
        </row>
        <row r="1102">
          <cell r="B1102">
            <v>4705</v>
          </cell>
          <cell r="C1102" t="str">
            <v>LD_99_</v>
          </cell>
          <cell r="D1102" t="str">
            <v>Rancho Landero No. 99</v>
          </cell>
          <cell r="E1102" t="str">
            <v>Rangel</v>
          </cell>
          <cell r="F1102">
            <v>300</v>
          </cell>
          <cell r="G1102">
            <v>1</v>
          </cell>
          <cell r="H1102">
            <v>300</v>
          </cell>
          <cell r="I1102">
            <v>41380</v>
          </cell>
          <cell r="J1102">
            <v>0</v>
          </cell>
          <cell r="W1102">
            <v>0</v>
          </cell>
          <cell r="Y1102">
            <v>300</v>
          </cell>
          <cell r="AJ1102">
            <v>300</v>
          </cell>
          <cell r="AW1102">
            <v>0</v>
          </cell>
        </row>
        <row r="1103">
          <cell r="B1103">
            <v>4706</v>
          </cell>
          <cell r="C1103" t="str">
            <v>EZ_47_</v>
          </cell>
          <cell r="D1103" t="str">
            <v>Rancho Estanzuela No. 47</v>
          </cell>
          <cell r="E1103" t="str">
            <v>Bussey García</v>
          </cell>
          <cell r="F1103">
            <v>300</v>
          </cell>
          <cell r="G1103">
            <v>1</v>
          </cell>
          <cell r="H1103">
            <v>300</v>
          </cell>
          <cell r="I1103">
            <v>41380</v>
          </cell>
          <cell r="J1103">
            <v>0</v>
          </cell>
          <cell r="W1103">
            <v>0</v>
          </cell>
          <cell r="AA1103">
            <v>300</v>
          </cell>
          <cell r="AJ1103">
            <v>300</v>
          </cell>
          <cell r="AW1103">
            <v>0</v>
          </cell>
        </row>
        <row r="1104">
          <cell r="B1104">
            <v>4707</v>
          </cell>
          <cell r="C1104" t="str">
            <v>EZ_161_1</v>
          </cell>
          <cell r="D1104" t="str">
            <v>Rancho Estanzuela No. 161, 1</v>
          </cell>
          <cell r="E1104" t="str">
            <v>Guevara</v>
          </cell>
          <cell r="F1104">
            <v>150</v>
          </cell>
          <cell r="G1104">
            <v>1</v>
          </cell>
          <cell r="H1104">
            <v>150</v>
          </cell>
          <cell r="I1104">
            <v>41380</v>
          </cell>
          <cell r="J1104">
            <v>0</v>
          </cell>
          <cell r="W1104">
            <v>0</v>
          </cell>
          <cell r="AA1104">
            <v>150</v>
          </cell>
          <cell r="AJ1104">
            <v>150</v>
          </cell>
          <cell r="AW1104">
            <v>0</v>
          </cell>
        </row>
        <row r="1105">
          <cell r="B1105">
            <v>4708</v>
          </cell>
          <cell r="C1105" t="str">
            <v>CL_36_</v>
          </cell>
          <cell r="D1105" t="str">
            <v>Rancho La Cuchilla No. 36</v>
          </cell>
          <cell r="E1105" t="str">
            <v>Castillo</v>
          </cell>
          <cell r="F1105">
            <v>300</v>
          </cell>
          <cell r="G1105">
            <v>1</v>
          </cell>
          <cell r="H1105">
            <v>300</v>
          </cell>
          <cell r="I1105">
            <v>41380</v>
          </cell>
          <cell r="J1105">
            <v>0</v>
          </cell>
          <cell r="W1105">
            <v>0</v>
          </cell>
          <cell r="AA1105">
            <v>300</v>
          </cell>
          <cell r="AJ1105">
            <v>300</v>
          </cell>
          <cell r="AW1105">
            <v>0</v>
          </cell>
        </row>
        <row r="1106">
          <cell r="B1106">
            <v>4709</v>
          </cell>
          <cell r="C1106" t="str">
            <v>UP_116_</v>
          </cell>
          <cell r="D1106" t="str">
            <v>Rancho Upácuaro No. 116</v>
          </cell>
          <cell r="E1106" t="str">
            <v>García Zamudio</v>
          </cell>
          <cell r="F1106">
            <v>300</v>
          </cell>
          <cell r="G1106">
            <v>1</v>
          </cell>
          <cell r="H1106">
            <v>600</v>
          </cell>
          <cell r="I1106">
            <v>41378</v>
          </cell>
          <cell r="J1106">
            <v>0</v>
          </cell>
          <cell r="W1106">
            <v>0</v>
          </cell>
          <cell r="Z1106">
            <v>300</v>
          </cell>
          <cell r="AA1106">
            <v>300</v>
          </cell>
          <cell r="AJ1106">
            <v>600</v>
          </cell>
          <cell r="AW1106">
            <v>0</v>
          </cell>
        </row>
        <row r="1107">
          <cell r="B1107">
            <v>4710</v>
          </cell>
          <cell r="C1107" t="str">
            <v>ZB_50_</v>
          </cell>
          <cell r="D1107" t="str">
            <v>Rancho Zinamba No. 50</v>
          </cell>
          <cell r="E1107" t="str">
            <v>Del Castillo</v>
          </cell>
          <cell r="F1107">
            <v>300</v>
          </cell>
          <cell r="G1107">
            <v>1</v>
          </cell>
          <cell r="H1107">
            <v>300</v>
          </cell>
          <cell r="I1107">
            <v>41378</v>
          </cell>
          <cell r="J1107">
            <v>0</v>
          </cell>
          <cell r="W1107">
            <v>0</v>
          </cell>
          <cell r="Z1107">
            <v>300</v>
          </cell>
          <cell r="AJ1107">
            <v>300</v>
          </cell>
          <cell r="AW1107">
            <v>0</v>
          </cell>
        </row>
        <row r="1108">
          <cell r="B1108">
            <v>4711</v>
          </cell>
          <cell r="C1108" t="str">
            <v>LD_7_</v>
          </cell>
          <cell r="D1108" t="str">
            <v>Rancho Landero No. 7</v>
          </cell>
          <cell r="E1108" t="str">
            <v>Robles</v>
          </cell>
          <cell r="F1108">
            <v>150</v>
          </cell>
          <cell r="G1108">
            <v>1</v>
          </cell>
          <cell r="H1108">
            <v>150</v>
          </cell>
          <cell r="I1108">
            <v>41378</v>
          </cell>
          <cell r="J1108">
            <v>0</v>
          </cell>
          <cell r="W1108">
            <v>0</v>
          </cell>
          <cell r="AA1108">
            <v>150</v>
          </cell>
          <cell r="AJ1108">
            <v>150</v>
          </cell>
          <cell r="AW1108">
            <v>0</v>
          </cell>
        </row>
        <row r="1109">
          <cell r="B1109">
            <v>4712</v>
          </cell>
          <cell r="C1109" t="str">
            <v>UP_54_</v>
          </cell>
          <cell r="D1109" t="str">
            <v>Rancho Upácuaro No. 54</v>
          </cell>
          <cell r="E1109" t="str">
            <v>García Rueda</v>
          </cell>
          <cell r="F1109">
            <v>200</v>
          </cell>
          <cell r="G1109">
            <v>1</v>
          </cell>
          <cell r="H1109">
            <v>600</v>
          </cell>
          <cell r="I1109">
            <v>41378</v>
          </cell>
          <cell r="J1109">
            <v>0</v>
          </cell>
          <cell r="W1109">
            <v>0</v>
          </cell>
          <cell r="Z1109">
            <v>200</v>
          </cell>
          <cell r="AA1109">
            <v>200</v>
          </cell>
          <cell r="AB1109">
            <v>200</v>
          </cell>
          <cell r="AJ1109">
            <v>600</v>
          </cell>
          <cell r="AW1109">
            <v>0</v>
          </cell>
        </row>
        <row r="1110">
          <cell r="B1110">
            <v>4713</v>
          </cell>
          <cell r="C1110" t="str">
            <v>CL_92_</v>
          </cell>
          <cell r="D1110" t="str">
            <v>Rancho La Cuchilla No. 92</v>
          </cell>
          <cell r="E1110" t="str">
            <v>Cabrera</v>
          </cell>
          <cell r="F1110">
            <v>300</v>
          </cell>
          <cell r="G1110">
            <v>1</v>
          </cell>
          <cell r="H1110">
            <v>300</v>
          </cell>
          <cell r="I1110">
            <v>41378</v>
          </cell>
          <cell r="J1110">
            <v>0</v>
          </cell>
          <cell r="W1110">
            <v>0</v>
          </cell>
          <cell r="AA1110">
            <v>300</v>
          </cell>
          <cell r="AJ1110">
            <v>300</v>
          </cell>
          <cell r="AW1110">
            <v>0</v>
          </cell>
        </row>
        <row r="1111">
          <cell r="B1111">
            <v>4714</v>
          </cell>
          <cell r="C1111" t="str">
            <v>RV_175_A</v>
          </cell>
          <cell r="D1111" t="str">
            <v>Rancho Recoveco No. 175, A</v>
          </cell>
          <cell r="E1111" t="str">
            <v>Pérez</v>
          </cell>
          <cell r="F1111">
            <v>300</v>
          </cell>
          <cell r="G1111">
            <v>1</v>
          </cell>
          <cell r="H1111">
            <v>300</v>
          </cell>
          <cell r="I1111">
            <v>41378</v>
          </cell>
          <cell r="J1111">
            <v>0</v>
          </cell>
          <cell r="W1111">
            <v>0</v>
          </cell>
          <cell r="AA1111">
            <v>300</v>
          </cell>
          <cell r="AJ1111">
            <v>300</v>
          </cell>
          <cell r="AW1111">
            <v>0</v>
          </cell>
        </row>
        <row r="1112">
          <cell r="B1112">
            <v>4715</v>
          </cell>
          <cell r="C1112" t="str">
            <v>CL_110_</v>
          </cell>
          <cell r="D1112" t="str">
            <v>Rancho La Cuchilla No. 110</v>
          </cell>
          <cell r="E1112" t="str">
            <v>Domínguez C.</v>
          </cell>
          <cell r="F1112">
            <v>300</v>
          </cell>
          <cell r="G1112">
            <v>1</v>
          </cell>
          <cell r="H1112">
            <v>300</v>
          </cell>
          <cell r="I1112">
            <v>41378</v>
          </cell>
          <cell r="J1112">
            <v>0</v>
          </cell>
          <cell r="W1112">
            <v>0</v>
          </cell>
          <cell r="AA1112">
            <v>300</v>
          </cell>
          <cell r="AJ1112">
            <v>300</v>
          </cell>
          <cell r="AW1112">
            <v>0</v>
          </cell>
        </row>
        <row r="1113">
          <cell r="B1113">
            <v>4716</v>
          </cell>
          <cell r="C1113" t="str">
            <v>LD_101_</v>
          </cell>
          <cell r="D1113" t="str">
            <v>Rancho Landero No. 101</v>
          </cell>
          <cell r="E1113" t="str">
            <v>Ramírez</v>
          </cell>
          <cell r="F1113">
            <v>300</v>
          </cell>
          <cell r="G1113">
            <v>1</v>
          </cell>
          <cell r="H1113">
            <v>300</v>
          </cell>
          <cell r="I1113">
            <v>41378</v>
          </cell>
          <cell r="J1113">
            <v>0</v>
          </cell>
          <cell r="W1113">
            <v>0</v>
          </cell>
          <cell r="Z1113">
            <v>300</v>
          </cell>
          <cell r="AJ1113">
            <v>300</v>
          </cell>
          <cell r="AW1113">
            <v>0</v>
          </cell>
        </row>
        <row r="1114">
          <cell r="B1114">
            <v>4717</v>
          </cell>
          <cell r="C1114" t="str">
            <v>LD_12_</v>
          </cell>
          <cell r="D1114" t="str">
            <v>Rancho Landero No. 12</v>
          </cell>
          <cell r="E1114" t="str">
            <v>Guzmán Silva</v>
          </cell>
          <cell r="F1114">
            <v>300</v>
          </cell>
          <cell r="G1114">
            <v>1</v>
          </cell>
          <cell r="H1114">
            <v>1200</v>
          </cell>
          <cell r="I1114">
            <v>41378</v>
          </cell>
          <cell r="J1114">
            <v>0</v>
          </cell>
          <cell r="W1114">
            <v>0</v>
          </cell>
          <cell r="X1114">
            <v>300</v>
          </cell>
          <cell r="Y1114">
            <v>300</v>
          </cell>
          <cell r="Z1114">
            <v>300</v>
          </cell>
          <cell r="AA1114">
            <v>300</v>
          </cell>
          <cell r="AJ1114">
            <v>1200</v>
          </cell>
          <cell r="AW1114">
            <v>0</v>
          </cell>
        </row>
        <row r="1115">
          <cell r="B1115">
            <v>4718</v>
          </cell>
          <cell r="C1115" t="str">
            <v>CM_130_A</v>
          </cell>
          <cell r="D1115" t="str">
            <v>Rancho Estanzuela No. 130, A</v>
          </cell>
          <cell r="E1115" t="str">
            <v>Colegio Carmel</v>
          </cell>
          <cell r="F1115">
            <v>10000</v>
          </cell>
          <cell r="G1115">
            <v>3</v>
          </cell>
          <cell r="H1115">
            <v>640</v>
          </cell>
          <cell r="I1115">
            <v>41381</v>
          </cell>
          <cell r="J1115" t="str">
            <v>NO SUMA</v>
          </cell>
          <cell r="W1115">
            <v>0</v>
          </cell>
          <cell r="AJ1115">
            <v>0</v>
          </cell>
          <cell r="AW1115">
            <v>0</v>
          </cell>
        </row>
        <row r="1116">
          <cell r="B1116">
            <v>4719</v>
          </cell>
          <cell r="D1116" t="str">
            <v/>
          </cell>
          <cell r="E1116" t="str">
            <v/>
          </cell>
          <cell r="F1116" t="str">
            <v/>
          </cell>
          <cell r="G1116">
            <v>8</v>
          </cell>
          <cell r="I1116">
            <v>41381</v>
          </cell>
          <cell r="J1116" t="str">
            <v>NO SUMA</v>
          </cell>
          <cell r="W1116">
            <v>0</v>
          </cell>
          <cell r="AJ1116">
            <v>0</v>
          </cell>
          <cell r="AW1116">
            <v>0</v>
          </cell>
        </row>
        <row r="1117">
          <cell r="B1117">
            <v>4720</v>
          </cell>
          <cell r="C1117" t="str">
            <v>CL_32_</v>
          </cell>
          <cell r="D1117" t="str">
            <v>Rancho La Cuchilla No. 32</v>
          </cell>
          <cell r="E1117" t="str">
            <v>Hernández</v>
          </cell>
          <cell r="F1117">
            <v>300</v>
          </cell>
          <cell r="G1117">
            <v>3</v>
          </cell>
          <cell r="H1117">
            <v>150</v>
          </cell>
          <cell r="I1117">
            <v>41383</v>
          </cell>
          <cell r="J1117" t="str">
            <v>NO SUMA</v>
          </cell>
          <cell r="W1117">
            <v>0</v>
          </cell>
          <cell r="AJ1117">
            <v>0</v>
          </cell>
          <cell r="AW1117">
            <v>0</v>
          </cell>
        </row>
        <row r="1118">
          <cell r="B1118">
            <v>4721</v>
          </cell>
          <cell r="C1118" t="str">
            <v>RM_10_B</v>
          </cell>
          <cell r="D1118" t="str">
            <v>Rancho Romeral No. 10, B</v>
          </cell>
          <cell r="E1118" t="str">
            <v>López Castellano</v>
          </cell>
          <cell r="F1118">
            <v>300</v>
          </cell>
          <cell r="G1118">
            <v>1</v>
          </cell>
          <cell r="H1118">
            <v>600</v>
          </cell>
          <cell r="I1118">
            <v>41385</v>
          </cell>
          <cell r="J1118">
            <v>0</v>
          </cell>
          <cell r="W1118">
            <v>0</v>
          </cell>
          <cell r="Z1118">
            <v>300</v>
          </cell>
          <cell r="AA1118">
            <v>300</v>
          </cell>
          <cell r="AJ1118">
            <v>600</v>
          </cell>
          <cell r="AW1118">
            <v>0</v>
          </cell>
        </row>
        <row r="1119">
          <cell r="B1119">
            <v>4722</v>
          </cell>
          <cell r="C1119" t="str">
            <v>CL_139_</v>
          </cell>
          <cell r="D1119" t="str">
            <v>Rancho La Cuchilla No. 139</v>
          </cell>
          <cell r="E1119" t="str">
            <v>Gloria García</v>
          </cell>
          <cell r="F1119">
            <v>200</v>
          </cell>
          <cell r="G1119">
            <v>5</v>
          </cell>
          <cell r="H1119">
            <v>20</v>
          </cell>
          <cell r="I1119">
            <v>41385</v>
          </cell>
          <cell r="J1119" t="str">
            <v>NO SUMA</v>
          </cell>
          <cell r="W1119">
            <v>0</v>
          </cell>
          <cell r="AJ1119">
            <v>0</v>
          </cell>
          <cell r="AW1119">
            <v>0</v>
          </cell>
        </row>
        <row r="1120">
          <cell r="B1120">
            <v>4723</v>
          </cell>
          <cell r="C1120" t="str">
            <v>LD_89_</v>
          </cell>
          <cell r="D1120" t="str">
            <v>Rancho Landero No. 89</v>
          </cell>
          <cell r="E1120" t="str">
            <v>Del Pozo Solís</v>
          </cell>
          <cell r="F1120">
            <v>300</v>
          </cell>
          <cell r="G1120">
            <v>1</v>
          </cell>
          <cell r="H1120">
            <v>600</v>
          </cell>
          <cell r="I1120">
            <v>41385</v>
          </cell>
          <cell r="J1120">
            <v>0</v>
          </cell>
          <cell r="W1120">
            <v>0</v>
          </cell>
          <cell r="AA1120">
            <v>300</v>
          </cell>
          <cell r="AB1120">
            <v>300</v>
          </cell>
          <cell r="AJ1120">
            <v>600</v>
          </cell>
          <cell r="AW1120">
            <v>0</v>
          </cell>
        </row>
        <row r="1121">
          <cell r="B1121">
            <v>4724</v>
          </cell>
          <cell r="C1121" t="str">
            <v>ZB_82_</v>
          </cell>
          <cell r="D1121" t="str">
            <v>Rancho Zinamba No. 82</v>
          </cell>
          <cell r="E1121" t="str">
            <v>Morán Carmona</v>
          </cell>
          <cell r="F1121">
            <v>150</v>
          </cell>
          <cell r="G1121">
            <v>1</v>
          </cell>
          <cell r="H1121">
            <v>450</v>
          </cell>
          <cell r="I1121">
            <v>41385</v>
          </cell>
          <cell r="J1121">
            <v>0</v>
          </cell>
          <cell r="W1121">
            <v>0</v>
          </cell>
          <cell r="X1121">
            <v>150</v>
          </cell>
          <cell r="Y1121">
            <v>150</v>
          </cell>
          <cell r="Z1121">
            <v>150</v>
          </cell>
          <cell r="AJ1121">
            <v>450</v>
          </cell>
          <cell r="AW1121">
            <v>0</v>
          </cell>
        </row>
        <row r="1122">
          <cell r="B1122">
            <v>4725</v>
          </cell>
          <cell r="C1122" t="str">
            <v>CL_41_</v>
          </cell>
          <cell r="D1122" t="str">
            <v>Rancho La Cuchilla No. 41</v>
          </cell>
          <cell r="E1122" t="str">
            <v>Arriaga Lemus</v>
          </cell>
          <cell r="F1122">
            <v>250</v>
          </cell>
          <cell r="G1122">
            <v>1</v>
          </cell>
          <cell r="H1122">
            <v>250</v>
          </cell>
          <cell r="I1122">
            <v>41385</v>
          </cell>
          <cell r="J1122">
            <v>0</v>
          </cell>
          <cell r="W1122">
            <v>0</v>
          </cell>
          <cell r="AA1122">
            <v>250</v>
          </cell>
          <cell r="AJ1122">
            <v>250</v>
          </cell>
          <cell r="AW1122">
            <v>0</v>
          </cell>
        </row>
        <row r="1123">
          <cell r="B1123">
            <v>4726</v>
          </cell>
          <cell r="C1123" t="str">
            <v>UP_49_</v>
          </cell>
          <cell r="D1123" t="str">
            <v>Rancho Upácuaro No. 49</v>
          </cell>
          <cell r="E1123" t="str">
            <v>Sánchez Romano</v>
          </cell>
          <cell r="F1123">
            <v>300</v>
          </cell>
          <cell r="G1123">
            <v>3</v>
          </cell>
          <cell r="H1123">
            <v>150</v>
          </cell>
          <cell r="I1123">
            <v>41385</v>
          </cell>
          <cell r="J1123" t="str">
            <v>NO SUMA</v>
          </cell>
          <cell r="W1123">
            <v>0</v>
          </cell>
          <cell r="AJ1123">
            <v>0</v>
          </cell>
          <cell r="AW1123">
            <v>0</v>
          </cell>
        </row>
        <row r="1124">
          <cell r="B1124">
            <v>4726</v>
          </cell>
          <cell r="C1124" t="str">
            <v>UP_49_</v>
          </cell>
          <cell r="D1124" t="str">
            <v>Rancho Upácuaro No. 49</v>
          </cell>
          <cell r="E1124" t="str">
            <v>Sánchez Romano</v>
          </cell>
          <cell r="F1124">
            <v>300</v>
          </cell>
          <cell r="G1124">
            <v>4</v>
          </cell>
          <cell r="H1124">
            <v>160</v>
          </cell>
          <cell r="I1124">
            <v>41385</v>
          </cell>
          <cell r="J1124" t="str">
            <v>NO SUMA</v>
          </cell>
          <cell r="W1124">
            <v>0</v>
          </cell>
          <cell r="AJ1124">
            <v>0</v>
          </cell>
          <cell r="AW1124">
            <v>0</v>
          </cell>
        </row>
        <row r="1125">
          <cell r="B1125">
            <v>4727</v>
          </cell>
          <cell r="C1125" t="str">
            <v>ZB_18_</v>
          </cell>
          <cell r="D1125" t="str">
            <v>Rancho Zinamba No. 18</v>
          </cell>
          <cell r="E1125" t="str">
            <v>Hernández Castro</v>
          </cell>
          <cell r="F1125">
            <v>300</v>
          </cell>
          <cell r="G1125">
            <v>1</v>
          </cell>
          <cell r="H1125">
            <v>600</v>
          </cell>
          <cell r="I1125">
            <v>41385</v>
          </cell>
          <cell r="J1125">
            <v>0</v>
          </cell>
          <cell r="W1125">
            <v>0</v>
          </cell>
          <cell r="Z1125">
            <v>300</v>
          </cell>
          <cell r="AA1125">
            <v>300</v>
          </cell>
          <cell r="AJ1125">
            <v>600</v>
          </cell>
          <cell r="AW1125">
            <v>0</v>
          </cell>
        </row>
        <row r="1126">
          <cell r="B1126">
            <v>4728</v>
          </cell>
          <cell r="C1126" t="str">
            <v>EZ_159_</v>
          </cell>
          <cell r="D1126" t="str">
            <v>Rancho Estanzuela No. 159</v>
          </cell>
          <cell r="E1126" t="str">
            <v>Reyes</v>
          </cell>
          <cell r="F1126">
            <v>250</v>
          </cell>
          <cell r="G1126">
            <v>1</v>
          </cell>
          <cell r="H1126">
            <v>250</v>
          </cell>
          <cell r="I1126">
            <v>41385</v>
          </cell>
          <cell r="J1126">
            <v>0</v>
          </cell>
          <cell r="W1126">
            <v>0</v>
          </cell>
          <cell r="AA1126">
            <v>250</v>
          </cell>
          <cell r="AJ1126">
            <v>250</v>
          </cell>
          <cell r="AW1126">
            <v>0</v>
          </cell>
        </row>
        <row r="1127">
          <cell r="B1127">
            <v>4729</v>
          </cell>
          <cell r="C1127" t="str">
            <v>LD_68_</v>
          </cell>
          <cell r="D1127" t="str">
            <v>Rancho Landero No. 68</v>
          </cell>
          <cell r="E1127" t="str">
            <v>Moreno</v>
          </cell>
          <cell r="F1127">
            <v>300</v>
          </cell>
          <cell r="G1127">
            <v>1</v>
          </cell>
          <cell r="H1127">
            <v>600</v>
          </cell>
          <cell r="I1127">
            <v>41385</v>
          </cell>
          <cell r="J1127">
            <v>0</v>
          </cell>
          <cell r="W1127">
            <v>0</v>
          </cell>
          <cell r="Z1127">
            <v>300</v>
          </cell>
          <cell r="AA1127">
            <v>300</v>
          </cell>
          <cell r="AJ1127">
            <v>600</v>
          </cell>
          <cell r="AW1127">
            <v>0</v>
          </cell>
        </row>
        <row r="1128">
          <cell r="B1128">
            <v>4730</v>
          </cell>
          <cell r="C1128" t="str">
            <v>UP_118_</v>
          </cell>
          <cell r="D1128" t="str">
            <v>Rancho Upácuaro No. 118</v>
          </cell>
          <cell r="E1128" t="str">
            <v>Siegrist</v>
          </cell>
          <cell r="F1128">
            <v>300</v>
          </cell>
          <cell r="G1128">
            <v>1</v>
          </cell>
          <cell r="H1128">
            <v>300</v>
          </cell>
          <cell r="I1128">
            <v>41385</v>
          </cell>
          <cell r="J1128">
            <v>0</v>
          </cell>
          <cell r="W1128">
            <v>0</v>
          </cell>
          <cell r="AA1128">
            <v>300</v>
          </cell>
          <cell r="AJ1128">
            <v>300</v>
          </cell>
          <cell r="AW1128">
            <v>0</v>
          </cell>
        </row>
        <row r="1129">
          <cell r="B1129">
            <v>4731</v>
          </cell>
          <cell r="C1129" t="str">
            <v>LD_101_</v>
          </cell>
          <cell r="D1129" t="str">
            <v>Rancho Landero No. 101</v>
          </cell>
          <cell r="E1129" t="str">
            <v>Ramírez</v>
          </cell>
          <cell r="F1129">
            <v>300</v>
          </cell>
          <cell r="G1129">
            <v>1</v>
          </cell>
          <cell r="H1129">
            <v>300</v>
          </cell>
          <cell r="I1129">
            <v>41385</v>
          </cell>
          <cell r="J1129">
            <v>0</v>
          </cell>
          <cell r="W1129">
            <v>0</v>
          </cell>
          <cell r="AA1129">
            <v>300</v>
          </cell>
          <cell r="AJ1129">
            <v>300</v>
          </cell>
          <cell r="AW1129">
            <v>0</v>
          </cell>
        </row>
        <row r="1130">
          <cell r="B1130">
            <v>4732</v>
          </cell>
          <cell r="C1130" t="str">
            <v>ZB_88_</v>
          </cell>
          <cell r="D1130" t="str">
            <v>Rancho Zinamba No. 88</v>
          </cell>
          <cell r="E1130" t="str">
            <v>Martínez</v>
          </cell>
          <cell r="F1130">
            <v>250</v>
          </cell>
          <cell r="G1130">
            <v>1</v>
          </cell>
          <cell r="H1130">
            <v>250</v>
          </cell>
          <cell r="I1130">
            <v>41385</v>
          </cell>
          <cell r="J1130">
            <v>0</v>
          </cell>
          <cell r="W1130">
            <v>0</v>
          </cell>
          <cell r="AA1130">
            <v>250</v>
          </cell>
          <cell r="AJ1130">
            <v>250</v>
          </cell>
          <cell r="AW1130">
            <v>0</v>
          </cell>
        </row>
        <row r="1131">
          <cell r="B1131">
            <v>4733</v>
          </cell>
          <cell r="C1131" t="str">
            <v>CL_7_101</v>
          </cell>
          <cell r="D1131" t="str">
            <v>Rancho La Cuchilla No. 7, 101</v>
          </cell>
          <cell r="E1131" t="str">
            <v>Olivares</v>
          </cell>
          <cell r="F1131">
            <v>100</v>
          </cell>
          <cell r="G1131">
            <v>1</v>
          </cell>
          <cell r="H1131">
            <v>300</v>
          </cell>
          <cell r="I1131">
            <v>41385</v>
          </cell>
          <cell r="J1131">
            <v>0</v>
          </cell>
          <cell r="W1131">
            <v>0</v>
          </cell>
          <cell r="Y1131">
            <v>100</v>
          </cell>
          <cell r="Z1131">
            <v>100</v>
          </cell>
          <cell r="AA1131">
            <v>100</v>
          </cell>
          <cell r="AJ1131">
            <v>300</v>
          </cell>
          <cell r="AW1131">
            <v>0</v>
          </cell>
        </row>
        <row r="1132">
          <cell r="B1132">
            <v>4734</v>
          </cell>
          <cell r="C1132" t="str">
            <v>RM_17_</v>
          </cell>
          <cell r="D1132" t="str">
            <v>Rancho Romeral No. 17</v>
          </cell>
          <cell r="E1132" t="str">
            <v>Aguilar Lomelí</v>
          </cell>
          <cell r="F1132">
            <v>300</v>
          </cell>
          <cell r="G1132">
            <v>1</v>
          </cell>
          <cell r="H1132">
            <v>300</v>
          </cell>
          <cell r="I1132">
            <v>41385</v>
          </cell>
          <cell r="J1132">
            <v>0</v>
          </cell>
          <cell r="W1132">
            <v>0</v>
          </cell>
          <cell r="Y1132">
            <v>300</v>
          </cell>
          <cell r="AJ1132">
            <v>300</v>
          </cell>
          <cell r="AW1132">
            <v>0</v>
          </cell>
        </row>
        <row r="1133">
          <cell r="B1133">
            <v>4735</v>
          </cell>
          <cell r="C1133" t="str">
            <v>UP_110_</v>
          </cell>
          <cell r="D1133" t="str">
            <v>Rancho Upácuaro No. 110</v>
          </cell>
          <cell r="E1133" t="str">
            <v>Ruiz Mijangos</v>
          </cell>
          <cell r="F1133">
            <v>300</v>
          </cell>
          <cell r="G1133">
            <v>1</v>
          </cell>
          <cell r="H1133">
            <v>300</v>
          </cell>
          <cell r="I1133">
            <v>41385</v>
          </cell>
          <cell r="J1133">
            <v>0</v>
          </cell>
          <cell r="W1133">
            <v>0</v>
          </cell>
          <cell r="AA1133">
            <v>300</v>
          </cell>
          <cell r="AJ1133">
            <v>300</v>
          </cell>
          <cell r="AW1133">
            <v>0</v>
          </cell>
        </row>
        <row r="1134">
          <cell r="B1134">
            <v>4736</v>
          </cell>
          <cell r="C1134" t="str">
            <v>EZ_151_</v>
          </cell>
          <cell r="D1134" t="str">
            <v>Rancho Estanzuela No. 151</v>
          </cell>
          <cell r="E1134" t="str">
            <v>Pérez Salazar</v>
          </cell>
          <cell r="F1134">
            <v>300</v>
          </cell>
          <cell r="G1134">
            <v>1</v>
          </cell>
          <cell r="H1134">
            <v>300</v>
          </cell>
          <cell r="I1134">
            <v>41385</v>
          </cell>
          <cell r="J1134">
            <v>0</v>
          </cell>
          <cell r="W1134">
            <v>0</v>
          </cell>
          <cell r="AA1134">
            <v>300</v>
          </cell>
          <cell r="AJ1134">
            <v>300</v>
          </cell>
          <cell r="AW1134">
            <v>0</v>
          </cell>
        </row>
        <row r="1135">
          <cell r="B1135">
            <v>4736</v>
          </cell>
          <cell r="C1135" t="str">
            <v>EZ_151_</v>
          </cell>
          <cell r="D1135" t="str">
            <v>Rancho Estanzuela No. 151</v>
          </cell>
          <cell r="E1135" t="str">
            <v>Pérez Salazar</v>
          </cell>
          <cell r="F1135">
            <v>300</v>
          </cell>
          <cell r="G1135">
            <v>4</v>
          </cell>
          <cell r="H1135">
            <v>160</v>
          </cell>
          <cell r="I1135">
            <v>41385</v>
          </cell>
          <cell r="J1135" t="str">
            <v>NO SUMA</v>
          </cell>
          <cell r="W1135">
            <v>0</v>
          </cell>
          <cell r="AJ1135">
            <v>0</v>
          </cell>
          <cell r="AW1135">
            <v>0</v>
          </cell>
        </row>
        <row r="1136">
          <cell r="B1136">
            <v>4737</v>
          </cell>
          <cell r="C1136" t="str">
            <v>EZ_115_</v>
          </cell>
          <cell r="D1136" t="str">
            <v>Rancho Estanzuela No. 115</v>
          </cell>
          <cell r="E1136" t="str">
            <v>Frías Solórzano</v>
          </cell>
          <cell r="F1136">
            <v>200</v>
          </cell>
          <cell r="G1136">
            <v>1</v>
          </cell>
          <cell r="H1136">
            <v>400</v>
          </cell>
          <cell r="I1136">
            <v>41385</v>
          </cell>
          <cell r="J1136">
            <v>0</v>
          </cell>
          <cell r="W1136">
            <v>0</v>
          </cell>
          <cell r="AA1136">
            <v>200</v>
          </cell>
          <cell r="AB1136">
            <v>200</v>
          </cell>
          <cell r="AJ1136">
            <v>400</v>
          </cell>
          <cell r="AW1136">
            <v>0</v>
          </cell>
        </row>
        <row r="1137">
          <cell r="B1137">
            <v>4738</v>
          </cell>
          <cell r="C1137" t="str">
            <v>UP_63_</v>
          </cell>
          <cell r="D1137" t="str">
            <v>Rancho Upácuaro No. 63</v>
          </cell>
          <cell r="E1137" t="str">
            <v>González Benavides</v>
          </cell>
          <cell r="F1137">
            <v>300</v>
          </cell>
          <cell r="G1137">
            <v>5</v>
          </cell>
          <cell r="H1137">
            <v>40</v>
          </cell>
          <cell r="I1137">
            <v>41385</v>
          </cell>
          <cell r="J1137" t="str">
            <v>NO SUMA</v>
          </cell>
          <cell r="W1137">
            <v>0</v>
          </cell>
          <cell r="AJ1137">
            <v>0</v>
          </cell>
          <cell r="AW1137">
            <v>0</v>
          </cell>
        </row>
        <row r="1138">
          <cell r="B1138">
            <v>4739</v>
          </cell>
          <cell r="C1138" t="str">
            <v>EP_18_</v>
          </cell>
          <cell r="D1138" t="str">
            <v>Rancho Estopila No. 18</v>
          </cell>
          <cell r="E1138" t="str">
            <v>Aguilar Zarmeño</v>
          </cell>
          <cell r="F1138">
            <v>300</v>
          </cell>
          <cell r="G1138">
            <v>1</v>
          </cell>
          <cell r="H1138">
            <v>600</v>
          </cell>
          <cell r="I1138">
            <v>41385</v>
          </cell>
          <cell r="J1138">
            <v>0</v>
          </cell>
          <cell r="W1138">
            <v>0</v>
          </cell>
          <cell r="AA1138">
            <v>300</v>
          </cell>
          <cell r="AB1138">
            <v>300</v>
          </cell>
          <cell r="AJ1138">
            <v>600</v>
          </cell>
          <cell r="AW1138">
            <v>0</v>
          </cell>
        </row>
        <row r="1139">
          <cell r="B1139">
            <v>4740</v>
          </cell>
          <cell r="C1139" t="str">
            <v>RV_197_</v>
          </cell>
          <cell r="D1139" t="str">
            <v>Rancho Recoveco No. 197</v>
          </cell>
          <cell r="E1139" t="str">
            <v>Colín González</v>
          </cell>
          <cell r="F1139">
            <v>300</v>
          </cell>
          <cell r="G1139">
            <v>1</v>
          </cell>
          <cell r="H1139">
            <v>300</v>
          </cell>
          <cell r="I1139">
            <v>41385</v>
          </cell>
          <cell r="J1139">
            <v>0</v>
          </cell>
          <cell r="W1139">
            <v>0</v>
          </cell>
          <cell r="AB1139">
            <v>300</v>
          </cell>
          <cell r="AJ1139">
            <v>300</v>
          </cell>
          <cell r="AW1139">
            <v>0</v>
          </cell>
        </row>
        <row r="1140">
          <cell r="B1140">
            <v>4741</v>
          </cell>
          <cell r="C1140" t="str">
            <v>LD_75_</v>
          </cell>
          <cell r="D1140" t="str">
            <v>Rancho Landero No. 75</v>
          </cell>
          <cell r="E1140" t="str">
            <v>Villaseñor Hernández</v>
          </cell>
          <cell r="F1140">
            <v>300</v>
          </cell>
          <cell r="G1140">
            <v>4</v>
          </cell>
          <cell r="H1140">
            <v>160</v>
          </cell>
          <cell r="I1140">
            <v>41385</v>
          </cell>
          <cell r="J1140" t="str">
            <v>NO SUMA</v>
          </cell>
          <cell r="W1140">
            <v>0</v>
          </cell>
          <cell r="AJ1140">
            <v>0</v>
          </cell>
          <cell r="AW1140">
            <v>0</v>
          </cell>
        </row>
        <row r="1141">
          <cell r="B1141">
            <v>4742</v>
          </cell>
          <cell r="C1141" t="str">
            <v>UP_94_</v>
          </cell>
          <cell r="D1141" t="str">
            <v>Rancho Upácuaro No. 94</v>
          </cell>
          <cell r="E1141" t="str">
            <v>Juárez Patiño</v>
          </cell>
          <cell r="F1141">
            <v>300</v>
          </cell>
          <cell r="G1141">
            <v>5</v>
          </cell>
          <cell r="H1141">
            <v>40</v>
          </cell>
          <cell r="I1141">
            <v>41385</v>
          </cell>
          <cell r="J1141" t="str">
            <v>NO SUMA</v>
          </cell>
          <cell r="W1141">
            <v>0</v>
          </cell>
          <cell r="AJ1141">
            <v>0</v>
          </cell>
          <cell r="AW1141">
            <v>0</v>
          </cell>
        </row>
        <row r="1142">
          <cell r="B1142">
            <v>4743</v>
          </cell>
          <cell r="C1142" t="str">
            <v>EZ_37_</v>
          </cell>
          <cell r="D1142" t="str">
            <v>Rancho Estanzuela No. 37</v>
          </cell>
          <cell r="E1142" t="str">
            <v>Cabello Eduardo</v>
          </cell>
          <cell r="F1142">
            <v>300</v>
          </cell>
          <cell r="G1142">
            <v>1</v>
          </cell>
          <cell r="H1142">
            <v>300</v>
          </cell>
          <cell r="I1142">
            <v>41385</v>
          </cell>
          <cell r="J1142">
            <v>0</v>
          </cell>
          <cell r="W1142">
            <v>0</v>
          </cell>
          <cell r="Z1142">
            <v>300</v>
          </cell>
          <cell r="AJ1142">
            <v>300</v>
          </cell>
          <cell r="AW1142">
            <v>0</v>
          </cell>
        </row>
        <row r="1143">
          <cell r="B1143">
            <v>4744</v>
          </cell>
          <cell r="C1143" t="str">
            <v>CL_66_</v>
          </cell>
          <cell r="D1143" t="str">
            <v>Rancho La Cuchilla No. 66</v>
          </cell>
          <cell r="E1143" t="str">
            <v>Prieto</v>
          </cell>
          <cell r="F1143">
            <v>300</v>
          </cell>
          <cell r="G1143">
            <v>1</v>
          </cell>
          <cell r="H1143">
            <v>300</v>
          </cell>
          <cell r="I1143">
            <v>41385</v>
          </cell>
          <cell r="J1143">
            <v>0</v>
          </cell>
          <cell r="W1143">
            <v>0</v>
          </cell>
          <cell r="AA1143">
            <v>300</v>
          </cell>
          <cell r="AJ1143">
            <v>300</v>
          </cell>
          <cell r="AW1143">
            <v>0</v>
          </cell>
        </row>
        <row r="1144">
          <cell r="B1144">
            <v>4745</v>
          </cell>
          <cell r="C1144" t="str">
            <v>ZB_12_</v>
          </cell>
          <cell r="D1144" t="str">
            <v>Rancho Zinamba No. 12</v>
          </cell>
          <cell r="E1144" t="str">
            <v>Rodríguez</v>
          </cell>
          <cell r="F1144">
            <v>400</v>
          </cell>
          <cell r="G1144">
            <v>1</v>
          </cell>
          <cell r="H1144">
            <v>400</v>
          </cell>
          <cell r="I1144">
            <v>41386</v>
          </cell>
          <cell r="J1144">
            <v>0</v>
          </cell>
          <cell r="W1144">
            <v>0</v>
          </cell>
          <cell r="AA1144">
            <v>400</v>
          </cell>
          <cell r="AJ1144">
            <v>400</v>
          </cell>
          <cell r="AW1144">
            <v>0</v>
          </cell>
        </row>
        <row r="1145">
          <cell r="B1145">
            <v>4746</v>
          </cell>
          <cell r="C1145" t="str">
            <v>ZB_38_</v>
          </cell>
          <cell r="D1145" t="str">
            <v>Rancho Zinamba No. 38</v>
          </cell>
          <cell r="E1145" t="str">
            <v>Ramírez Díaz</v>
          </cell>
          <cell r="F1145">
            <v>300</v>
          </cell>
          <cell r="G1145">
            <v>4</v>
          </cell>
          <cell r="H1145">
            <v>160</v>
          </cell>
          <cell r="I1145">
            <v>41387</v>
          </cell>
          <cell r="J1145" t="str">
            <v>NO SUMA</v>
          </cell>
          <cell r="W1145">
            <v>0</v>
          </cell>
          <cell r="AJ1145">
            <v>0</v>
          </cell>
          <cell r="AW1145">
            <v>0</v>
          </cell>
        </row>
        <row r="1146">
          <cell r="B1146">
            <v>4747</v>
          </cell>
          <cell r="C1146" t="str">
            <v>UP_146_</v>
          </cell>
          <cell r="D1146" t="str">
            <v>Rancho Upácuaro No. 146</v>
          </cell>
          <cell r="E1146" t="str">
            <v>Islas</v>
          </cell>
          <cell r="F1146">
            <v>300</v>
          </cell>
          <cell r="G1146">
            <v>1</v>
          </cell>
          <cell r="H1146">
            <v>300</v>
          </cell>
          <cell r="I1146">
            <v>41390</v>
          </cell>
          <cell r="J1146">
            <v>0</v>
          </cell>
          <cell r="W1146">
            <v>0</v>
          </cell>
          <cell r="AA1146">
            <v>300</v>
          </cell>
          <cell r="AJ1146">
            <v>300</v>
          </cell>
          <cell r="AW1146">
            <v>0</v>
          </cell>
        </row>
        <row r="1147">
          <cell r="B1147">
            <v>6098</v>
          </cell>
          <cell r="C1147" t="str">
            <v>EZ_15_A</v>
          </cell>
          <cell r="D1147" t="str">
            <v>Rancho Estanzuela No. 15, A</v>
          </cell>
          <cell r="E1147" t="str">
            <v>González</v>
          </cell>
          <cell r="F1147">
            <v>150</v>
          </cell>
          <cell r="G1147">
            <v>1</v>
          </cell>
          <cell r="H1147">
            <v>300</v>
          </cell>
          <cell r="I1147">
            <v>41390</v>
          </cell>
          <cell r="J1147">
            <v>0</v>
          </cell>
          <cell r="W1147">
            <v>0</v>
          </cell>
          <cell r="Z1147">
            <v>150</v>
          </cell>
          <cell r="AA1147">
            <v>150</v>
          </cell>
          <cell r="AJ1147">
            <v>300</v>
          </cell>
          <cell r="AW1147">
            <v>0</v>
          </cell>
        </row>
        <row r="1148">
          <cell r="B1148">
            <v>6112</v>
          </cell>
          <cell r="C1148" t="str">
            <v>UP_46_</v>
          </cell>
          <cell r="D1148" t="str">
            <v>Rancho Upácuaro No. 46</v>
          </cell>
          <cell r="E1148" t="str">
            <v>Fuentes</v>
          </cell>
          <cell r="F1148">
            <v>300</v>
          </cell>
          <cell r="G1148">
            <v>1</v>
          </cell>
          <cell r="H1148">
            <v>300</v>
          </cell>
          <cell r="I1148">
            <v>41390</v>
          </cell>
          <cell r="J1148">
            <v>0</v>
          </cell>
          <cell r="W1148">
            <v>0</v>
          </cell>
          <cell r="AA1148">
            <v>300</v>
          </cell>
          <cell r="AJ1148">
            <v>300</v>
          </cell>
          <cell r="AW1148">
            <v>0</v>
          </cell>
        </row>
        <row r="1149">
          <cell r="B1149">
            <v>4748</v>
          </cell>
          <cell r="D1149" t="str">
            <v/>
          </cell>
          <cell r="E1149" t="str">
            <v/>
          </cell>
          <cell r="F1149" t="str">
            <v/>
          </cell>
          <cell r="G1149">
            <v>8</v>
          </cell>
          <cell r="I1149">
            <v>41390</v>
          </cell>
          <cell r="J1149" t="str">
            <v>NO SUMA</v>
          </cell>
          <cell r="W1149">
            <v>0</v>
          </cell>
          <cell r="AJ1149">
            <v>0</v>
          </cell>
          <cell r="AW1149">
            <v>0</v>
          </cell>
        </row>
        <row r="1150">
          <cell r="B1150">
            <v>4749</v>
          </cell>
          <cell r="C1150" t="str">
            <v>CL_40_</v>
          </cell>
          <cell r="D1150" t="str">
            <v>Rancho La Cuchilla No. 40</v>
          </cell>
          <cell r="E1150" t="str">
            <v>López Pico</v>
          </cell>
          <cell r="F1150">
            <v>300</v>
          </cell>
          <cell r="G1150">
            <v>1</v>
          </cell>
          <cell r="H1150">
            <v>300</v>
          </cell>
          <cell r="I1150">
            <v>41392</v>
          </cell>
          <cell r="J1150">
            <v>0</v>
          </cell>
          <cell r="W1150">
            <v>0</v>
          </cell>
          <cell r="AB1150">
            <v>300</v>
          </cell>
          <cell r="AJ1150">
            <v>300</v>
          </cell>
          <cell r="AW1150">
            <v>0</v>
          </cell>
        </row>
        <row r="1151">
          <cell r="B1151">
            <v>4750</v>
          </cell>
          <cell r="C1151" t="str">
            <v>EZ_49_</v>
          </cell>
          <cell r="D1151" t="str">
            <v>Rancho Estanzuela No. 49</v>
          </cell>
          <cell r="E1151" t="str">
            <v>Sánchez Zamora</v>
          </cell>
          <cell r="F1151">
            <v>300</v>
          </cell>
          <cell r="G1151">
            <v>1</v>
          </cell>
          <cell r="H1151">
            <v>300</v>
          </cell>
          <cell r="I1151">
            <v>41392</v>
          </cell>
          <cell r="J1151">
            <v>0</v>
          </cell>
          <cell r="W1151">
            <v>0</v>
          </cell>
          <cell r="Z1151">
            <v>300</v>
          </cell>
          <cell r="AJ1151">
            <v>300</v>
          </cell>
          <cell r="AW1151">
            <v>0</v>
          </cell>
        </row>
        <row r="1152">
          <cell r="B1152">
            <v>4751</v>
          </cell>
          <cell r="C1152" t="str">
            <v>ZB_68_</v>
          </cell>
          <cell r="D1152" t="str">
            <v>Rancho Zinamba No. 68</v>
          </cell>
          <cell r="E1152" t="str">
            <v>Rivera Villicaña</v>
          </cell>
          <cell r="F1152">
            <v>300</v>
          </cell>
          <cell r="G1152">
            <v>1</v>
          </cell>
          <cell r="H1152">
            <v>300</v>
          </cell>
          <cell r="I1152">
            <v>41392</v>
          </cell>
          <cell r="J1152">
            <v>0</v>
          </cell>
          <cell r="W1152">
            <v>0</v>
          </cell>
          <cell r="AB1152">
            <v>300</v>
          </cell>
          <cell r="AJ1152">
            <v>300</v>
          </cell>
          <cell r="AW1152">
            <v>0</v>
          </cell>
        </row>
        <row r="1153">
          <cell r="B1153">
            <v>4752</v>
          </cell>
          <cell r="C1153" t="str">
            <v>UP_104_</v>
          </cell>
          <cell r="D1153" t="str">
            <v>Rancho Upácuaro No. 104</v>
          </cell>
          <cell r="E1153" t="str">
            <v>Jiménez Almazo</v>
          </cell>
          <cell r="F1153">
            <v>300</v>
          </cell>
          <cell r="G1153">
            <v>1</v>
          </cell>
          <cell r="H1153">
            <v>300</v>
          </cell>
          <cell r="I1153">
            <v>41392</v>
          </cell>
          <cell r="J1153">
            <v>0</v>
          </cell>
          <cell r="W1153">
            <v>0</v>
          </cell>
          <cell r="AA1153">
            <v>300</v>
          </cell>
          <cell r="AJ1153">
            <v>300</v>
          </cell>
          <cell r="AW1153">
            <v>0</v>
          </cell>
        </row>
        <row r="1154">
          <cell r="B1154">
            <v>4753</v>
          </cell>
          <cell r="C1154" t="str">
            <v>LD_73_</v>
          </cell>
          <cell r="D1154" t="str">
            <v>Rancho Landero No. 73</v>
          </cell>
          <cell r="E1154" t="str">
            <v>Islas Palacios</v>
          </cell>
          <cell r="F1154">
            <v>300</v>
          </cell>
          <cell r="G1154">
            <v>1</v>
          </cell>
          <cell r="H1154">
            <v>300</v>
          </cell>
          <cell r="I1154">
            <v>41392</v>
          </cell>
          <cell r="J1154">
            <v>0</v>
          </cell>
          <cell r="W1154">
            <v>0</v>
          </cell>
          <cell r="AA1154">
            <v>300</v>
          </cell>
          <cell r="AJ1154">
            <v>300</v>
          </cell>
          <cell r="AW1154">
            <v>0</v>
          </cell>
        </row>
        <row r="1155">
          <cell r="B1155">
            <v>4754</v>
          </cell>
          <cell r="C1155" t="str">
            <v>CL_43_A</v>
          </cell>
          <cell r="D1155" t="str">
            <v>Rancho La Cuchilla No. 43, A</v>
          </cell>
          <cell r="E1155" t="str">
            <v>De la Rosa</v>
          </cell>
          <cell r="F1155">
            <v>200</v>
          </cell>
          <cell r="G1155">
            <v>1</v>
          </cell>
          <cell r="H1155">
            <v>200</v>
          </cell>
          <cell r="I1155">
            <v>41392</v>
          </cell>
          <cell r="J1155">
            <v>0</v>
          </cell>
          <cell r="W1155">
            <v>0</v>
          </cell>
          <cell r="AA1155">
            <v>200</v>
          </cell>
          <cell r="AJ1155">
            <v>200</v>
          </cell>
          <cell r="AW1155">
            <v>0</v>
          </cell>
        </row>
        <row r="1156">
          <cell r="B1156">
            <v>4755</v>
          </cell>
          <cell r="C1156" t="str">
            <v>CL_21_</v>
          </cell>
          <cell r="D1156" t="str">
            <v>Rancho La Cuchilla No. 21</v>
          </cell>
          <cell r="E1156" t="str">
            <v>Solórzano Calderón</v>
          </cell>
          <cell r="F1156">
            <v>300</v>
          </cell>
          <cell r="G1156">
            <v>4</v>
          </cell>
          <cell r="H1156">
            <v>160</v>
          </cell>
          <cell r="I1156">
            <v>41392</v>
          </cell>
          <cell r="J1156" t="str">
            <v>NO SUMA</v>
          </cell>
          <cell r="W1156">
            <v>0</v>
          </cell>
          <cell r="AJ1156">
            <v>0</v>
          </cell>
          <cell r="AW1156">
            <v>0</v>
          </cell>
        </row>
        <row r="1157">
          <cell r="B1157">
            <v>4756</v>
          </cell>
          <cell r="C1157" t="str">
            <v>UP_101_</v>
          </cell>
          <cell r="D1157" t="str">
            <v>Rancho Upácuaro No. 101</v>
          </cell>
          <cell r="E1157" t="str">
            <v>Chávez, Arturo</v>
          </cell>
          <cell r="F1157">
            <v>300</v>
          </cell>
          <cell r="G1157">
            <v>1</v>
          </cell>
          <cell r="H1157">
            <v>300</v>
          </cell>
          <cell r="I1157">
            <v>41392</v>
          </cell>
          <cell r="J1157">
            <v>0</v>
          </cell>
          <cell r="W1157">
            <v>0</v>
          </cell>
          <cell r="AB1157">
            <v>300</v>
          </cell>
          <cell r="AJ1157">
            <v>300</v>
          </cell>
          <cell r="AW1157">
            <v>0</v>
          </cell>
        </row>
        <row r="1158">
          <cell r="B1158">
            <v>4757</v>
          </cell>
          <cell r="C1158" t="str">
            <v>ZB_36_</v>
          </cell>
          <cell r="D1158" t="str">
            <v>Rancho Zinamba No. 36</v>
          </cell>
          <cell r="E1158" t="str">
            <v>Rodríguez Ortiz</v>
          </cell>
          <cell r="F1158">
            <v>300</v>
          </cell>
          <cell r="G1158">
            <v>1</v>
          </cell>
          <cell r="H1158">
            <v>600</v>
          </cell>
          <cell r="I1158">
            <v>41392</v>
          </cell>
          <cell r="J1158">
            <v>0</v>
          </cell>
          <cell r="W1158">
            <v>0</v>
          </cell>
          <cell r="AA1158">
            <v>300</v>
          </cell>
          <cell r="AB1158">
            <v>300</v>
          </cell>
          <cell r="AJ1158">
            <v>600</v>
          </cell>
          <cell r="AW1158">
            <v>0</v>
          </cell>
        </row>
        <row r="1159">
          <cell r="B1159">
            <v>4758</v>
          </cell>
          <cell r="C1159" t="str">
            <v>EP_22_A</v>
          </cell>
          <cell r="D1159" t="str">
            <v>Rancho Estopila No. 22, A</v>
          </cell>
          <cell r="E1159" t="str">
            <v>Ayala Carranza</v>
          </cell>
          <cell r="F1159">
            <v>150</v>
          </cell>
          <cell r="G1159">
            <v>1</v>
          </cell>
          <cell r="H1159">
            <v>300</v>
          </cell>
          <cell r="I1159">
            <v>41392</v>
          </cell>
          <cell r="J1159">
            <v>0</v>
          </cell>
          <cell r="W1159">
            <v>0</v>
          </cell>
          <cell r="AA1159">
            <v>150</v>
          </cell>
          <cell r="AB1159">
            <v>150</v>
          </cell>
          <cell r="AJ1159">
            <v>300</v>
          </cell>
          <cell r="AW1159">
            <v>0</v>
          </cell>
        </row>
        <row r="1160">
          <cell r="B1160">
            <v>4759</v>
          </cell>
          <cell r="C1160" t="str">
            <v>EZ_3_</v>
          </cell>
          <cell r="D1160" t="str">
            <v>Rancho Estanzuela No. 3</v>
          </cell>
          <cell r="E1160" t="str">
            <v>Villanueva</v>
          </cell>
          <cell r="F1160">
            <v>150</v>
          </cell>
          <cell r="G1160">
            <v>1</v>
          </cell>
          <cell r="H1160">
            <v>450</v>
          </cell>
          <cell r="I1160">
            <v>41392</v>
          </cell>
          <cell r="J1160">
            <v>0</v>
          </cell>
          <cell r="W1160">
            <v>0</v>
          </cell>
          <cell r="AB1160">
            <v>150</v>
          </cell>
          <cell r="AC1160">
            <v>150</v>
          </cell>
          <cell r="AD1160">
            <v>150</v>
          </cell>
          <cell r="AJ1160">
            <v>450</v>
          </cell>
          <cell r="AW1160">
            <v>0</v>
          </cell>
        </row>
        <row r="1161">
          <cell r="B1161">
            <v>4760</v>
          </cell>
          <cell r="C1161" t="str">
            <v>EZ_11_A</v>
          </cell>
          <cell r="D1161" t="str">
            <v>Rancho Estanzuela No. 11, A</v>
          </cell>
          <cell r="E1161" t="str">
            <v>Evans González</v>
          </cell>
          <cell r="F1161">
            <v>300</v>
          </cell>
          <cell r="G1161">
            <v>1</v>
          </cell>
          <cell r="H1161">
            <v>300</v>
          </cell>
          <cell r="I1161">
            <v>41392</v>
          </cell>
          <cell r="J1161">
            <v>0</v>
          </cell>
          <cell r="W1161">
            <v>0</v>
          </cell>
          <cell r="AA1161">
            <v>300</v>
          </cell>
          <cell r="AJ1161">
            <v>300</v>
          </cell>
          <cell r="AW1161">
            <v>0</v>
          </cell>
        </row>
        <row r="1162">
          <cell r="B1162">
            <v>4761</v>
          </cell>
          <cell r="C1162" t="str">
            <v>EZ_11_A</v>
          </cell>
          <cell r="D1162" t="str">
            <v>Rancho Estanzuela No. 11, A</v>
          </cell>
          <cell r="E1162" t="str">
            <v>Evans González</v>
          </cell>
          <cell r="F1162">
            <v>300</v>
          </cell>
          <cell r="G1162">
            <v>4</v>
          </cell>
          <cell r="H1162">
            <v>160</v>
          </cell>
          <cell r="I1162">
            <v>41392</v>
          </cell>
          <cell r="J1162" t="str">
            <v>NO SUMA</v>
          </cell>
          <cell r="W1162">
            <v>0</v>
          </cell>
          <cell r="AJ1162">
            <v>0</v>
          </cell>
          <cell r="AW1162">
            <v>0</v>
          </cell>
        </row>
        <row r="1163">
          <cell r="B1163">
            <v>4761</v>
          </cell>
          <cell r="C1163" t="str">
            <v>EZ_11_A</v>
          </cell>
          <cell r="D1163" t="str">
            <v>Rancho Estanzuela No. 11, A</v>
          </cell>
          <cell r="E1163" t="str">
            <v>Evans González</v>
          </cell>
          <cell r="F1163">
            <v>300</v>
          </cell>
          <cell r="G1163">
            <v>5</v>
          </cell>
          <cell r="H1163">
            <v>60</v>
          </cell>
          <cell r="I1163">
            <v>41392</v>
          </cell>
          <cell r="J1163" t="str">
            <v>NO SUMA</v>
          </cell>
          <cell r="W1163">
            <v>0</v>
          </cell>
          <cell r="AJ1163">
            <v>0</v>
          </cell>
          <cell r="AW1163">
            <v>0</v>
          </cell>
        </row>
        <row r="1164">
          <cell r="B1164">
            <v>4762</v>
          </cell>
          <cell r="C1164" t="str">
            <v>RV_175_A</v>
          </cell>
          <cell r="D1164" t="str">
            <v>Rancho Recoveco No. 175, A</v>
          </cell>
          <cell r="E1164" t="str">
            <v>Pérez</v>
          </cell>
          <cell r="F1164">
            <v>300</v>
          </cell>
          <cell r="G1164">
            <v>1</v>
          </cell>
          <cell r="H1164">
            <v>300</v>
          </cell>
          <cell r="I1164">
            <v>41392</v>
          </cell>
          <cell r="J1164">
            <v>0</v>
          </cell>
          <cell r="W1164">
            <v>0</v>
          </cell>
          <cell r="AB1164">
            <v>300</v>
          </cell>
          <cell r="AJ1164">
            <v>300</v>
          </cell>
          <cell r="AW1164">
            <v>0</v>
          </cell>
        </row>
        <row r="1165">
          <cell r="B1165">
            <v>4762</v>
          </cell>
          <cell r="C1165" t="str">
            <v>RV_175_A</v>
          </cell>
          <cell r="D1165" t="str">
            <v>Rancho Recoveco No. 175, A</v>
          </cell>
          <cell r="E1165" t="str">
            <v>Pérez</v>
          </cell>
          <cell r="F1165">
            <v>300</v>
          </cell>
          <cell r="G1165">
            <v>3</v>
          </cell>
          <cell r="H1165">
            <v>150</v>
          </cell>
          <cell r="I1165">
            <v>41392</v>
          </cell>
          <cell r="J1165" t="str">
            <v>NO SUMA</v>
          </cell>
          <cell r="W1165">
            <v>0</v>
          </cell>
          <cell r="AJ1165">
            <v>0</v>
          </cell>
          <cell r="AW1165">
            <v>0</v>
          </cell>
        </row>
        <row r="1166">
          <cell r="B1166">
            <v>4763</v>
          </cell>
          <cell r="C1166" t="str">
            <v>ZB_74_</v>
          </cell>
          <cell r="D1166" t="str">
            <v>Rancho Zinamba No. 74</v>
          </cell>
          <cell r="E1166" t="str">
            <v>García Castellanos</v>
          </cell>
          <cell r="F1166">
            <v>300</v>
          </cell>
          <cell r="G1166">
            <v>1</v>
          </cell>
          <cell r="H1166">
            <v>600</v>
          </cell>
          <cell r="I1166">
            <v>41392</v>
          </cell>
          <cell r="J1166">
            <v>0</v>
          </cell>
          <cell r="W1166">
            <v>0</v>
          </cell>
          <cell r="Z1166">
            <v>300</v>
          </cell>
          <cell r="AA1166">
            <v>300</v>
          </cell>
          <cell r="AJ1166">
            <v>600</v>
          </cell>
          <cell r="AW1166">
            <v>0</v>
          </cell>
        </row>
        <row r="1167">
          <cell r="B1167">
            <v>4764</v>
          </cell>
          <cell r="C1167" t="str">
            <v>LD_77_</v>
          </cell>
          <cell r="D1167" t="str">
            <v>Rancho Landero No. 77</v>
          </cell>
          <cell r="E1167" t="str">
            <v>Muñoz</v>
          </cell>
          <cell r="F1167">
            <v>300</v>
          </cell>
          <cell r="G1167">
            <v>1</v>
          </cell>
          <cell r="H1167">
            <v>600</v>
          </cell>
          <cell r="I1167">
            <v>41392</v>
          </cell>
          <cell r="J1167">
            <v>0</v>
          </cell>
          <cell r="W1167">
            <v>0</v>
          </cell>
          <cell r="Z1167">
            <v>300</v>
          </cell>
          <cell r="AA1167">
            <v>300</v>
          </cell>
          <cell r="AJ1167">
            <v>600</v>
          </cell>
          <cell r="AW1167">
            <v>0</v>
          </cell>
        </row>
        <row r="1168">
          <cell r="B1168">
            <v>4764</v>
          </cell>
          <cell r="C1168" t="str">
            <v>LD_77_</v>
          </cell>
          <cell r="D1168" t="str">
            <v>Rancho Landero No. 77</v>
          </cell>
          <cell r="E1168" t="str">
            <v>Muñoz</v>
          </cell>
          <cell r="F1168">
            <v>300</v>
          </cell>
          <cell r="G1168">
            <v>4</v>
          </cell>
          <cell r="H1168">
            <v>320</v>
          </cell>
          <cell r="I1168">
            <v>41392</v>
          </cell>
          <cell r="J1168" t="str">
            <v>NO SUMA</v>
          </cell>
          <cell r="W1168">
            <v>0</v>
          </cell>
          <cell r="AJ1168">
            <v>0</v>
          </cell>
          <cell r="AW1168">
            <v>0</v>
          </cell>
        </row>
        <row r="1169">
          <cell r="B1169">
            <v>4765</v>
          </cell>
          <cell r="C1169" t="str">
            <v>LD_62_</v>
          </cell>
          <cell r="D1169" t="str">
            <v>Rancho Landero No. 62</v>
          </cell>
          <cell r="E1169" t="str">
            <v>Narvaez Sara</v>
          </cell>
          <cell r="F1169">
            <v>300</v>
          </cell>
          <cell r="G1169">
            <v>1</v>
          </cell>
          <cell r="H1169">
            <v>600</v>
          </cell>
          <cell r="I1169">
            <v>41392</v>
          </cell>
          <cell r="J1169">
            <v>0</v>
          </cell>
          <cell r="W1169">
            <v>0</v>
          </cell>
          <cell r="AA1169">
            <v>300</v>
          </cell>
          <cell r="AB1169">
            <v>300</v>
          </cell>
          <cell r="AJ1169">
            <v>600</v>
          </cell>
          <cell r="AW1169">
            <v>0</v>
          </cell>
        </row>
        <row r="1170">
          <cell r="B1170">
            <v>4766</v>
          </cell>
          <cell r="C1170" t="str">
            <v>ZB_50_</v>
          </cell>
          <cell r="D1170" t="str">
            <v>Rancho Zinamba No. 50</v>
          </cell>
          <cell r="E1170" t="str">
            <v>Del Castillo</v>
          </cell>
          <cell r="F1170">
            <v>300</v>
          </cell>
          <cell r="G1170">
            <v>1</v>
          </cell>
          <cell r="H1170">
            <v>300</v>
          </cell>
          <cell r="I1170">
            <v>41392</v>
          </cell>
          <cell r="J1170">
            <v>0</v>
          </cell>
          <cell r="W1170">
            <v>0</v>
          </cell>
          <cell r="AA1170">
            <v>300</v>
          </cell>
          <cell r="AJ1170">
            <v>300</v>
          </cell>
          <cell r="AW1170">
            <v>0</v>
          </cell>
        </row>
        <row r="1171">
          <cell r="B1171">
            <v>4767</v>
          </cell>
          <cell r="C1171" t="str">
            <v>RV_1_</v>
          </cell>
          <cell r="D1171" t="str">
            <v>Rancho Recoveco No. 1</v>
          </cell>
          <cell r="E1171" t="str">
            <v>Díaz</v>
          </cell>
          <cell r="F1171">
            <v>300</v>
          </cell>
          <cell r="G1171">
            <v>1</v>
          </cell>
          <cell r="H1171">
            <v>300</v>
          </cell>
          <cell r="I1171">
            <v>41392</v>
          </cell>
          <cell r="J1171">
            <v>0</v>
          </cell>
          <cell r="W1171">
            <v>0</v>
          </cell>
          <cell r="AB1171">
            <v>300</v>
          </cell>
          <cell r="AJ1171">
            <v>300</v>
          </cell>
          <cell r="AW1171">
            <v>0</v>
          </cell>
        </row>
        <row r="1172">
          <cell r="B1172">
            <v>4768</v>
          </cell>
          <cell r="C1172" t="str">
            <v>UP_71_</v>
          </cell>
          <cell r="D1172" t="str">
            <v>Rancho Upácuaro No. 71</v>
          </cell>
          <cell r="E1172" t="str">
            <v>Trejo Méndez</v>
          </cell>
          <cell r="F1172">
            <v>300</v>
          </cell>
          <cell r="G1172">
            <v>1</v>
          </cell>
          <cell r="H1172">
            <v>300</v>
          </cell>
          <cell r="I1172">
            <v>41392</v>
          </cell>
          <cell r="J1172">
            <v>0</v>
          </cell>
          <cell r="W1172">
            <v>0</v>
          </cell>
          <cell r="AA1172">
            <v>300</v>
          </cell>
          <cell r="AJ1172">
            <v>300</v>
          </cell>
          <cell r="AW1172">
            <v>0</v>
          </cell>
        </row>
        <row r="1173">
          <cell r="B1173">
            <v>4769</v>
          </cell>
          <cell r="C1173" t="str">
            <v>CL_97_</v>
          </cell>
          <cell r="D1173" t="str">
            <v>Rancho La Cuchilla No. 97</v>
          </cell>
          <cell r="E1173" t="str">
            <v>López Ruiz</v>
          </cell>
          <cell r="F1173">
            <v>300</v>
          </cell>
          <cell r="G1173">
            <v>1</v>
          </cell>
          <cell r="H1173">
            <v>300</v>
          </cell>
          <cell r="I1173">
            <v>41392</v>
          </cell>
          <cell r="J1173">
            <v>0</v>
          </cell>
          <cell r="W1173">
            <v>0</v>
          </cell>
          <cell r="AA1173">
            <v>300</v>
          </cell>
          <cell r="AJ1173">
            <v>300</v>
          </cell>
          <cell r="AW1173">
            <v>0</v>
          </cell>
        </row>
        <row r="1174">
          <cell r="B1174">
            <v>4770</v>
          </cell>
          <cell r="C1174" t="str">
            <v>CL_12_</v>
          </cell>
          <cell r="D1174" t="str">
            <v>Rancho La Cuchilla No. 12</v>
          </cell>
          <cell r="E1174" t="str">
            <v>Rivera Flores</v>
          </cell>
          <cell r="F1174">
            <v>300</v>
          </cell>
          <cell r="G1174">
            <v>1</v>
          </cell>
          <cell r="H1174">
            <v>300</v>
          </cell>
          <cell r="I1174">
            <v>41392</v>
          </cell>
          <cell r="J1174">
            <v>0</v>
          </cell>
          <cell r="W1174">
            <v>0</v>
          </cell>
          <cell r="AA1174">
            <v>300</v>
          </cell>
          <cell r="AJ1174">
            <v>300</v>
          </cell>
          <cell r="AW1174">
            <v>0</v>
          </cell>
        </row>
        <row r="1175">
          <cell r="B1175">
            <v>4771</v>
          </cell>
          <cell r="C1175" t="str">
            <v>CL_7_102</v>
          </cell>
          <cell r="D1175" t="str">
            <v>Rancho La Cuchilla No. 7, 102</v>
          </cell>
          <cell r="E1175" t="str">
            <v>García Moreno</v>
          </cell>
          <cell r="F1175">
            <v>100</v>
          </cell>
          <cell r="G1175">
            <v>1</v>
          </cell>
          <cell r="H1175">
            <v>200</v>
          </cell>
          <cell r="I1175">
            <v>41392</v>
          </cell>
          <cell r="J1175">
            <v>0</v>
          </cell>
          <cell r="W1175">
            <v>0</v>
          </cell>
          <cell r="AA1175">
            <v>100</v>
          </cell>
          <cell r="AB1175">
            <v>100</v>
          </cell>
          <cell r="AJ1175">
            <v>200</v>
          </cell>
          <cell r="AW1175">
            <v>0</v>
          </cell>
        </row>
        <row r="1176">
          <cell r="B1176">
            <v>4772</v>
          </cell>
          <cell r="C1176" t="str">
            <v>CL_20_</v>
          </cell>
          <cell r="D1176" t="str">
            <v>Rancho La Cuchilla No. 20</v>
          </cell>
          <cell r="E1176" t="str">
            <v>Sánchez López</v>
          </cell>
          <cell r="F1176">
            <v>300</v>
          </cell>
          <cell r="G1176">
            <v>1</v>
          </cell>
          <cell r="H1176">
            <v>300</v>
          </cell>
          <cell r="I1176">
            <v>41392</v>
          </cell>
          <cell r="J1176">
            <v>0</v>
          </cell>
          <cell r="W1176">
            <v>0</v>
          </cell>
          <cell r="AB1176">
            <v>300</v>
          </cell>
          <cell r="AJ1176">
            <v>300</v>
          </cell>
          <cell r="AW1176">
            <v>0</v>
          </cell>
        </row>
        <row r="1177">
          <cell r="B1177">
            <v>4773</v>
          </cell>
          <cell r="C1177" t="str">
            <v>CL_15_</v>
          </cell>
          <cell r="D1177" t="str">
            <v>Rancho La Cuchilla No. 15</v>
          </cell>
          <cell r="E1177" t="str">
            <v>Guerrero Ponce</v>
          </cell>
          <cell r="F1177">
            <v>300</v>
          </cell>
          <cell r="G1177">
            <v>1</v>
          </cell>
          <cell r="H1177">
            <v>600</v>
          </cell>
          <cell r="I1177">
            <v>41392</v>
          </cell>
          <cell r="J1177">
            <v>0</v>
          </cell>
          <cell r="W1177">
            <v>0</v>
          </cell>
          <cell r="X1177">
            <v>300</v>
          </cell>
          <cell r="Y1177">
            <v>300</v>
          </cell>
          <cell r="AJ1177">
            <v>600</v>
          </cell>
          <cell r="AW1177">
            <v>0</v>
          </cell>
        </row>
        <row r="1178">
          <cell r="B1178" t="str">
            <v>s/n</v>
          </cell>
          <cell r="C1178" t="str">
            <v>HS_B_</v>
          </cell>
          <cell r="D1178" t="str">
            <v>Calzada del Hueso No. B</v>
          </cell>
          <cell r="E1178" t="str">
            <v>CARSO</v>
          </cell>
          <cell r="F1178">
            <v>1000</v>
          </cell>
          <cell r="G1178">
            <v>1</v>
          </cell>
          <cell r="H1178">
            <v>1000</v>
          </cell>
          <cell r="I1178">
            <v>41394</v>
          </cell>
          <cell r="J1178">
            <v>0</v>
          </cell>
          <cell r="W1178">
            <v>0</v>
          </cell>
          <cell r="AA1178">
            <v>1000</v>
          </cell>
          <cell r="AJ1178">
            <v>1000</v>
          </cell>
          <cell r="AW1178">
            <v>0</v>
          </cell>
        </row>
        <row r="1179">
          <cell r="B1179" t="str">
            <v>NÚMERO</v>
          </cell>
          <cell r="C1179" t="str">
            <v>CASA</v>
          </cell>
          <cell r="D1179" t="str">
            <v>DOMICILIO</v>
          </cell>
          <cell r="E1179" t="str">
            <v>FAMILIA</v>
          </cell>
          <cell r="F1179" t="str">
            <v>CUOTA</v>
          </cell>
          <cell r="G1179" t="str">
            <v>C_ING</v>
          </cell>
          <cell r="H1179" t="str">
            <v>IMPORTE</v>
          </cell>
          <cell r="I1179" t="str">
            <v>FECHA</v>
          </cell>
          <cell r="J1179" t="str">
            <v>CHK</v>
          </cell>
          <cell r="K1179" t="str">
            <v>ENE
2012</v>
          </cell>
          <cell r="L1179" t="str">
            <v>FEB
2012</v>
          </cell>
          <cell r="M1179" t="str">
            <v>MAR
2012</v>
          </cell>
          <cell r="N1179" t="str">
            <v>ABR
2012</v>
          </cell>
          <cell r="O1179" t="str">
            <v>MAY
2012</v>
          </cell>
          <cell r="P1179" t="str">
            <v>JUN
2012</v>
          </cell>
          <cell r="Q1179" t="str">
            <v>JUL
2012</v>
          </cell>
          <cell r="R1179" t="str">
            <v>AGO
2012</v>
          </cell>
          <cell r="S1179" t="str">
            <v>SEP
2012</v>
          </cell>
          <cell r="T1179" t="str">
            <v>OCT
2012</v>
          </cell>
          <cell r="U1179" t="str">
            <v>NOV
2012</v>
          </cell>
          <cell r="V1179" t="str">
            <v>DIC
2012</v>
          </cell>
          <cell r="W1179" t="str">
            <v>SUMA
2012</v>
          </cell>
          <cell r="X1179" t="str">
            <v>ENE
2013</v>
          </cell>
          <cell r="Y1179" t="str">
            <v>FEB
2013</v>
          </cell>
          <cell r="Z1179" t="str">
            <v>MAR
2013</v>
          </cell>
          <cell r="AA1179" t="str">
            <v>ABR
2013</v>
          </cell>
          <cell r="AB1179" t="str">
            <v>MAY
2013</v>
          </cell>
          <cell r="AC1179" t="str">
            <v>JUN
2013</v>
          </cell>
          <cell r="AD1179" t="str">
            <v>JUL
2013</v>
          </cell>
          <cell r="AE1179" t="str">
            <v>AGO
2013</v>
          </cell>
          <cell r="AF1179" t="str">
            <v>SEP
2013</v>
          </cell>
          <cell r="AG1179" t="str">
            <v>OCT
2013</v>
          </cell>
          <cell r="AH1179" t="str">
            <v>NOV
2013</v>
          </cell>
          <cell r="AI1179" t="str">
            <v>DIC
2013</v>
          </cell>
          <cell r="AJ1179" t="str">
            <v>SUMA
2013</v>
          </cell>
          <cell r="AK1179" t="str">
            <v>ENE
2014</v>
          </cell>
          <cell r="AL1179" t="str">
            <v>FEB
2014</v>
          </cell>
          <cell r="AM1179" t="str">
            <v>MAR
2014</v>
          </cell>
          <cell r="AN1179" t="str">
            <v>ABR
2014</v>
          </cell>
          <cell r="AO1179" t="str">
            <v>MAY
2014</v>
          </cell>
          <cell r="AP1179" t="str">
            <v>JUN
2014</v>
          </cell>
          <cell r="AQ1179" t="str">
            <v>JUL
2014</v>
          </cell>
          <cell r="AR1179" t="str">
            <v>AGO
2014</v>
          </cell>
          <cell r="AS1179" t="str">
            <v>SEP
2014</v>
          </cell>
          <cell r="AT1179" t="str">
            <v>OCT
2014</v>
          </cell>
          <cell r="AU1179" t="str">
            <v>NOV
2014</v>
          </cell>
          <cell r="AV1179" t="str">
            <v>DIC
2014</v>
          </cell>
          <cell r="AW1179" t="str">
            <v>SUMA
2014</v>
          </cell>
        </row>
        <row r="1180">
          <cell r="B1180">
            <v>4774</v>
          </cell>
          <cell r="C1180" t="str">
            <v>EZ_151_</v>
          </cell>
          <cell r="D1180" t="str">
            <v>Rancho Estanzuela No. 151</v>
          </cell>
          <cell r="E1180" t="str">
            <v>Pérez Salazar</v>
          </cell>
          <cell r="F1180">
            <v>300</v>
          </cell>
          <cell r="G1180">
            <v>1</v>
          </cell>
          <cell r="H1180">
            <v>300</v>
          </cell>
          <cell r="I1180">
            <v>41399</v>
          </cell>
          <cell r="J1180">
            <v>0</v>
          </cell>
          <cell r="W1180">
            <v>0</v>
          </cell>
          <cell r="AB1180">
            <v>300</v>
          </cell>
          <cell r="AJ1180">
            <v>300</v>
          </cell>
          <cell r="AW1180">
            <v>0</v>
          </cell>
        </row>
        <row r="1181">
          <cell r="B1181">
            <v>4775</v>
          </cell>
          <cell r="C1181" t="str">
            <v>EZ_139_</v>
          </cell>
          <cell r="D1181" t="str">
            <v>Rancho Estanzuela No. 139</v>
          </cell>
          <cell r="E1181" t="str">
            <v>Ortiz</v>
          </cell>
          <cell r="F1181">
            <v>300</v>
          </cell>
          <cell r="G1181">
            <v>1</v>
          </cell>
          <cell r="H1181">
            <v>600</v>
          </cell>
          <cell r="I1181">
            <v>41399</v>
          </cell>
          <cell r="J1181">
            <v>0</v>
          </cell>
          <cell r="W1181">
            <v>0</v>
          </cell>
          <cell r="AA1181">
            <v>300</v>
          </cell>
          <cell r="AB1181">
            <v>300</v>
          </cell>
          <cell r="AJ1181">
            <v>600</v>
          </cell>
          <cell r="AW1181">
            <v>0</v>
          </cell>
        </row>
        <row r="1182">
          <cell r="B1182">
            <v>4776</v>
          </cell>
          <cell r="C1182" t="str">
            <v>LD_63_</v>
          </cell>
          <cell r="D1182" t="str">
            <v>Rancho Landero No. 63</v>
          </cell>
          <cell r="E1182" t="str">
            <v>Hernández Chávez</v>
          </cell>
          <cell r="F1182">
            <v>300</v>
          </cell>
          <cell r="G1182">
            <v>1</v>
          </cell>
          <cell r="H1182">
            <v>600</v>
          </cell>
          <cell r="I1182">
            <v>41399</v>
          </cell>
          <cell r="J1182">
            <v>0</v>
          </cell>
          <cell r="W1182">
            <v>0</v>
          </cell>
          <cell r="Z1182">
            <v>300</v>
          </cell>
          <cell r="AA1182">
            <v>300</v>
          </cell>
          <cell r="AJ1182">
            <v>600</v>
          </cell>
          <cell r="AW1182">
            <v>0</v>
          </cell>
        </row>
        <row r="1183">
          <cell r="B1183">
            <v>4777</v>
          </cell>
          <cell r="C1183" t="str">
            <v>CL_139_</v>
          </cell>
          <cell r="D1183" t="str">
            <v>Rancho La Cuchilla No. 139</v>
          </cell>
          <cell r="E1183" t="str">
            <v>Gloria García</v>
          </cell>
          <cell r="F1183">
            <v>200</v>
          </cell>
          <cell r="G1183">
            <v>1</v>
          </cell>
          <cell r="H1183">
            <v>200</v>
          </cell>
          <cell r="I1183">
            <v>41399</v>
          </cell>
          <cell r="J1183">
            <v>0</v>
          </cell>
          <cell r="W1183">
            <v>0</v>
          </cell>
          <cell r="AB1183">
            <v>200</v>
          </cell>
          <cell r="AJ1183">
            <v>200</v>
          </cell>
          <cell r="AW1183">
            <v>0</v>
          </cell>
        </row>
        <row r="1184">
          <cell r="B1184">
            <v>4778</v>
          </cell>
          <cell r="C1184" t="str">
            <v>LD_96_</v>
          </cell>
          <cell r="D1184" t="str">
            <v>Rancho Landero No. 96</v>
          </cell>
          <cell r="E1184" t="str">
            <v>Espinoza Aguirre</v>
          </cell>
          <cell r="F1184">
            <v>300</v>
          </cell>
          <cell r="G1184">
            <v>1</v>
          </cell>
          <cell r="H1184">
            <v>900</v>
          </cell>
          <cell r="I1184">
            <v>41399</v>
          </cell>
          <cell r="J1184">
            <v>0</v>
          </cell>
          <cell r="W1184">
            <v>0</v>
          </cell>
          <cell r="Y1184">
            <v>300</v>
          </cell>
          <cell r="Z1184">
            <v>300</v>
          </cell>
          <cell r="AA1184">
            <v>300</v>
          </cell>
          <cell r="AJ1184">
            <v>900</v>
          </cell>
          <cell r="AW1184">
            <v>0</v>
          </cell>
        </row>
        <row r="1185">
          <cell r="B1185">
            <v>4779</v>
          </cell>
          <cell r="C1185" t="str">
            <v>CL_127_</v>
          </cell>
          <cell r="D1185" t="str">
            <v>Rancho La Cuchilla No. 127</v>
          </cell>
          <cell r="E1185" t="str">
            <v>Quiñones</v>
          </cell>
          <cell r="F1185">
            <v>300</v>
          </cell>
          <cell r="G1185">
            <v>1</v>
          </cell>
          <cell r="H1185">
            <v>900</v>
          </cell>
          <cell r="I1185">
            <v>41399</v>
          </cell>
          <cell r="J1185">
            <v>0</v>
          </cell>
          <cell r="W1185">
            <v>0</v>
          </cell>
          <cell r="Z1185">
            <v>300</v>
          </cell>
          <cell r="AA1185">
            <v>300</v>
          </cell>
          <cell r="AB1185">
            <v>300</v>
          </cell>
          <cell r="AJ1185">
            <v>900</v>
          </cell>
          <cell r="AW1185">
            <v>0</v>
          </cell>
        </row>
        <row r="1186">
          <cell r="B1186">
            <v>4780</v>
          </cell>
          <cell r="C1186" t="str">
            <v>ZB_38_</v>
          </cell>
          <cell r="D1186" t="str">
            <v>Rancho Zinamba No. 38</v>
          </cell>
          <cell r="E1186" t="str">
            <v>Ramírez Díaz</v>
          </cell>
          <cell r="F1186">
            <v>300</v>
          </cell>
          <cell r="G1186">
            <v>1</v>
          </cell>
          <cell r="H1186">
            <v>300</v>
          </cell>
          <cell r="I1186">
            <v>41399</v>
          </cell>
          <cell r="J1186">
            <v>0</v>
          </cell>
          <cell r="W1186">
            <v>0</v>
          </cell>
          <cell r="AB1186">
            <v>300</v>
          </cell>
          <cell r="AJ1186">
            <v>300</v>
          </cell>
          <cell r="AW1186">
            <v>0</v>
          </cell>
        </row>
        <row r="1187">
          <cell r="B1187">
            <v>4781</v>
          </cell>
          <cell r="C1187" t="str">
            <v>EZ_31_</v>
          </cell>
          <cell r="D1187" t="str">
            <v>Rancho Estanzuela No. 31</v>
          </cell>
          <cell r="E1187" t="str">
            <v>Chávez Valdés</v>
          </cell>
          <cell r="F1187">
            <v>300</v>
          </cell>
          <cell r="G1187">
            <v>1</v>
          </cell>
          <cell r="H1187">
            <v>300</v>
          </cell>
          <cell r="I1187">
            <v>41399</v>
          </cell>
          <cell r="J1187">
            <v>0</v>
          </cell>
          <cell r="W1187">
            <v>0</v>
          </cell>
          <cell r="AB1187">
            <v>300</v>
          </cell>
          <cell r="AJ1187">
            <v>300</v>
          </cell>
          <cell r="AW1187">
            <v>0</v>
          </cell>
        </row>
        <row r="1188">
          <cell r="B1188">
            <v>4782</v>
          </cell>
          <cell r="C1188" t="str">
            <v>LD_91_</v>
          </cell>
          <cell r="D1188" t="str">
            <v>Rancho Landero No. 91</v>
          </cell>
          <cell r="E1188" t="str">
            <v>Llaca</v>
          </cell>
          <cell r="F1188">
            <v>300</v>
          </cell>
          <cell r="G1188">
            <v>1</v>
          </cell>
          <cell r="H1188">
            <v>600</v>
          </cell>
          <cell r="I1188">
            <v>41399</v>
          </cell>
          <cell r="J1188">
            <v>0</v>
          </cell>
          <cell r="W1188">
            <v>0</v>
          </cell>
          <cell r="AB1188">
            <v>300</v>
          </cell>
          <cell r="AC1188">
            <v>300</v>
          </cell>
          <cell r="AJ1188">
            <v>600</v>
          </cell>
          <cell r="AW1188">
            <v>0</v>
          </cell>
        </row>
        <row r="1189">
          <cell r="B1189">
            <v>4783</v>
          </cell>
          <cell r="C1189" t="str">
            <v>LD_83_</v>
          </cell>
          <cell r="D1189" t="str">
            <v>Rancho Landero No. 83</v>
          </cell>
          <cell r="E1189" t="str">
            <v>Aguilar</v>
          </cell>
          <cell r="F1189">
            <v>300</v>
          </cell>
          <cell r="G1189">
            <v>1</v>
          </cell>
          <cell r="H1189">
            <v>300</v>
          </cell>
          <cell r="I1189">
            <v>41399</v>
          </cell>
          <cell r="J1189">
            <v>0</v>
          </cell>
          <cell r="W1189">
            <v>0</v>
          </cell>
          <cell r="AB1189">
            <v>300</v>
          </cell>
          <cell r="AJ1189">
            <v>300</v>
          </cell>
          <cell r="AW1189">
            <v>0</v>
          </cell>
        </row>
        <row r="1190">
          <cell r="B1190">
            <v>4784</v>
          </cell>
          <cell r="C1190" t="str">
            <v>UP_99_</v>
          </cell>
          <cell r="D1190" t="str">
            <v>Rancho Upácuaro No. 99</v>
          </cell>
          <cell r="E1190" t="str">
            <v>Frías</v>
          </cell>
          <cell r="F1190">
            <v>300</v>
          </cell>
          <cell r="G1190">
            <v>1</v>
          </cell>
          <cell r="H1190">
            <v>300</v>
          </cell>
          <cell r="I1190">
            <v>41399</v>
          </cell>
          <cell r="J1190">
            <v>0</v>
          </cell>
          <cell r="W1190">
            <v>0</v>
          </cell>
          <cell r="AB1190">
            <v>300</v>
          </cell>
          <cell r="AJ1190">
            <v>300</v>
          </cell>
          <cell r="AW1190">
            <v>0</v>
          </cell>
        </row>
        <row r="1191">
          <cell r="B1191">
            <v>4785</v>
          </cell>
          <cell r="C1191" t="str">
            <v>CL_43_B</v>
          </cell>
          <cell r="D1191" t="str">
            <v>Rancho La Cuchilla No. 43, B</v>
          </cell>
          <cell r="E1191" t="str">
            <v>Luna Albertano</v>
          </cell>
          <cell r="F1191">
            <v>125</v>
          </cell>
          <cell r="G1191">
            <v>1</v>
          </cell>
          <cell r="H1191">
            <v>125</v>
          </cell>
          <cell r="I1191">
            <v>41399</v>
          </cell>
          <cell r="J1191">
            <v>0</v>
          </cell>
          <cell r="W1191">
            <v>0</v>
          </cell>
          <cell r="AB1191">
            <v>125</v>
          </cell>
          <cell r="AJ1191">
            <v>125</v>
          </cell>
          <cell r="AW1191">
            <v>0</v>
          </cell>
        </row>
        <row r="1192">
          <cell r="B1192">
            <v>4786</v>
          </cell>
          <cell r="C1192" t="str">
            <v>UP_120_</v>
          </cell>
          <cell r="D1192" t="str">
            <v>Rancho Upácuaro No. 120</v>
          </cell>
          <cell r="E1192" t="str">
            <v>Rayas Rivera</v>
          </cell>
          <cell r="F1192">
            <v>300</v>
          </cell>
          <cell r="G1192">
            <v>1</v>
          </cell>
          <cell r="H1192">
            <v>300</v>
          </cell>
          <cell r="I1192">
            <v>41399</v>
          </cell>
          <cell r="J1192">
            <v>0</v>
          </cell>
          <cell r="W1192">
            <v>0</v>
          </cell>
          <cell r="AB1192">
            <v>300</v>
          </cell>
          <cell r="AJ1192">
            <v>300</v>
          </cell>
          <cell r="AW1192">
            <v>0</v>
          </cell>
        </row>
        <row r="1193">
          <cell r="B1193">
            <v>4787</v>
          </cell>
          <cell r="C1193" t="str">
            <v>UP_45_</v>
          </cell>
          <cell r="D1193" t="str">
            <v>Rancho Upácuaro No. 45</v>
          </cell>
          <cell r="E1193" t="str">
            <v>Enrique Vázquez</v>
          </cell>
          <cell r="F1193">
            <v>100</v>
          </cell>
          <cell r="G1193">
            <v>1</v>
          </cell>
          <cell r="H1193">
            <v>300</v>
          </cell>
          <cell r="I1193">
            <v>41399</v>
          </cell>
          <cell r="J1193">
            <v>0</v>
          </cell>
          <cell r="W1193">
            <v>0</v>
          </cell>
          <cell r="X1193">
            <v>100</v>
          </cell>
          <cell r="Y1193">
            <v>100</v>
          </cell>
          <cell r="Z1193">
            <v>100</v>
          </cell>
          <cell r="AJ1193">
            <v>300</v>
          </cell>
          <cell r="AW1193">
            <v>0</v>
          </cell>
        </row>
        <row r="1194">
          <cell r="B1194">
            <v>4788</v>
          </cell>
          <cell r="C1194" t="str">
            <v>CL_89_</v>
          </cell>
          <cell r="D1194" t="str">
            <v>Rancho La Cuchilla No. 89</v>
          </cell>
          <cell r="E1194" t="str">
            <v>Gálvez</v>
          </cell>
          <cell r="F1194">
            <v>300</v>
          </cell>
          <cell r="G1194">
            <v>1</v>
          </cell>
          <cell r="H1194">
            <v>300</v>
          </cell>
          <cell r="I1194">
            <v>41399</v>
          </cell>
          <cell r="J1194">
            <v>0</v>
          </cell>
          <cell r="W1194">
            <v>0</v>
          </cell>
          <cell r="AB1194">
            <v>300</v>
          </cell>
          <cell r="AJ1194">
            <v>300</v>
          </cell>
          <cell r="AW1194">
            <v>0</v>
          </cell>
        </row>
        <row r="1195">
          <cell r="B1195">
            <v>4789</v>
          </cell>
          <cell r="C1195" t="str">
            <v>RV_173_</v>
          </cell>
          <cell r="D1195" t="str">
            <v>Rancho Recoveco No. 173</v>
          </cell>
          <cell r="E1195" t="str">
            <v>Velarde</v>
          </cell>
          <cell r="F1195">
            <v>300</v>
          </cell>
          <cell r="G1195">
            <v>1</v>
          </cell>
          <cell r="H1195">
            <v>300</v>
          </cell>
          <cell r="I1195">
            <v>41399</v>
          </cell>
          <cell r="J1195">
            <v>0</v>
          </cell>
          <cell r="W1195">
            <v>0</v>
          </cell>
          <cell r="AB1195">
            <v>300</v>
          </cell>
          <cell r="AJ1195">
            <v>300</v>
          </cell>
          <cell r="AW1195">
            <v>0</v>
          </cell>
        </row>
        <row r="1196">
          <cell r="B1196">
            <v>4790</v>
          </cell>
          <cell r="C1196" t="str">
            <v>UP_47_</v>
          </cell>
          <cell r="D1196" t="str">
            <v>Rancho Upácuaro No. 47</v>
          </cell>
          <cell r="E1196" t="str">
            <v>Flores Muñoz</v>
          </cell>
          <cell r="F1196">
            <v>300</v>
          </cell>
          <cell r="G1196">
            <v>4</v>
          </cell>
          <cell r="H1196">
            <v>320</v>
          </cell>
          <cell r="I1196">
            <v>41399</v>
          </cell>
          <cell r="J1196" t="str">
            <v>NO SUMA</v>
          </cell>
          <cell r="W1196">
            <v>0</v>
          </cell>
          <cell r="AJ1196">
            <v>0</v>
          </cell>
          <cell r="AW1196">
            <v>0</v>
          </cell>
        </row>
        <row r="1197">
          <cell r="B1197">
            <v>4791</v>
          </cell>
          <cell r="C1197" t="str">
            <v>UP_100_</v>
          </cell>
          <cell r="D1197" t="str">
            <v>Rancho Upácuaro No. 100</v>
          </cell>
          <cell r="E1197" t="str">
            <v>Mancera Rodríguez</v>
          </cell>
          <cell r="F1197">
            <v>300</v>
          </cell>
          <cell r="G1197">
            <v>1</v>
          </cell>
          <cell r="H1197">
            <v>300</v>
          </cell>
          <cell r="I1197">
            <v>41399</v>
          </cell>
          <cell r="J1197">
            <v>0</v>
          </cell>
          <cell r="W1197">
            <v>0</v>
          </cell>
          <cell r="AB1197">
            <v>300</v>
          </cell>
          <cell r="AJ1197">
            <v>300</v>
          </cell>
          <cell r="AW1197">
            <v>0</v>
          </cell>
        </row>
        <row r="1198">
          <cell r="B1198">
            <v>4792</v>
          </cell>
          <cell r="D1198" t="str">
            <v/>
          </cell>
          <cell r="E1198" t="str">
            <v/>
          </cell>
          <cell r="F1198" t="str">
            <v/>
          </cell>
          <cell r="G1198">
            <v>8</v>
          </cell>
          <cell r="I1198">
            <v>41399</v>
          </cell>
          <cell r="J1198" t="str">
            <v>NO SUMA</v>
          </cell>
          <cell r="W1198">
            <v>0</v>
          </cell>
          <cell r="AJ1198">
            <v>0</v>
          </cell>
          <cell r="AW1198">
            <v>0</v>
          </cell>
        </row>
        <row r="1199">
          <cell r="B1199">
            <v>4793</v>
          </cell>
          <cell r="C1199" t="str">
            <v>UP_32_</v>
          </cell>
          <cell r="D1199" t="str">
            <v>Rancho Upácuaro No. 32</v>
          </cell>
          <cell r="E1199" t="str">
            <v>Sairafi Carmen</v>
          </cell>
          <cell r="F1199">
            <v>300</v>
          </cell>
          <cell r="G1199">
            <v>1</v>
          </cell>
          <cell r="H1199">
            <v>300</v>
          </cell>
          <cell r="I1199">
            <v>41399</v>
          </cell>
          <cell r="J1199">
            <v>0</v>
          </cell>
          <cell r="W1199">
            <v>0</v>
          </cell>
          <cell r="AB1199">
            <v>300</v>
          </cell>
          <cell r="AJ1199">
            <v>300</v>
          </cell>
          <cell r="AW1199">
            <v>0</v>
          </cell>
        </row>
        <row r="1200">
          <cell r="B1200">
            <v>4794</v>
          </cell>
          <cell r="C1200" t="str">
            <v>UP_93_</v>
          </cell>
          <cell r="D1200" t="str">
            <v>Rancho Upácuaro No. 93</v>
          </cell>
          <cell r="E1200" t="str">
            <v>Valdés</v>
          </cell>
          <cell r="F1200">
            <v>300</v>
          </cell>
          <cell r="G1200">
            <v>1</v>
          </cell>
          <cell r="H1200">
            <v>300</v>
          </cell>
          <cell r="I1200">
            <v>41399</v>
          </cell>
          <cell r="J1200">
            <v>0</v>
          </cell>
          <cell r="W1200">
            <v>0</v>
          </cell>
          <cell r="AB1200">
            <v>300</v>
          </cell>
          <cell r="AJ1200">
            <v>300</v>
          </cell>
          <cell r="AW1200">
            <v>0</v>
          </cell>
        </row>
        <row r="1201">
          <cell r="B1201">
            <v>4795</v>
          </cell>
          <cell r="C1201" t="str">
            <v>UP_140_</v>
          </cell>
          <cell r="D1201" t="str">
            <v>Rancho Upácuaro No. 140</v>
          </cell>
          <cell r="E1201" t="str">
            <v>Gozain</v>
          </cell>
          <cell r="F1201">
            <v>300</v>
          </cell>
          <cell r="G1201">
            <v>1</v>
          </cell>
          <cell r="H1201">
            <v>300</v>
          </cell>
          <cell r="I1201">
            <v>41399</v>
          </cell>
          <cell r="J1201">
            <v>0</v>
          </cell>
          <cell r="W1201">
            <v>0</v>
          </cell>
          <cell r="AB1201">
            <v>300</v>
          </cell>
          <cell r="AJ1201">
            <v>300</v>
          </cell>
          <cell r="AW1201">
            <v>0</v>
          </cell>
        </row>
        <row r="1202">
          <cell r="B1202">
            <v>4796</v>
          </cell>
          <cell r="C1202" t="str">
            <v>RV_195_</v>
          </cell>
          <cell r="D1202" t="str">
            <v>Rancho Recoveco No. 195</v>
          </cell>
          <cell r="E1202" t="str">
            <v>Sandoval</v>
          </cell>
          <cell r="F1202">
            <v>300</v>
          </cell>
          <cell r="G1202">
            <v>1</v>
          </cell>
          <cell r="H1202">
            <v>300</v>
          </cell>
          <cell r="I1202">
            <v>41399</v>
          </cell>
          <cell r="J1202">
            <v>0</v>
          </cell>
          <cell r="W1202">
            <v>0</v>
          </cell>
          <cell r="AB1202">
            <v>300</v>
          </cell>
          <cell r="AJ1202">
            <v>300</v>
          </cell>
          <cell r="AW1202">
            <v>0</v>
          </cell>
        </row>
        <row r="1203">
          <cell r="B1203">
            <v>4797</v>
          </cell>
          <cell r="C1203" t="str">
            <v>CL_42_</v>
          </cell>
          <cell r="D1203" t="str">
            <v>Rancho La Cuchilla No. 42</v>
          </cell>
          <cell r="E1203" t="str">
            <v>Mac Kinney</v>
          </cell>
          <cell r="F1203">
            <v>300</v>
          </cell>
          <cell r="G1203">
            <v>1</v>
          </cell>
          <cell r="H1203">
            <v>300</v>
          </cell>
          <cell r="I1203">
            <v>41399</v>
          </cell>
          <cell r="J1203">
            <v>0</v>
          </cell>
          <cell r="W1203">
            <v>0</v>
          </cell>
          <cell r="AB1203">
            <v>300</v>
          </cell>
          <cell r="AJ1203">
            <v>300</v>
          </cell>
          <cell r="AW1203">
            <v>0</v>
          </cell>
        </row>
        <row r="1204">
          <cell r="B1204">
            <v>4798</v>
          </cell>
          <cell r="C1204" t="str">
            <v>ZB_20_</v>
          </cell>
          <cell r="D1204" t="str">
            <v>Rancho Zinamba No. 20</v>
          </cell>
          <cell r="E1204" t="str">
            <v>Alegre Retana</v>
          </cell>
          <cell r="F1204">
            <v>300</v>
          </cell>
          <cell r="G1204">
            <v>1</v>
          </cell>
          <cell r="H1204">
            <v>300</v>
          </cell>
          <cell r="I1204">
            <v>41399</v>
          </cell>
          <cell r="J1204">
            <v>0</v>
          </cell>
          <cell r="W1204">
            <v>0</v>
          </cell>
          <cell r="AB1204">
            <v>300</v>
          </cell>
          <cell r="AJ1204">
            <v>300</v>
          </cell>
          <cell r="AW1204">
            <v>0</v>
          </cell>
        </row>
        <row r="1205">
          <cell r="B1205">
            <v>4799</v>
          </cell>
          <cell r="C1205" t="str">
            <v>CL_47_</v>
          </cell>
          <cell r="D1205" t="str">
            <v>Rancho La Cuchilla No. 47</v>
          </cell>
          <cell r="E1205" t="str">
            <v>López</v>
          </cell>
          <cell r="F1205">
            <v>300</v>
          </cell>
          <cell r="G1205">
            <v>1</v>
          </cell>
          <cell r="H1205">
            <v>600</v>
          </cell>
          <cell r="I1205">
            <v>41399</v>
          </cell>
          <cell r="J1205">
            <v>0</v>
          </cell>
          <cell r="W1205">
            <v>0</v>
          </cell>
          <cell r="AA1205">
            <v>300</v>
          </cell>
          <cell r="AB1205">
            <v>300</v>
          </cell>
          <cell r="AJ1205">
            <v>600</v>
          </cell>
          <cell r="AW1205">
            <v>0</v>
          </cell>
        </row>
        <row r="1206">
          <cell r="B1206">
            <v>4800</v>
          </cell>
          <cell r="C1206" t="str">
            <v>RV_173_</v>
          </cell>
          <cell r="D1206" t="str">
            <v>Rancho Recoveco No. 173</v>
          </cell>
          <cell r="E1206" t="str">
            <v>Velarde</v>
          </cell>
          <cell r="F1206">
            <v>300</v>
          </cell>
          <cell r="G1206">
            <v>4</v>
          </cell>
          <cell r="H1206">
            <v>160</v>
          </cell>
          <cell r="I1206">
            <v>41399</v>
          </cell>
          <cell r="J1206" t="str">
            <v>NO SUMA</v>
          </cell>
          <cell r="W1206">
            <v>0</v>
          </cell>
          <cell r="AJ1206">
            <v>0</v>
          </cell>
          <cell r="AW1206">
            <v>0</v>
          </cell>
        </row>
        <row r="1207">
          <cell r="B1207">
            <v>4801</v>
          </cell>
          <cell r="C1207" t="str">
            <v>EZ_37_</v>
          </cell>
          <cell r="D1207" t="str">
            <v>Rancho Estanzuela No. 37</v>
          </cell>
          <cell r="E1207" t="str">
            <v>Cabello Eduardo</v>
          </cell>
          <cell r="F1207">
            <v>300</v>
          </cell>
          <cell r="G1207">
            <v>1</v>
          </cell>
          <cell r="H1207">
            <v>300</v>
          </cell>
          <cell r="I1207">
            <v>41399</v>
          </cell>
          <cell r="J1207">
            <v>0</v>
          </cell>
          <cell r="W1207">
            <v>0</v>
          </cell>
          <cell r="AB1207">
            <v>300</v>
          </cell>
          <cell r="AJ1207">
            <v>300</v>
          </cell>
          <cell r="AW1207">
            <v>0</v>
          </cell>
        </row>
        <row r="1208">
          <cell r="B1208">
            <v>4802</v>
          </cell>
          <cell r="C1208" t="str">
            <v>LD_80_</v>
          </cell>
          <cell r="D1208" t="str">
            <v>Rancho Landero No. 80</v>
          </cell>
          <cell r="E1208" t="str">
            <v>Villaseñor</v>
          </cell>
          <cell r="F1208">
            <v>300</v>
          </cell>
          <cell r="G1208">
            <v>1</v>
          </cell>
          <cell r="H1208">
            <v>300</v>
          </cell>
          <cell r="I1208">
            <v>41399</v>
          </cell>
          <cell r="J1208">
            <v>0</v>
          </cell>
          <cell r="W1208">
            <v>0</v>
          </cell>
          <cell r="AB1208">
            <v>300</v>
          </cell>
          <cell r="AJ1208">
            <v>300</v>
          </cell>
          <cell r="AW1208">
            <v>0</v>
          </cell>
        </row>
        <row r="1209">
          <cell r="B1209">
            <v>4803</v>
          </cell>
          <cell r="C1209" t="str">
            <v>CL_45_</v>
          </cell>
          <cell r="D1209" t="str">
            <v>Rancho La Cuchilla No. 45</v>
          </cell>
          <cell r="E1209" t="str">
            <v>Estévez Hernández</v>
          </cell>
          <cell r="F1209">
            <v>300</v>
          </cell>
          <cell r="G1209">
            <v>1</v>
          </cell>
          <cell r="H1209">
            <v>300</v>
          </cell>
          <cell r="I1209">
            <v>41399</v>
          </cell>
          <cell r="J1209">
            <v>0</v>
          </cell>
          <cell r="W1209">
            <v>0</v>
          </cell>
          <cell r="AB1209">
            <v>300</v>
          </cell>
          <cell r="AJ1209">
            <v>300</v>
          </cell>
          <cell r="AW1209">
            <v>0</v>
          </cell>
        </row>
        <row r="1210">
          <cell r="B1210">
            <v>4804</v>
          </cell>
          <cell r="D1210" t="str">
            <v/>
          </cell>
          <cell r="E1210" t="str">
            <v/>
          </cell>
          <cell r="F1210" t="str">
            <v/>
          </cell>
          <cell r="G1210">
            <v>8</v>
          </cell>
          <cell r="I1210">
            <v>41399</v>
          </cell>
          <cell r="J1210" t="str">
            <v>NO SUMA</v>
          </cell>
          <cell r="W1210">
            <v>0</v>
          </cell>
          <cell r="AJ1210">
            <v>0</v>
          </cell>
          <cell r="AW1210">
            <v>0</v>
          </cell>
        </row>
        <row r="1211">
          <cell r="B1211">
            <v>4805</v>
          </cell>
          <cell r="C1211" t="str">
            <v>CL_110_</v>
          </cell>
          <cell r="D1211" t="str">
            <v>Rancho La Cuchilla No. 110</v>
          </cell>
          <cell r="E1211" t="str">
            <v>Domínguez C.</v>
          </cell>
          <cell r="F1211">
            <v>300</v>
          </cell>
          <cell r="G1211">
            <v>1</v>
          </cell>
          <cell r="H1211">
            <v>300</v>
          </cell>
          <cell r="I1211">
            <v>41399</v>
          </cell>
          <cell r="J1211">
            <v>0</v>
          </cell>
          <cell r="W1211">
            <v>0</v>
          </cell>
          <cell r="AB1211">
            <v>300</v>
          </cell>
          <cell r="AJ1211">
            <v>300</v>
          </cell>
          <cell r="AW1211">
            <v>0</v>
          </cell>
        </row>
        <row r="1212">
          <cell r="B1212">
            <v>4806</v>
          </cell>
          <cell r="C1212" t="str">
            <v>EZ_65_</v>
          </cell>
          <cell r="D1212" t="str">
            <v>Rancho Estanzuela No. 65</v>
          </cell>
          <cell r="E1212" t="str">
            <v>López Becerril</v>
          </cell>
          <cell r="F1212">
            <v>300</v>
          </cell>
          <cell r="G1212">
            <v>1</v>
          </cell>
          <cell r="H1212">
            <v>300</v>
          </cell>
          <cell r="I1212">
            <v>41399</v>
          </cell>
          <cell r="J1212">
            <v>0</v>
          </cell>
          <cell r="W1212">
            <v>0</v>
          </cell>
          <cell r="AB1212">
            <v>300</v>
          </cell>
          <cell r="AJ1212">
            <v>300</v>
          </cell>
          <cell r="AW1212">
            <v>0</v>
          </cell>
        </row>
        <row r="1213">
          <cell r="B1213">
            <v>4807</v>
          </cell>
          <cell r="C1213" t="str">
            <v>EZ_65_</v>
          </cell>
          <cell r="D1213" t="str">
            <v>Rancho Estanzuela No. 65</v>
          </cell>
          <cell r="E1213" t="str">
            <v>López Becerril</v>
          </cell>
          <cell r="F1213">
            <v>300</v>
          </cell>
          <cell r="G1213">
            <v>1</v>
          </cell>
          <cell r="H1213">
            <v>300</v>
          </cell>
          <cell r="I1213">
            <v>41399</v>
          </cell>
          <cell r="J1213">
            <v>0</v>
          </cell>
          <cell r="W1213">
            <v>0</v>
          </cell>
          <cell r="AC1213">
            <v>300</v>
          </cell>
          <cell r="AJ1213">
            <v>300</v>
          </cell>
          <cell r="AW1213">
            <v>0</v>
          </cell>
        </row>
        <row r="1214">
          <cell r="B1214">
            <v>4808</v>
          </cell>
          <cell r="C1214" t="str">
            <v>UP_18_</v>
          </cell>
          <cell r="D1214" t="str">
            <v>Rancho Upácuaro No. 18</v>
          </cell>
          <cell r="E1214" t="str">
            <v>Guzmán</v>
          </cell>
          <cell r="F1214">
            <v>300</v>
          </cell>
          <cell r="G1214">
            <v>1</v>
          </cell>
          <cell r="H1214">
            <v>300</v>
          </cell>
          <cell r="I1214">
            <v>41399</v>
          </cell>
          <cell r="J1214">
            <v>0</v>
          </cell>
          <cell r="W1214">
            <v>0</v>
          </cell>
          <cell r="AB1214">
            <v>300</v>
          </cell>
          <cell r="AJ1214">
            <v>300</v>
          </cell>
          <cell r="AW1214">
            <v>0</v>
          </cell>
        </row>
        <row r="1215">
          <cell r="B1215">
            <v>4809</v>
          </cell>
          <cell r="C1215" t="str">
            <v>CL_96_</v>
          </cell>
          <cell r="D1215" t="str">
            <v>Rancho La Cuchilla No. 96</v>
          </cell>
          <cell r="E1215" t="str">
            <v>Valdez Álvarez</v>
          </cell>
          <cell r="F1215">
            <v>300</v>
          </cell>
          <cell r="G1215">
            <v>1</v>
          </cell>
          <cell r="H1215">
            <v>3600</v>
          </cell>
          <cell r="I1215">
            <v>41399</v>
          </cell>
          <cell r="J1215">
            <v>0</v>
          </cell>
          <cell r="W1215">
            <v>0</v>
          </cell>
          <cell r="X1215">
            <v>300</v>
          </cell>
          <cell r="Y1215">
            <v>300</v>
          </cell>
          <cell r="Z1215">
            <v>300</v>
          </cell>
          <cell r="AA1215">
            <v>300</v>
          </cell>
          <cell r="AB1215">
            <v>300</v>
          </cell>
          <cell r="AC1215">
            <v>300</v>
          </cell>
          <cell r="AD1215">
            <v>300</v>
          </cell>
          <cell r="AE1215">
            <v>300</v>
          </cell>
          <cell r="AF1215">
            <v>300</v>
          </cell>
          <cell r="AG1215">
            <v>300</v>
          </cell>
          <cell r="AH1215">
            <v>300</v>
          </cell>
          <cell r="AI1215">
            <v>300</v>
          </cell>
          <cell r="AJ1215">
            <v>3600</v>
          </cell>
          <cell r="AW1215">
            <v>0</v>
          </cell>
        </row>
        <row r="1216">
          <cell r="B1216">
            <v>4809</v>
          </cell>
          <cell r="C1216" t="str">
            <v>CL_96_</v>
          </cell>
          <cell r="D1216" t="str">
            <v>Rancho La Cuchilla No. 96</v>
          </cell>
          <cell r="E1216" t="str">
            <v>Valdez Álvarez</v>
          </cell>
          <cell r="F1216">
            <v>300</v>
          </cell>
          <cell r="G1216">
            <v>3</v>
          </cell>
          <cell r="H1216">
            <v>450</v>
          </cell>
          <cell r="I1216">
            <v>41399</v>
          </cell>
          <cell r="J1216" t="str">
            <v>NO SUMA</v>
          </cell>
          <cell r="W1216">
            <v>0</v>
          </cell>
          <cell r="AJ1216">
            <v>0</v>
          </cell>
          <cell r="AW1216">
            <v>0</v>
          </cell>
        </row>
        <row r="1217">
          <cell r="B1217">
            <v>4809</v>
          </cell>
          <cell r="C1217" t="str">
            <v>CL_96_</v>
          </cell>
          <cell r="D1217" t="str">
            <v>Rancho La Cuchilla No. 96</v>
          </cell>
          <cell r="E1217" t="str">
            <v>Valdez Álvarez</v>
          </cell>
          <cell r="F1217">
            <v>300</v>
          </cell>
          <cell r="G1217">
            <v>4</v>
          </cell>
          <cell r="H1217">
            <v>320</v>
          </cell>
          <cell r="I1217">
            <v>41399</v>
          </cell>
          <cell r="J1217" t="str">
            <v>NO SUMA</v>
          </cell>
          <cell r="W1217">
            <v>0</v>
          </cell>
          <cell r="AJ1217">
            <v>0</v>
          </cell>
          <cell r="AW1217">
            <v>0</v>
          </cell>
        </row>
        <row r="1218">
          <cell r="B1218">
            <v>4810</v>
          </cell>
          <cell r="C1218" t="str">
            <v>LD_45_</v>
          </cell>
          <cell r="D1218" t="str">
            <v>Rancho Landero No. 45</v>
          </cell>
          <cell r="E1218" t="str">
            <v>Almazán</v>
          </cell>
          <cell r="F1218">
            <v>250</v>
          </cell>
          <cell r="G1218">
            <v>1</v>
          </cell>
          <cell r="H1218">
            <v>250</v>
          </cell>
          <cell r="I1218">
            <v>41399</v>
          </cell>
          <cell r="J1218">
            <v>0</v>
          </cell>
          <cell r="W1218">
            <v>0</v>
          </cell>
          <cell r="AA1218">
            <v>250</v>
          </cell>
          <cell r="AJ1218">
            <v>250</v>
          </cell>
          <cell r="AW1218">
            <v>0</v>
          </cell>
        </row>
        <row r="1219">
          <cell r="B1219">
            <v>4811</v>
          </cell>
          <cell r="C1219" t="str">
            <v>UP_108_</v>
          </cell>
          <cell r="D1219" t="str">
            <v>Rancho Upácuaro No. 108</v>
          </cell>
          <cell r="E1219" t="str">
            <v>Mejía</v>
          </cell>
          <cell r="F1219">
            <v>300</v>
          </cell>
          <cell r="G1219">
            <v>1</v>
          </cell>
          <cell r="H1219">
            <v>300</v>
          </cell>
          <cell r="I1219">
            <v>41399</v>
          </cell>
          <cell r="J1219">
            <v>0</v>
          </cell>
          <cell r="W1219">
            <v>0</v>
          </cell>
          <cell r="AB1219">
            <v>300</v>
          </cell>
          <cell r="AJ1219">
            <v>300</v>
          </cell>
          <cell r="AW1219">
            <v>0</v>
          </cell>
        </row>
        <row r="1220">
          <cell r="B1220">
            <v>4812</v>
          </cell>
          <cell r="C1220" t="str">
            <v>CL_92_</v>
          </cell>
          <cell r="D1220" t="str">
            <v>Rancho La Cuchilla No. 92</v>
          </cell>
          <cell r="E1220" t="str">
            <v>Cabrera</v>
          </cell>
          <cell r="F1220">
            <v>300</v>
          </cell>
          <cell r="G1220">
            <v>1</v>
          </cell>
          <cell r="H1220">
            <v>300</v>
          </cell>
          <cell r="I1220">
            <v>41399</v>
          </cell>
          <cell r="J1220">
            <v>0</v>
          </cell>
          <cell r="W1220">
            <v>0</v>
          </cell>
          <cell r="AB1220">
            <v>300</v>
          </cell>
          <cell r="AJ1220">
            <v>300</v>
          </cell>
          <cell r="AW1220">
            <v>0</v>
          </cell>
        </row>
        <row r="1221">
          <cell r="B1221">
            <v>4813</v>
          </cell>
          <cell r="C1221" t="str">
            <v>EZ_11_B</v>
          </cell>
          <cell r="D1221" t="str">
            <v>Rancho Estanzuela No. 11, B</v>
          </cell>
          <cell r="E1221" t="str">
            <v>Gómez Miguel</v>
          </cell>
          <cell r="F1221">
            <v>200</v>
          </cell>
          <cell r="G1221">
            <v>1</v>
          </cell>
          <cell r="H1221">
            <v>200</v>
          </cell>
          <cell r="I1221">
            <v>41399</v>
          </cell>
          <cell r="J1221">
            <v>0</v>
          </cell>
          <cell r="W1221">
            <v>0</v>
          </cell>
          <cell r="AB1221">
            <v>200</v>
          </cell>
          <cell r="AJ1221">
            <v>200</v>
          </cell>
          <cell r="AW1221">
            <v>0</v>
          </cell>
        </row>
        <row r="1222">
          <cell r="B1222">
            <v>4814</v>
          </cell>
          <cell r="C1222" t="str">
            <v>LD_42_</v>
          </cell>
          <cell r="D1222" t="str">
            <v>Rancho Landero No. 42</v>
          </cell>
          <cell r="E1222" t="str">
            <v>Ávila Fidel</v>
          </cell>
          <cell r="F1222">
            <v>300</v>
          </cell>
          <cell r="G1222">
            <v>1</v>
          </cell>
          <cell r="H1222">
            <v>300</v>
          </cell>
          <cell r="I1222">
            <v>41399</v>
          </cell>
          <cell r="J1222">
            <v>0</v>
          </cell>
          <cell r="W1222">
            <v>0</v>
          </cell>
          <cell r="AB1222">
            <v>300</v>
          </cell>
          <cell r="AJ1222">
            <v>300</v>
          </cell>
          <cell r="AW1222">
            <v>0</v>
          </cell>
        </row>
        <row r="1223">
          <cell r="B1223">
            <v>4815</v>
          </cell>
          <cell r="C1223" t="str">
            <v>UP_87_</v>
          </cell>
          <cell r="D1223" t="str">
            <v>Rancho Upácuaro No. 87</v>
          </cell>
          <cell r="E1223" t="str">
            <v>Rodríguez Parés</v>
          </cell>
          <cell r="F1223">
            <v>300</v>
          </cell>
          <cell r="G1223">
            <v>1</v>
          </cell>
          <cell r="H1223">
            <v>300</v>
          </cell>
          <cell r="I1223">
            <v>41399</v>
          </cell>
          <cell r="J1223">
            <v>0</v>
          </cell>
          <cell r="W1223">
            <v>0</v>
          </cell>
          <cell r="AB1223">
            <v>300</v>
          </cell>
          <cell r="AJ1223">
            <v>300</v>
          </cell>
          <cell r="AW1223">
            <v>0</v>
          </cell>
        </row>
        <row r="1224">
          <cell r="B1224">
            <v>4816</v>
          </cell>
          <cell r="C1224" t="str">
            <v>LD_69_</v>
          </cell>
          <cell r="D1224" t="str">
            <v>Rancho Landero No. 69</v>
          </cell>
          <cell r="E1224" t="str">
            <v>Gómez Ayala</v>
          </cell>
          <cell r="F1224">
            <v>300</v>
          </cell>
          <cell r="G1224">
            <v>1</v>
          </cell>
          <cell r="H1224">
            <v>300</v>
          </cell>
          <cell r="I1224">
            <v>41399</v>
          </cell>
          <cell r="J1224">
            <v>0</v>
          </cell>
          <cell r="W1224">
            <v>0</v>
          </cell>
          <cell r="AB1224">
            <v>300</v>
          </cell>
          <cell r="AJ1224">
            <v>300</v>
          </cell>
          <cell r="AW1224">
            <v>0</v>
          </cell>
        </row>
        <row r="1225">
          <cell r="B1225">
            <v>4817</v>
          </cell>
          <cell r="C1225" t="str">
            <v>CL_117_</v>
          </cell>
          <cell r="D1225" t="str">
            <v>Rancho La Cuchilla No. 117</v>
          </cell>
          <cell r="E1225" t="str">
            <v>Gómez</v>
          </cell>
          <cell r="F1225">
            <v>300</v>
          </cell>
          <cell r="G1225">
            <v>1</v>
          </cell>
          <cell r="H1225">
            <v>900</v>
          </cell>
          <cell r="I1225">
            <v>41399</v>
          </cell>
          <cell r="J1225">
            <v>0</v>
          </cell>
          <cell r="W1225">
            <v>0</v>
          </cell>
          <cell r="AB1225">
            <v>300</v>
          </cell>
          <cell r="AC1225">
            <v>300</v>
          </cell>
          <cell r="AD1225">
            <v>300</v>
          </cell>
          <cell r="AJ1225">
            <v>900</v>
          </cell>
          <cell r="AW1225">
            <v>0</v>
          </cell>
        </row>
        <row r="1226">
          <cell r="B1226">
            <v>4817</v>
          </cell>
          <cell r="C1226" t="str">
            <v>CL_117_</v>
          </cell>
          <cell r="D1226" t="str">
            <v>Rancho La Cuchilla No. 117</v>
          </cell>
          <cell r="E1226" t="str">
            <v>Gómez</v>
          </cell>
          <cell r="F1226">
            <v>300</v>
          </cell>
          <cell r="G1226">
            <v>4</v>
          </cell>
          <cell r="H1226">
            <v>160</v>
          </cell>
          <cell r="I1226">
            <v>41399</v>
          </cell>
          <cell r="J1226" t="str">
            <v>NO SUMA</v>
          </cell>
          <cell r="W1226">
            <v>0</v>
          </cell>
          <cell r="AJ1226">
            <v>0</v>
          </cell>
          <cell r="AW1226">
            <v>0</v>
          </cell>
        </row>
        <row r="1227">
          <cell r="B1227">
            <v>4818</v>
          </cell>
          <cell r="C1227" t="str">
            <v>UP_118_</v>
          </cell>
          <cell r="D1227" t="str">
            <v>Rancho Upácuaro No. 118</v>
          </cell>
          <cell r="E1227" t="str">
            <v>Siegrist</v>
          </cell>
          <cell r="F1227">
            <v>300</v>
          </cell>
          <cell r="G1227">
            <v>1</v>
          </cell>
          <cell r="H1227">
            <v>300</v>
          </cell>
          <cell r="I1227">
            <v>41399</v>
          </cell>
          <cell r="J1227">
            <v>0</v>
          </cell>
          <cell r="W1227">
            <v>0</v>
          </cell>
          <cell r="AB1227">
            <v>300</v>
          </cell>
          <cell r="AJ1227">
            <v>300</v>
          </cell>
          <cell r="AW1227">
            <v>0</v>
          </cell>
        </row>
        <row r="1228">
          <cell r="B1228">
            <v>4818</v>
          </cell>
          <cell r="C1228" t="str">
            <v>UP_118_</v>
          </cell>
          <cell r="D1228" t="str">
            <v>Rancho Upácuaro No. 118</v>
          </cell>
          <cell r="E1228" t="str">
            <v>Siegrist</v>
          </cell>
          <cell r="F1228">
            <v>300</v>
          </cell>
          <cell r="G1228">
            <v>4</v>
          </cell>
          <cell r="H1228">
            <v>160</v>
          </cell>
          <cell r="I1228">
            <v>41399</v>
          </cell>
          <cell r="J1228" t="str">
            <v>NO SUMA</v>
          </cell>
          <cell r="W1228">
            <v>0</v>
          </cell>
          <cell r="AJ1228">
            <v>0</v>
          </cell>
          <cell r="AW1228">
            <v>0</v>
          </cell>
        </row>
        <row r="1229">
          <cell r="B1229">
            <v>4819</v>
          </cell>
          <cell r="C1229" t="str">
            <v>ZB_24_</v>
          </cell>
          <cell r="D1229" t="str">
            <v>Rancho Zinamba No. 24</v>
          </cell>
          <cell r="E1229" t="str">
            <v>Monroy García</v>
          </cell>
          <cell r="F1229">
            <v>300</v>
          </cell>
          <cell r="G1229">
            <v>1</v>
          </cell>
          <cell r="H1229">
            <v>600</v>
          </cell>
          <cell r="I1229">
            <v>41399</v>
          </cell>
          <cell r="J1229">
            <v>0</v>
          </cell>
          <cell r="W1229">
            <v>0</v>
          </cell>
          <cell r="Z1229">
            <v>300</v>
          </cell>
          <cell r="AA1229">
            <v>300</v>
          </cell>
          <cell r="AJ1229">
            <v>600</v>
          </cell>
          <cell r="AW1229">
            <v>0</v>
          </cell>
        </row>
        <row r="1230">
          <cell r="B1230">
            <v>4820</v>
          </cell>
          <cell r="C1230" t="str">
            <v>UP_142_</v>
          </cell>
          <cell r="D1230" t="str">
            <v>Rancho Upácuaro No. 142</v>
          </cell>
          <cell r="E1230" t="str">
            <v>Fierro Villaneda</v>
          </cell>
          <cell r="F1230">
            <v>300</v>
          </cell>
          <cell r="G1230">
            <v>1</v>
          </cell>
          <cell r="H1230">
            <v>1800</v>
          </cell>
          <cell r="I1230">
            <v>41399</v>
          </cell>
          <cell r="J1230">
            <v>0</v>
          </cell>
          <cell r="W1230">
            <v>0</v>
          </cell>
          <cell r="AD1230">
            <v>300</v>
          </cell>
          <cell r="AE1230">
            <v>300</v>
          </cell>
          <cell r="AF1230">
            <v>300</v>
          </cell>
          <cell r="AG1230">
            <v>300</v>
          </cell>
          <cell r="AH1230">
            <v>300</v>
          </cell>
          <cell r="AI1230">
            <v>300</v>
          </cell>
          <cell r="AJ1230">
            <v>1800</v>
          </cell>
          <cell r="AW1230">
            <v>0</v>
          </cell>
        </row>
        <row r="1231">
          <cell r="B1231">
            <v>4821</v>
          </cell>
          <cell r="C1231" t="str">
            <v>UP_65_</v>
          </cell>
          <cell r="D1231" t="str">
            <v>Rancho Upácuaro No. 65</v>
          </cell>
          <cell r="E1231" t="str">
            <v>Olguín</v>
          </cell>
          <cell r="F1231">
            <v>300</v>
          </cell>
          <cell r="G1231">
            <v>1</v>
          </cell>
          <cell r="H1231">
            <v>300</v>
          </cell>
          <cell r="I1231">
            <v>41399</v>
          </cell>
          <cell r="J1231">
            <v>0</v>
          </cell>
          <cell r="W1231">
            <v>0</v>
          </cell>
          <cell r="AB1231">
            <v>300</v>
          </cell>
          <cell r="AJ1231">
            <v>300</v>
          </cell>
          <cell r="AW1231">
            <v>0</v>
          </cell>
        </row>
        <row r="1232">
          <cell r="B1232">
            <v>4822</v>
          </cell>
          <cell r="C1232" t="str">
            <v>ZB_44_</v>
          </cell>
          <cell r="D1232" t="str">
            <v>Rancho Zinamba No. 44</v>
          </cell>
          <cell r="E1232" t="str">
            <v>Canales</v>
          </cell>
          <cell r="F1232">
            <v>300</v>
          </cell>
          <cell r="G1232">
            <v>1</v>
          </cell>
          <cell r="H1232">
            <v>300</v>
          </cell>
          <cell r="I1232">
            <v>41399</v>
          </cell>
          <cell r="J1232">
            <v>0</v>
          </cell>
          <cell r="W1232">
            <v>0</v>
          </cell>
          <cell r="AB1232">
            <v>300</v>
          </cell>
          <cell r="AJ1232">
            <v>300</v>
          </cell>
          <cell r="AW1232">
            <v>0</v>
          </cell>
        </row>
        <row r="1233">
          <cell r="B1233">
            <v>4823</v>
          </cell>
          <cell r="C1233" t="str">
            <v>UP_76_</v>
          </cell>
          <cell r="D1233" t="str">
            <v>Rancho Upácuaro No. 76</v>
          </cell>
          <cell r="E1233" t="str">
            <v>Ruiz de San Pedro</v>
          </cell>
          <cell r="F1233">
            <v>300</v>
          </cell>
          <cell r="G1233">
            <v>1</v>
          </cell>
          <cell r="H1233">
            <v>300</v>
          </cell>
          <cell r="I1233">
            <v>41399</v>
          </cell>
          <cell r="J1233">
            <v>0</v>
          </cell>
          <cell r="W1233">
            <v>0</v>
          </cell>
          <cell r="AB1233">
            <v>300</v>
          </cell>
          <cell r="AJ1233">
            <v>300</v>
          </cell>
          <cell r="AW1233">
            <v>0</v>
          </cell>
        </row>
        <row r="1234">
          <cell r="B1234">
            <v>4824</v>
          </cell>
          <cell r="C1234" t="str">
            <v>UP_88_</v>
          </cell>
          <cell r="D1234" t="str">
            <v>Rancho Upácuaro No. 88</v>
          </cell>
          <cell r="E1234" t="str">
            <v>Millán Núñez</v>
          </cell>
          <cell r="F1234">
            <v>300</v>
          </cell>
          <cell r="G1234">
            <v>1</v>
          </cell>
          <cell r="H1234">
            <v>300</v>
          </cell>
          <cell r="I1234">
            <v>41399</v>
          </cell>
          <cell r="J1234">
            <v>0</v>
          </cell>
          <cell r="W1234">
            <v>0</v>
          </cell>
          <cell r="AB1234">
            <v>300</v>
          </cell>
          <cell r="AJ1234">
            <v>300</v>
          </cell>
          <cell r="AW1234">
            <v>0</v>
          </cell>
        </row>
        <row r="1235">
          <cell r="B1235">
            <v>4825</v>
          </cell>
          <cell r="C1235" t="str">
            <v>UP_47_</v>
          </cell>
          <cell r="D1235" t="str">
            <v>Rancho Upácuaro No. 47</v>
          </cell>
          <cell r="E1235" t="str">
            <v>Flores Muñoz</v>
          </cell>
          <cell r="F1235">
            <v>300</v>
          </cell>
          <cell r="G1235">
            <v>1</v>
          </cell>
          <cell r="H1235">
            <v>300</v>
          </cell>
          <cell r="I1235">
            <v>41399</v>
          </cell>
          <cell r="J1235">
            <v>0</v>
          </cell>
          <cell r="W1235">
            <v>0</v>
          </cell>
          <cell r="AB1235">
            <v>300</v>
          </cell>
          <cell r="AJ1235">
            <v>300</v>
          </cell>
          <cell r="AW1235">
            <v>0</v>
          </cell>
        </row>
        <row r="1236">
          <cell r="B1236">
            <v>4826</v>
          </cell>
          <cell r="C1236" t="str">
            <v>RV_175_0</v>
          </cell>
          <cell r="D1236" t="str">
            <v>Rancho Recoveco No. 175</v>
          </cell>
          <cell r="E1236" t="str">
            <v>Ramírez</v>
          </cell>
          <cell r="F1236">
            <v>300</v>
          </cell>
          <cell r="G1236">
            <v>1</v>
          </cell>
          <cell r="H1236">
            <v>300</v>
          </cell>
          <cell r="I1236">
            <v>41399</v>
          </cell>
          <cell r="J1236">
            <v>0</v>
          </cell>
          <cell r="W1236">
            <v>0</v>
          </cell>
          <cell r="AB1236">
            <v>300</v>
          </cell>
          <cell r="AJ1236">
            <v>300</v>
          </cell>
          <cell r="AW1236">
            <v>0</v>
          </cell>
        </row>
        <row r="1237">
          <cell r="B1237">
            <v>4827</v>
          </cell>
          <cell r="C1237" t="str">
            <v>LD_69_</v>
          </cell>
          <cell r="D1237" t="str">
            <v>Rancho Landero No. 69</v>
          </cell>
          <cell r="E1237" t="str">
            <v>Gómez Ayala</v>
          </cell>
          <cell r="F1237">
            <v>300</v>
          </cell>
          <cell r="G1237">
            <v>5</v>
          </cell>
          <cell r="H1237">
            <v>20</v>
          </cell>
          <cell r="I1237">
            <v>41399</v>
          </cell>
          <cell r="J1237" t="str">
            <v>NO SUMA</v>
          </cell>
          <cell r="W1237">
            <v>0</v>
          </cell>
          <cell r="AJ1237">
            <v>0</v>
          </cell>
          <cell r="AW1237">
            <v>0</v>
          </cell>
        </row>
        <row r="1238">
          <cell r="B1238">
            <v>4828</v>
          </cell>
          <cell r="C1238" t="str">
            <v>ZB_56_</v>
          </cell>
          <cell r="D1238" t="str">
            <v>Rancho Zinamba No. 56</v>
          </cell>
          <cell r="E1238" t="str">
            <v>Aguado</v>
          </cell>
          <cell r="F1238">
            <v>250</v>
          </cell>
          <cell r="G1238">
            <v>1</v>
          </cell>
          <cell r="H1238">
            <v>500</v>
          </cell>
          <cell r="I1238">
            <v>41399</v>
          </cell>
          <cell r="J1238">
            <v>0</v>
          </cell>
          <cell r="W1238">
            <v>0</v>
          </cell>
          <cell r="AA1238">
            <v>250</v>
          </cell>
          <cell r="AB1238">
            <v>250</v>
          </cell>
          <cell r="AJ1238">
            <v>500</v>
          </cell>
          <cell r="AW1238">
            <v>0</v>
          </cell>
        </row>
        <row r="1239">
          <cell r="B1239">
            <v>4829</v>
          </cell>
          <cell r="C1239" t="str">
            <v>CL_41_</v>
          </cell>
          <cell r="D1239" t="str">
            <v>Rancho La Cuchilla No. 41</v>
          </cell>
          <cell r="E1239" t="str">
            <v>Arriaga Lemus</v>
          </cell>
          <cell r="F1239">
            <v>250</v>
          </cell>
          <cell r="G1239">
            <v>1</v>
          </cell>
          <cell r="H1239">
            <v>250</v>
          </cell>
          <cell r="I1239">
            <v>41399</v>
          </cell>
          <cell r="J1239">
            <v>0</v>
          </cell>
          <cell r="W1239">
            <v>0</v>
          </cell>
          <cell r="AB1239">
            <v>250</v>
          </cell>
          <cell r="AJ1239">
            <v>250</v>
          </cell>
          <cell r="AW1239">
            <v>0</v>
          </cell>
        </row>
        <row r="1240">
          <cell r="B1240">
            <v>4830</v>
          </cell>
          <cell r="C1240" t="str">
            <v>CL_81_A</v>
          </cell>
          <cell r="D1240" t="str">
            <v>Rancho La Cuchilla No. 81, A</v>
          </cell>
          <cell r="E1240" t="str">
            <v>Barrientos López</v>
          </cell>
          <cell r="F1240">
            <v>300</v>
          </cell>
          <cell r="G1240">
            <v>1</v>
          </cell>
          <cell r="H1240">
            <v>300</v>
          </cell>
          <cell r="I1240">
            <v>41399</v>
          </cell>
          <cell r="J1240">
            <v>0</v>
          </cell>
          <cell r="W1240">
            <v>0</v>
          </cell>
          <cell r="AB1240">
            <v>300</v>
          </cell>
          <cell r="AJ1240">
            <v>300</v>
          </cell>
          <cell r="AW1240">
            <v>0</v>
          </cell>
        </row>
        <row r="1241">
          <cell r="B1241">
            <v>4831</v>
          </cell>
          <cell r="C1241" t="str">
            <v>CL_59_</v>
          </cell>
          <cell r="D1241" t="str">
            <v>Rancho La Cuchilla No. 59</v>
          </cell>
          <cell r="E1241" t="str">
            <v>Ortega Vega</v>
          </cell>
          <cell r="F1241">
            <v>300</v>
          </cell>
          <cell r="G1241">
            <v>1</v>
          </cell>
          <cell r="H1241">
            <v>600</v>
          </cell>
          <cell r="I1241">
            <v>41399</v>
          </cell>
          <cell r="J1241">
            <v>0</v>
          </cell>
          <cell r="W1241">
            <v>0</v>
          </cell>
          <cell r="AA1241">
            <v>300</v>
          </cell>
          <cell r="AB1241">
            <v>300</v>
          </cell>
          <cell r="AJ1241">
            <v>600</v>
          </cell>
          <cell r="AW1241">
            <v>0</v>
          </cell>
        </row>
        <row r="1242">
          <cell r="B1242">
            <v>4832</v>
          </cell>
          <cell r="C1242" t="str">
            <v>UP_60_</v>
          </cell>
          <cell r="D1242" t="str">
            <v>Rancho Upácuaro No. 60</v>
          </cell>
          <cell r="E1242" t="str">
            <v>Zavala</v>
          </cell>
          <cell r="F1242">
            <v>300</v>
          </cell>
          <cell r="G1242">
            <v>1</v>
          </cell>
          <cell r="H1242">
            <v>300</v>
          </cell>
          <cell r="I1242">
            <v>41399</v>
          </cell>
          <cell r="J1242">
            <v>0</v>
          </cell>
          <cell r="W1242">
            <v>0</v>
          </cell>
          <cell r="AB1242">
            <v>300</v>
          </cell>
          <cell r="AJ1242">
            <v>300</v>
          </cell>
          <cell r="AW1242">
            <v>0</v>
          </cell>
        </row>
        <row r="1243">
          <cell r="B1243">
            <v>4833</v>
          </cell>
          <cell r="C1243" t="str">
            <v>RM_30_</v>
          </cell>
          <cell r="D1243" t="str">
            <v>Rancho Romeral No. 30</v>
          </cell>
          <cell r="E1243" t="str">
            <v>Osorio</v>
          </cell>
          <cell r="F1243">
            <v>200</v>
          </cell>
          <cell r="G1243">
            <v>1</v>
          </cell>
          <cell r="H1243">
            <v>400</v>
          </cell>
          <cell r="I1243">
            <v>41399</v>
          </cell>
          <cell r="J1243">
            <v>0</v>
          </cell>
          <cell r="W1243">
            <v>0</v>
          </cell>
          <cell r="AA1243">
            <v>200</v>
          </cell>
          <cell r="AB1243">
            <v>200</v>
          </cell>
          <cell r="AJ1243">
            <v>400</v>
          </cell>
          <cell r="AW1243">
            <v>0</v>
          </cell>
        </row>
        <row r="1244">
          <cell r="B1244">
            <v>4834</v>
          </cell>
          <cell r="C1244" t="str">
            <v>UP_19_</v>
          </cell>
          <cell r="D1244" t="str">
            <v>Rancho Upácuaro No. 19</v>
          </cell>
          <cell r="E1244" t="str">
            <v>Peña Inclán</v>
          </cell>
          <cell r="F1244">
            <v>200</v>
          </cell>
          <cell r="G1244">
            <v>1</v>
          </cell>
          <cell r="H1244">
            <v>200</v>
          </cell>
          <cell r="I1244">
            <v>41399</v>
          </cell>
          <cell r="J1244">
            <v>0</v>
          </cell>
          <cell r="W1244">
            <v>0</v>
          </cell>
          <cell r="AB1244">
            <v>200</v>
          </cell>
          <cell r="AJ1244">
            <v>200</v>
          </cell>
          <cell r="AW1244">
            <v>0</v>
          </cell>
        </row>
        <row r="1245">
          <cell r="B1245">
            <v>4835</v>
          </cell>
          <cell r="C1245" t="str">
            <v>UP_23_</v>
          </cell>
          <cell r="D1245" t="str">
            <v>Rancho Upácuaro No. 23</v>
          </cell>
          <cell r="E1245" t="str">
            <v>Arredondo</v>
          </cell>
          <cell r="F1245">
            <v>300</v>
          </cell>
          <cell r="G1245">
            <v>1</v>
          </cell>
          <cell r="H1245">
            <v>600</v>
          </cell>
          <cell r="I1245">
            <v>41399</v>
          </cell>
          <cell r="J1245">
            <v>0</v>
          </cell>
          <cell r="W1245">
            <v>0</v>
          </cell>
          <cell r="AB1245">
            <v>300</v>
          </cell>
          <cell r="AC1245">
            <v>300</v>
          </cell>
          <cell r="AJ1245">
            <v>600</v>
          </cell>
          <cell r="AW1245">
            <v>0</v>
          </cell>
        </row>
        <row r="1246">
          <cell r="B1246">
            <v>4836</v>
          </cell>
          <cell r="C1246" t="str">
            <v>RV_179_</v>
          </cell>
          <cell r="D1246" t="str">
            <v>Rancho Recoveco No. 179</v>
          </cell>
          <cell r="E1246" t="str">
            <v>Flores Delgado</v>
          </cell>
          <cell r="F1246">
            <v>300</v>
          </cell>
          <cell r="G1246">
            <v>1</v>
          </cell>
          <cell r="H1246">
            <v>300</v>
          </cell>
          <cell r="I1246">
            <v>41399</v>
          </cell>
          <cell r="J1246">
            <v>0</v>
          </cell>
          <cell r="W1246">
            <v>0</v>
          </cell>
          <cell r="AB1246">
            <v>300</v>
          </cell>
          <cell r="AJ1246">
            <v>300</v>
          </cell>
          <cell r="AW1246">
            <v>0</v>
          </cell>
        </row>
        <row r="1247">
          <cell r="B1247">
            <v>4837</v>
          </cell>
          <cell r="C1247" t="str">
            <v>UP_96_</v>
          </cell>
          <cell r="D1247" t="str">
            <v>Rancho Upácuaro No. 96</v>
          </cell>
          <cell r="E1247" t="str">
            <v>Daza Gutiérrez</v>
          </cell>
          <cell r="F1247">
            <v>300</v>
          </cell>
          <cell r="G1247">
            <v>1</v>
          </cell>
          <cell r="H1247">
            <v>300</v>
          </cell>
          <cell r="I1247">
            <v>41399</v>
          </cell>
          <cell r="J1247">
            <v>0</v>
          </cell>
          <cell r="W1247">
            <v>0</v>
          </cell>
          <cell r="AB1247">
            <v>300</v>
          </cell>
          <cell r="AJ1247">
            <v>300</v>
          </cell>
          <cell r="AW1247">
            <v>0</v>
          </cell>
        </row>
        <row r="1248">
          <cell r="B1248">
            <v>4838</v>
          </cell>
          <cell r="C1248" t="str">
            <v>UP_80_</v>
          </cell>
          <cell r="D1248" t="str">
            <v>Rancho Upácuaro No. 80</v>
          </cell>
          <cell r="E1248" t="str">
            <v>De los Ríos</v>
          </cell>
          <cell r="F1248">
            <v>300</v>
          </cell>
          <cell r="G1248">
            <v>1</v>
          </cell>
          <cell r="H1248">
            <v>600</v>
          </cell>
          <cell r="I1248">
            <v>41399</v>
          </cell>
          <cell r="J1248">
            <v>0</v>
          </cell>
          <cell r="W1248">
            <v>0</v>
          </cell>
          <cell r="AA1248">
            <v>300</v>
          </cell>
          <cell r="AB1248">
            <v>300</v>
          </cell>
          <cell r="AJ1248">
            <v>600</v>
          </cell>
          <cell r="AW1248">
            <v>0</v>
          </cell>
        </row>
        <row r="1249">
          <cell r="B1249">
            <v>4839</v>
          </cell>
          <cell r="C1249" t="str">
            <v>EZ_133_B</v>
          </cell>
          <cell r="D1249" t="str">
            <v>Rancho Estanzuela No. 133, B</v>
          </cell>
          <cell r="E1249" t="str">
            <v>Hernández Salazar</v>
          </cell>
          <cell r="F1249">
            <v>250</v>
          </cell>
          <cell r="G1249">
            <v>1</v>
          </cell>
          <cell r="H1249">
            <v>500</v>
          </cell>
          <cell r="I1249">
            <v>41399</v>
          </cell>
          <cell r="J1249">
            <v>0</v>
          </cell>
          <cell r="W1249">
            <v>0</v>
          </cell>
          <cell r="AA1249">
            <v>250</v>
          </cell>
          <cell r="AB1249">
            <v>250</v>
          </cell>
          <cell r="AJ1249">
            <v>500</v>
          </cell>
          <cell r="AW1249">
            <v>0</v>
          </cell>
        </row>
        <row r="1250">
          <cell r="B1250">
            <v>4839</v>
          </cell>
          <cell r="C1250" t="str">
            <v>EZ_133_B</v>
          </cell>
          <cell r="D1250" t="str">
            <v>Rancho Estanzuela No. 133, B</v>
          </cell>
          <cell r="E1250" t="str">
            <v>Hernández Salazar</v>
          </cell>
          <cell r="F1250">
            <v>250</v>
          </cell>
          <cell r="G1250">
            <v>5</v>
          </cell>
          <cell r="H1250">
            <v>20</v>
          </cell>
          <cell r="I1250">
            <v>41399</v>
          </cell>
          <cell r="J1250" t="str">
            <v>NO SUMA</v>
          </cell>
          <cell r="W1250">
            <v>0</v>
          </cell>
          <cell r="AJ1250">
            <v>0</v>
          </cell>
          <cell r="AW1250">
            <v>0</v>
          </cell>
        </row>
        <row r="1251">
          <cell r="B1251">
            <v>4840</v>
          </cell>
          <cell r="C1251" t="str">
            <v>LD_86_</v>
          </cell>
          <cell r="D1251" t="str">
            <v>Rancho Landero No. 86</v>
          </cell>
          <cell r="E1251" t="str">
            <v>Cuervo</v>
          </cell>
          <cell r="F1251">
            <v>300</v>
          </cell>
          <cell r="G1251">
            <v>5</v>
          </cell>
          <cell r="H1251">
            <v>20</v>
          </cell>
          <cell r="I1251">
            <v>41399</v>
          </cell>
          <cell r="J1251" t="str">
            <v>NO SUMA</v>
          </cell>
          <cell r="W1251">
            <v>0</v>
          </cell>
          <cell r="AJ1251">
            <v>0</v>
          </cell>
          <cell r="AW1251">
            <v>0</v>
          </cell>
        </row>
        <row r="1252">
          <cell r="B1252">
            <v>4841</v>
          </cell>
          <cell r="C1252" t="str">
            <v>EZ_25_</v>
          </cell>
          <cell r="D1252" t="str">
            <v>Rancho Estanzuela No. 25</v>
          </cell>
          <cell r="E1252" t="str">
            <v>Contreras Figueroa</v>
          </cell>
          <cell r="F1252">
            <v>300</v>
          </cell>
          <cell r="G1252">
            <v>1</v>
          </cell>
          <cell r="H1252">
            <v>300</v>
          </cell>
          <cell r="I1252">
            <v>41399</v>
          </cell>
          <cell r="J1252">
            <v>0</v>
          </cell>
          <cell r="W1252">
            <v>0</v>
          </cell>
          <cell r="AB1252">
            <v>300</v>
          </cell>
          <cell r="AJ1252">
            <v>300</v>
          </cell>
          <cell r="AW1252">
            <v>0</v>
          </cell>
        </row>
        <row r="1253">
          <cell r="B1253">
            <v>4842</v>
          </cell>
          <cell r="C1253" t="str">
            <v>CL_18_</v>
          </cell>
          <cell r="D1253" t="str">
            <v>Rancho La Cuchilla No. 18</v>
          </cell>
          <cell r="E1253" t="str">
            <v>Aldana Sánchez</v>
          </cell>
          <cell r="F1253">
            <v>300</v>
          </cell>
          <cell r="G1253">
            <v>1</v>
          </cell>
          <cell r="H1253">
            <v>900</v>
          </cell>
          <cell r="I1253">
            <v>41399</v>
          </cell>
          <cell r="J1253">
            <v>0</v>
          </cell>
          <cell r="W1253">
            <v>0</v>
          </cell>
          <cell r="Z1253">
            <v>300</v>
          </cell>
          <cell r="AA1253">
            <v>300</v>
          </cell>
          <cell r="AB1253">
            <v>300</v>
          </cell>
          <cell r="AJ1253">
            <v>900</v>
          </cell>
          <cell r="AW1253">
            <v>0</v>
          </cell>
        </row>
        <row r="1254">
          <cell r="B1254">
            <v>4843</v>
          </cell>
          <cell r="C1254" t="str">
            <v>CL_129_</v>
          </cell>
          <cell r="D1254" t="str">
            <v>Rancho La Cuchilla No. 129</v>
          </cell>
          <cell r="E1254" t="str">
            <v>Gamboa Rueda</v>
          </cell>
          <cell r="F1254">
            <v>200</v>
          </cell>
          <cell r="G1254">
            <v>1</v>
          </cell>
          <cell r="H1254">
            <v>400</v>
          </cell>
          <cell r="I1254">
            <v>41399</v>
          </cell>
          <cell r="J1254">
            <v>0</v>
          </cell>
          <cell r="W1254">
            <v>0</v>
          </cell>
          <cell r="AA1254">
            <v>200</v>
          </cell>
          <cell r="AB1254">
            <v>200</v>
          </cell>
          <cell r="AJ1254">
            <v>400</v>
          </cell>
          <cell r="AW1254">
            <v>0</v>
          </cell>
        </row>
        <row r="1255">
          <cell r="B1255">
            <v>4843</v>
          </cell>
          <cell r="C1255" t="str">
            <v>CL_129_</v>
          </cell>
          <cell r="D1255" t="str">
            <v>Rancho La Cuchilla No. 129</v>
          </cell>
          <cell r="E1255" t="str">
            <v>Gamboa Rueda</v>
          </cell>
          <cell r="F1255">
            <v>200</v>
          </cell>
          <cell r="G1255">
            <v>3</v>
          </cell>
          <cell r="H1255">
            <v>150</v>
          </cell>
          <cell r="I1255">
            <v>41399</v>
          </cell>
          <cell r="J1255" t="str">
            <v>NO SUMA</v>
          </cell>
          <cell r="W1255">
            <v>0</v>
          </cell>
          <cell r="AJ1255">
            <v>0</v>
          </cell>
          <cell r="AW1255">
            <v>0</v>
          </cell>
        </row>
        <row r="1256">
          <cell r="B1256">
            <v>4844</v>
          </cell>
          <cell r="C1256" t="str">
            <v>LD_21_</v>
          </cell>
          <cell r="D1256" t="str">
            <v>Rancho Landero No. 21</v>
          </cell>
          <cell r="E1256" t="str">
            <v>Meza</v>
          </cell>
          <cell r="F1256">
            <v>300</v>
          </cell>
          <cell r="G1256">
            <v>1</v>
          </cell>
          <cell r="H1256">
            <v>300</v>
          </cell>
          <cell r="I1256">
            <v>41399</v>
          </cell>
          <cell r="J1256">
            <v>0</v>
          </cell>
          <cell r="W1256">
            <v>0</v>
          </cell>
          <cell r="AB1256">
            <v>300</v>
          </cell>
          <cell r="AJ1256">
            <v>300</v>
          </cell>
          <cell r="AW1256">
            <v>0</v>
          </cell>
        </row>
        <row r="1257">
          <cell r="B1257">
            <v>4845</v>
          </cell>
          <cell r="C1257" t="str">
            <v>UP_34_</v>
          </cell>
          <cell r="D1257" t="str">
            <v>Rancho Upácuaro No. 34</v>
          </cell>
          <cell r="E1257" t="str">
            <v>Gómez</v>
          </cell>
          <cell r="F1257">
            <v>300</v>
          </cell>
          <cell r="G1257">
            <v>1</v>
          </cell>
          <cell r="H1257">
            <v>300</v>
          </cell>
          <cell r="I1257">
            <v>41400</v>
          </cell>
          <cell r="J1257">
            <v>0</v>
          </cell>
          <cell r="W1257">
            <v>0</v>
          </cell>
          <cell r="AB1257">
            <v>300</v>
          </cell>
          <cell r="AJ1257">
            <v>300</v>
          </cell>
          <cell r="AW1257">
            <v>0</v>
          </cell>
        </row>
        <row r="1258">
          <cell r="B1258">
            <v>6099</v>
          </cell>
          <cell r="C1258" t="str">
            <v>UP_46_</v>
          </cell>
          <cell r="D1258" t="str">
            <v>Rancho Upácuaro No. 46</v>
          </cell>
          <cell r="E1258" t="str">
            <v>Fuentes</v>
          </cell>
          <cell r="F1258">
            <v>300</v>
          </cell>
          <cell r="G1258">
            <v>1</v>
          </cell>
          <cell r="H1258">
            <v>300</v>
          </cell>
          <cell r="I1258">
            <v>41401</v>
          </cell>
          <cell r="J1258">
            <v>0</v>
          </cell>
          <cell r="W1258">
            <v>0</v>
          </cell>
          <cell r="AB1258">
            <v>300</v>
          </cell>
          <cell r="AJ1258">
            <v>300</v>
          </cell>
          <cell r="AW1258">
            <v>0</v>
          </cell>
        </row>
        <row r="1259">
          <cell r="B1259">
            <v>4846</v>
          </cell>
          <cell r="D1259" t="str">
            <v/>
          </cell>
          <cell r="E1259" t="str">
            <v/>
          </cell>
          <cell r="F1259" t="str">
            <v/>
          </cell>
          <cell r="G1259">
            <v>8</v>
          </cell>
          <cell r="I1259">
            <v>41401</v>
          </cell>
          <cell r="J1259" t="str">
            <v>NO SUMA</v>
          </cell>
          <cell r="W1259">
            <v>0</v>
          </cell>
          <cell r="AJ1259">
            <v>0</v>
          </cell>
          <cell r="AW1259">
            <v>0</v>
          </cell>
        </row>
        <row r="1260">
          <cell r="B1260">
            <v>4847</v>
          </cell>
          <cell r="C1260" t="str">
            <v>CL_130_</v>
          </cell>
          <cell r="D1260" t="str">
            <v>Rancho La Cuchilla No. 130</v>
          </cell>
          <cell r="E1260" t="str">
            <v>De la Huerta</v>
          </cell>
          <cell r="F1260">
            <v>300</v>
          </cell>
          <cell r="G1260">
            <v>1</v>
          </cell>
          <cell r="H1260">
            <v>300</v>
          </cell>
          <cell r="I1260">
            <v>41402</v>
          </cell>
          <cell r="J1260">
            <v>0</v>
          </cell>
          <cell r="W1260">
            <v>0</v>
          </cell>
          <cell r="AB1260">
            <v>300</v>
          </cell>
          <cell r="AJ1260">
            <v>300</v>
          </cell>
          <cell r="AW1260">
            <v>0</v>
          </cell>
        </row>
        <row r="1261">
          <cell r="B1261">
            <v>4848</v>
          </cell>
          <cell r="C1261" t="str">
            <v>UP_64_</v>
          </cell>
          <cell r="D1261" t="str">
            <v>Rancho Upácuaro No. 64</v>
          </cell>
          <cell r="E1261" t="str">
            <v>Méndez Oliva</v>
          </cell>
          <cell r="F1261">
            <v>300</v>
          </cell>
          <cell r="G1261">
            <v>1</v>
          </cell>
          <cell r="H1261">
            <v>300</v>
          </cell>
          <cell r="I1261">
            <v>41402</v>
          </cell>
          <cell r="J1261">
            <v>0</v>
          </cell>
          <cell r="W1261">
            <v>0</v>
          </cell>
          <cell r="AB1261">
            <v>300</v>
          </cell>
          <cell r="AJ1261">
            <v>300</v>
          </cell>
          <cell r="AW1261">
            <v>0</v>
          </cell>
        </row>
        <row r="1262">
          <cell r="B1262">
            <v>4849</v>
          </cell>
          <cell r="C1262" t="str">
            <v>CL_86_</v>
          </cell>
          <cell r="D1262" t="str">
            <v>Rancho La Cuchilla No. 86</v>
          </cell>
          <cell r="E1262" t="str">
            <v>Del Villar</v>
          </cell>
          <cell r="F1262">
            <v>300</v>
          </cell>
          <cell r="G1262">
            <v>1</v>
          </cell>
          <cell r="H1262">
            <v>600</v>
          </cell>
          <cell r="I1262">
            <v>41402</v>
          </cell>
          <cell r="J1262">
            <v>0</v>
          </cell>
          <cell r="W1262">
            <v>0</v>
          </cell>
          <cell r="AA1262">
            <v>300</v>
          </cell>
          <cell r="AB1262">
            <v>300</v>
          </cell>
          <cell r="AJ1262">
            <v>600</v>
          </cell>
          <cell r="AW1262">
            <v>0</v>
          </cell>
        </row>
        <row r="1263">
          <cell r="B1263">
            <v>4850</v>
          </cell>
          <cell r="D1263" t="str">
            <v/>
          </cell>
          <cell r="E1263" t="str">
            <v/>
          </cell>
          <cell r="F1263" t="str">
            <v/>
          </cell>
          <cell r="G1263">
            <v>8</v>
          </cell>
          <cell r="I1263">
            <v>41402</v>
          </cell>
          <cell r="J1263" t="str">
            <v>NO SUMA</v>
          </cell>
          <cell r="W1263">
            <v>0</v>
          </cell>
          <cell r="AJ1263">
            <v>0</v>
          </cell>
          <cell r="AW1263">
            <v>0</v>
          </cell>
        </row>
        <row r="1264">
          <cell r="B1264">
            <v>4851</v>
          </cell>
          <cell r="C1264" t="str">
            <v>CL_67_</v>
          </cell>
          <cell r="D1264" t="str">
            <v>Rancho La Cuchilla No. 67</v>
          </cell>
          <cell r="E1264" t="str">
            <v>Quezada Viruega</v>
          </cell>
          <cell r="F1264">
            <v>300</v>
          </cell>
          <cell r="G1264">
            <v>1</v>
          </cell>
          <cell r="H1264">
            <v>600</v>
          </cell>
          <cell r="I1264">
            <v>41403</v>
          </cell>
          <cell r="J1264">
            <v>0</v>
          </cell>
          <cell r="W1264">
            <v>0</v>
          </cell>
          <cell r="X1264">
            <v>300</v>
          </cell>
          <cell r="Y1264">
            <v>300</v>
          </cell>
          <cell r="AJ1264">
            <v>600</v>
          </cell>
          <cell r="AW1264">
            <v>0</v>
          </cell>
        </row>
        <row r="1265">
          <cell r="B1265">
            <v>4852</v>
          </cell>
          <cell r="C1265" t="str">
            <v>UP_79_</v>
          </cell>
          <cell r="D1265" t="str">
            <v>Rancho Upácuaro No. 79</v>
          </cell>
          <cell r="E1265" t="str">
            <v>Macías</v>
          </cell>
          <cell r="F1265">
            <v>300</v>
          </cell>
          <cell r="G1265">
            <v>1</v>
          </cell>
          <cell r="H1265">
            <v>900</v>
          </cell>
          <cell r="I1265">
            <v>41403</v>
          </cell>
          <cell r="J1265">
            <v>0</v>
          </cell>
          <cell r="W1265">
            <v>0</v>
          </cell>
          <cell r="AB1265">
            <v>300</v>
          </cell>
          <cell r="AC1265">
            <v>300</v>
          </cell>
          <cell r="AD1265">
            <v>300</v>
          </cell>
          <cell r="AJ1265">
            <v>900</v>
          </cell>
          <cell r="AW1265">
            <v>0</v>
          </cell>
        </row>
        <row r="1266">
          <cell r="B1266">
            <v>40</v>
          </cell>
          <cell r="C1266" t="str">
            <v>CM_130_A</v>
          </cell>
          <cell r="D1266" t="str">
            <v>Rancho Estanzuela No. 130, A</v>
          </cell>
          <cell r="E1266" t="str">
            <v>Colegio Carmel</v>
          </cell>
          <cell r="F1266">
            <v>10000</v>
          </cell>
          <cell r="G1266">
            <v>1</v>
          </cell>
          <cell r="H1266">
            <v>10000</v>
          </cell>
          <cell r="I1266">
            <v>41403</v>
          </cell>
          <cell r="J1266">
            <v>0</v>
          </cell>
          <cell r="W1266">
            <v>0</v>
          </cell>
          <cell r="AB1266">
            <v>10000</v>
          </cell>
          <cell r="AJ1266">
            <v>10000</v>
          </cell>
          <cell r="AW1266">
            <v>0</v>
          </cell>
        </row>
        <row r="1267">
          <cell r="B1267">
            <v>6100</v>
          </cell>
          <cell r="C1267" t="str">
            <v>UP_86_</v>
          </cell>
          <cell r="D1267" t="str">
            <v>Rancho Upácuaro No. 86</v>
          </cell>
          <cell r="E1267" t="str">
            <v>López Canseco</v>
          </cell>
          <cell r="F1267">
            <v>300</v>
          </cell>
          <cell r="G1267">
            <v>1</v>
          </cell>
          <cell r="H1267">
            <v>300</v>
          </cell>
          <cell r="I1267">
            <v>41403</v>
          </cell>
          <cell r="J1267">
            <v>0</v>
          </cell>
          <cell r="W1267">
            <v>0</v>
          </cell>
          <cell r="AB1267">
            <v>300</v>
          </cell>
          <cell r="AJ1267">
            <v>300</v>
          </cell>
          <cell r="AW1267">
            <v>0</v>
          </cell>
        </row>
        <row r="1268">
          <cell r="B1268">
            <v>4853</v>
          </cell>
          <cell r="C1268" t="str">
            <v>EZ_47_</v>
          </cell>
          <cell r="D1268" t="str">
            <v>Rancho Estanzuela No. 47</v>
          </cell>
          <cell r="E1268" t="str">
            <v>Bussey García</v>
          </cell>
          <cell r="F1268">
            <v>300</v>
          </cell>
          <cell r="G1268">
            <v>1</v>
          </cell>
          <cell r="H1268">
            <v>300</v>
          </cell>
          <cell r="I1268">
            <v>41406</v>
          </cell>
          <cell r="J1268">
            <v>0</v>
          </cell>
          <cell r="W1268">
            <v>0</v>
          </cell>
          <cell r="AB1268">
            <v>300</v>
          </cell>
          <cell r="AJ1268">
            <v>300</v>
          </cell>
          <cell r="AW1268">
            <v>0</v>
          </cell>
        </row>
        <row r="1269">
          <cell r="B1269">
            <v>4854</v>
          </cell>
          <cell r="C1269" t="str">
            <v>EZ_89_</v>
          </cell>
          <cell r="D1269" t="str">
            <v>Rancho Estanzuela No. 89</v>
          </cell>
          <cell r="E1269" t="str">
            <v>Romero Ortiz</v>
          </cell>
          <cell r="F1269">
            <v>300</v>
          </cell>
          <cell r="G1269">
            <v>1</v>
          </cell>
          <cell r="H1269">
            <v>600</v>
          </cell>
          <cell r="I1269">
            <v>41406</v>
          </cell>
          <cell r="J1269">
            <v>0</v>
          </cell>
          <cell r="W1269">
            <v>0</v>
          </cell>
          <cell r="AA1269">
            <v>300</v>
          </cell>
          <cell r="AB1269">
            <v>300</v>
          </cell>
          <cell r="AJ1269">
            <v>600</v>
          </cell>
          <cell r="AW1269">
            <v>0</v>
          </cell>
        </row>
        <row r="1270">
          <cell r="B1270">
            <v>4855</v>
          </cell>
          <cell r="C1270" t="str">
            <v>CL_120_</v>
          </cell>
          <cell r="D1270" t="str">
            <v>Rancho La Cuchilla No. 120</v>
          </cell>
          <cell r="E1270" t="str">
            <v>Pozos Vilchis</v>
          </cell>
          <cell r="F1270">
            <v>300</v>
          </cell>
          <cell r="G1270">
            <v>1</v>
          </cell>
          <cell r="H1270">
            <v>300</v>
          </cell>
          <cell r="I1270">
            <v>41406</v>
          </cell>
          <cell r="J1270">
            <v>0</v>
          </cell>
          <cell r="W1270">
            <v>0</v>
          </cell>
          <cell r="AB1270">
            <v>300</v>
          </cell>
          <cell r="AJ1270">
            <v>300</v>
          </cell>
          <cell r="AW1270">
            <v>0</v>
          </cell>
        </row>
        <row r="1271">
          <cell r="B1271">
            <v>4856</v>
          </cell>
          <cell r="C1271" t="str">
            <v>CL_131_</v>
          </cell>
          <cell r="D1271" t="str">
            <v>Rancho La Cuchilla No. 131</v>
          </cell>
          <cell r="E1271" t="str">
            <v>Cabrera Esc.</v>
          </cell>
          <cell r="F1271">
            <v>300</v>
          </cell>
          <cell r="G1271">
            <v>1</v>
          </cell>
          <cell r="H1271">
            <v>600</v>
          </cell>
          <cell r="I1271">
            <v>41406</v>
          </cell>
          <cell r="J1271">
            <v>0</v>
          </cell>
          <cell r="W1271">
            <v>0</v>
          </cell>
          <cell r="AB1271">
            <v>300</v>
          </cell>
          <cell r="AC1271">
            <v>300</v>
          </cell>
          <cell r="AJ1271">
            <v>600</v>
          </cell>
          <cell r="AW1271">
            <v>0</v>
          </cell>
        </row>
        <row r="1272">
          <cell r="B1272">
            <v>4857</v>
          </cell>
          <cell r="C1272" t="str">
            <v>LD_7_</v>
          </cell>
          <cell r="D1272" t="str">
            <v>Rancho Landero No. 7</v>
          </cell>
          <cell r="E1272" t="str">
            <v>Robles</v>
          </cell>
          <cell r="F1272">
            <v>150</v>
          </cell>
          <cell r="G1272">
            <v>1</v>
          </cell>
          <cell r="H1272">
            <v>150</v>
          </cell>
          <cell r="I1272">
            <v>41406</v>
          </cell>
          <cell r="J1272">
            <v>0</v>
          </cell>
          <cell r="W1272">
            <v>0</v>
          </cell>
          <cell r="AB1272">
            <v>150</v>
          </cell>
          <cell r="AJ1272">
            <v>150</v>
          </cell>
          <cell r="AW1272">
            <v>0</v>
          </cell>
        </row>
        <row r="1273">
          <cell r="B1273">
            <v>4858</v>
          </cell>
          <cell r="C1273" t="str">
            <v>CL_71_</v>
          </cell>
          <cell r="D1273" t="str">
            <v>Rancho La Cuchilla No. 71</v>
          </cell>
          <cell r="E1273" t="str">
            <v>Pulido</v>
          </cell>
          <cell r="F1273">
            <v>300</v>
          </cell>
          <cell r="G1273">
            <v>1</v>
          </cell>
          <cell r="H1273">
            <v>300</v>
          </cell>
          <cell r="I1273">
            <v>41406</v>
          </cell>
          <cell r="J1273">
            <v>0</v>
          </cell>
          <cell r="W1273">
            <v>0</v>
          </cell>
          <cell r="AA1273">
            <v>300</v>
          </cell>
          <cell r="AJ1273">
            <v>300</v>
          </cell>
          <cell r="AW1273">
            <v>0</v>
          </cell>
        </row>
        <row r="1274">
          <cell r="B1274">
            <v>4859</v>
          </cell>
          <cell r="C1274" t="str">
            <v>LD_31_</v>
          </cell>
          <cell r="D1274" t="str">
            <v>Rancho Landero No. 31</v>
          </cell>
          <cell r="E1274" t="str">
            <v>Díaz Hernández</v>
          </cell>
          <cell r="F1274">
            <v>200</v>
          </cell>
          <cell r="G1274">
            <v>1</v>
          </cell>
          <cell r="H1274">
            <v>200</v>
          </cell>
          <cell r="I1274">
            <v>41406</v>
          </cell>
          <cell r="J1274">
            <v>0</v>
          </cell>
          <cell r="W1274">
            <v>0</v>
          </cell>
          <cell r="AB1274">
            <v>200</v>
          </cell>
          <cell r="AJ1274">
            <v>200</v>
          </cell>
          <cell r="AW1274">
            <v>0</v>
          </cell>
        </row>
        <row r="1275">
          <cell r="B1275">
            <v>4860</v>
          </cell>
          <cell r="C1275" t="str">
            <v>CL_33_</v>
          </cell>
          <cell r="D1275" t="str">
            <v>Rancho La Cuchilla No. 33</v>
          </cell>
          <cell r="E1275" t="str">
            <v>Tanús</v>
          </cell>
          <cell r="F1275">
            <v>300</v>
          </cell>
          <cell r="G1275">
            <v>1</v>
          </cell>
          <cell r="H1275">
            <v>300</v>
          </cell>
          <cell r="I1275">
            <v>41406</v>
          </cell>
          <cell r="J1275">
            <v>0</v>
          </cell>
          <cell r="W1275">
            <v>0</v>
          </cell>
          <cell r="AB1275">
            <v>300</v>
          </cell>
          <cell r="AJ1275">
            <v>300</v>
          </cell>
          <cell r="AW1275">
            <v>0</v>
          </cell>
        </row>
        <row r="1276">
          <cell r="B1276">
            <v>4861</v>
          </cell>
          <cell r="C1276" t="str">
            <v>LD_38_</v>
          </cell>
          <cell r="D1276" t="str">
            <v>Rancho Landero No. 38</v>
          </cell>
          <cell r="E1276" t="str">
            <v>Sánchez Peña</v>
          </cell>
          <cell r="F1276">
            <v>300</v>
          </cell>
          <cell r="G1276">
            <v>1</v>
          </cell>
          <cell r="H1276">
            <v>600</v>
          </cell>
          <cell r="I1276">
            <v>41406</v>
          </cell>
          <cell r="J1276">
            <v>0</v>
          </cell>
          <cell r="W1276">
            <v>0</v>
          </cell>
          <cell r="AB1276">
            <v>300</v>
          </cell>
          <cell r="AC1276">
            <v>300</v>
          </cell>
          <cell r="AJ1276">
            <v>600</v>
          </cell>
          <cell r="AW1276">
            <v>0</v>
          </cell>
        </row>
        <row r="1277">
          <cell r="B1277">
            <v>4862</v>
          </cell>
          <cell r="C1277" t="str">
            <v>EZ_55_</v>
          </cell>
          <cell r="D1277" t="str">
            <v>Rancho Estanzuela No. 55</v>
          </cell>
          <cell r="E1277" t="str">
            <v>Rodríguez Acevedo</v>
          </cell>
          <cell r="F1277">
            <v>300</v>
          </cell>
          <cell r="G1277">
            <v>1</v>
          </cell>
          <cell r="H1277">
            <v>300</v>
          </cell>
          <cell r="I1277">
            <v>41406</v>
          </cell>
          <cell r="J1277">
            <v>0</v>
          </cell>
          <cell r="W1277">
            <v>0</v>
          </cell>
          <cell r="AB1277">
            <v>300</v>
          </cell>
          <cell r="AJ1277">
            <v>300</v>
          </cell>
          <cell r="AW1277">
            <v>0</v>
          </cell>
        </row>
        <row r="1278">
          <cell r="B1278">
            <v>4863</v>
          </cell>
          <cell r="C1278" t="str">
            <v>EP_22_A</v>
          </cell>
          <cell r="D1278" t="str">
            <v>Rancho Estopila No. 22, A</v>
          </cell>
          <cell r="E1278" t="str">
            <v>Ayala Carranza</v>
          </cell>
          <cell r="F1278">
            <v>150</v>
          </cell>
          <cell r="G1278">
            <v>4</v>
          </cell>
          <cell r="H1278">
            <v>160</v>
          </cell>
          <cell r="I1278">
            <v>41406</v>
          </cell>
          <cell r="J1278" t="str">
            <v>NO SUMA</v>
          </cell>
          <cell r="W1278">
            <v>0</v>
          </cell>
          <cell r="AJ1278">
            <v>0</v>
          </cell>
          <cell r="AW1278">
            <v>0</v>
          </cell>
        </row>
        <row r="1279">
          <cell r="B1279">
            <v>4864</v>
          </cell>
          <cell r="C1279" t="str">
            <v>LD_2_3</v>
          </cell>
          <cell r="D1279" t="str">
            <v>Rancho Landero No. 2, 3</v>
          </cell>
          <cell r="E1279" t="str">
            <v>Pineda Laura</v>
          </cell>
          <cell r="F1279">
            <v>150</v>
          </cell>
          <cell r="G1279">
            <v>1</v>
          </cell>
          <cell r="H1279">
            <v>1500</v>
          </cell>
          <cell r="I1279">
            <v>41406</v>
          </cell>
          <cell r="J1279">
            <v>0</v>
          </cell>
          <cell r="W1279">
            <v>0</v>
          </cell>
          <cell r="Z1279">
            <v>150</v>
          </cell>
          <cell r="AA1279">
            <v>150</v>
          </cell>
          <cell r="AB1279">
            <v>150</v>
          </cell>
          <cell r="AC1279">
            <v>150</v>
          </cell>
          <cell r="AD1279">
            <v>150</v>
          </cell>
          <cell r="AE1279">
            <v>150</v>
          </cell>
          <cell r="AF1279">
            <v>150</v>
          </cell>
          <cell r="AG1279">
            <v>150</v>
          </cell>
          <cell r="AH1279">
            <v>150</v>
          </cell>
          <cell r="AI1279">
            <v>150</v>
          </cell>
          <cell r="AJ1279">
            <v>1500</v>
          </cell>
          <cell r="AW1279">
            <v>0</v>
          </cell>
        </row>
        <row r="1280">
          <cell r="B1280">
            <v>4865</v>
          </cell>
          <cell r="C1280" t="str">
            <v>LD_8_</v>
          </cell>
          <cell r="D1280" t="str">
            <v>Rancho Landero No. 8</v>
          </cell>
          <cell r="E1280" t="str">
            <v>Peña Torres</v>
          </cell>
          <cell r="F1280">
            <v>250</v>
          </cell>
          <cell r="G1280">
            <v>1</v>
          </cell>
          <cell r="H1280">
            <v>500</v>
          </cell>
          <cell r="I1280">
            <v>41406</v>
          </cell>
          <cell r="J1280">
            <v>0</v>
          </cell>
          <cell r="W1280">
            <v>0</v>
          </cell>
          <cell r="AA1280">
            <v>250</v>
          </cell>
          <cell r="AB1280">
            <v>250</v>
          </cell>
          <cell r="AJ1280">
            <v>500</v>
          </cell>
          <cell r="AW1280">
            <v>0</v>
          </cell>
        </row>
        <row r="1281">
          <cell r="B1281">
            <v>4866</v>
          </cell>
          <cell r="C1281" t="str">
            <v>UP_85_</v>
          </cell>
          <cell r="D1281" t="str">
            <v>Rancho Upácuaro No. 85</v>
          </cell>
          <cell r="E1281" t="str">
            <v>Del Toro Huerta</v>
          </cell>
          <cell r="F1281">
            <v>300</v>
          </cell>
          <cell r="G1281">
            <v>1</v>
          </cell>
          <cell r="H1281">
            <v>300</v>
          </cell>
          <cell r="I1281">
            <v>41406</v>
          </cell>
          <cell r="J1281">
            <v>0</v>
          </cell>
          <cell r="W1281">
            <v>0</v>
          </cell>
          <cell r="AB1281">
            <v>300</v>
          </cell>
          <cell r="AJ1281">
            <v>300</v>
          </cell>
          <cell r="AW1281">
            <v>0</v>
          </cell>
        </row>
        <row r="1282">
          <cell r="B1282">
            <v>4867</v>
          </cell>
          <cell r="C1282" t="str">
            <v>UP_69_</v>
          </cell>
          <cell r="D1282" t="str">
            <v>Rancho Upácuaro No. 69</v>
          </cell>
          <cell r="E1282" t="str">
            <v>Gómez</v>
          </cell>
          <cell r="F1282">
            <v>300</v>
          </cell>
          <cell r="G1282">
            <v>1</v>
          </cell>
          <cell r="H1282">
            <v>600</v>
          </cell>
          <cell r="I1282">
            <v>41406</v>
          </cell>
          <cell r="J1282">
            <v>0</v>
          </cell>
          <cell r="W1282">
            <v>0</v>
          </cell>
          <cell r="Z1282">
            <v>300</v>
          </cell>
          <cell r="AA1282">
            <v>300</v>
          </cell>
          <cell r="AJ1282">
            <v>600</v>
          </cell>
          <cell r="AW1282">
            <v>0</v>
          </cell>
        </row>
        <row r="1283">
          <cell r="B1283">
            <v>4868</v>
          </cell>
          <cell r="C1283" t="str">
            <v>CL_112_PB</v>
          </cell>
          <cell r="D1283" t="str">
            <v>Rancho La Cuchilla No. 112, PB</v>
          </cell>
          <cell r="E1283" t="str">
            <v>Soreque</v>
          </cell>
          <cell r="F1283">
            <v>150</v>
          </cell>
          <cell r="G1283">
            <v>1</v>
          </cell>
          <cell r="H1283">
            <v>150</v>
          </cell>
          <cell r="I1283">
            <v>41406</v>
          </cell>
          <cell r="J1283">
            <v>0</v>
          </cell>
          <cell r="W1283">
            <v>0</v>
          </cell>
          <cell r="AB1283">
            <v>150</v>
          </cell>
          <cell r="AJ1283">
            <v>150</v>
          </cell>
          <cell r="AW1283">
            <v>0</v>
          </cell>
        </row>
        <row r="1284">
          <cell r="B1284">
            <v>4869</v>
          </cell>
          <cell r="C1284" t="str">
            <v>LD_76_</v>
          </cell>
          <cell r="D1284" t="str">
            <v>Rancho Landero No. 76</v>
          </cell>
          <cell r="E1284" t="str">
            <v>Ugarte</v>
          </cell>
          <cell r="F1284">
            <v>300</v>
          </cell>
          <cell r="G1284">
            <v>1</v>
          </cell>
          <cell r="H1284">
            <v>300</v>
          </cell>
          <cell r="I1284">
            <v>41406</v>
          </cell>
          <cell r="J1284">
            <v>0</v>
          </cell>
          <cell r="W1284">
            <v>0</v>
          </cell>
          <cell r="AB1284">
            <v>300</v>
          </cell>
          <cell r="AJ1284">
            <v>300</v>
          </cell>
          <cell r="AW1284">
            <v>0</v>
          </cell>
        </row>
        <row r="1285">
          <cell r="B1285">
            <v>4870</v>
          </cell>
          <cell r="C1285" t="str">
            <v>LD_101_</v>
          </cell>
          <cell r="D1285" t="str">
            <v>Rancho Landero No. 101</v>
          </cell>
          <cell r="E1285" t="str">
            <v>Ramírez</v>
          </cell>
          <cell r="F1285">
            <v>300</v>
          </cell>
          <cell r="G1285">
            <v>1</v>
          </cell>
          <cell r="H1285">
            <v>300</v>
          </cell>
          <cell r="I1285">
            <v>41406</v>
          </cell>
          <cell r="J1285">
            <v>0</v>
          </cell>
          <cell r="W1285">
            <v>0</v>
          </cell>
          <cell r="AB1285">
            <v>300</v>
          </cell>
          <cell r="AJ1285">
            <v>300</v>
          </cell>
          <cell r="AW1285">
            <v>0</v>
          </cell>
        </row>
        <row r="1286">
          <cell r="B1286">
            <v>4871</v>
          </cell>
          <cell r="C1286" t="str">
            <v>LD_18_</v>
          </cell>
          <cell r="D1286" t="str">
            <v>Rancho Landero No. 18</v>
          </cell>
          <cell r="E1286" t="str">
            <v>Rosado</v>
          </cell>
          <cell r="F1286">
            <v>250</v>
          </cell>
          <cell r="G1286">
            <v>1</v>
          </cell>
          <cell r="H1286">
            <v>250</v>
          </cell>
          <cell r="I1286">
            <v>41406</v>
          </cell>
          <cell r="J1286">
            <v>0</v>
          </cell>
          <cell r="W1286">
            <v>0</v>
          </cell>
          <cell r="AB1286">
            <v>250</v>
          </cell>
          <cell r="AJ1286">
            <v>250</v>
          </cell>
          <cell r="AW1286">
            <v>0</v>
          </cell>
        </row>
        <row r="1287">
          <cell r="B1287">
            <v>4872</v>
          </cell>
          <cell r="C1287" t="str">
            <v>CL_53_</v>
          </cell>
          <cell r="D1287" t="str">
            <v>Rancho La Cuchilla No. 53</v>
          </cell>
          <cell r="E1287" t="str">
            <v>Loyo Ochoa</v>
          </cell>
          <cell r="F1287">
            <v>300</v>
          </cell>
          <cell r="G1287">
            <v>1</v>
          </cell>
          <cell r="H1287">
            <v>900</v>
          </cell>
          <cell r="I1287">
            <v>41406</v>
          </cell>
          <cell r="J1287">
            <v>0</v>
          </cell>
          <cell r="W1287">
            <v>0</v>
          </cell>
          <cell r="AC1287">
            <v>300</v>
          </cell>
          <cell r="AD1287">
            <v>300</v>
          </cell>
          <cell r="AE1287">
            <v>300</v>
          </cell>
          <cell r="AJ1287">
            <v>900</v>
          </cell>
          <cell r="AW1287">
            <v>0</v>
          </cell>
        </row>
        <row r="1288">
          <cell r="B1288">
            <v>4873</v>
          </cell>
          <cell r="C1288" t="str">
            <v>CL_53_</v>
          </cell>
          <cell r="D1288" t="str">
            <v>Rancho La Cuchilla No. 53</v>
          </cell>
          <cell r="E1288" t="str">
            <v>Loyo Ochoa</v>
          </cell>
          <cell r="F1288">
            <v>300</v>
          </cell>
          <cell r="G1288">
            <v>3</v>
          </cell>
          <cell r="H1288">
            <v>150</v>
          </cell>
          <cell r="I1288">
            <v>41406</v>
          </cell>
          <cell r="J1288" t="str">
            <v>NO SUMA</v>
          </cell>
          <cell r="W1288">
            <v>0</v>
          </cell>
          <cell r="AJ1288">
            <v>0</v>
          </cell>
          <cell r="AW1288">
            <v>0</v>
          </cell>
        </row>
        <row r="1289">
          <cell r="B1289">
            <v>4874</v>
          </cell>
          <cell r="C1289" t="str">
            <v>CL_111_</v>
          </cell>
          <cell r="D1289" t="str">
            <v>Rancho La Cuchilla No. 111</v>
          </cell>
          <cell r="E1289" t="str">
            <v>García Santos O.</v>
          </cell>
          <cell r="F1289">
            <v>150</v>
          </cell>
          <cell r="G1289">
            <v>1</v>
          </cell>
          <cell r="H1289">
            <v>150</v>
          </cell>
          <cell r="I1289">
            <v>41406</v>
          </cell>
          <cell r="J1289">
            <v>0</v>
          </cell>
          <cell r="W1289">
            <v>0</v>
          </cell>
          <cell r="AB1289">
            <v>150</v>
          </cell>
          <cell r="AJ1289">
            <v>150</v>
          </cell>
          <cell r="AW1289">
            <v>0</v>
          </cell>
        </row>
        <row r="1290">
          <cell r="B1290">
            <v>4875</v>
          </cell>
          <cell r="C1290" t="str">
            <v>UP_114_</v>
          </cell>
          <cell r="D1290" t="str">
            <v>Rancho Upácuaro No. 114</v>
          </cell>
          <cell r="E1290" t="str">
            <v>Hernández Cornejo</v>
          </cell>
          <cell r="F1290">
            <v>300</v>
          </cell>
          <cell r="G1290">
            <v>1</v>
          </cell>
          <cell r="H1290">
            <v>300</v>
          </cell>
          <cell r="I1290">
            <v>41406</v>
          </cell>
          <cell r="J1290">
            <v>0</v>
          </cell>
          <cell r="W1290">
            <v>0</v>
          </cell>
          <cell r="AB1290">
            <v>300</v>
          </cell>
          <cell r="AJ1290">
            <v>300</v>
          </cell>
          <cell r="AW1290">
            <v>0</v>
          </cell>
        </row>
        <row r="1291">
          <cell r="B1291">
            <v>4876</v>
          </cell>
          <cell r="C1291" t="str">
            <v>CL_132_</v>
          </cell>
          <cell r="D1291" t="str">
            <v>Rancho La Cuchilla No. 132</v>
          </cell>
          <cell r="E1291" t="str">
            <v>Téllez Girón</v>
          </cell>
          <cell r="F1291">
            <v>300</v>
          </cell>
          <cell r="G1291">
            <v>1</v>
          </cell>
          <cell r="H1291">
            <v>300</v>
          </cell>
          <cell r="I1291">
            <v>41406</v>
          </cell>
          <cell r="J1291">
            <v>0</v>
          </cell>
          <cell r="W1291">
            <v>0</v>
          </cell>
          <cell r="AB1291">
            <v>300</v>
          </cell>
          <cell r="AJ1291">
            <v>300</v>
          </cell>
          <cell r="AW1291">
            <v>0</v>
          </cell>
        </row>
        <row r="1292">
          <cell r="B1292">
            <v>4877</v>
          </cell>
          <cell r="C1292" t="str">
            <v>EZ_69_</v>
          </cell>
          <cell r="D1292" t="str">
            <v>Rancho Estanzuela No. 69</v>
          </cell>
          <cell r="E1292" t="str">
            <v>Apaez</v>
          </cell>
          <cell r="F1292">
            <v>300</v>
          </cell>
          <cell r="G1292">
            <v>1</v>
          </cell>
          <cell r="H1292">
            <v>300</v>
          </cell>
          <cell r="I1292">
            <v>41406</v>
          </cell>
          <cell r="J1292">
            <v>0</v>
          </cell>
          <cell r="W1292">
            <v>0</v>
          </cell>
          <cell r="AB1292">
            <v>300</v>
          </cell>
          <cell r="AJ1292">
            <v>300</v>
          </cell>
          <cell r="AW1292">
            <v>0</v>
          </cell>
        </row>
        <row r="1293">
          <cell r="B1293">
            <v>4878</v>
          </cell>
          <cell r="C1293" t="str">
            <v>UP_90_</v>
          </cell>
          <cell r="D1293" t="str">
            <v>Rancho Upácuaro No. 90</v>
          </cell>
          <cell r="E1293" t="str">
            <v>Moreno Calderón</v>
          </cell>
          <cell r="F1293">
            <v>150</v>
          </cell>
          <cell r="G1293">
            <v>1</v>
          </cell>
          <cell r="H1293">
            <v>450</v>
          </cell>
          <cell r="I1293">
            <v>41406</v>
          </cell>
          <cell r="J1293">
            <v>0</v>
          </cell>
          <cell r="W1293">
            <v>0</v>
          </cell>
          <cell r="AA1293">
            <v>150</v>
          </cell>
          <cell r="AB1293">
            <v>150</v>
          </cell>
          <cell r="AC1293">
            <v>150</v>
          </cell>
          <cell r="AJ1293">
            <v>450</v>
          </cell>
          <cell r="AW1293">
            <v>0</v>
          </cell>
        </row>
        <row r="1294">
          <cell r="B1294">
            <v>4879</v>
          </cell>
          <cell r="C1294" t="str">
            <v>LD_99_</v>
          </cell>
          <cell r="D1294" t="str">
            <v>Rancho Landero No. 99</v>
          </cell>
          <cell r="E1294" t="str">
            <v>Rangel</v>
          </cell>
          <cell r="F1294">
            <v>300</v>
          </cell>
          <cell r="G1294">
            <v>1</v>
          </cell>
          <cell r="H1294">
            <v>300</v>
          </cell>
          <cell r="I1294">
            <v>41406</v>
          </cell>
          <cell r="J1294">
            <v>0</v>
          </cell>
          <cell r="W1294">
            <v>0</v>
          </cell>
          <cell r="Z1294">
            <v>300</v>
          </cell>
          <cell r="AJ1294">
            <v>300</v>
          </cell>
          <cell r="AW1294">
            <v>0</v>
          </cell>
        </row>
        <row r="1295">
          <cell r="B1295">
            <v>4880</v>
          </cell>
          <cell r="C1295" t="str">
            <v>LD_22_</v>
          </cell>
          <cell r="D1295" t="str">
            <v>Rancho Landero No. 22</v>
          </cell>
          <cell r="E1295" t="str">
            <v>Reyes</v>
          </cell>
          <cell r="F1295">
            <v>150</v>
          </cell>
          <cell r="G1295">
            <v>1</v>
          </cell>
          <cell r="H1295">
            <v>150</v>
          </cell>
          <cell r="I1295">
            <v>41406</v>
          </cell>
          <cell r="J1295">
            <v>0</v>
          </cell>
          <cell r="W1295">
            <v>0</v>
          </cell>
          <cell r="AA1295">
            <v>150</v>
          </cell>
          <cell r="AJ1295">
            <v>150</v>
          </cell>
          <cell r="AW1295">
            <v>0</v>
          </cell>
        </row>
        <row r="1296">
          <cell r="B1296">
            <v>4881</v>
          </cell>
          <cell r="C1296" t="str">
            <v>LD_84_</v>
          </cell>
          <cell r="D1296" t="str">
            <v>Rancho Landero No. 84</v>
          </cell>
          <cell r="E1296" t="str">
            <v>Alcántara</v>
          </cell>
          <cell r="F1296">
            <v>300</v>
          </cell>
          <cell r="G1296">
            <v>1</v>
          </cell>
          <cell r="H1296">
            <v>300</v>
          </cell>
          <cell r="I1296">
            <v>41406</v>
          </cell>
          <cell r="J1296">
            <v>0</v>
          </cell>
          <cell r="W1296">
            <v>0</v>
          </cell>
          <cell r="AB1296">
            <v>300</v>
          </cell>
          <cell r="AJ1296">
            <v>300</v>
          </cell>
          <cell r="AW1296">
            <v>0</v>
          </cell>
        </row>
        <row r="1297">
          <cell r="B1297">
            <v>4882</v>
          </cell>
          <cell r="C1297" t="str">
            <v>UP_26_</v>
          </cell>
          <cell r="D1297" t="str">
            <v>Rancho Upácuaro No. 26</v>
          </cell>
          <cell r="E1297" t="str">
            <v>Salazar</v>
          </cell>
          <cell r="F1297">
            <v>300</v>
          </cell>
          <cell r="G1297">
            <v>1</v>
          </cell>
          <cell r="H1297">
            <v>300</v>
          </cell>
          <cell r="I1297">
            <v>41406</v>
          </cell>
          <cell r="J1297">
            <v>0</v>
          </cell>
          <cell r="W1297">
            <v>0</v>
          </cell>
          <cell r="AB1297">
            <v>300</v>
          </cell>
          <cell r="AJ1297">
            <v>300</v>
          </cell>
          <cell r="AW1297">
            <v>0</v>
          </cell>
        </row>
        <row r="1298">
          <cell r="B1298">
            <v>4883</v>
          </cell>
          <cell r="C1298" t="str">
            <v>LD_24_</v>
          </cell>
          <cell r="D1298" t="str">
            <v>Rancho Landero No. 24</v>
          </cell>
          <cell r="E1298" t="str">
            <v>Vázquez Peralta</v>
          </cell>
          <cell r="F1298">
            <v>300</v>
          </cell>
          <cell r="G1298">
            <v>1</v>
          </cell>
          <cell r="H1298">
            <v>300</v>
          </cell>
          <cell r="I1298">
            <v>41406</v>
          </cell>
          <cell r="J1298">
            <v>0</v>
          </cell>
          <cell r="W1298">
            <v>0</v>
          </cell>
          <cell r="AA1298">
            <v>300</v>
          </cell>
          <cell r="AJ1298">
            <v>300</v>
          </cell>
          <cell r="AW1298">
            <v>0</v>
          </cell>
        </row>
        <row r="1299">
          <cell r="B1299">
            <v>4884</v>
          </cell>
          <cell r="C1299" t="str">
            <v>LD_51_</v>
          </cell>
          <cell r="D1299" t="str">
            <v>Rancho Landero No. 51</v>
          </cell>
          <cell r="E1299" t="str">
            <v>H. Robles Tamayo</v>
          </cell>
          <cell r="F1299">
            <v>300</v>
          </cell>
          <cell r="G1299">
            <v>1</v>
          </cell>
          <cell r="H1299">
            <v>300</v>
          </cell>
          <cell r="I1299">
            <v>41406</v>
          </cell>
          <cell r="J1299">
            <v>0</v>
          </cell>
          <cell r="W1299">
            <v>0</v>
          </cell>
          <cell r="AB1299">
            <v>300</v>
          </cell>
          <cell r="AJ1299">
            <v>300</v>
          </cell>
          <cell r="AW1299">
            <v>0</v>
          </cell>
        </row>
        <row r="1300">
          <cell r="B1300">
            <v>4885</v>
          </cell>
          <cell r="C1300" t="str">
            <v>LD_87_</v>
          </cell>
          <cell r="D1300" t="str">
            <v>Rancho Landero No. 87</v>
          </cell>
          <cell r="E1300" t="str">
            <v>Fey Lafferla</v>
          </cell>
          <cell r="F1300">
            <v>300</v>
          </cell>
          <cell r="G1300">
            <v>1</v>
          </cell>
          <cell r="H1300">
            <v>300</v>
          </cell>
          <cell r="I1300">
            <v>41406</v>
          </cell>
          <cell r="J1300">
            <v>0</v>
          </cell>
          <cell r="W1300">
            <v>0</v>
          </cell>
          <cell r="AA1300">
            <v>300</v>
          </cell>
          <cell r="AJ1300">
            <v>300</v>
          </cell>
          <cell r="AW1300">
            <v>0</v>
          </cell>
        </row>
        <row r="1301">
          <cell r="B1301">
            <v>4886</v>
          </cell>
          <cell r="C1301" t="str">
            <v>RV_187_</v>
          </cell>
          <cell r="D1301" t="str">
            <v>Rancho Recoveco No. 187</v>
          </cell>
          <cell r="E1301" t="str">
            <v>Moreno</v>
          </cell>
          <cell r="F1301">
            <v>300</v>
          </cell>
          <cell r="G1301">
            <v>1</v>
          </cell>
          <cell r="H1301">
            <v>300</v>
          </cell>
          <cell r="I1301">
            <v>41407</v>
          </cell>
          <cell r="J1301">
            <v>0</v>
          </cell>
          <cell r="W1301">
            <v>0</v>
          </cell>
          <cell r="AB1301">
            <v>300</v>
          </cell>
          <cell r="AJ1301">
            <v>300</v>
          </cell>
          <cell r="AW1301">
            <v>0</v>
          </cell>
        </row>
        <row r="1302">
          <cell r="B1302">
            <v>4887</v>
          </cell>
          <cell r="C1302" t="str">
            <v>RV_187_</v>
          </cell>
          <cell r="D1302" t="str">
            <v>Rancho Recoveco No. 187</v>
          </cell>
          <cell r="E1302" t="str">
            <v>Moreno</v>
          </cell>
          <cell r="F1302">
            <v>300</v>
          </cell>
          <cell r="G1302">
            <v>1</v>
          </cell>
          <cell r="H1302">
            <v>300</v>
          </cell>
          <cell r="I1302">
            <v>41407</v>
          </cell>
          <cell r="J1302">
            <v>0</v>
          </cell>
          <cell r="W1302">
            <v>0</v>
          </cell>
          <cell r="AC1302">
            <v>300</v>
          </cell>
          <cell r="AJ1302">
            <v>300</v>
          </cell>
          <cell r="AW1302">
            <v>0</v>
          </cell>
        </row>
        <row r="1303">
          <cell r="B1303">
            <v>4888</v>
          </cell>
          <cell r="C1303" t="str">
            <v>EZ_111_</v>
          </cell>
          <cell r="D1303" t="str">
            <v>Rancho Estanzuela No. 111</v>
          </cell>
          <cell r="E1303" t="str">
            <v>Flores Pérez</v>
          </cell>
          <cell r="F1303">
            <v>300</v>
          </cell>
          <cell r="G1303">
            <v>1</v>
          </cell>
          <cell r="H1303">
            <v>300</v>
          </cell>
          <cell r="I1303">
            <v>41408</v>
          </cell>
          <cell r="J1303">
            <v>0</v>
          </cell>
          <cell r="W1303">
            <v>0</v>
          </cell>
          <cell r="AA1303">
            <v>300</v>
          </cell>
          <cell r="AJ1303">
            <v>300</v>
          </cell>
          <cell r="AW1303">
            <v>0</v>
          </cell>
        </row>
        <row r="1304">
          <cell r="B1304">
            <v>4889</v>
          </cell>
          <cell r="C1304" t="str">
            <v>ZB_12_</v>
          </cell>
          <cell r="D1304" t="str">
            <v>Rancho Zinamba No. 12</v>
          </cell>
          <cell r="E1304" t="str">
            <v>Rodríguez</v>
          </cell>
          <cell r="F1304">
            <v>400</v>
          </cell>
          <cell r="G1304">
            <v>1</v>
          </cell>
          <cell r="H1304">
            <v>400</v>
          </cell>
          <cell r="I1304">
            <v>41408</v>
          </cell>
          <cell r="J1304">
            <v>0</v>
          </cell>
          <cell r="W1304">
            <v>0</v>
          </cell>
          <cell r="AB1304">
            <v>400</v>
          </cell>
          <cell r="AJ1304">
            <v>400</v>
          </cell>
          <cell r="AW1304">
            <v>0</v>
          </cell>
        </row>
        <row r="1305">
          <cell r="B1305">
            <v>6101</v>
          </cell>
          <cell r="C1305" t="str">
            <v>CL_29_</v>
          </cell>
          <cell r="D1305" t="str">
            <v>Rancho La Cuchilla No. 29</v>
          </cell>
          <cell r="E1305" t="str">
            <v>Vega Sánchez C.</v>
          </cell>
          <cell r="F1305">
            <v>300</v>
          </cell>
          <cell r="G1305">
            <v>1</v>
          </cell>
          <cell r="H1305">
            <v>300</v>
          </cell>
          <cell r="I1305">
            <v>41409</v>
          </cell>
          <cell r="J1305">
            <v>0</v>
          </cell>
          <cell r="W1305">
            <v>0</v>
          </cell>
          <cell r="AB1305">
            <v>300</v>
          </cell>
          <cell r="AJ1305">
            <v>300</v>
          </cell>
          <cell r="AW1305">
            <v>0</v>
          </cell>
        </row>
        <row r="1306">
          <cell r="B1306">
            <v>4890</v>
          </cell>
          <cell r="C1306" t="str">
            <v>UP_124_</v>
          </cell>
          <cell r="D1306" t="str">
            <v>Rancho Upácuaro No. 124</v>
          </cell>
          <cell r="E1306" t="str">
            <v>Reyes Nicandro</v>
          </cell>
          <cell r="F1306">
            <v>300</v>
          </cell>
          <cell r="G1306">
            <v>1</v>
          </cell>
          <cell r="H1306">
            <v>600</v>
          </cell>
          <cell r="I1306">
            <v>41413</v>
          </cell>
          <cell r="J1306">
            <v>0</v>
          </cell>
          <cell r="W1306">
            <v>0</v>
          </cell>
          <cell r="AA1306">
            <v>300</v>
          </cell>
          <cell r="AB1306">
            <v>300</v>
          </cell>
          <cell r="AJ1306">
            <v>600</v>
          </cell>
          <cell r="AW1306">
            <v>0</v>
          </cell>
        </row>
        <row r="1307">
          <cell r="B1307">
            <v>4890</v>
          </cell>
          <cell r="C1307" t="str">
            <v>UP_124_</v>
          </cell>
          <cell r="D1307" t="str">
            <v>Rancho Upácuaro No. 124</v>
          </cell>
          <cell r="E1307" t="str">
            <v>Reyes Nicandro</v>
          </cell>
          <cell r="F1307">
            <v>300</v>
          </cell>
          <cell r="G1307">
            <v>4</v>
          </cell>
          <cell r="H1307">
            <v>160</v>
          </cell>
          <cell r="I1307">
            <v>41413</v>
          </cell>
          <cell r="J1307" t="str">
            <v>NO SUMA</v>
          </cell>
          <cell r="W1307">
            <v>0</v>
          </cell>
          <cell r="AJ1307">
            <v>0</v>
          </cell>
          <cell r="AW1307">
            <v>0</v>
          </cell>
        </row>
        <row r="1308">
          <cell r="B1308">
            <v>4891</v>
          </cell>
          <cell r="C1308" t="str">
            <v>UP_130_</v>
          </cell>
          <cell r="D1308" t="str">
            <v>Rancho Upácuaro No. 130</v>
          </cell>
          <cell r="E1308" t="str">
            <v>Rodríguez Álvarez</v>
          </cell>
          <cell r="F1308">
            <v>150</v>
          </cell>
          <cell r="G1308">
            <v>3</v>
          </cell>
          <cell r="H1308">
            <v>150</v>
          </cell>
          <cell r="I1308">
            <v>41413</v>
          </cell>
          <cell r="J1308" t="str">
            <v>NO SUMA</v>
          </cell>
          <cell r="W1308">
            <v>0</v>
          </cell>
          <cell r="AJ1308">
            <v>0</v>
          </cell>
          <cell r="AW1308">
            <v>0</v>
          </cell>
        </row>
        <row r="1309">
          <cell r="B1309">
            <v>4892</v>
          </cell>
          <cell r="C1309" t="str">
            <v>LD_47_</v>
          </cell>
          <cell r="D1309" t="str">
            <v>Rancho Landero No. 47</v>
          </cell>
          <cell r="E1309" t="str">
            <v>García González</v>
          </cell>
          <cell r="F1309">
            <v>300</v>
          </cell>
          <cell r="G1309">
            <v>1</v>
          </cell>
          <cell r="H1309">
            <v>300</v>
          </cell>
          <cell r="I1309">
            <v>41413</v>
          </cell>
          <cell r="J1309">
            <v>0</v>
          </cell>
          <cell r="W1309">
            <v>0</v>
          </cell>
          <cell r="AB1309">
            <v>300</v>
          </cell>
          <cell r="AJ1309">
            <v>300</v>
          </cell>
          <cell r="AW1309">
            <v>0</v>
          </cell>
        </row>
        <row r="1310">
          <cell r="B1310">
            <v>4893</v>
          </cell>
          <cell r="C1310" t="str">
            <v>CL_72_</v>
          </cell>
          <cell r="D1310" t="str">
            <v>Rancho La Cuchilla No. 72</v>
          </cell>
          <cell r="E1310" t="str">
            <v>Ortiz González</v>
          </cell>
          <cell r="F1310">
            <v>300</v>
          </cell>
          <cell r="G1310">
            <v>1</v>
          </cell>
          <cell r="H1310">
            <v>300</v>
          </cell>
          <cell r="I1310">
            <v>41413</v>
          </cell>
          <cell r="J1310">
            <v>0</v>
          </cell>
          <cell r="W1310">
            <v>0</v>
          </cell>
          <cell r="AB1310">
            <v>300</v>
          </cell>
          <cell r="AJ1310">
            <v>300</v>
          </cell>
          <cell r="AW1310">
            <v>0</v>
          </cell>
        </row>
        <row r="1311">
          <cell r="B1311">
            <v>4894</v>
          </cell>
          <cell r="C1311" t="str">
            <v>CL_112_PB</v>
          </cell>
          <cell r="D1311" t="str">
            <v>Rancho La Cuchilla No. 112, PB</v>
          </cell>
          <cell r="E1311" t="str">
            <v>Soreque</v>
          </cell>
          <cell r="F1311">
            <v>150</v>
          </cell>
          <cell r="G1311">
            <v>3</v>
          </cell>
          <cell r="H1311">
            <v>150</v>
          </cell>
          <cell r="I1311">
            <v>41413</v>
          </cell>
          <cell r="J1311" t="str">
            <v>NO SUMA</v>
          </cell>
          <cell r="W1311">
            <v>0</v>
          </cell>
          <cell r="AJ1311">
            <v>0</v>
          </cell>
          <cell r="AW1311">
            <v>0</v>
          </cell>
        </row>
        <row r="1312">
          <cell r="B1312">
            <v>4894</v>
          </cell>
          <cell r="C1312" t="str">
            <v>CL_112_PB</v>
          </cell>
          <cell r="D1312" t="str">
            <v>Rancho La Cuchilla No. 112, PB</v>
          </cell>
          <cell r="E1312" t="str">
            <v>Soreque</v>
          </cell>
          <cell r="F1312">
            <v>150</v>
          </cell>
          <cell r="G1312">
            <v>4</v>
          </cell>
          <cell r="H1312">
            <v>160</v>
          </cell>
          <cell r="I1312">
            <v>41413</v>
          </cell>
          <cell r="J1312" t="str">
            <v>NO SUMA</v>
          </cell>
          <cell r="W1312">
            <v>0</v>
          </cell>
          <cell r="AJ1312">
            <v>0</v>
          </cell>
          <cell r="AW1312">
            <v>0</v>
          </cell>
        </row>
        <row r="1313">
          <cell r="B1313">
            <v>4895</v>
          </cell>
          <cell r="C1313" t="str">
            <v>UP_21_</v>
          </cell>
          <cell r="D1313" t="str">
            <v>Rancho Upácuaro No. 21</v>
          </cell>
          <cell r="E1313" t="str">
            <v>Fierro Betancourt</v>
          </cell>
          <cell r="F1313">
            <v>150</v>
          </cell>
          <cell r="G1313">
            <v>1</v>
          </cell>
          <cell r="H1313">
            <v>150</v>
          </cell>
          <cell r="I1313">
            <v>41413</v>
          </cell>
          <cell r="J1313">
            <v>0</v>
          </cell>
          <cell r="W1313">
            <v>0</v>
          </cell>
          <cell r="AB1313">
            <v>150</v>
          </cell>
          <cell r="AJ1313">
            <v>150</v>
          </cell>
          <cell r="AW1313">
            <v>0</v>
          </cell>
        </row>
        <row r="1314">
          <cell r="B1314">
            <v>4896</v>
          </cell>
          <cell r="C1314" t="str">
            <v>ZB_14_</v>
          </cell>
          <cell r="D1314" t="str">
            <v>Rancho Zinamba No. 14</v>
          </cell>
          <cell r="E1314" t="str">
            <v>Gutiérrez García</v>
          </cell>
          <cell r="F1314">
            <v>300</v>
          </cell>
          <cell r="G1314">
            <v>1</v>
          </cell>
          <cell r="H1314">
            <v>600</v>
          </cell>
          <cell r="I1314">
            <v>41413</v>
          </cell>
          <cell r="J1314">
            <v>0</v>
          </cell>
          <cell r="W1314">
            <v>0</v>
          </cell>
          <cell r="AA1314">
            <v>300</v>
          </cell>
          <cell r="AB1314">
            <v>300</v>
          </cell>
          <cell r="AJ1314">
            <v>600</v>
          </cell>
          <cell r="AW1314">
            <v>0</v>
          </cell>
        </row>
        <row r="1315">
          <cell r="B1315">
            <v>4897</v>
          </cell>
          <cell r="C1315" t="str">
            <v>ZB_34_</v>
          </cell>
          <cell r="D1315" t="str">
            <v>Rancho Zinamba No. 34</v>
          </cell>
          <cell r="E1315" t="str">
            <v>Torres Zavala</v>
          </cell>
          <cell r="F1315">
            <v>300</v>
          </cell>
          <cell r="G1315">
            <v>1</v>
          </cell>
          <cell r="H1315">
            <v>300</v>
          </cell>
          <cell r="I1315">
            <v>41413</v>
          </cell>
          <cell r="J1315">
            <v>0</v>
          </cell>
          <cell r="W1315">
            <v>0</v>
          </cell>
          <cell r="AB1315">
            <v>300</v>
          </cell>
          <cell r="AJ1315">
            <v>300</v>
          </cell>
          <cell r="AW1315">
            <v>0</v>
          </cell>
        </row>
        <row r="1316">
          <cell r="B1316">
            <v>4898</v>
          </cell>
          <cell r="C1316" t="str">
            <v>CL_107_</v>
          </cell>
          <cell r="D1316" t="str">
            <v>Rancho La Cuchilla No. 107</v>
          </cell>
          <cell r="E1316" t="str">
            <v>Olivares Rivera</v>
          </cell>
          <cell r="F1316">
            <v>300</v>
          </cell>
          <cell r="G1316">
            <v>1</v>
          </cell>
          <cell r="H1316">
            <v>300</v>
          </cell>
          <cell r="I1316">
            <v>41413</v>
          </cell>
          <cell r="J1316">
            <v>0</v>
          </cell>
          <cell r="W1316">
            <v>0</v>
          </cell>
          <cell r="AB1316">
            <v>300</v>
          </cell>
          <cell r="AJ1316">
            <v>300</v>
          </cell>
          <cell r="AW1316">
            <v>0</v>
          </cell>
        </row>
        <row r="1317">
          <cell r="B1317">
            <v>4899</v>
          </cell>
          <cell r="C1317" t="str">
            <v>ZB_18_</v>
          </cell>
          <cell r="D1317" t="str">
            <v>Rancho Zinamba No. 18</v>
          </cell>
          <cell r="E1317" t="str">
            <v>Hernández Castro</v>
          </cell>
          <cell r="F1317">
            <v>300</v>
          </cell>
          <cell r="G1317">
            <v>1</v>
          </cell>
          <cell r="H1317">
            <v>300</v>
          </cell>
          <cell r="I1317">
            <v>41413</v>
          </cell>
          <cell r="J1317">
            <v>0</v>
          </cell>
          <cell r="W1317">
            <v>0</v>
          </cell>
          <cell r="AB1317">
            <v>300</v>
          </cell>
          <cell r="AJ1317">
            <v>300</v>
          </cell>
          <cell r="AW1317">
            <v>0</v>
          </cell>
        </row>
        <row r="1318">
          <cell r="B1318">
            <v>4899</v>
          </cell>
          <cell r="C1318" t="str">
            <v>ZB_18_</v>
          </cell>
          <cell r="D1318" t="str">
            <v>Rancho Zinamba No. 18</v>
          </cell>
          <cell r="E1318" t="str">
            <v>Hernández Castro</v>
          </cell>
          <cell r="F1318">
            <v>300</v>
          </cell>
          <cell r="G1318">
            <v>3</v>
          </cell>
          <cell r="H1318">
            <v>150</v>
          </cell>
          <cell r="I1318">
            <v>41413</v>
          </cell>
          <cell r="J1318" t="str">
            <v>NO SUMA</v>
          </cell>
          <cell r="W1318">
            <v>0</v>
          </cell>
          <cell r="AJ1318">
            <v>0</v>
          </cell>
          <cell r="AW1318">
            <v>0</v>
          </cell>
        </row>
        <row r="1319">
          <cell r="B1319">
            <v>4900</v>
          </cell>
          <cell r="C1319" t="str">
            <v>CL_55_</v>
          </cell>
          <cell r="D1319" t="str">
            <v>Rancho La Cuchilla No. 55</v>
          </cell>
          <cell r="E1319" t="str">
            <v>López Velázquez</v>
          </cell>
          <cell r="F1319">
            <v>300</v>
          </cell>
          <cell r="G1319">
            <v>1</v>
          </cell>
          <cell r="H1319">
            <v>300</v>
          </cell>
          <cell r="I1319">
            <v>41413</v>
          </cell>
          <cell r="J1319">
            <v>0</v>
          </cell>
          <cell r="W1319">
            <v>0</v>
          </cell>
          <cell r="AB1319">
            <v>300</v>
          </cell>
          <cell r="AJ1319">
            <v>300</v>
          </cell>
          <cell r="AW1319">
            <v>0</v>
          </cell>
        </row>
        <row r="1320">
          <cell r="B1320">
            <v>4900</v>
          </cell>
          <cell r="C1320" t="str">
            <v>CL_55_</v>
          </cell>
          <cell r="D1320" t="str">
            <v>Rancho La Cuchilla No. 55</v>
          </cell>
          <cell r="E1320" t="str">
            <v>López Velázquez</v>
          </cell>
          <cell r="F1320">
            <v>300</v>
          </cell>
          <cell r="G1320">
            <v>4</v>
          </cell>
          <cell r="H1320">
            <v>160</v>
          </cell>
          <cell r="I1320">
            <v>41413</v>
          </cell>
          <cell r="J1320" t="str">
            <v>NO SUMA</v>
          </cell>
          <cell r="W1320">
            <v>0</v>
          </cell>
          <cell r="AJ1320">
            <v>0</v>
          </cell>
          <cell r="AW1320">
            <v>0</v>
          </cell>
        </row>
        <row r="1321">
          <cell r="B1321">
            <v>4901</v>
          </cell>
          <cell r="C1321" t="str">
            <v>UP_69_</v>
          </cell>
          <cell r="D1321" t="str">
            <v>Rancho Upácuaro No. 69</v>
          </cell>
          <cell r="E1321" t="str">
            <v>Gómez</v>
          </cell>
          <cell r="F1321">
            <v>300</v>
          </cell>
          <cell r="G1321">
            <v>1</v>
          </cell>
          <cell r="H1321">
            <v>300</v>
          </cell>
          <cell r="I1321">
            <v>41413</v>
          </cell>
          <cell r="J1321">
            <v>0</v>
          </cell>
          <cell r="W1321">
            <v>0</v>
          </cell>
          <cell r="AB1321">
            <v>300</v>
          </cell>
          <cell r="AJ1321">
            <v>300</v>
          </cell>
          <cell r="AW1321">
            <v>0</v>
          </cell>
        </row>
        <row r="1322">
          <cell r="B1322">
            <v>4902</v>
          </cell>
          <cell r="C1322" t="str">
            <v>UP_110_</v>
          </cell>
          <cell r="D1322" t="str">
            <v>Rancho Upácuaro No. 110</v>
          </cell>
          <cell r="E1322" t="str">
            <v>Ruiz Mijangos</v>
          </cell>
          <cell r="F1322">
            <v>300</v>
          </cell>
          <cell r="G1322">
            <v>1</v>
          </cell>
          <cell r="H1322">
            <v>300</v>
          </cell>
          <cell r="I1322">
            <v>41413</v>
          </cell>
          <cell r="J1322">
            <v>0</v>
          </cell>
          <cell r="W1322">
            <v>0</v>
          </cell>
          <cell r="AB1322">
            <v>300</v>
          </cell>
          <cell r="AJ1322">
            <v>300</v>
          </cell>
          <cell r="AW1322">
            <v>0</v>
          </cell>
        </row>
        <row r="1323">
          <cell r="B1323">
            <v>4903</v>
          </cell>
          <cell r="C1323" t="str">
            <v>ZB_8_</v>
          </cell>
          <cell r="D1323" t="str">
            <v>Rancho Zinamba No. 8</v>
          </cell>
          <cell r="E1323" t="str">
            <v>Florido</v>
          </cell>
          <cell r="F1323">
            <v>300</v>
          </cell>
          <cell r="G1323">
            <v>1</v>
          </cell>
          <cell r="H1323">
            <v>600</v>
          </cell>
          <cell r="I1323">
            <v>41413</v>
          </cell>
          <cell r="J1323">
            <v>0</v>
          </cell>
          <cell r="W1323">
            <v>0</v>
          </cell>
          <cell r="AA1323">
            <v>300</v>
          </cell>
          <cell r="AB1323">
            <v>300</v>
          </cell>
          <cell r="AJ1323">
            <v>600</v>
          </cell>
          <cell r="AW1323">
            <v>0</v>
          </cell>
        </row>
        <row r="1324">
          <cell r="B1324">
            <v>4904</v>
          </cell>
          <cell r="C1324" t="str">
            <v>LD_71_</v>
          </cell>
          <cell r="D1324" t="str">
            <v>Rancho Landero No. 71</v>
          </cell>
          <cell r="E1324" t="str">
            <v>Cabrera Balcázar</v>
          </cell>
          <cell r="F1324">
            <v>300</v>
          </cell>
          <cell r="G1324">
            <v>1</v>
          </cell>
          <cell r="H1324">
            <v>300</v>
          </cell>
          <cell r="I1324">
            <v>41413</v>
          </cell>
          <cell r="J1324">
            <v>0</v>
          </cell>
          <cell r="W1324">
            <v>0</v>
          </cell>
          <cell r="AB1324">
            <v>300</v>
          </cell>
          <cell r="AJ1324">
            <v>300</v>
          </cell>
          <cell r="AW1324">
            <v>0</v>
          </cell>
        </row>
        <row r="1325">
          <cell r="B1325">
            <v>4905</v>
          </cell>
          <cell r="C1325" t="str">
            <v>UP_24_</v>
          </cell>
          <cell r="D1325" t="str">
            <v>Rancho Upácuaro No. 24</v>
          </cell>
          <cell r="E1325" t="str">
            <v>Parra</v>
          </cell>
          <cell r="F1325">
            <v>300</v>
          </cell>
          <cell r="G1325">
            <v>1</v>
          </cell>
          <cell r="H1325">
            <v>600</v>
          </cell>
          <cell r="I1325">
            <v>41413</v>
          </cell>
          <cell r="J1325">
            <v>0</v>
          </cell>
          <cell r="W1325">
            <v>0</v>
          </cell>
          <cell r="Y1325">
            <v>300</v>
          </cell>
          <cell r="Z1325">
            <v>300</v>
          </cell>
          <cell r="AJ1325">
            <v>600</v>
          </cell>
          <cell r="AW1325">
            <v>0</v>
          </cell>
        </row>
        <row r="1326">
          <cell r="B1326">
            <v>4906</v>
          </cell>
          <cell r="C1326" t="str">
            <v>CL_19_</v>
          </cell>
          <cell r="D1326" t="str">
            <v>Rancho La Cuchilla No. 19</v>
          </cell>
          <cell r="E1326" t="str">
            <v>Tapia Vázquez</v>
          </cell>
          <cell r="F1326">
            <v>300</v>
          </cell>
          <cell r="G1326">
            <v>1</v>
          </cell>
          <cell r="H1326">
            <v>300</v>
          </cell>
          <cell r="I1326">
            <v>41413</v>
          </cell>
          <cell r="J1326">
            <v>0</v>
          </cell>
          <cell r="W1326">
            <v>0</v>
          </cell>
          <cell r="AB1326">
            <v>300</v>
          </cell>
          <cell r="AJ1326">
            <v>300</v>
          </cell>
          <cell r="AW1326">
            <v>0</v>
          </cell>
        </row>
        <row r="1327">
          <cell r="B1327">
            <v>4907</v>
          </cell>
          <cell r="C1327" t="str">
            <v>UP_18_</v>
          </cell>
          <cell r="D1327" t="str">
            <v>Rancho Upácuaro No. 18</v>
          </cell>
          <cell r="E1327" t="str">
            <v>Guzmán</v>
          </cell>
          <cell r="F1327">
            <v>300</v>
          </cell>
          <cell r="G1327">
            <v>3</v>
          </cell>
          <cell r="H1327">
            <v>150</v>
          </cell>
          <cell r="I1327">
            <v>41413</v>
          </cell>
          <cell r="J1327" t="str">
            <v>NO SUMA</v>
          </cell>
          <cell r="W1327">
            <v>0</v>
          </cell>
          <cell r="AJ1327">
            <v>0</v>
          </cell>
          <cell r="AW1327">
            <v>0</v>
          </cell>
        </row>
        <row r="1328">
          <cell r="B1328">
            <v>4908</v>
          </cell>
          <cell r="C1328" t="str">
            <v>EZ_21_</v>
          </cell>
          <cell r="D1328" t="str">
            <v>Rancho Estanzuela No. 21</v>
          </cell>
          <cell r="E1328" t="str">
            <v>Chavero Barrera</v>
          </cell>
          <cell r="F1328">
            <v>300</v>
          </cell>
          <cell r="G1328">
            <v>1</v>
          </cell>
          <cell r="H1328">
            <v>600</v>
          </cell>
          <cell r="I1328">
            <v>41413</v>
          </cell>
          <cell r="J1328">
            <v>0</v>
          </cell>
          <cell r="W1328">
            <v>0</v>
          </cell>
          <cell r="AA1328">
            <v>300</v>
          </cell>
          <cell r="AB1328">
            <v>300</v>
          </cell>
          <cell r="AJ1328">
            <v>600</v>
          </cell>
          <cell r="AW1328">
            <v>0</v>
          </cell>
        </row>
        <row r="1329">
          <cell r="B1329">
            <v>4908</v>
          </cell>
          <cell r="C1329" t="str">
            <v>EZ_21_</v>
          </cell>
          <cell r="D1329" t="str">
            <v>Rancho Estanzuela No. 21</v>
          </cell>
          <cell r="E1329" t="str">
            <v>Chavero Barrera</v>
          </cell>
          <cell r="F1329">
            <v>300</v>
          </cell>
          <cell r="G1329">
            <v>4</v>
          </cell>
          <cell r="H1329">
            <v>160</v>
          </cell>
          <cell r="I1329">
            <v>41413</v>
          </cell>
          <cell r="J1329" t="str">
            <v>NO SUMA</v>
          </cell>
          <cell r="W1329">
            <v>0</v>
          </cell>
          <cell r="AJ1329">
            <v>0</v>
          </cell>
          <cell r="AW1329">
            <v>0</v>
          </cell>
        </row>
        <row r="1330">
          <cell r="B1330">
            <v>4909</v>
          </cell>
          <cell r="C1330" t="str">
            <v>LD_54_1</v>
          </cell>
          <cell r="D1330" t="str">
            <v>Rancho Landero No. 54, 1</v>
          </cell>
          <cell r="E1330" t="str">
            <v>Montes de Oca</v>
          </cell>
          <cell r="F1330">
            <v>300</v>
          </cell>
          <cell r="G1330">
            <v>1</v>
          </cell>
          <cell r="H1330">
            <v>600</v>
          </cell>
          <cell r="I1330">
            <v>41413</v>
          </cell>
          <cell r="J1330">
            <v>0</v>
          </cell>
          <cell r="W1330">
            <v>0</v>
          </cell>
          <cell r="Z1330">
            <v>300</v>
          </cell>
          <cell r="AA1330">
            <v>300</v>
          </cell>
          <cell r="AJ1330">
            <v>600</v>
          </cell>
          <cell r="AW1330">
            <v>0</v>
          </cell>
        </row>
        <row r="1331">
          <cell r="B1331">
            <v>4910</v>
          </cell>
          <cell r="C1331" t="str">
            <v>EZ_11_A</v>
          </cell>
          <cell r="D1331" t="str">
            <v>Rancho Estanzuela No. 11, A</v>
          </cell>
          <cell r="E1331" t="str">
            <v>Evans González</v>
          </cell>
          <cell r="F1331">
            <v>300</v>
          </cell>
          <cell r="G1331">
            <v>1</v>
          </cell>
          <cell r="H1331">
            <v>300</v>
          </cell>
          <cell r="I1331">
            <v>41413</v>
          </cell>
          <cell r="J1331">
            <v>0</v>
          </cell>
          <cell r="W1331">
            <v>0</v>
          </cell>
          <cell r="AB1331">
            <v>300</v>
          </cell>
          <cell r="AJ1331">
            <v>300</v>
          </cell>
          <cell r="AW1331">
            <v>0</v>
          </cell>
        </row>
        <row r="1332">
          <cell r="B1332">
            <v>4911</v>
          </cell>
          <cell r="C1332" t="str">
            <v>EZ_11_A</v>
          </cell>
          <cell r="D1332" t="str">
            <v>Rancho Estanzuela No. 11, A</v>
          </cell>
          <cell r="E1332" t="str">
            <v>Evans González</v>
          </cell>
          <cell r="F1332">
            <v>300</v>
          </cell>
          <cell r="G1332">
            <v>4</v>
          </cell>
          <cell r="H1332">
            <v>160</v>
          </cell>
          <cell r="I1332">
            <v>41413</v>
          </cell>
          <cell r="J1332" t="str">
            <v>NO SUMA</v>
          </cell>
          <cell r="W1332">
            <v>0</v>
          </cell>
          <cell r="AJ1332">
            <v>0</v>
          </cell>
          <cell r="AW1332">
            <v>0</v>
          </cell>
        </row>
        <row r="1333">
          <cell r="B1333">
            <v>4912</v>
          </cell>
          <cell r="C1333" t="str">
            <v>CL_93_</v>
          </cell>
          <cell r="D1333" t="str">
            <v>Rancho La Cuchilla No. 93</v>
          </cell>
          <cell r="E1333" t="str">
            <v>Alcántara Silva</v>
          </cell>
          <cell r="F1333">
            <v>170</v>
          </cell>
          <cell r="G1333">
            <v>1</v>
          </cell>
          <cell r="H1333">
            <v>170</v>
          </cell>
          <cell r="I1333">
            <v>41413</v>
          </cell>
          <cell r="J1333">
            <v>0</v>
          </cell>
          <cell r="W1333">
            <v>0</v>
          </cell>
          <cell r="AB1333">
            <v>170</v>
          </cell>
          <cell r="AJ1333">
            <v>170</v>
          </cell>
          <cell r="AW1333">
            <v>0</v>
          </cell>
        </row>
        <row r="1334">
          <cell r="B1334">
            <v>4913</v>
          </cell>
          <cell r="C1334" t="str">
            <v>UP_62_</v>
          </cell>
          <cell r="D1334" t="str">
            <v>Rancho Upácuaro No. 62</v>
          </cell>
          <cell r="E1334" t="str">
            <v>Jiménez Escutia</v>
          </cell>
          <cell r="F1334">
            <v>300</v>
          </cell>
          <cell r="G1334">
            <v>1</v>
          </cell>
          <cell r="H1334">
            <v>1500</v>
          </cell>
          <cell r="I1334">
            <v>41413</v>
          </cell>
          <cell r="J1334">
            <v>0</v>
          </cell>
          <cell r="W1334">
            <v>0</v>
          </cell>
          <cell r="X1334">
            <v>300</v>
          </cell>
          <cell r="Y1334">
            <v>300</v>
          </cell>
          <cell r="Z1334">
            <v>300</v>
          </cell>
          <cell r="AA1334">
            <v>300</v>
          </cell>
          <cell r="AB1334">
            <v>300</v>
          </cell>
          <cell r="AJ1334">
            <v>1500</v>
          </cell>
          <cell r="AW1334">
            <v>0</v>
          </cell>
        </row>
        <row r="1335">
          <cell r="B1335">
            <v>4914</v>
          </cell>
          <cell r="C1335" t="str">
            <v>CL_43_A</v>
          </cell>
          <cell r="D1335" t="str">
            <v>Rancho La Cuchilla No. 43, A</v>
          </cell>
          <cell r="E1335" t="str">
            <v>De la Rosa</v>
          </cell>
          <cell r="F1335">
            <v>200</v>
          </cell>
          <cell r="G1335">
            <v>1</v>
          </cell>
          <cell r="H1335">
            <v>200</v>
          </cell>
          <cell r="I1335">
            <v>41413</v>
          </cell>
          <cell r="J1335">
            <v>0</v>
          </cell>
          <cell r="W1335">
            <v>0</v>
          </cell>
          <cell r="AB1335">
            <v>200</v>
          </cell>
          <cell r="AJ1335">
            <v>200</v>
          </cell>
          <cell r="AW1335">
            <v>0</v>
          </cell>
        </row>
        <row r="1336">
          <cell r="B1336">
            <v>4915</v>
          </cell>
          <cell r="C1336" t="str">
            <v>EZ_161_1</v>
          </cell>
          <cell r="D1336" t="str">
            <v>Rancho Estanzuela No. 161, 1</v>
          </cell>
          <cell r="E1336" t="str">
            <v>Guevara</v>
          </cell>
          <cell r="F1336">
            <v>150</v>
          </cell>
          <cell r="G1336">
            <v>1</v>
          </cell>
          <cell r="H1336">
            <v>150</v>
          </cell>
          <cell r="I1336">
            <v>41413</v>
          </cell>
          <cell r="J1336">
            <v>0</v>
          </cell>
          <cell r="W1336">
            <v>0</v>
          </cell>
          <cell r="AB1336">
            <v>150</v>
          </cell>
          <cell r="AJ1336">
            <v>150</v>
          </cell>
          <cell r="AW1336">
            <v>0</v>
          </cell>
        </row>
        <row r="1337">
          <cell r="B1337">
            <v>4916</v>
          </cell>
          <cell r="C1337" t="str">
            <v>UP_73_A</v>
          </cell>
          <cell r="D1337" t="str">
            <v>Rancho Upácuaro No. 73, A</v>
          </cell>
          <cell r="E1337" t="str">
            <v>Ortega</v>
          </cell>
          <cell r="F1337">
            <v>150</v>
          </cell>
          <cell r="G1337">
            <v>1</v>
          </cell>
          <cell r="H1337">
            <v>150</v>
          </cell>
          <cell r="I1337">
            <v>41413</v>
          </cell>
          <cell r="J1337">
            <v>0</v>
          </cell>
          <cell r="W1337">
            <v>0</v>
          </cell>
          <cell r="AB1337">
            <v>150</v>
          </cell>
          <cell r="AJ1337">
            <v>150</v>
          </cell>
          <cell r="AW1337">
            <v>0</v>
          </cell>
        </row>
        <row r="1338">
          <cell r="B1338">
            <v>4917</v>
          </cell>
          <cell r="C1338" t="str">
            <v>CL_36_</v>
          </cell>
          <cell r="D1338" t="str">
            <v>Rancho La Cuchilla No. 36</v>
          </cell>
          <cell r="E1338" t="str">
            <v>Castillo</v>
          </cell>
          <cell r="F1338">
            <v>300</v>
          </cell>
          <cell r="G1338">
            <v>1</v>
          </cell>
          <cell r="H1338">
            <v>300</v>
          </cell>
          <cell r="I1338">
            <v>41413</v>
          </cell>
          <cell r="J1338">
            <v>0</v>
          </cell>
          <cell r="W1338">
            <v>0</v>
          </cell>
          <cell r="AB1338">
            <v>300</v>
          </cell>
          <cell r="AJ1338">
            <v>300</v>
          </cell>
          <cell r="AW1338">
            <v>0</v>
          </cell>
        </row>
        <row r="1339">
          <cell r="B1339">
            <v>4918</v>
          </cell>
          <cell r="C1339" t="str">
            <v>LD_39_</v>
          </cell>
          <cell r="D1339" t="str">
            <v>Rancho Landero No. 39</v>
          </cell>
          <cell r="E1339" t="str">
            <v>Soto del Cueto</v>
          </cell>
          <cell r="F1339">
            <v>250</v>
          </cell>
          <cell r="G1339">
            <v>1</v>
          </cell>
          <cell r="H1339">
            <v>500</v>
          </cell>
          <cell r="I1339">
            <v>41413</v>
          </cell>
          <cell r="J1339">
            <v>0</v>
          </cell>
          <cell r="W1339">
            <v>0</v>
          </cell>
          <cell r="X1339">
            <v>250</v>
          </cell>
          <cell r="Y1339">
            <v>250</v>
          </cell>
          <cell r="AJ1339">
            <v>500</v>
          </cell>
          <cell r="AW1339">
            <v>0</v>
          </cell>
        </row>
        <row r="1340">
          <cell r="B1340">
            <v>4919</v>
          </cell>
          <cell r="C1340" t="str">
            <v>EZ_35_</v>
          </cell>
          <cell r="D1340" t="str">
            <v>Rancho Estanzuela No. 35</v>
          </cell>
          <cell r="E1340" t="str">
            <v>Rodríguez</v>
          </cell>
          <cell r="F1340">
            <v>300</v>
          </cell>
          <cell r="G1340">
            <v>1</v>
          </cell>
          <cell r="H1340">
            <v>600</v>
          </cell>
          <cell r="I1340">
            <v>41413</v>
          </cell>
          <cell r="J1340">
            <v>0</v>
          </cell>
          <cell r="W1340">
            <v>0</v>
          </cell>
          <cell r="AB1340">
            <v>300</v>
          </cell>
          <cell r="AC1340">
            <v>300</v>
          </cell>
          <cell r="AJ1340">
            <v>600</v>
          </cell>
          <cell r="AW1340">
            <v>0</v>
          </cell>
        </row>
        <row r="1341">
          <cell r="B1341">
            <v>4920</v>
          </cell>
          <cell r="C1341" t="str">
            <v>CL_74_</v>
          </cell>
          <cell r="D1341" t="str">
            <v>Rancho La Cuchilla No. 74</v>
          </cell>
          <cell r="E1341" t="str">
            <v>Gil</v>
          </cell>
          <cell r="F1341">
            <v>300</v>
          </cell>
          <cell r="G1341">
            <v>1</v>
          </cell>
          <cell r="H1341">
            <v>900</v>
          </cell>
          <cell r="I1341">
            <v>41413</v>
          </cell>
          <cell r="J1341">
            <v>0</v>
          </cell>
          <cell r="W1341">
            <v>0</v>
          </cell>
          <cell r="X1341">
            <v>300</v>
          </cell>
          <cell r="Y1341">
            <v>300</v>
          </cell>
          <cell r="Z1341">
            <v>300</v>
          </cell>
          <cell r="AJ1341">
            <v>900</v>
          </cell>
          <cell r="AW1341">
            <v>0</v>
          </cell>
        </row>
        <row r="1342">
          <cell r="B1342">
            <v>4921</v>
          </cell>
          <cell r="C1342" t="str">
            <v>CL_71_</v>
          </cell>
          <cell r="D1342" t="str">
            <v>Rancho La Cuchilla No. 71</v>
          </cell>
          <cell r="E1342" t="str">
            <v>Pulido</v>
          </cell>
          <cell r="F1342">
            <v>300</v>
          </cell>
          <cell r="G1342">
            <v>1</v>
          </cell>
          <cell r="H1342">
            <v>300</v>
          </cell>
          <cell r="I1342">
            <v>41413</v>
          </cell>
          <cell r="J1342">
            <v>0</v>
          </cell>
          <cell r="W1342">
            <v>0</v>
          </cell>
          <cell r="AB1342">
            <v>300</v>
          </cell>
          <cell r="AJ1342">
            <v>300</v>
          </cell>
          <cell r="AW1342">
            <v>0</v>
          </cell>
        </row>
        <row r="1343">
          <cell r="B1343">
            <v>4922</v>
          </cell>
          <cell r="C1343" t="str">
            <v>CL_87_</v>
          </cell>
          <cell r="D1343" t="str">
            <v>Rancho La Cuchilla No. 87</v>
          </cell>
          <cell r="E1343" t="str">
            <v>Villanueva S.</v>
          </cell>
          <cell r="F1343">
            <v>300</v>
          </cell>
          <cell r="G1343">
            <v>1</v>
          </cell>
          <cell r="H1343">
            <v>300</v>
          </cell>
          <cell r="I1343">
            <v>41413</v>
          </cell>
          <cell r="J1343">
            <v>0</v>
          </cell>
          <cell r="W1343">
            <v>0</v>
          </cell>
          <cell r="AB1343">
            <v>300</v>
          </cell>
          <cell r="AJ1343">
            <v>300</v>
          </cell>
          <cell r="AW1343">
            <v>0</v>
          </cell>
        </row>
        <row r="1344">
          <cell r="B1344">
            <v>4923</v>
          </cell>
          <cell r="C1344" t="str">
            <v>UP_134_</v>
          </cell>
          <cell r="D1344" t="str">
            <v>Rancho Upácuaro No. 134</v>
          </cell>
          <cell r="E1344" t="str">
            <v>Flores Pérez</v>
          </cell>
          <cell r="F1344">
            <v>300</v>
          </cell>
          <cell r="G1344">
            <v>1</v>
          </cell>
          <cell r="H1344">
            <v>300</v>
          </cell>
          <cell r="I1344">
            <v>41413</v>
          </cell>
          <cell r="J1344">
            <v>0</v>
          </cell>
          <cell r="W1344">
            <v>0</v>
          </cell>
          <cell r="AB1344">
            <v>300</v>
          </cell>
          <cell r="AJ1344">
            <v>300</v>
          </cell>
          <cell r="AW1344">
            <v>0</v>
          </cell>
        </row>
        <row r="1345">
          <cell r="B1345">
            <v>4924</v>
          </cell>
          <cell r="C1345" t="str">
            <v>CL_14_</v>
          </cell>
          <cell r="D1345" t="str">
            <v>Rancho La Cuchilla No. 14</v>
          </cell>
          <cell r="E1345" t="str">
            <v>Chávez</v>
          </cell>
          <cell r="F1345">
            <v>300</v>
          </cell>
          <cell r="G1345">
            <v>1</v>
          </cell>
          <cell r="H1345">
            <v>300</v>
          </cell>
          <cell r="I1345">
            <v>41415</v>
          </cell>
          <cell r="J1345">
            <v>0</v>
          </cell>
          <cell r="W1345">
            <v>0</v>
          </cell>
          <cell r="AB1345">
            <v>300</v>
          </cell>
          <cell r="AJ1345">
            <v>300</v>
          </cell>
          <cell r="AW1345">
            <v>0</v>
          </cell>
        </row>
        <row r="1346">
          <cell r="B1346">
            <v>4925</v>
          </cell>
          <cell r="C1346" t="str">
            <v>CL_90_</v>
          </cell>
          <cell r="D1346" t="str">
            <v>Rancho La Cuchilla No. 90</v>
          </cell>
          <cell r="E1346" t="str">
            <v>Porras Fuentes</v>
          </cell>
          <cell r="F1346">
            <v>150</v>
          </cell>
          <cell r="G1346">
            <v>1</v>
          </cell>
          <cell r="H1346">
            <v>150</v>
          </cell>
          <cell r="I1346">
            <v>41416</v>
          </cell>
          <cell r="J1346">
            <v>0</v>
          </cell>
          <cell r="W1346">
            <v>0</v>
          </cell>
          <cell r="AB1346">
            <v>150</v>
          </cell>
          <cell r="AJ1346">
            <v>150</v>
          </cell>
          <cell r="AW1346">
            <v>0</v>
          </cell>
        </row>
        <row r="1347">
          <cell r="B1347">
            <v>4926</v>
          </cell>
          <cell r="C1347" t="str">
            <v>EZ_111_</v>
          </cell>
          <cell r="D1347" t="str">
            <v>Rancho Estanzuela No. 111</v>
          </cell>
          <cell r="E1347" t="str">
            <v>Flores Pérez</v>
          </cell>
          <cell r="F1347">
            <v>300</v>
          </cell>
          <cell r="G1347">
            <v>1</v>
          </cell>
          <cell r="H1347">
            <v>300</v>
          </cell>
          <cell r="I1347">
            <v>41416</v>
          </cell>
          <cell r="J1347">
            <v>0</v>
          </cell>
          <cell r="W1347">
            <v>0</v>
          </cell>
          <cell r="AB1347">
            <v>300</v>
          </cell>
          <cell r="AJ1347">
            <v>300</v>
          </cell>
          <cell r="AW1347">
            <v>0</v>
          </cell>
        </row>
        <row r="1348">
          <cell r="B1348">
            <v>4927</v>
          </cell>
          <cell r="C1348" t="str">
            <v>RV_193_</v>
          </cell>
          <cell r="D1348" t="str">
            <v>Rancho Recoveco No. 193</v>
          </cell>
          <cell r="E1348" t="str">
            <v>Salazar Pérez</v>
          </cell>
          <cell r="F1348">
            <v>300</v>
          </cell>
          <cell r="G1348">
            <v>1</v>
          </cell>
          <cell r="H1348">
            <v>900</v>
          </cell>
          <cell r="I1348">
            <v>41423</v>
          </cell>
          <cell r="J1348">
            <v>0</v>
          </cell>
          <cell r="W1348">
            <v>0</v>
          </cell>
          <cell r="Z1348">
            <v>300</v>
          </cell>
          <cell r="AA1348">
            <v>300</v>
          </cell>
          <cell r="AB1348">
            <v>300</v>
          </cell>
          <cell r="AJ1348">
            <v>900</v>
          </cell>
          <cell r="AW1348">
            <v>0</v>
          </cell>
        </row>
        <row r="1349">
          <cell r="B1349">
            <v>4928</v>
          </cell>
          <cell r="C1349" t="str">
            <v>UP_116_</v>
          </cell>
          <cell r="D1349" t="str">
            <v>Rancho Upácuaro No. 116</v>
          </cell>
          <cell r="E1349" t="str">
            <v>García Zamudio</v>
          </cell>
          <cell r="F1349">
            <v>300</v>
          </cell>
          <cell r="G1349">
            <v>1</v>
          </cell>
          <cell r="H1349">
            <v>300</v>
          </cell>
          <cell r="I1349">
            <v>41420</v>
          </cell>
          <cell r="J1349">
            <v>0</v>
          </cell>
          <cell r="W1349">
            <v>0</v>
          </cell>
          <cell r="AB1349">
            <v>300</v>
          </cell>
          <cell r="AJ1349">
            <v>300</v>
          </cell>
          <cell r="AW1349">
            <v>0</v>
          </cell>
        </row>
        <row r="1350">
          <cell r="B1350">
            <v>4929</v>
          </cell>
          <cell r="C1350" t="str">
            <v>CL_9_</v>
          </cell>
          <cell r="D1350" t="str">
            <v>Rancho La Cuchilla No. 9</v>
          </cell>
          <cell r="E1350" t="str">
            <v>Martín del Campo</v>
          </cell>
          <cell r="F1350">
            <v>300</v>
          </cell>
          <cell r="G1350">
            <v>4</v>
          </cell>
          <cell r="H1350">
            <v>160</v>
          </cell>
          <cell r="I1350">
            <v>41420</v>
          </cell>
          <cell r="J1350" t="str">
            <v>NO SUMA</v>
          </cell>
          <cell r="W1350">
            <v>0</v>
          </cell>
          <cell r="AJ1350">
            <v>0</v>
          </cell>
          <cell r="AW1350">
            <v>0</v>
          </cell>
        </row>
        <row r="1351">
          <cell r="B1351">
            <v>4930</v>
          </cell>
          <cell r="C1351" t="str">
            <v>ZB_8_</v>
          </cell>
          <cell r="D1351" t="str">
            <v>Rancho Zinamba No. 8</v>
          </cell>
          <cell r="E1351" t="str">
            <v>Florido</v>
          </cell>
          <cell r="F1351">
            <v>300</v>
          </cell>
          <cell r="G1351">
            <v>4</v>
          </cell>
          <cell r="H1351">
            <v>160</v>
          </cell>
          <cell r="I1351">
            <v>41420</v>
          </cell>
          <cell r="J1351" t="str">
            <v>NO SUMA</v>
          </cell>
          <cell r="W1351">
            <v>0</v>
          </cell>
          <cell r="AJ1351">
            <v>0</v>
          </cell>
          <cell r="AW1351">
            <v>0</v>
          </cell>
        </row>
        <row r="1352">
          <cell r="B1352">
            <v>4931</v>
          </cell>
          <cell r="C1352" t="str">
            <v>RV_175_B</v>
          </cell>
          <cell r="D1352" t="str">
            <v>Rancho Recoveco No. 175, B</v>
          </cell>
          <cell r="E1352" t="str">
            <v>García Calderón</v>
          </cell>
          <cell r="F1352">
            <v>150</v>
          </cell>
          <cell r="G1352">
            <v>1</v>
          </cell>
          <cell r="H1352">
            <v>150</v>
          </cell>
          <cell r="I1352">
            <v>41420</v>
          </cell>
          <cell r="J1352">
            <v>0</v>
          </cell>
          <cell r="W1352">
            <v>0</v>
          </cell>
          <cell r="AB1352">
            <v>150</v>
          </cell>
          <cell r="AJ1352">
            <v>150</v>
          </cell>
          <cell r="AW1352">
            <v>0</v>
          </cell>
        </row>
        <row r="1353">
          <cell r="B1353">
            <v>4932</v>
          </cell>
          <cell r="C1353" t="str">
            <v>EZ_61_</v>
          </cell>
          <cell r="D1353" t="str">
            <v>Rancho Estanzuela No. 61</v>
          </cell>
          <cell r="E1353" t="str">
            <v>González Almazán</v>
          </cell>
          <cell r="F1353">
            <v>300</v>
          </cell>
          <cell r="G1353">
            <v>1</v>
          </cell>
          <cell r="H1353">
            <v>300</v>
          </cell>
          <cell r="I1353">
            <v>41420</v>
          </cell>
          <cell r="J1353">
            <v>0</v>
          </cell>
          <cell r="W1353">
            <v>0</v>
          </cell>
          <cell r="AB1353">
            <v>300</v>
          </cell>
          <cell r="AJ1353">
            <v>300</v>
          </cell>
          <cell r="AW1353">
            <v>0</v>
          </cell>
        </row>
        <row r="1354">
          <cell r="B1354">
            <v>4933</v>
          </cell>
          <cell r="C1354" t="str">
            <v>UP_101_</v>
          </cell>
          <cell r="D1354" t="str">
            <v>Rancho Upácuaro No. 101</v>
          </cell>
          <cell r="E1354" t="str">
            <v>Chávez, Arturo</v>
          </cell>
          <cell r="F1354">
            <v>300</v>
          </cell>
          <cell r="G1354">
            <v>1</v>
          </cell>
          <cell r="H1354">
            <v>300</v>
          </cell>
          <cell r="I1354">
            <v>41420</v>
          </cell>
          <cell r="J1354">
            <v>0</v>
          </cell>
          <cell r="W1354">
            <v>0</v>
          </cell>
          <cell r="AC1354">
            <v>300</v>
          </cell>
          <cell r="AJ1354">
            <v>300</v>
          </cell>
          <cell r="AW1354">
            <v>0</v>
          </cell>
        </row>
        <row r="1355">
          <cell r="B1355">
            <v>4934</v>
          </cell>
          <cell r="C1355" t="str">
            <v>ZB_24_</v>
          </cell>
          <cell r="D1355" t="str">
            <v>Rancho Zinamba No. 24</v>
          </cell>
          <cell r="E1355" t="str">
            <v>Monroy García</v>
          </cell>
          <cell r="F1355">
            <v>300</v>
          </cell>
          <cell r="G1355">
            <v>1</v>
          </cell>
          <cell r="H1355">
            <v>300</v>
          </cell>
          <cell r="I1355">
            <v>41420</v>
          </cell>
          <cell r="J1355">
            <v>0</v>
          </cell>
          <cell r="W1355">
            <v>0</v>
          </cell>
          <cell r="AB1355">
            <v>300</v>
          </cell>
          <cell r="AJ1355">
            <v>300</v>
          </cell>
          <cell r="AW1355">
            <v>0</v>
          </cell>
        </row>
        <row r="1356">
          <cell r="B1356">
            <v>4935</v>
          </cell>
          <cell r="C1356" t="str">
            <v>LD_39_</v>
          </cell>
          <cell r="D1356" t="str">
            <v>Rancho Landero No. 39</v>
          </cell>
          <cell r="E1356" t="str">
            <v>Soto del Cueto</v>
          </cell>
          <cell r="F1356">
            <v>250</v>
          </cell>
          <cell r="G1356">
            <v>4</v>
          </cell>
          <cell r="H1356">
            <v>160</v>
          </cell>
          <cell r="I1356">
            <v>41420</v>
          </cell>
          <cell r="J1356" t="str">
            <v>NO SUMA</v>
          </cell>
          <cell r="W1356">
            <v>0</v>
          </cell>
          <cell r="AJ1356">
            <v>0</v>
          </cell>
          <cell r="AW1356">
            <v>0</v>
          </cell>
        </row>
        <row r="1357">
          <cell r="B1357">
            <v>4936</v>
          </cell>
          <cell r="C1357" t="str">
            <v>LD_22_</v>
          </cell>
          <cell r="D1357" t="str">
            <v>Rancho Landero No. 22</v>
          </cell>
          <cell r="E1357" t="str">
            <v>Reyes</v>
          </cell>
          <cell r="F1357">
            <v>150</v>
          </cell>
          <cell r="G1357">
            <v>1</v>
          </cell>
          <cell r="H1357">
            <v>150</v>
          </cell>
          <cell r="I1357">
            <v>41420</v>
          </cell>
          <cell r="J1357">
            <v>0</v>
          </cell>
          <cell r="W1357">
            <v>0</v>
          </cell>
          <cell r="AB1357">
            <v>150</v>
          </cell>
          <cell r="AJ1357">
            <v>150</v>
          </cell>
          <cell r="AW1357">
            <v>0</v>
          </cell>
        </row>
        <row r="1358">
          <cell r="B1358">
            <v>4936</v>
          </cell>
          <cell r="C1358" t="str">
            <v>LD_22_</v>
          </cell>
          <cell r="D1358" t="str">
            <v>Rancho Landero No. 22</v>
          </cell>
          <cell r="E1358" t="str">
            <v>Reyes</v>
          </cell>
          <cell r="F1358">
            <v>150</v>
          </cell>
          <cell r="G1358">
            <v>3</v>
          </cell>
          <cell r="H1358">
            <v>150</v>
          </cell>
          <cell r="I1358">
            <v>41420</v>
          </cell>
          <cell r="J1358" t="str">
            <v>NO SUMA</v>
          </cell>
          <cell r="W1358">
            <v>0</v>
          </cell>
          <cell r="AJ1358">
            <v>0</v>
          </cell>
          <cell r="AW1358">
            <v>0</v>
          </cell>
        </row>
        <row r="1359">
          <cell r="B1359">
            <v>4937</v>
          </cell>
          <cell r="C1359" t="str">
            <v>EZ_99_</v>
          </cell>
          <cell r="D1359" t="str">
            <v>Rancho Estanzuela No. 99</v>
          </cell>
          <cell r="E1359" t="str">
            <v>García López</v>
          </cell>
          <cell r="F1359">
            <v>300</v>
          </cell>
          <cell r="G1359">
            <v>1</v>
          </cell>
          <cell r="H1359">
            <v>600</v>
          </cell>
          <cell r="I1359">
            <v>41420</v>
          </cell>
          <cell r="J1359">
            <v>0</v>
          </cell>
          <cell r="W1359">
            <v>0</v>
          </cell>
          <cell r="AA1359">
            <v>300</v>
          </cell>
          <cell r="AB1359">
            <v>300</v>
          </cell>
          <cell r="AJ1359">
            <v>600</v>
          </cell>
          <cell r="AW1359">
            <v>0</v>
          </cell>
        </row>
        <row r="1360">
          <cell r="B1360">
            <v>4938</v>
          </cell>
          <cell r="C1360" t="str">
            <v>UP_73_A</v>
          </cell>
          <cell r="D1360" t="str">
            <v>Rancho Upácuaro No. 73, A</v>
          </cell>
          <cell r="E1360" t="str">
            <v>Ortega</v>
          </cell>
          <cell r="F1360">
            <v>150</v>
          </cell>
          <cell r="G1360">
            <v>4</v>
          </cell>
          <cell r="H1360">
            <v>160</v>
          </cell>
          <cell r="I1360">
            <v>41420</v>
          </cell>
          <cell r="J1360" t="str">
            <v>NO SUMA</v>
          </cell>
          <cell r="W1360">
            <v>0</v>
          </cell>
          <cell r="AJ1360">
            <v>0</v>
          </cell>
          <cell r="AW1360">
            <v>0</v>
          </cell>
        </row>
        <row r="1361">
          <cell r="B1361">
            <v>4939</v>
          </cell>
          <cell r="C1361" t="str">
            <v>UP_48_</v>
          </cell>
          <cell r="D1361" t="str">
            <v>Rancho Upácuaro No. 48</v>
          </cell>
          <cell r="E1361" t="str">
            <v>Bernal</v>
          </cell>
          <cell r="F1361">
            <v>200</v>
          </cell>
          <cell r="G1361">
            <v>1</v>
          </cell>
          <cell r="H1361">
            <v>200</v>
          </cell>
          <cell r="I1361">
            <v>41420</v>
          </cell>
          <cell r="J1361">
            <v>0</v>
          </cell>
          <cell r="W1361">
            <v>0</v>
          </cell>
          <cell r="Z1361">
            <v>200</v>
          </cell>
          <cell r="AJ1361">
            <v>200</v>
          </cell>
          <cell r="AW1361">
            <v>0</v>
          </cell>
        </row>
        <row r="1362">
          <cell r="B1362">
            <v>4940</v>
          </cell>
          <cell r="C1362" t="str">
            <v>LD_20_</v>
          </cell>
          <cell r="D1362" t="str">
            <v>Rancho Landero No. 20</v>
          </cell>
          <cell r="E1362" t="str">
            <v>Velasco</v>
          </cell>
          <cell r="F1362">
            <v>300</v>
          </cell>
          <cell r="G1362">
            <v>1</v>
          </cell>
          <cell r="H1362">
            <v>900</v>
          </cell>
          <cell r="I1362">
            <v>41420</v>
          </cell>
          <cell r="J1362">
            <v>0</v>
          </cell>
          <cell r="W1362">
            <v>0</v>
          </cell>
          <cell r="AA1362">
            <v>300</v>
          </cell>
          <cell r="AB1362">
            <v>300</v>
          </cell>
          <cell r="AC1362">
            <v>300</v>
          </cell>
          <cell r="AJ1362">
            <v>900</v>
          </cell>
          <cell r="AW1362">
            <v>0</v>
          </cell>
        </row>
        <row r="1363">
          <cell r="B1363">
            <v>4941</v>
          </cell>
          <cell r="C1363" t="str">
            <v>RV_3_</v>
          </cell>
          <cell r="D1363" t="str">
            <v>Rancho Recoveco No. 3</v>
          </cell>
          <cell r="E1363" t="str">
            <v>Garduño</v>
          </cell>
          <cell r="F1363">
            <v>300</v>
          </cell>
          <cell r="G1363">
            <v>1</v>
          </cell>
          <cell r="H1363">
            <v>300</v>
          </cell>
          <cell r="I1363">
            <v>41420</v>
          </cell>
          <cell r="J1363">
            <v>0</v>
          </cell>
          <cell r="W1363">
            <v>0</v>
          </cell>
          <cell r="AB1363">
            <v>300</v>
          </cell>
          <cell r="AJ1363">
            <v>300</v>
          </cell>
          <cell r="AW1363">
            <v>0</v>
          </cell>
        </row>
        <row r="1364">
          <cell r="B1364">
            <v>4942</v>
          </cell>
          <cell r="C1364" t="str">
            <v>CL_66_</v>
          </cell>
          <cell r="D1364" t="str">
            <v>Rancho La Cuchilla No. 66</v>
          </cell>
          <cell r="E1364" t="str">
            <v>Prieto</v>
          </cell>
          <cell r="F1364">
            <v>300</v>
          </cell>
          <cell r="G1364">
            <v>1</v>
          </cell>
          <cell r="H1364">
            <v>300</v>
          </cell>
          <cell r="I1364">
            <v>41420</v>
          </cell>
          <cell r="J1364">
            <v>0</v>
          </cell>
          <cell r="W1364">
            <v>0</v>
          </cell>
          <cell r="AB1364">
            <v>300</v>
          </cell>
          <cell r="AJ1364">
            <v>300</v>
          </cell>
          <cell r="AW1364">
            <v>0</v>
          </cell>
        </row>
        <row r="1365">
          <cell r="B1365">
            <v>4943</v>
          </cell>
          <cell r="C1365" t="str">
            <v>EZ_100_</v>
          </cell>
          <cell r="D1365" t="str">
            <v>Rancho Estanzuela No. 100</v>
          </cell>
          <cell r="E1365" t="str">
            <v>Arias Monter</v>
          </cell>
          <cell r="F1365">
            <v>300</v>
          </cell>
          <cell r="G1365">
            <v>1</v>
          </cell>
          <cell r="H1365">
            <v>600</v>
          </cell>
          <cell r="I1365">
            <v>41420</v>
          </cell>
          <cell r="J1365">
            <v>0</v>
          </cell>
          <cell r="W1365">
            <v>0</v>
          </cell>
          <cell r="AA1365">
            <v>300</v>
          </cell>
          <cell r="AB1365">
            <v>300</v>
          </cell>
          <cell r="AJ1365">
            <v>600</v>
          </cell>
          <cell r="AW1365">
            <v>0</v>
          </cell>
        </row>
        <row r="1366">
          <cell r="B1366">
            <v>4944</v>
          </cell>
          <cell r="C1366" t="str">
            <v>LD_65_</v>
          </cell>
          <cell r="D1366" t="str">
            <v>Rancho Landero No. 65</v>
          </cell>
          <cell r="E1366" t="str">
            <v>Alpizar</v>
          </cell>
          <cell r="F1366">
            <v>300</v>
          </cell>
          <cell r="G1366">
            <v>1</v>
          </cell>
          <cell r="H1366">
            <v>900</v>
          </cell>
          <cell r="I1366">
            <v>41420</v>
          </cell>
          <cell r="J1366">
            <v>0</v>
          </cell>
          <cell r="W1366">
            <v>0</v>
          </cell>
          <cell r="Z1366">
            <v>300</v>
          </cell>
          <cell r="AA1366">
            <v>300</v>
          </cell>
          <cell r="AB1366">
            <v>300</v>
          </cell>
          <cell r="AJ1366">
            <v>900</v>
          </cell>
          <cell r="AW1366">
            <v>0</v>
          </cell>
        </row>
        <row r="1367">
          <cell r="B1367">
            <v>4945</v>
          </cell>
          <cell r="C1367" t="str">
            <v>ZB_26_</v>
          </cell>
          <cell r="D1367" t="str">
            <v>Rancho Zinamba No. 26</v>
          </cell>
          <cell r="E1367" t="str">
            <v>Ayala</v>
          </cell>
          <cell r="F1367">
            <v>300</v>
          </cell>
          <cell r="G1367">
            <v>1</v>
          </cell>
          <cell r="H1367">
            <v>300</v>
          </cell>
          <cell r="I1367">
            <v>41420</v>
          </cell>
          <cell r="J1367">
            <v>0</v>
          </cell>
          <cell r="W1367">
            <v>0</v>
          </cell>
          <cell r="AA1367">
            <v>300</v>
          </cell>
          <cell r="AJ1367">
            <v>300</v>
          </cell>
          <cell r="AW1367">
            <v>0</v>
          </cell>
        </row>
        <row r="1368">
          <cell r="B1368">
            <v>4946</v>
          </cell>
          <cell r="C1368" t="str">
            <v>UP_63_</v>
          </cell>
          <cell r="D1368" t="str">
            <v>Rancho Upácuaro No. 63</v>
          </cell>
          <cell r="E1368" t="str">
            <v>González Benavides</v>
          </cell>
          <cell r="F1368">
            <v>300</v>
          </cell>
          <cell r="G1368">
            <v>1</v>
          </cell>
          <cell r="H1368">
            <v>900</v>
          </cell>
          <cell r="I1368">
            <v>41420</v>
          </cell>
          <cell r="J1368">
            <v>0</v>
          </cell>
          <cell r="W1368">
            <v>0</v>
          </cell>
          <cell r="AA1368">
            <v>300</v>
          </cell>
          <cell r="AB1368">
            <v>300</v>
          </cell>
          <cell r="AC1368">
            <v>300</v>
          </cell>
          <cell r="AJ1368">
            <v>900</v>
          </cell>
          <cell r="AW1368">
            <v>0</v>
          </cell>
        </row>
        <row r="1369">
          <cell r="B1369">
            <v>4947</v>
          </cell>
          <cell r="C1369" t="str">
            <v>UP_63_</v>
          </cell>
          <cell r="D1369" t="str">
            <v>Rancho Upácuaro No. 63</v>
          </cell>
          <cell r="E1369" t="str">
            <v>González Benavides</v>
          </cell>
          <cell r="F1369">
            <v>300</v>
          </cell>
          <cell r="G1369">
            <v>4</v>
          </cell>
          <cell r="H1369">
            <v>160</v>
          </cell>
          <cell r="I1369">
            <v>41420</v>
          </cell>
          <cell r="J1369" t="str">
            <v>NO SUMA</v>
          </cell>
          <cell r="W1369">
            <v>0</v>
          </cell>
          <cell r="AJ1369">
            <v>0</v>
          </cell>
          <cell r="AW1369">
            <v>0</v>
          </cell>
        </row>
        <row r="1370">
          <cell r="B1370">
            <v>4948</v>
          </cell>
          <cell r="C1370" t="str">
            <v>UP_71_</v>
          </cell>
          <cell r="D1370" t="str">
            <v>Rancho Upácuaro No. 71</v>
          </cell>
          <cell r="E1370" t="str">
            <v>Trejo Méndez</v>
          </cell>
          <cell r="F1370">
            <v>300</v>
          </cell>
          <cell r="G1370">
            <v>1</v>
          </cell>
          <cell r="H1370">
            <v>300</v>
          </cell>
          <cell r="I1370">
            <v>41420</v>
          </cell>
          <cell r="J1370">
            <v>0</v>
          </cell>
          <cell r="W1370">
            <v>0</v>
          </cell>
          <cell r="AB1370">
            <v>300</v>
          </cell>
          <cell r="AJ1370">
            <v>300</v>
          </cell>
          <cell r="AW1370">
            <v>0</v>
          </cell>
        </row>
        <row r="1371">
          <cell r="B1371">
            <v>4949</v>
          </cell>
          <cell r="C1371" t="str">
            <v>LD_70_</v>
          </cell>
          <cell r="D1371" t="str">
            <v>Rancho Landero No. 70</v>
          </cell>
          <cell r="E1371" t="str">
            <v>Olguín</v>
          </cell>
          <cell r="F1371">
            <v>100</v>
          </cell>
          <cell r="G1371">
            <v>1</v>
          </cell>
          <cell r="H1371">
            <v>100</v>
          </cell>
          <cell r="I1371">
            <v>41420</v>
          </cell>
          <cell r="J1371">
            <v>0</v>
          </cell>
          <cell r="W1371">
            <v>0</v>
          </cell>
          <cell r="AB1371">
            <v>100</v>
          </cell>
          <cell r="AJ1371">
            <v>100</v>
          </cell>
          <cell r="AW1371">
            <v>0</v>
          </cell>
        </row>
        <row r="1372">
          <cell r="B1372">
            <v>4950</v>
          </cell>
          <cell r="C1372" t="str">
            <v>EZ_7_A</v>
          </cell>
          <cell r="D1372" t="str">
            <v>Rancho Estanzuela No. 7, A</v>
          </cell>
          <cell r="E1372" t="str">
            <v>Herrera Izquierdo</v>
          </cell>
          <cell r="F1372">
            <v>150</v>
          </cell>
          <cell r="G1372">
            <v>1</v>
          </cell>
          <cell r="H1372">
            <v>300</v>
          </cell>
          <cell r="I1372">
            <v>41420</v>
          </cell>
          <cell r="J1372">
            <v>0</v>
          </cell>
          <cell r="W1372">
            <v>0</v>
          </cell>
          <cell r="AA1372">
            <v>150</v>
          </cell>
          <cell r="AB1372">
            <v>150</v>
          </cell>
          <cell r="AJ1372">
            <v>300</v>
          </cell>
          <cell r="AW1372">
            <v>0</v>
          </cell>
        </row>
        <row r="1373">
          <cell r="B1373">
            <v>4951</v>
          </cell>
          <cell r="C1373" t="str">
            <v>CL_7_202</v>
          </cell>
          <cell r="D1373" t="str">
            <v>Rancho La Cuchilla No. 7, 202</v>
          </cell>
          <cell r="E1373" t="str">
            <v>Carbajal Zayas</v>
          </cell>
          <cell r="F1373">
            <v>100</v>
          </cell>
          <cell r="G1373">
            <v>1</v>
          </cell>
          <cell r="H1373">
            <v>200</v>
          </cell>
          <cell r="I1373">
            <v>41420</v>
          </cell>
          <cell r="J1373">
            <v>0</v>
          </cell>
          <cell r="W1373">
            <v>0</v>
          </cell>
          <cell r="AA1373">
            <v>100</v>
          </cell>
          <cell r="AB1373">
            <v>100</v>
          </cell>
          <cell r="AJ1373">
            <v>200</v>
          </cell>
          <cell r="AW1373">
            <v>0</v>
          </cell>
        </row>
        <row r="1374">
          <cell r="B1374">
            <v>4952</v>
          </cell>
          <cell r="C1374" t="str">
            <v>CL_46_</v>
          </cell>
          <cell r="D1374" t="str">
            <v>Rancho La Cuchilla No. 46</v>
          </cell>
          <cell r="E1374" t="str">
            <v>Cruz López</v>
          </cell>
          <cell r="F1374">
            <v>300</v>
          </cell>
          <cell r="G1374">
            <v>1</v>
          </cell>
          <cell r="H1374">
            <v>300</v>
          </cell>
          <cell r="I1374">
            <v>41420</v>
          </cell>
          <cell r="J1374">
            <v>0</v>
          </cell>
          <cell r="W1374">
            <v>0</v>
          </cell>
          <cell r="AB1374">
            <v>300</v>
          </cell>
          <cell r="AJ1374">
            <v>300</v>
          </cell>
          <cell r="AW1374">
            <v>0</v>
          </cell>
        </row>
        <row r="1375">
          <cell r="B1375">
            <v>44</v>
          </cell>
          <cell r="C1375" t="str">
            <v>CM_130_A</v>
          </cell>
          <cell r="D1375" t="str">
            <v>Rancho Estanzuela No. 130, A</v>
          </cell>
          <cell r="E1375" t="str">
            <v>Colegio Carmel</v>
          </cell>
          <cell r="F1375">
            <v>10000</v>
          </cell>
          <cell r="G1375">
            <v>1</v>
          </cell>
          <cell r="H1375">
            <v>10000</v>
          </cell>
          <cell r="I1375">
            <v>41423</v>
          </cell>
          <cell r="J1375">
            <v>0</v>
          </cell>
          <cell r="W1375">
            <v>0</v>
          </cell>
          <cell r="AB1375">
            <v>10000</v>
          </cell>
          <cell r="AJ1375">
            <v>10000</v>
          </cell>
          <cell r="AW1375">
            <v>0</v>
          </cell>
        </row>
        <row r="1376">
          <cell r="B1376">
            <v>4953</v>
          </cell>
          <cell r="C1376" t="str">
            <v>RM_30_</v>
          </cell>
          <cell r="D1376" t="str">
            <v>Rancho Romeral No. 30</v>
          </cell>
          <cell r="E1376" t="str">
            <v>Osorio</v>
          </cell>
          <cell r="F1376">
            <v>200</v>
          </cell>
          <cell r="G1376">
            <v>3</v>
          </cell>
          <cell r="H1376">
            <v>150</v>
          </cell>
          <cell r="I1376">
            <v>41425</v>
          </cell>
          <cell r="J1376" t="str">
            <v>NO SUMA</v>
          </cell>
          <cell r="W1376">
            <v>0</v>
          </cell>
          <cell r="AJ1376">
            <v>0</v>
          </cell>
          <cell r="AW1376">
            <v>0</v>
          </cell>
        </row>
        <row r="1377">
          <cell r="B1377">
            <v>43</v>
          </cell>
          <cell r="C1377" t="str">
            <v>HS_B_</v>
          </cell>
          <cell r="D1377" t="str">
            <v>Calzada del Hueso No. B</v>
          </cell>
          <cell r="E1377" t="str">
            <v>CARSO</v>
          </cell>
          <cell r="F1377">
            <v>1000</v>
          </cell>
          <cell r="G1377">
            <v>1</v>
          </cell>
          <cell r="H1377">
            <v>1000</v>
          </cell>
          <cell r="I1377">
            <v>41425</v>
          </cell>
          <cell r="J1377">
            <v>0</v>
          </cell>
          <cell r="W1377">
            <v>0</v>
          </cell>
          <cell r="AB1377">
            <v>1000</v>
          </cell>
          <cell r="AJ1377">
            <v>1000</v>
          </cell>
          <cell r="AW1377">
            <v>0</v>
          </cell>
        </row>
        <row r="1378">
          <cell r="B1378" t="str">
            <v>NÚMERO</v>
          </cell>
          <cell r="C1378" t="str">
            <v>CASA</v>
          </cell>
          <cell r="D1378" t="str">
            <v>DOMICILIO</v>
          </cell>
          <cell r="E1378" t="str">
            <v>FAMILIA</v>
          </cell>
          <cell r="F1378" t="str">
            <v>CUOTA</v>
          </cell>
          <cell r="G1378" t="str">
            <v>C_ING</v>
          </cell>
          <cell r="H1378" t="str">
            <v>IMPORTE</v>
          </cell>
          <cell r="I1378" t="str">
            <v>FECHA</v>
          </cell>
          <cell r="J1378" t="str">
            <v>CHK</v>
          </cell>
          <cell r="K1378" t="str">
            <v>ENE
2012</v>
          </cell>
          <cell r="L1378" t="str">
            <v>FEB
2012</v>
          </cell>
          <cell r="M1378" t="str">
            <v>MAR
2012</v>
          </cell>
          <cell r="N1378" t="str">
            <v>ABR
2012</v>
          </cell>
          <cell r="O1378" t="str">
            <v>MAY
2012</v>
          </cell>
          <cell r="P1378" t="str">
            <v>JUN
2012</v>
          </cell>
          <cell r="Q1378" t="str">
            <v>JUL
2012</v>
          </cell>
          <cell r="R1378" t="str">
            <v>AGO
2012</v>
          </cell>
          <cell r="S1378" t="str">
            <v>SEP
2012</v>
          </cell>
          <cell r="T1378" t="str">
            <v>OCT
2012</v>
          </cell>
          <cell r="U1378" t="str">
            <v>NOV
2012</v>
          </cell>
          <cell r="V1378" t="str">
            <v>DIC
2012</v>
          </cell>
          <cell r="W1378" t="str">
            <v>SUMA
2012</v>
          </cell>
          <cell r="X1378" t="str">
            <v>ENE
2013</v>
          </cell>
          <cell r="Y1378" t="str">
            <v>FEB
2013</v>
          </cell>
          <cell r="Z1378" t="str">
            <v>MAR
2013</v>
          </cell>
          <cell r="AA1378" t="str">
            <v>ABR
2013</v>
          </cell>
          <cell r="AB1378" t="str">
            <v>MAY
2013</v>
          </cell>
          <cell r="AC1378" t="str">
            <v>JUN
2013</v>
          </cell>
          <cell r="AD1378" t="str">
            <v>JUL
2013</v>
          </cell>
          <cell r="AE1378" t="str">
            <v>AGO
2013</v>
          </cell>
          <cell r="AF1378" t="str">
            <v>SEP
2013</v>
          </cell>
          <cell r="AG1378" t="str">
            <v>OCT
2013</v>
          </cell>
          <cell r="AH1378" t="str">
            <v>NOV
2013</v>
          </cell>
          <cell r="AI1378" t="str">
            <v>DIC
2013</v>
          </cell>
          <cell r="AJ1378" t="str">
            <v>SUMA
2013</v>
          </cell>
          <cell r="AK1378" t="str">
            <v>ENE
2014</v>
          </cell>
          <cell r="AL1378" t="str">
            <v>FEB
2014</v>
          </cell>
          <cell r="AM1378" t="str">
            <v>MAR
2014</v>
          </cell>
          <cell r="AN1378" t="str">
            <v>ABR
2014</v>
          </cell>
          <cell r="AO1378" t="str">
            <v>MAY
2014</v>
          </cell>
          <cell r="AP1378" t="str">
            <v>JUN
2014</v>
          </cell>
          <cell r="AQ1378" t="str">
            <v>JUL
2014</v>
          </cell>
          <cell r="AR1378" t="str">
            <v>AGO
2014</v>
          </cell>
          <cell r="AS1378" t="str">
            <v>SEP
2014</v>
          </cell>
          <cell r="AT1378" t="str">
            <v>OCT
2014</v>
          </cell>
          <cell r="AU1378" t="str">
            <v>NOV
2014</v>
          </cell>
          <cell r="AV1378" t="str">
            <v>DIC
2014</v>
          </cell>
          <cell r="AW1378" t="str">
            <v>SUMA
2014</v>
          </cell>
        </row>
        <row r="1379">
          <cell r="B1379">
            <v>4954</v>
          </cell>
          <cell r="C1379" t="str">
            <v>CL_42_</v>
          </cell>
          <cell r="D1379" t="str">
            <v>Rancho La Cuchilla No. 42</v>
          </cell>
          <cell r="E1379" t="str">
            <v>Mac Kinney</v>
          </cell>
          <cell r="F1379">
            <v>300</v>
          </cell>
          <cell r="G1379">
            <v>1</v>
          </cell>
          <cell r="H1379">
            <v>300</v>
          </cell>
          <cell r="I1379">
            <v>41427</v>
          </cell>
          <cell r="J1379">
            <v>0</v>
          </cell>
          <cell r="W1379">
            <v>0</v>
          </cell>
          <cell r="AC1379">
            <v>300</v>
          </cell>
          <cell r="AJ1379">
            <v>300</v>
          </cell>
          <cell r="AW1379">
            <v>0</v>
          </cell>
        </row>
        <row r="1380">
          <cell r="B1380">
            <v>4955</v>
          </cell>
          <cell r="C1380" t="str">
            <v>UP_37_</v>
          </cell>
          <cell r="D1380" t="str">
            <v>Rancho Upácuaro No. 37</v>
          </cell>
          <cell r="E1380" t="str">
            <v>García Valdés</v>
          </cell>
          <cell r="F1380">
            <v>300</v>
          </cell>
          <cell r="G1380">
            <v>1</v>
          </cell>
          <cell r="H1380">
            <v>900</v>
          </cell>
          <cell r="I1380">
            <v>41427</v>
          </cell>
          <cell r="J1380">
            <v>0</v>
          </cell>
          <cell r="W1380">
            <v>0</v>
          </cell>
          <cell r="Y1380">
            <v>300</v>
          </cell>
          <cell r="Z1380">
            <v>300</v>
          </cell>
          <cell r="AA1380">
            <v>300</v>
          </cell>
          <cell r="AJ1380">
            <v>900</v>
          </cell>
          <cell r="AW1380">
            <v>0</v>
          </cell>
        </row>
        <row r="1381">
          <cell r="B1381">
            <v>4956</v>
          </cell>
          <cell r="D1381" t="str">
            <v/>
          </cell>
          <cell r="E1381" t="str">
            <v/>
          </cell>
          <cell r="G1381">
            <v>1</v>
          </cell>
          <cell r="H1381">
            <v>300</v>
          </cell>
          <cell r="I1381">
            <v>41427</v>
          </cell>
          <cell r="J1381">
            <v>-300</v>
          </cell>
          <cell r="W1381">
            <v>0</v>
          </cell>
          <cell r="AJ1381">
            <v>0</v>
          </cell>
          <cell r="AW1381">
            <v>0</v>
          </cell>
        </row>
        <row r="1382">
          <cell r="B1382">
            <v>4957</v>
          </cell>
          <cell r="C1382" t="str">
            <v>UP_37_</v>
          </cell>
          <cell r="D1382" t="str">
            <v>Rancho Upácuaro No. 37</v>
          </cell>
          <cell r="E1382" t="str">
            <v>García Valdés</v>
          </cell>
          <cell r="F1382">
            <v>300</v>
          </cell>
          <cell r="G1382">
            <v>1</v>
          </cell>
          <cell r="H1382">
            <v>600</v>
          </cell>
          <cell r="I1382">
            <v>41427</v>
          </cell>
          <cell r="J1382">
            <v>0</v>
          </cell>
          <cell r="W1382">
            <v>0</v>
          </cell>
          <cell r="AB1382">
            <v>300</v>
          </cell>
          <cell r="AC1382">
            <v>300</v>
          </cell>
          <cell r="AJ1382">
            <v>600</v>
          </cell>
          <cell r="AW1382">
            <v>0</v>
          </cell>
        </row>
        <row r="1383">
          <cell r="B1383">
            <v>4958</v>
          </cell>
          <cell r="C1383" t="str">
            <v>ZB_88_</v>
          </cell>
          <cell r="D1383" t="str">
            <v>Rancho Zinamba No. 88</v>
          </cell>
          <cell r="E1383" t="str">
            <v>Martínez</v>
          </cell>
          <cell r="F1383">
            <v>250</v>
          </cell>
          <cell r="G1383">
            <v>1</v>
          </cell>
          <cell r="H1383">
            <v>500</v>
          </cell>
          <cell r="I1383">
            <v>41427</v>
          </cell>
          <cell r="J1383">
            <v>0</v>
          </cell>
          <cell r="W1383">
            <v>0</v>
          </cell>
          <cell r="AB1383">
            <v>250</v>
          </cell>
          <cell r="AC1383">
            <v>250</v>
          </cell>
          <cell r="AJ1383">
            <v>500</v>
          </cell>
          <cell r="AW1383">
            <v>0</v>
          </cell>
        </row>
        <row r="1384">
          <cell r="B1384">
            <v>4959</v>
          </cell>
          <cell r="C1384" t="str">
            <v>UP_18_</v>
          </cell>
          <cell r="D1384" t="str">
            <v>Rancho Upácuaro No. 18</v>
          </cell>
          <cell r="E1384" t="str">
            <v>Guzmán</v>
          </cell>
          <cell r="F1384">
            <v>300</v>
          </cell>
          <cell r="G1384">
            <v>1</v>
          </cell>
          <cell r="H1384">
            <v>300</v>
          </cell>
          <cell r="I1384">
            <v>41427</v>
          </cell>
          <cell r="J1384">
            <v>0</v>
          </cell>
          <cell r="W1384">
            <v>0</v>
          </cell>
          <cell r="AC1384">
            <v>300</v>
          </cell>
          <cell r="AJ1384">
            <v>300</v>
          </cell>
          <cell r="AW1384">
            <v>0</v>
          </cell>
        </row>
        <row r="1385">
          <cell r="B1385">
            <v>4960</v>
          </cell>
          <cell r="C1385" t="str">
            <v>EZ_151_</v>
          </cell>
          <cell r="D1385" t="str">
            <v>Rancho Estanzuela No. 151</v>
          </cell>
          <cell r="E1385" t="str">
            <v>Pérez Salazar</v>
          </cell>
          <cell r="F1385">
            <v>300</v>
          </cell>
          <cell r="G1385">
            <v>1</v>
          </cell>
          <cell r="H1385">
            <v>300</v>
          </cell>
          <cell r="I1385">
            <v>41427</v>
          </cell>
          <cell r="J1385">
            <v>0</v>
          </cell>
          <cell r="W1385">
            <v>0</v>
          </cell>
          <cell r="AC1385">
            <v>300</v>
          </cell>
          <cell r="AJ1385">
            <v>300</v>
          </cell>
          <cell r="AW1385">
            <v>0</v>
          </cell>
        </row>
        <row r="1386">
          <cell r="B1386">
            <v>4961</v>
          </cell>
          <cell r="C1386" t="str">
            <v>UP_33_</v>
          </cell>
          <cell r="D1386" t="str">
            <v>Rancho Upácuaro No. 33</v>
          </cell>
          <cell r="E1386" t="str">
            <v>Ulloa Miranda</v>
          </cell>
          <cell r="F1386">
            <v>300</v>
          </cell>
          <cell r="G1386">
            <v>1</v>
          </cell>
          <cell r="H1386">
            <v>300</v>
          </cell>
          <cell r="I1386">
            <v>41427</v>
          </cell>
          <cell r="J1386">
            <v>0</v>
          </cell>
          <cell r="W1386">
            <v>0</v>
          </cell>
          <cell r="AC1386">
            <v>300</v>
          </cell>
          <cell r="AJ1386">
            <v>300</v>
          </cell>
          <cell r="AW1386">
            <v>0</v>
          </cell>
        </row>
        <row r="1387">
          <cell r="B1387">
            <v>4962</v>
          </cell>
          <cell r="C1387" t="str">
            <v>CL_97_</v>
          </cell>
          <cell r="D1387" t="str">
            <v>Rancho La Cuchilla No. 97</v>
          </cell>
          <cell r="E1387" t="str">
            <v>López Ruiz</v>
          </cell>
          <cell r="F1387">
            <v>300</v>
          </cell>
          <cell r="G1387">
            <v>1</v>
          </cell>
          <cell r="H1387">
            <v>300</v>
          </cell>
          <cell r="I1387">
            <v>41427</v>
          </cell>
          <cell r="J1387">
            <v>0</v>
          </cell>
          <cell r="W1387">
            <v>0</v>
          </cell>
          <cell r="AB1387">
            <v>300</v>
          </cell>
          <cell r="AJ1387">
            <v>300</v>
          </cell>
          <cell r="AW1387">
            <v>0</v>
          </cell>
        </row>
        <row r="1388">
          <cell r="B1388">
            <v>4963</v>
          </cell>
          <cell r="C1388" t="str">
            <v>LD_31_</v>
          </cell>
          <cell r="D1388" t="str">
            <v>Rancho Landero No. 31</v>
          </cell>
          <cell r="E1388" t="str">
            <v>Díaz Hernández</v>
          </cell>
          <cell r="F1388">
            <v>200</v>
          </cell>
          <cell r="G1388">
            <v>1</v>
          </cell>
          <cell r="H1388">
            <v>200</v>
          </cell>
          <cell r="I1388">
            <v>41427</v>
          </cell>
          <cell r="J1388">
            <v>0</v>
          </cell>
          <cell r="W1388">
            <v>0</v>
          </cell>
          <cell r="AC1388">
            <v>200</v>
          </cell>
          <cell r="AJ1388">
            <v>200</v>
          </cell>
          <cell r="AW1388">
            <v>0</v>
          </cell>
        </row>
        <row r="1389">
          <cell r="B1389">
            <v>4964</v>
          </cell>
          <cell r="C1389" t="str">
            <v>EZ_79_</v>
          </cell>
          <cell r="D1389" t="str">
            <v>Rancho Estanzuela No. 79</v>
          </cell>
          <cell r="E1389" t="str">
            <v>Mendoza</v>
          </cell>
          <cell r="F1389">
            <v>300</v>
          </cell>
          <cell r="G1389">
            <v>1</v>
          </cell>
          <cell r="H1389">
            <v>600</v>
          </cell>
          <cell r="I1389">
            <v>41427</v>
          </cell>
          <cell r="J1389">
            <v>0</v>
          </cell>
          <cell r="W1389">
            <v>0</v>
          </cell>
          <cell r="AB1389">
            <v>300</v>
          </cell>
          <cell r="AC1389">
            <v>300</v>
          </cell>
          <cell r="AJ1389">
            <v>600</v>
          </cell>
          <cell r="AW1389">
            <v>0</v>
          </cell>
        </row>
        <row r="1390">
          <cell r="B1390">
            <v>4965</v>
          </cell>
          <cell r="C1390" t="str">
            <v>EZ_9_B</v>
          </cell>
          <cell r="D1390" t="str">
            <v>Rancho Estanzuela No. 9, B</v>
          </cell>
          <cell r="E1390" t="str">
            <v>Velasco Rojas</v>
          </cell>
          <cell r="F1390">
            <v>200</v>
          </cell>
          <cell r="G1390">
            <v>1</v>
          </cell>
          <cell r="H1390">
            <v>400</v>
          </cell>
          <cell r="I1390">
            <v>41427</v>
          </cell>
          <cell r="J1390">
            <v>0</v>
          </cell>
          <cell r="W1390">
            <v>0</v>
          </cell>
          <cell r="AB1390">
            <v>200</v>
          </cell>
          <cell r="AC1390">
            <v>200</v>
          </cell>
          <cell r="AJ1390">
            <v>400</v>
          </cell>
          <cell r="AW1390">
            <v>0</v>
          </cell>
        </row>
        <row r="1391">
          <cell r="B1391">
            <v>4966</v>
          </cell>
          <cell r="C1391" t="str">
            <v>CL_43_B</v>
          </cell>
          <cell r="D1391" t="str">
            <v>Rancho La Cuchilla No. 43, B</v>
          </cell>
          <cell r="E1391" t="str">
            <v>Luna Albertano</v>
          </cell>
          <cell r="F1391">
            <v>125</v>
          </cell>
          <cell r="G1391">
            <v>1</v>
          </cell>
          <cell r="H1391">
            <v>125</v>
          </cell>
          <cell r="I1391">
            <v>41427</v>
          </cell>
          <cell r="J1391">
            <v>0</v>
          </cell>
          <cell r="W1391">
            <v>0</v>
          </cell>
          <cell r="AC1391">
            <v>125</v>
          </cell>
          <cell r="AJ1391">
            <v>125</v>
          </cell>
          <cell r="AW1391">
            <v>0</v>
          </cell>
        </row>
        <row r="1392">
          <cell r="B1392">
            <v>4967</v>
          </cell>
          <cell r="C1392" t="str">
            <v>EZ_91_</v>
          </cell>
          <cell r="D1392" t="str">
            <v>Rancho Estanzuela No. 91</v>
          </cell>
          <cell r="E1392" t="str">
            <v>Lobato Torres</v>
          </cell>
          <cell r="F1392">
            <v>300</v>
          </cell>
          <cell r="G1392">
            <v>1</v>
          </cell>
          <cell r="H1392">
            <v>600</v>
          </cell>
          <cell r="I1392">
            <v>41427</v>
          </cell>
          <cell r="J1392">
            <v>0</v>
          </cell>
          <cell r="W1392">
            <v>0</v>
          </cell>
          <cell r="AB1392">
            <v>300</v>
          </cell>
          <cell r="AC1392">
            <v>300</v>
          </cell>
          <cell r="AJ1392">
            <v>600</v>
          </cell>
          <cell r="AW1392">
            <v>0</v>
          </cell>
        </row>
        <row r="1393">
          <cell r="B1393">
            <v>4968</v>
          </cell>
          <cell r="C1393" t="str">
            <v>CL_89_</v>
          </cell>
          <cell r="D1393" t="str">
            <v>Rancho La Cuchilla No. 89</v>
          </cell>
          <cell r="E1393" t="str">
            <v>Gálvez</v>
          </cell>
          <cell r="F1393">
            <v>300</v>
          </cell>
          <cell r="G1393">
            <v>1</v>
          </cell>
          <cell r="H1393">
            <v>300</v>
          </cell>
          <cell r="I1393">
            <v>41427</v>
          </cell>
          <cell r="J1393">
            <v>0</v>
          </cell>
          <cell r="W1393">
            <v>0</v>
          </cell>
          <cell r="AC1393">
            <v>300</v>
          </cell>
          <cell r="AJ1393">
            <v>300</v>
          </cell>
          <cell r="AW1393">
            <v>0</v>
          </cell>
        </row>
        <row r="1394">
          <cell r="B1394">
            <v>4969</v>
          </cell>
          <cell r="C1394" t="str">
            <v>RM_10_A</v>
          </cell>
          <cell r="D1394" t="str">
            <v>Rancho Romeral No. 10, A</v>
          </cell>
          <cell r="E1394" t="str">
            <v>Casillas Álvarez</v>
          </cell>
          <cell r="F1394">
            <v>150</v>
          </cell>
          <cell r="G1394">
            <v>1</v>
          </cell>
          <cell r="H1394">
            <v>150</v>
          </cell>
          <cell r="I1394">
            <v>41427</v>
          </cell>
          <cell r="J1394">
            <v>0</v>
          </cell>
          <cell r="W1394">
            <v>0</v>
          </cell>
          <cell r="AC1394">
            <v>150</v>
          </cell>
          <cell r="AJ1394">
            <v>150</v>
          </cell>
          <cell r="AW1394">
            <v>0</v>
          </cell>
        </row>
        <row r="1395">
          <cell r="B1395">
            <v>4970</v>
          </cell>
          <cell r="C1395" t="str">
            <v>LD_42_</v>
          </cell>
          <cell r="D1395" t="str">
            <v>Rancho Landero No. 42</v>
          </cell>
          <cell r="E1395" t="str">
            <v>Ávila Fidel</v>
          </cell>
          <cell r="F1395">
            <v>300</v>
          </cell>
          <cell r="G1395">
            <v>1</v>
          </cell>
          <cell r="H1395">
            <v>300</v>
          </cell>
          <cell r="I1395">
            <v>41427</v>
          </cell>
          <cell r="J1395">
            <v>0</v>
          </cell>
          <cell r="W1395">
            <v>0</v>
          </cell>
          <cell r="AC1395">
            <v>300</v>
          </cell>
          <cell r="AJ1395">
            <v>300</v>
          </cell>
          <cell r="AW1395">
            <v>0</v>
          </cell>
        </row>
        <row r="1396">
          <cell r="B1396">
            <v>4971</v>
          </cell>
          <cell r="C1396" t="str">
            <v>UP_140_</v>
          </cell>
          <cell r="D1396" t="str">
            <v>Rancho Upácuaro No. 140</v>
          </cell>
          <cell r="E1396" t="str">
            <v>Gozain</v>
          </cell>
          <cell r="F1396">
            <v>300</v>
          </cell>
          <cell r="G1396">
            <v>1</v>
          </cell>
          <cell r="H1396">
            <v>300</v>
          </cell>
          <cell r="I1396">
            <v>41427</v>
          </cell>
          <cell r="J1396">
            <v>0</v>
          </cell>
          <cell r="W1396">
            <v>0</v>
          </cell>
          <cell r="AC1396">
            <v>300</v>
          </cell>
          <cell r="AJ1396">
            <v>300</v>
          </cell>
          <cell r="AW1396">
            <v>0</v>
          </cell>
        </row>
        <row r="1397">
          <cell r="B1397">
            <v>4972</v>
          </cell>
          <cell r="C1397" t="str">
            <v>EZ_159_</v>
          </cell>
          <cell r="D1397" t="str">
            <v>Rancho Estanzuela No. 159</v>
          </cell>
          <cell r="E1397" t="str">
            <v>Reyes Núñez</v>
          </cell>
          <cell r="F1397">
            <v>250</v>
          </cell>
          <cell r="G1397">
            <v>1</v>
          </cell>
          <cell r="H1397">
            <v>500</v>
          </cell>
          <cell r="I1397">
            <v>41427</v>
          </cell>
          <cell r="J1397">
            <v>0</v>
          </cell>
          <cell r="W1397">
            <v>0</v>
          </cell>
          <cell r="AB1397">
            <v>250</v>
          </cell>
          <cell r="AC1397">
            <v>250</v>
          </cell>
          <cell r="AJ1397">
            <v>500</v>
          </cell>
          <cell r="AW1397">
            <v>0</v>
          </cell>
        </row>
        <row r="1398">
          <cell r="B1398">
            <v>4973</v>
          </cell>
          <cell r="C1398" t="str">
            <v>ZB_50_</v>
          </cell>
          <cell r="D1398" t="str">
            <v>Rancho Zinamba No. 50</v>
          </cell>
          <cell r="E1398" t="str">
            <v>Del Castillo</v>
          </cell>
          <cell r="F1398">
            <v>300</v>
          </cell>
          <cell r="G1398">
            <v>1</v>
          </cell>
          <cell r="H1398">
            <v>300</v>
          </cell>
          <cell r="I1398">
            <v>41427</v>
          </cell>
          <cell r="J1398">
            <v>0</v>
          </cell>
          <cell r="W1398">
            <v>0</v>
          </cell>
          <cell r="AB1398">
            <v>300</v>
          </cell>
          <cell r="AJ1398">
            <v>300</v>
          </cell>
          <cell r="AW1398">
            <v>0</v>
          </cell>
        </row>
        <row r="1399">
          <cell r="B1399">
            <v>4974</v>
          </cell>
          <cell r="C1399" t="str">
            <v>UP_32_</v>
          </cell>
          <cell r="D1399" t="str">
            <v>Rancho Upácuaro No. 32</v>
          </cell>
          <cell r="E1399" t="str">
            <v>Sairafi Carmen</v>
          </cell>
          <cell r="F1399">
            <v>300</v>
          </cell>
          <cell r="G1399">
            <v>1</v>
          </cell>
          <cell r="H1399">
            <v>300</v>
          </cell>
          <cell r="I1399">
            <v>41427</v>
          </cell>
          <cell r="J1399">
            <v>0</v>
          </cell>
          <cell r="W1399">
            <v>0</v>
          </cell>
          <cell r="AC1399">
            <v>300</v>
          </cell>
          <cell r="AJ1399">
            <v>300</v>
          </cell>
          <cell r="AW1399">
            <v>0</v>
          </cell>
        </row>
        <row r="1400">
          <cell r="B1400">
            <v>4975</v>
          </cell>
          <cell r="C1400" t="str">
            <v>CL_20_</v>
          </cell>
          <cell r="D1400" t="str">
            <v>Rancho La Cuchilla No. 20</v>
          </cell>
          <cell r="E1400" t="str">
            <v>Sánchez López</v>
          </cell>
          <cell r="F1400">
            <v>300</v>
          </cell>
          <cell r="G1400">
            <v>1</v>
          </cell>
          <cell r="H1400">
            <v>300</v>
          </cell>
          <cell r="I1400">
            <v>41427</v>
          </cell>
          <cell r="J1400">
            <v>0</v>
          </cell>
          <cell r="W1400">
            <v>0</v>
          </cell>
          <cell r="AC1400">
            <v>300</v>
          </cell>
          <cell r="AJ1400">
            <v>300</v>
          </cell>
          <cell r="AW1400">
            <v>0</v>
          </cell>
        </row>
        <row r="1401">
          <cell r="B1401">
            <v>4976</v>
          </cell>
          <cell r="C1401" t="str">
            <v>UP_85_</v>
          </cell>
          <cell r="D1401" t="str">
            <v>Rancho Upácuaro No. 85</v>
          </cell>
          <cell r="E1401" t="str">
            <v>Del Toro Huerta</v>
          </cell>
          <cell r="F1401">
            <v>300</v>
          </cell>
          <cell r="G1401">
            <v>1</v>
          </cell>
          <cell r="H1401">
            <v>300</v>
          </cell>
          <cell r="I1401">
            <v>41427</v>
          </cell>
          <cell r="J1401">
            <v>0</v>
          </cell>
          <cell r="W1401">
            <v>0</v>
          </cell>
          <cell r="AC1401">
            <v>300</v>
          </cell>
          <cell r="AJ1401">
            <v>300</v>
          </cell>
          <cell r="AW1401">
            <v>0</v>
          </cell>
        </row>
        <row r="1402">
          <cell r="B1402">
            <v>4977</v>
          </cell>
          <cell r="C1402" t="str">
            <v>CL_40_</v>
          </cell>
          <cell r="D1402" t="str">
            <v>Rancho La Cuchilla No. 40</v>
          </cell>
          <cell r="E1402" t="str">
            <v>López Pico</v>
          </cell>
          <cell r="F1402">
            <v>300</v>
          </cell>
          <cell r="G1402">
            <v>1</v>
          </cell>
          <cell r="H1402">
            <v>300</v>
          </cell>
          <cell r="I1402">
            <v>41427</v>
          </cell>
          <cell r="J1402">
            <v>0</v>
          </cell>
          <cell r="W1402">
            <v>0</v>
          </cell>
          <cell r="AC1402">
            <v>300</v>
          </cell>
          <cell r="AJ1402">
            <v>300</v>
          </cell>
          <cell r="AW1402">
            <v>0</v>
          </cell>
        </row>
        <row r="1403">
          <cell r="B1403">
            <v>4978</v>
          </cell>
          <cell r="C1403" t="str">
            <v>LD_83_</v>
          </cell>
          <cell r="D1403" t="str">
            <v>Rancho Landero No. 83</v>
          </cell>
          <cell r="E1403" t="str">
            <v>Aguilar</v>
          </cell>
          <cell r="F1403">
            <v>300</v>
          </cell>
          <cell r="G1403">
            <v>1</v>
          </cell>
          <cell r="H1403">
            <v>300</v>
          </cell>
          <cell r="I1403">
            <v>41427</v>
          </cell>
          <cell r="J1403">
            <v>0</v>
          </cell>
          <cell r="W1403">
            <v>0</v>
          </cell>
          <cell r="AC1403">
            <v>300</v>
          </cell>
          <cell r="AJ1403">
            <v>300</v>
          </cell>
          <cell r="AW1403">
            <v>0</v>
          </cell>
        </row>
        <row r="1404">
          <cell r="B1404">
            <v>4979</v>
          </cell>
          <cell r="C1404" t="str">
            <v>LD_33_</v>
          </cell>
          <cell r="D1404" t="str">
            <v>Rancho Landero No. 33</v>
          </cell>
          <cell r="E1404" t="str">
            <v>González Uribe</v>
          </cell>
          <cell r="F1404">
            <v>300</v>
          </cell>
          <cell r="G1404">
            <v>1</v>
          </cell>
          <cell r="H1404">
            <v>300</v>
          </cell>
          <cell r="I1404">
            <v>41427</v>
          </cell>
          <cell r="J1404">
            <v>0</v>
          </cell>
          <cell r="W1404">
            <v>0</v>
          </cell>
          <cell r="AB1404">
            <v>300</v>
          </cell>
          <cell r="AJ1404">
            <v>300</v>
          </cell>
          <cell r="AW1404">
            <v>0</v>
          </cell>
        </row>
        <row r="1405">
          <cell r="B1405">
            <v>4980</v>
          </cell>
          <cell r="C1405" t="str">
            <v>RV_197_</v>
          </cell>
          <cell r="D1405" t="str">
            <v>Rancho Recoveco No. 197</v>
          </cell>
          <cell r="E1405" t="str">
            <v>Colín González</v>
          </cell>
          <cell r="F1405">
            <v>300</v>
          </cell>
          <cell r="G1405">
            <v>1</v>
          </cell>
          <cell r="H1405">
            <v>300</v>
          </cell>
          <cell r="I1405">
            <v>41427</v>
          </cell>
          <cell r="J1405">
            <v>0</v>
          </cell>
          <cell r="W1405">
            <v>0</v>
          </cell>
          <cell r="AC1405">
            <v>300</v>
          </cell>
          <cell r="AJ1405">
            <v>300</v>
          </cell>
          <cell r="AW1405">
            <v>0</v>
          </cell>
        </row>
        <row r="1406">
          <cell r="B1406">
            <v>4981</v>
          </cell>
          <cell r="C1406" t="str">
            <v>UP_120_</v>
          </cell>
          <cell r="D1406" t="str">
            <v>Rancho Upácuaro No. 120</v>
          </cell>
          <cell r="E1406" t="str">
            <v>Rayas Rivera</v>
          </cell>
          <cell r="F1406">
            <v>300</v>
          </cell>
          <cell r="G1406">
            <v>1</v>
          </cell>
          <cell r="H1406">
            <v>300</v>
          </cell>
          <cell r="I1406">
            <v>41427</v>
          </cell>
          <cell r="J1406">
            <v>0</v>
          </cell>
          <cell r="W1406">
            <v>0</v>
          </cell>
          <cell r="AC1406">
            <v>300</v>
          </cell>
          <cell r="AJ1406">
            <v>300</v>
          </cell>
          <cell r="AW1406">
            <v>0</v>
          </cell>
        </row>
        <row r="1407">
          <cell r="B1407">
            <v>4982</v>
          </cell>
          <cell r="C1407" t="str">
            <v>UP_87_</v>
          </cell>
          <cell r="D1407" t="str">
            <v>Rancho Upácuaro No. 87</v>
          </cell>
          <cell r="E1407" t="str">
            <v>Rodríguez Parés</v>
          </cell>
          <cell r="F1407">
            <v>300</v>
          </cell>
          <cell r="G1407">
            <v>1</v>
          </cell>
          <cell r="H1407">
            <v>300</v>
          </cell>
          <cell r="I1407">
            <v>41427</v>
          </cell>
          <cell r="J1407">
            <v>0</v>
          </cell>
          <cell r="W1407">
            <v>0</v>
          </cell>
          <cell r="AC1407">
            <v>300</v>
          </cell>
          <cell r="AJ1407">
            <v>300</v>
          </cell>
          <cell r="AW1407">
            <v>0</v>
          </cell>
        </row>
        <row r="1408">
          <cell r="B1408">
            <v>4983</v>
          </cell>
          <cell r="C1408" t="str">
            <v>LD_51_</v>
          </cell>
          <cell r="D1408" t="str">
            <v>Rancho Landero No. 51</v>
          </cell>
          <cell r="E1408" t="str">
            <v>H. Robles Tamayo</v>
          </cell>
          <cell r="F1408">
            <v>300</v>
          </cell>
          <cell r="G1408">
            <v>1</v>
          </cell>
          <cell r="H1408">
            <v>300</v>
          </cell>
          <cell r="I1408">
            <v>41427</v>
          </cell>
          <cell r="J1408">
            <v>0</v>
          </cell>
          <cell r="W1408">
            <v>0</v>
          </cell>
          <cell r="AC1408">
            <v>300</v>
          </cell>
          <cell r="AJ1408">
            <v>300</v>
          </cell>
          <cell r="AW1408">
            <v>0</v>
          </cell>
        </row>
        <row r="1409">
          <cell r="B1409">
            <v>4984</v>
          </cell>
          <cell r="C1409" t="str">
            <v>ZB_68_</v>
          </cell>
          <cell r="D1409" t="str">
            <v>Rancho Zinamba No. 68</v>
          </cell>
          <cell r="E1409" t="str">
            <v>Rivera Villicaña</v>
          </cell>
          <cell r="F1409">
            <v>300</v>
          </cell>
          <cell r="G1409">
            <v>1</v>
          </cell>
          <cell r="H1409">
            <v>300</v>
          </cell>
          <cell r="I1409">
            <v>41427</v>
          </cell>
          <cell r="J1409">
            <v>0</v>
          </cell>
          <cell r="W1409">
            <v>0</v>
          </cell>
          <cell r="AC1409">
            <v>300</v>
          </cell>
          <cell r="AJ1409">
            <v>300</v>
          </cell>
          <cell r="AW1409">
            <v>0</v>
          </cell>
        </row>
        <row r="1410">
          <cell r="B1410">
            <v>4985</v>
          </cell>
          <cell r="C1410" t="str">
            <v>EZ_31_</v>
          </cell>
          <cell r="D1410" t="str">
            <v>Rancho Estanzuela No. 31</v>
          </cell>
          <cell r="E1410" t="str">
            <v>Chávez Valdés</v>
          </cell>
          <cell r="F1410">
            <v>300</v>
          </cell>
          <cell r="G1410">
            <v>1</v>
          </cell>
          <cell r="H1410">
            <v>300</v>
          </cell>
          <cell r="I1410">
            <v>41427</v>
          </cell>
          <cell r="J1410">
            <v>0</v>
          </cell>
          <cell r="W1410">
            <v>0</v>
          </cell>
          <cell r="AC1410">
            <v>300</v>
          </cell>
          <cell r="AJ1410">
            <v>300</v>
          </cell>
          <cell r="AW1410">
            <v>0</v>
          </cell>
        </row>
        <row r="1411">
          <cell r="B1411">
            <v>4986</v>
          </cell>
          <cell r="C1411" t="str">
            <v>CL_139_</v>
          </cell>
          <cell r="D1411" t="str">
            <v>Rancho La Cuchilla No. 139</v>
          </cell>
          <cell r="E1411" t="str">
            <v>Gloria García</v>
          </cell>
          <cell r="F1411">
            <v>200</v>
          </cell>
          <cell r="G1411">
            <v>1</v>
          </cell>
          <cell r="H1411">
            <v>200</v>
          </cell>
          <cell r="I1411">
            <v>41427</v>
          </cell>
          <cell r="J1411">
            <v>0</v>
          </cell>
          <cell r="W1411">
            <v>0</v>
          </cell>
          <cell r="AC1411">
            <v>200</v>
          </cell>
          <cell r="AJ1411">
            <v>200</v>
          </cell>
          <cell r="AW1411">
            <v>0</v>
          </cell>
        </row>
        <row r="1412">
          <cell r="B1412">
            <v>4987</v>
          </cell>
          <cell r="C1412" t="str">
            <v>UP_93_</v>
          </cell>
          <cell r="D1412" t="str">
            <v>Rancho Upácuaro No. 93</v>
          </cell>
          <cell r="E1412" t="str">
            <v>Valdés</v>
          </cell>
          <cell r="F1412">
            <v>300</v>
          </cell>
          <cell r="G1412">
            <v>1</v>
          </cell>
          <cell r="H1412">
            <v>300</v>
          </cell>
          <cell r="I1412">
            <v>41427</v>
          </cell>
          <cell r="J1412">
            <v>0</v>
          </cell>
          <cell r="W1412">
            <v>0</v>
          </cell>
          <cell r="AC1412">
            <v>300</v>
          </cell>
          <cell r="AJ1412">
            <v>300</v>
          </cell>
          <cell r="AW1412">
            <v>0</v>
          </cell>
        </row>
        <row r="1413">
          <cell r="B1413">
            <v>4988</v>
          </cell>
          <cell r="C1413" t="str">
            <v>RM_33_</v>
          </cell>
          <cell r="D1413" t="str">
            <v>Rancho Romeral No. 33</v>
          </cell>
          <cell r="E1413" t="str">
            <v>Juárez Alva</v>
          </cell>
          <cell r="F1413">
            <v>300</v>
          </cell>
          <cell r="G1413">
            <v>1</v>
          </cell>
          <cell r="H1413">
            <v>900</v>
          </cell>
          <cell r="I1413">
            <v>41427</v>
          </cell>
          <cell r="J1413">
            <v>0</v>
          </cell>
          <cell r="W1413">
            <v>0</v>
          </cell>
          <cell r="AA1413">
            <v>300</v>
          </cell>
          <cell r="AB1413">
            <v>300</v>
          </cell>
          <cell r="AC1413">
            <v>300</v>
          </cell>
          <cell r="AJ1413">
            <v>900</v>
          </cell>
          <cell r="AW1413">
            <v>0</v>
          </cell>
        </row>
        <row r="1414">
          <cell r="B1414">
            <v>4989</v>
          </cell>
          <cell r="C1414" t="str">
            <v>UP_100_</v>
          </cell>
          <cell r="D1414" t="str">
            <v>Rancho Upácuaro No. 100</v>
          </cell>
          <cell r="E1414" t="str">
            <v>Mancera Rodríguez</v>
          </cell>
          <cell r="F1414">
            <v>300</v>
          </cell>
          <cell r="G1414">
            <v>1</v>
          </cell>
          <cell r="H1414">
            <v>300</v>
          </cell>
          <cell r="I1414">
            <v>41427</v>
          </cell>
          <cell r="J1414">
            <v>0</v>
          </cell>
          <cell r="W1414">
            <v>0</v>
          </cell>
          <cell r="AC1414">
            <v>300</v>
          </cell>
          <cell r="AJ1414">
            <v>300</v>
          </cell>
          <cell r="AW1414">
            <v>0</v>
          </cell>
        </row>
        <row r="1415">
          <cell r="B1415">
            <v>4990</v>
          </cell>
          <cell r="C1415" t="str">
            <v>CL_87_</v>
          </cell>
          <cell r="D1415" t="str">
            <v>Rancho La Cuchilla No. 87</v>
          </cell>
          <cell r="E1415" t="str">
            <v>Villanueva S.</v>
          </cell>
          <cell r="F1415">
            <v>300</v>
          </cell>
          <cell r="G1415">
            <v>1</v>
          </cell>
          <cell r="H1415">
            <v>300</v>
          </cell>
          <cell r="I1415">
            <v>41427</v>
          </cell>
          <cell r="J1415">
            <v>0</v>
          </cell>
          <cell r="W1415">
            <v>0</v>
          </cell>
          <cell r="AC1415">
            <v>300</v>
          </cell>
          <cell r="AJ1415">
            <v>300</v>
          </cell>
          <cell r="AW1415">
            <v>0</v>
          </cell>
        </row>
        <row r="1416">
          <cell r="B1416">
            <v>4991</v>
          </cell>
          <cell r="C1416" t="str">
            <v>LD_7_</v>
          </cell>
          <cell r="D1416" t="str">
            <v>Rancho Landero No. 7</v>
          </cell>
          <cell r="E1416" t="str">
            <v>Robles</v>
          </cell>
          <cell r="F1416">
            <v>150</v>
          </cell>
          <cell r="G1416">
            <v>1</v>
          </cell>
          <cell r="H1416">
            <v>150</v>
          </cell>
          <cell r="I1416">
            <v>41427</v>
          </cell>
          <cell r="J1416">
            <v>0</v>
          </cell>
          <cell r="W1416">
            <v>0</v>
          </cell>
          <cell r="AC1416">
            <v>150</v>
          </cell>
          <cell r="AJ1416">
            <v>150</v>
          </cell>
          <cell r="AW1416">
            <v>0</v>
          </cell>
        </row>
        <row r="1417">
          <cell r="B1417">
            <v>4992</v>
          </cell>
          <cell r="C1417" t="str">
            <v>UP_68_</v>
          </cell>
          <cell r="D1417" t="str">
            <v>Rancho Upácuaro No. 68</v>
          </cell>
          <cell r="E1417" t="str">
            <v>Romero</v>
          </cell>
          <cell r="F1417">
            <v>300</v>
          </cell>
          <cell r="G1417">
            <v>1</v>
          </cell>
          <cell r="H1417">
            <v>300</v>
          </cell>
          <cell r="I1417">
            <v>41427</v>
          </cell>
          <cell r="J1417">
            <v>0</v>
          </cell>
          <cell r="W1417">
            <v>0</v>
          </cell>
          <cell r="AA1417">
            <v>300</v>
          </cell>
          <cell r="AJ1417">
            <v>300</v>
          </cell>
          <cell r="AW1417">
            <v>0</v>
          </cell>
        </row>
        <row r="1418">
          <cell r="B1418">
            <v>4993</v>
          </cell>
          <cell r="C1418" t="str">
            <v>EZ_69_</v>
          </cell>
          <cell r="D1418" t="str">
            <v>Rancho Estanzuela No. 69</v>
          </cell>
          <cell r="E1418" t="str">
            <v>Apaez</v>
          </cell>
          <cell r="F1418">
            <v>300</v>
          </cell>
          <cell r="G1418">
            <v>1</v>
          </cell>
          <cell r="H1418">
            <v>300</v>
          </cell>
          <cell r="I1418">
            <v>41427</v>
          </cell>
          <cell r="J1418">
            <v>0</v>
          </cell>
          <cell r="W1418">
            <v>0</v>
          </cell>
          <cell r="AC1418">
            <v>300</v>
          </cell>
          <cell r="AJ1418">
            <v>300</v>
          </cell>
          <cell r="AW1418">
            <v>0</v>
          </cell>
        </row>
        <row r="1419">
          <cell r="B1419">
            <v>4994</v>
          </cell>
          <cell r="C1419" t="str">
            <v>CL_110_</v>
          </cell>
          <cell r="D1419" t="str">
            <v>Rancho La Cuchilla No. 110</v>
          </cell>
          <cell r="E1419" t="str">
            <v>Domínguez C.</v>
          </cell>
          <cell r="F1419">
            <v>300</v>
          </cell>
          <cell r="G1419">
            <v>1</v>
          </cell>
          <cell r="H1419">
            <v>300</v>
          </cell>
          <cell r="I1419">
            <v>41427</v>
          </cell>
          <cell r="J1419">
            <v>0</v>
          </cell>
          <cell r="W1419">
            <v>0</v>
          </cell>
          <cell r="AC1419">
            <v>300</v>
          </cell>
          <cell r="AJ1419">
            <v>300</v>
          </cell>
          <cell r="AW1419">
            <v>0</v>
          </cell>
        </row>
        <row r="1420">
          <cell r="B1420">
            <v>4995</v>
          </cell>
          <cell r="C1420" t="str">
            <v>CL_33_</v>
          </cell>
          <cell r="D1420" t="str">
            <v>Rancho La Cuchilla No. 33</v>
          </cell>
          <cell r="E1420" t="str">
            <v>Tanús</v>
          </cell>
          <cell r="F1420">
            <v>300</v>
          </cell>
          <cell r="G1420">
            <v>1</v>
          </cell>
          <cell r="H1420">
            <v>300</v>
          </cell>
          <cell r="I1420">
            <v>41427</v>
          </cell>
          <cell r="J1420">
            <v>0</v>
          </cell>
          <cell r="W1420">
            <v>0</v>
          </cell>
          <cell r="AC1420">
            <v>300</v>
          </cell>
          <cell r="AJ1420">
            <v>300</v>
          </cell>
          <cell r="AW1420">
            <v>0</v>
          </cell>
        </row>
        <row r="1421">
          <cell r="B1421">
            <v>4996</v>
          </cell>
          <cell r="C1421" t="str">
            <v>UP_40_</v>
          </cell>
          <cell r="D1421" t="str">
            <v>Rancho Upácuaro No. 40</v>
          </cell>
          <cell r="E1421" t="str">
            <v>López Ramírez</v>
          </cell>
          <cell r="F1421">
            <v>300</v>
          </cell>
          <cell r="G1421">
            <v>1</v>
          </cell>
          <cell r="H1421">
            <v>300</v>
          </cell>
          <cell r="I1421">
            <v>41427</v>
          </cell>
          <cell r="J1421">
            <v>0</v>
          </cell>
          <cell r="W1421">
            <v>0</v>
          </cell>
          <cell r="AB1421">
            <v>300</v>
          </cell>
          <cell r="AJ1421">
            <v>300</v>
          </cell>
          <cell r="AW1421">
            <v>0</v>
          </cell>
        </row>
        <row r="1422">
          <cell r="B1422">
            <v>4997</v>
          </cell>
          <cell r="C1422" t="str">
            <v>ZB_42_</v>
          </cell>
          <cell r="D1422" t="str">
            <v>Rancho Zinamba No. 42</v>
          </cell>
          <cell r="E1422" t="str">
            <v>López Aldave</v>
          </cell>
          <cell r="F1422">
            <v>250</v>
          </cell>
          <cell r="G1422">
            <v>1</v>
          </cell>
          <cell r="H1422">
            <v>500</v>
          </cell>
          <cell r="I1422">
            <v>41427</v>
          </cell>
          <cell r="J1422">
            <v>0</v>
          </cell>
          <cell r="W1422">
            <v>0</v>
          </cell>
          <cell r="AB1422">
            <v>250</v>
          </cell>
          <cell r="AC1422">
            <v>250</v>
          </cell>
          <cell r="AJ1422">
            <v>500</v>
          </cell>
          <cell r="AW1422">
            <v>0</v>
          </cell>
        </row>
        <row r="1423">
          <cell r="B1423">
            <v>4998</v>
          </cell>
          <cell r="C1423" t="str">
            <v>RM_17_</v>
          </cell>
          <cell r="D1423" t="str">
            <v>Rancho Romeral No. 17</v>
          </cell>
          <cell r="E1423" t="str">
            <v>Aguilar Lomelí</v>
          </cell>
          <cell r="F1423">
            <v>300</v>
          </cell>
          <cell r="G1423">
            <v>1</v>
          </cell>
          <cell r="H1423">
            <v>600</v>
          </cell>
          <cell r="I1423">
            <v>41427</v>
          </cell>
          <cell r="J1423">
            <v>0</v>
          </cell>
          <cell r="W1423">
            <v>0</v>
          </cell>
          <cell r="AA1423">
            <v>300</v>
          </cell>
          <cell r="AB1423">
            <v>300</v>
          </cell>
          <cell r="AJ1423">
            <v>600</v>
          </cell>
          <cell r="AW1423">
            <v>0</v>
          </cell>
        </row>
        <row r="1424">
          <cell r="B1424">
            <v>4999</v>
          </cell>
          <cell r="C1424" t="str">
            <v>CL_81_A</v>
          </cell>
          <cell r="D1424" t="str">
            <v>Rancho La Cuchilla No. 81, A</v>
          </cell>
          <cell r="E1424" t="str">
            <v>Barrientos López</v>
          </cell>
          <cell r="F1424">
            <v>300</v>
          </cell>
          <cell r="G1424">
            <v>1</v>
          </cell>
          <cell r="H1424">
            <v>300</v>
          </cell>
          <cell r="I1424">
            <v>41427</v>
          </cell>
          <cell r="J1424">
            <v>0</v>
          </cell>
          <cell r="W1424">
            <v>0</v>
          </cell>
          <cell r="AC1424">
            <v>300</v>
          </cell>
          <cell r="AJ1424">
            <v>300</v>
          </cell>
          <cell r="AW1424">
            <v>0</v>
          </cell>
        </row>
        <row r="1425">
          <cell r="B1425">
            <v>5000</v>
          </cell>
          <cell r="C1425" t="str">
            <v>ZB_56_</v>
          </cell>
          <cell r="D1425" t="str">
            <v>Rancho Zinamba No. 56</v>
          </cell>
          <cell r="E1425" t="str">
            <v>Aguado</v>
          </cell>
          <cell r="F1425">
            <v>250</v>
          </cell>
          <cell r="G1425">
            <v>1</v>
          </cell>
          <cell r="H1425">
            <v>250</v>
          </cell>
          <cell r="I1425">
            <v>41427</v>
          </cell>
          <cell r="J1425">
            <v>0</v>
          </cell>
          <cell r="W1425">
            <v>0</v>
          </cell>
          <cell r="AC1425">
            <v>250</v>
          </cell>
          <cell r="AJ1425">
            <v>250</v>
          </cell>
          <cell r="AW1425">
            <v>0</v>
          </cell>
        </row>
        <row r="1426">
          <cell r="B1426">
            <v>5001</v>
          </cell>
          <cell r="C1426" t="str">
            <v>CL_32_</v>
          </cell>
          <cell r="D1426" t="str">
            <v>Rancho La Cuchilla No. 32</v>
          </cell>
          <cell r="E1426" t="str">
            <v>Hernández</v>
          </cell>
          <cell r="F1426">
            <v>300</v>
          </cell>
          <cell r="G1426">
            <v>1</v>
          </cell>
          <cell r="H1426">
            <v>600</v>
          </cell>
          <cell r="I1426">
            <v>41428</v>
          </cell>
          <cell r="J1426">
            <v>0</v>
          </cell>
          <cell r="W1426">
            <v>0</v>
          </cell>
          <cell r="AA1426">
            <v>300</v>
          </cell>
          <cell r="AB1426">
            <v>300</v>
          </cell>
          <cell r="AJ1426">
            <v>600</v>
          </cell>
          <cell r="AW1426">
            <v>0</v>
          </cell>
        </row>
        <row r="1427">
          <cell r="B1427">
            <v>5002</v>
          </cell>
          <cell r="C1427" t="str">
            <v>UP_138_</v>
          </cell>
          <cell r="D1427" t="str">
            <v>Rancho Upácuaro No. 138</v>
          </cell>
          <cell r="E1427" t="str">
            <v>Ramírez Valencia</v>
          </cell>
          <cell r="F1427">
            <v>300</v>
          </cell>
          <cell r="G1427">
            <v>1</v>
          </cell>
          <cell r="H1427">
            <v>600</v>
          </cell>
          <cell r="I1427">
            <v>41430</v>
          </cell>
          <cell r="J1427">
            <v>0</v>
          </cell>
          <cell r="W1427">
            <v>0</v>
          </cell>
          <cell r="AB1427">
            <v>300</v>
          </cell>
          <cell r="AC1427">
            <v>300</v>
          </cell>
          <cell r="AJ1427">
            <v>600</v>
          </cell>
          <cell r="AW1427">
            <v>0</v>
          </cell>
        </row>
        <row r="1428">
          <cell r="B1428">
            <v>6102</v>
          </cell>
          <cell r="C1428" t="str">
            <v>CL_29_</v>
          </cell>
          <cell r="D1428" t="str">
            <v>Rancho La Cuchilla No. 29</v>
          </cell>
          <cell r="E1428" t="str">
            <v>Vega Sánchez C.</v>
          </cell>
          <cell r="F1428">
            <v>300</v>
          </cell>
          <cell r="G1428">
            <v>1</v>
          </cell>
          <cell r="H1428">
            <v>300</v>
          </cell>
          <cell r="I1428">
            <v>41432</v>
          </cell>
          <cell r="J1428">
            <v>0</v>
          </cell>
          <cell r="W1428">
            <v>0</v>
          </cell>
          <cell r="AC1428">
            <v>300</v>
          </cell>
          <cell r="AJ1428">
            <v>300</v>
          </cell>
          <cell r="AW1428">
            <v>0</v>
          </cell>
        </row>
        <row r="1429">
          <cell r="B1429">
            <v>5003</v>
          </cell>
          <cell r="C1429" t="str">
            <v>EP_18_</v>
          </cell>
          <cell r="D1429" t="str">
            <v>Rancho Estopila No. 18</v>
          </cell>
          <cell r="E1429" t="str">
            <v>Aguilar Zarmeño</v>
          </cell>
          <cell r="F1429">
            <v>300</v>
          </cell>
          <cell r="G1429">
            <v>1</v>
          </cell>
          <cell r="H1429">
            <v>300</v>
          </cell>
          <cell r="I1429">
            <v>41434</v>
          </cell>
          <cell r="J1429">
            <v>0</v>
          </cell>
          <cell r="W1429">
            <v>0</v>
          </cell>
          <cell r="AC1429">
            <v>300</v>
          </cell>
          <cell r="AJ1429">
            <v>300</v>
          </cell>
          <cell r="AW1429">
            <v>0</v>
          </cell>
        </row>
        <row r="1430">
          <cell r="B1430">
            <v>5004</v>
          </cell>
          <cell r="C1430" t="str">
            <v>CL_15_</v>
          </cell>
          <cell r="D1430" t="str">
            <v>Rancho La Cuchilla No. 15</v>
          </cell>
          <cell r="E1430" t="str">
            <v>Guerrero Ponce</v>
          </cell>
          <cell r="F1430">
            <v>300</v>
          </cell>
          <cell r="G1430">
            <v>1</v>
          </cell>
          <cell r="H1430">
            <v>300</v>
          </cell>
          <cell r="I1430">
            <v>41434</v>
          </cell>
          <cell r="J1430">
            <v>0</v>
          </cell>
          <cell r="W1430">
            <v>0</v>
          </cell>
          <cell r="Z1430">
            <v>300</v>
          </cell>
          <cell r="AJ1430">
            <v>300</v>
          </cell>
          <cell r="AW1430">
            <v>0</v>
          </cell>
        </row>
        <row r="1431">
          <cell r="B1431">
            <v>5005</v>
          </cell>
          <cell r="C1431" t="str">
            <v>CL_77_</v>
          </cell>
          <cell r="D1431" t="str">
            <v>Rancho La Cuchilla No. 77</v>
          </cell>
          <cell r="E1431" t="str">
            <v>Loperena</v>
          </cell>
          <cell r="F1431">
            <v>300</v>
          </cell>
          <cell r="G1431">
            <v>1</v>
          </cell>
          <cell r="H1431">
            <v>600</v>
          </cell>
          <cell r="I1431">
            <v>41434</v>
          </cell>
          <cell r="J1431">
            <v>0</v>
          </cell>
          <cell r="W1431">
            <v>0</v>
          </cell>
          <cell r="AA1431">
            <v>300</v>
          </cell>
          <cell r="AB1431">
            <v>300</v>
          </cell>
          <cell r="AJ1431">
            <v>600</v>
          </cell>
          <cell r="AW1431">
            <v>0</v>
          </cell>
        </row>
        <row r="1432">
          <cell r="B1432">
            <v>5006</v>
          </cell>
          <cell r="C1432" t="str">
            <v>CL_120_</v>
          </cell>
          <cell r="D1432" t="str">
            <v>Rancho La Cuchilla No. 120</v>
          </cell>
          <cell r="E1432" t="str">
            <v>Pozos Vilchis</v>
          </cell>
          <cell r="F1432">
            <v>300</v>
          </cell>
          <cell r="G1432">
            <v>1</v>
          </cell>
          <cell r="H1432">
            <v>300</v>
          </cell>
          <cell r="I1432">
            <v>41434</v>
          </cell>
          <cell r="J1432">
            <v>0</v>
          </cell>
          <cell r="W1432">
            <v>0</v>
          </cell>
          <cell r="AC1432">
            <v>300</v>
          </cell>
          <cell r="AJ1432">
            <v>300</v>
          </cell>
          <cell r="AW1432">
            <v>0</v>
          </cell>
        </row>
        <row r="1433">
          <cell r="B1433">
            <v>5007</v>
          </cell>
          <cell r="C1433" t="str">
            <v>UP_76_</v>
          </cell>
          <cell r="D1433" t="str">
            <v>Rancho Upácuaro No. 76</v>
          </cell>
          <cell r="E1433" t="str">
            <v>Ruiz de San Pedro</v>
          </cell>
          <cell r="F1433">
            <v>300</v>
          </cell>
          <cell r="G1433">
            <v>1</v>
          </cell>
          <cell r="H1433">
            <v>300</v>
          </cell>
          <cell r="I1433">
            <v>41434</v>
          </cell>
          <cell r="J1433">
            <v>0</v>
          </cell>
          <cell r="W1433">
            <v>0</v>
          </cell>
          <cell r="AC1433">
            <v>300</v>
          </cell>
          <cell r="AJ1433">
            <v>300</v>
          </cell>
          <cell r="AW1433">
            <v>0</v>
          </cell>
        </row>
        <row r="1434">
          <cell r="B1434">
            <v>5008</v>
          </cell>
          <cell r="C1434" t="str">
            <v>UP_108_</v>
          </cell>
          <cell r="D1434" t="str">
            <v>Rancho Upácuaro No. 108</v>
          </cell>
          <cell r="E1434" t="str">
            <v>Mejía</v>
          </cell>
          <cell r="F1434">
            <v>300</v>
          </cell>
          <cell r="G1434">
            <v>1</v>
          </cell>
          <cell r="H1434">
            <v>300</v>
          </cell>
          <cell r="I1434">
            <v>41434</v>
          </cell>
          <cell r="J1434">
            <v>0</v>
          </cell>
          <cell r="W1434">
            <v>0</v>
          </cell>
          <cell r="AC1434">
            <v>300</v>
          </cell>
          <cell r="AJ1434">
            <v>300</v>
          </cell>
          <cell r="AW1434">
            <v>0</v>
          </cell>
        </row>
        <row r="1435">
          <cell r="B1435">
            <v>5009</v>
          </cell>
          <cell r="C1435" t="str">
            <v>ZB_36_</v>
          </cell>
          <cell r="D1435" t="str">
            <v>Rancho Zinamba No. 36</v>
          </cell>
          <cell r="E1435" t="str">
            <v>Rodríguez Ortiz</v>
          </cell>
          <cell r="F1435">
            <v>300</v>
          </cell>
          <cell r="G1435">
            <v>1</v>
          </cell>
          <cell r="H1435">
            <v>300</v>
          </cell>
          <cell r="I1435">
            <v>41434</v>
          </cell>
          <cell r="J1435">
            <v>0</v>
          </cell>
          <cell r="W1435">
            <v>0</v>
          </cell>
          <cell r="AC1435">
            <v>300</v>
          </cell>
          <cell r="AJ1435">
            <v>300</v>
          </cell>
          <cell r="AW1435">
            <v>0</v>
          </cell>
        </row>
        <row r="1436">
          <cell r="B1436">
            <v>5010</v>
          </cell>
          <cell r="C1436" t="str">
            <v>CL_95_</v>
          </cell>
          <cell r="D1436" t="str">
            <v>Rancho La Cuchilla No. 95</v>
          </cell>
          <cell r="E1436" t="str">
            <v>Gutiérrez Sánchez</v>
          </cell>
          <cell r="F1436">
            <v>300</v>
          </cell>
          <cell r="G1436">
            <v>1</v>
          </cell>
          <cell r="H1436">
            <v>600</v>
          </cell>
          <cell r="I1436">
            <v>41434</v>
          </cell>
          <cell r="J1436">
            <v>0</v>
          </cell>
          <cell r="W1436">
            <v>0</v>
          </cell>
          <cell r="AC1436">
            <v>300</v>
          </cell>
          <cell r="AD1436">
            <v>300</v>
          </cell>
          <cell r="AJ1436">
            <v>600</v>
          </cell>
          <cell r="AW1436">
            <v>0</v>
          </cell>
        </row>
        <row r="1437">
          <cell r="B1437">
            <v>5011</v>
          </cell>
          <cell r="C1437" t="str">
            <v>ZB_36_</v>
          </cell>
          <cell r="D1437" t="str">
            <v>Rancho Zinamba No. 36</v>
          </cell>
          <cell r="E1437" t="str">
            <v>Rodríguez Ortiz</v>
          </cell>
          <cell r="F1437">
            <v>300</v>
          </cell>
          <cell r="G1437">
            <v>1</v>
          </cell>
          <cell r="H1437">
            <v>300</v>
          </cell>
          <cell r="I1437">
            <v>41434</v>
          </cell>
          <cell r="J1437">
            <v>0</v>
          </cell>
          <cell r="W1437">
            <v>0</v>
          </cell>
          <cell r="AD1437">
            <v>300</v>
          </cell>
          <cell r="AJ1437">
            <v>300</v>
          </cell>
          <cell r="AW1437">
            <v>0</v>
          </cell>
        </row>
        <row r="1438">
          <cell r="B1438">
            <v>5012</v>
          </cell>
          <cell r="C1438" t="str">
            <v>CL_45_</v>
          </cell>
          <cell r="D1438" t="str">
            <v>Rancho La Cuchilla No. 45</v>
          </cell>
          <cell r="E1438" t="str">
            <v>Estévez Hernández</v>
          </cell>
          <cell r="F1438">
            <v>300</v>
          </cell>
          <cell r="G1438">
            <v>1</v>
          </cell>
          <cell r="H1438">
            <v>300</v>
          </cell>
          <cell r="I1438">
            <v>41434</v>
          </cell>
          <cell r="J1438">
            <v>0</v>
          </cell>
          <cell r="W1438">
            <v>0</v>
          </cell>
          <cell r="AC1438">
            <v>300</v>
          </cell>
          <cell r="AJ1438">
            <v>300</v>
          </cell>
          <cell r="AW1438">
            <v>0</v>
          </cell>
        </row>
        <row r="1439">
          <cell r="B1439">
            <v>5013</v>
          </cell>
          <cell r="C1439" t="str">
            <v>CL_19_</v>
          </cell>
          <cell r="D1439" t="str">
            <v>Rancho La Cuchilla No. 19</v>
          </cell>
          <cell r="E1439" t="str">
            <v>Tapia Vázquez</v>
          </cell>
          <cell r="F1439">
            <v>300</v>
          </cell>
          <cell r="G1439">
            <v>1</v>
          </cell>
          <cell r="H1439">
            <v>300</v>
          </cell>
          <cell r="I1439">
            <v>41434</v>
          </cell>
          <cell r="J1439">
            <v>0</v>
          </cell>
          <cell r="W1439">
            <v>0</v>
          </cell>
          <cell r="AC1439">
            <v>300</v>
          </cell>
          <cell r="AJ1439">
            <v>300</v>
          </cell>
          <cell r="AW1439">
            <v>0</v>
          </cell>
        </row>
        <row r="1440">
          <cell r="B1440">
            <v>5014</v>
          </cell>
          <cell r="C1440" t="str">
            <v>CL_112_PB</v>
          </cell>
          <cell r="D1440" t="str">
            <v>Rancho La Cuchilla No. 112, PB</v>
          </cell>
          <cell r="E1440" t="str">
            <v>Soreque</v>
          </cell>
          <cell r="F1440">
            <v>150</v>
          </cell>
          <cell r="G1440">
            <v>1</v>
          </cell>
          <cell r="H1440">
            <v>150</v>
          </cell>
          <cell r="I1440">
            <v>41434</v>
          </cell>
          <cell r="J1440">
            <v>0</v>
          </cell>
          <cell r="W1440">
            <v>0</v>
          </cell>
          <cell r="AC1440">
            <v>150</v>
          </cell>
          <cell r="AJ1440">
            <v>150</v>
          </cell>
          <cell r="AW1440">
            <v>0</v>
          </cell>
        </row>
        <row r="1441">
          <cell r="B1441">
            <v>5015</v>
          </cell>
          <cell r="C1441" t="str">
            <v>ZB_34_</v>
          </cell>
          <cell r="D1441" t="str">
            <v>Rancho Zinamba No. 34</v>
          </cell>
          <cell r="E1441" t="str">
            <v>Torres Zavala</v>
          </cell>
          <cell r="F1441">
            <v>300</v>
          </cell>
          <cell r="G1441">
            <v>1</v>
          </cell>
          <cell r="H1441">
            <v>300</v>
          </cell>
          <cell r="I1441">
            <v>41434</v>
          </cell>
          <cell r="J1441">
            <v>0</v>
          </cell>
          <cell r="W1441">
            <v>0</v>
          </cell>
          <cell r="AC1441">
            <v>300</v>
          </cell>
          <cell r="AJ1441">
            <v>300</v>
          </cell>
          <cell r="AW1441">
            <v>0</v>
          </cell>
        </row>
        <row r="1442">
          <cell r="B1442">
            <v>5016</v>
          </cell>
          <cell r="C1442" t="str">
            <v>UP_110_</v>
          </cell>
          <cell r="D1442" t="str">
            <v>Rancho Upácuaro No. 110</v>
          </cell>
          <cell r="E1442" t="str">
            <v>Ruiz Mijangos</v>
          </cell>
          <cell r="F1442">
            <v>300</v>
          </cell>
          <cell r="G1442">
            <v>1</v>
          </cell>
          <cell r="H1442">
            <v>300</v>
          </cell>
          <cell r="I1442">
            <v>41434</v>
          </cell>
          <cell r="J1442">
            <v>0</v>
          </cell>
          <cell r="W1442">
            <v>0</v>
          </cell>
          <cell r="AC1442">
            <v>300</v>
          </cell>
          <cell r="AJ1442">
            <v>300</v>
          </cell>
          <cell r="AW1442">
            <v>0</v>
          </cell>
        </row>
        <row r="1443">
          <cell r="B1443">
            <v>5017</v>
          </cell>
          <cell r="C1443" t="str">
            <v>RV_179_</v>
          </cell>
          <cell r="D1443" t="str">
            <v>Rancho Recoveco No. 179</v>
          </cell>
          <cell r="E1443" t="str">
            <v>Flores Delgado</v>
          </cell>
          <cell r="F1443">
            <v>300</v>
          </cell>
          <cell r="G1443">
            <v>1</v>
          </cell>
          <cell r="H1443">
            <v>300</v>
          </cell>
          <cell r="I1443">
            <v>41434</v>
          </cell>
          <cell r="J1443">
            <v>0</v>
          </cell>
          <cell r="W1443">
            <v>0</v>
          </cell>
          <cell r="AC1443">
            <v>300</v>
          </cell>
          <cell r="AJ1443">
            <v>300</v>
          </cell>
          <cell r="AW1443">
            <v>0</v>
          </cell>
        </row>
        <row r="1444">
          <cell r="B1444">
            <v>5018</v>
          </cell>
          <cell r="C1444" t="str">
            <v>RV_173_</v>
          </cell>
          <cell r="D1444" t="str">
            <v>Rancho Recoveco No. 173</v>
          </cell>
          <cell r="E1444" t="str">
            <v>Velarde</v>
          </cell>
          <cell r="F1444">
            <v>300</v>
          </cell>
          <cell r="G1444">
            <v>1</v>
          </cell>
          <cell r="H1444">
            <v>300</v>
          </cell>
          <cell r="I1444">
            <v>41434</v>
          </cell>
          <cell r="J1444">
            <v>0</v>
          </cell>
          <cell r="W1444">
            <v>0</v>
          </cell>
          <cell r="AC1444">
            <v>300</v>
          </cell>
          <cell r="AJ1444">
            <v>300</v>
          </cell>
          <cell r="AW1444">
            <v>0</v>
          </cell>
        </row>
        <row r="1445">
          <cell r="B1445">
            <v>5019</v>
          </cell>
          <cell r="C1445" t="str">
            <v>EZ_93_</v>
          </cell>
          <cell r="D1445" t="str">
            <v>Rancho Estanzuela No. 93</v>
          </cell>
          <cell r="E1445" t="str">
            <v>Alcocer</v>
          </cell>
          <cell r="F1445">
            <v>300</v>
          </cell>
          <cell r="G1445">
            <v>3</v>
          </cell>
          <cell r="H1445">
            <v>150</v>
          </cell>
          <cell r="I1445">
            <v>41434</v>
          </cell>
          <cell r="J1445" t="str">
            <v>NO SUMA</v>
          </cell>
          <cell r="W1445">
            <v>0</v>
          </cell>
          <cell r="AJ1445">
            <v>0</v>
          </cell>
          <cell r="AW1445">
            <v>0</v>
          </cell>
        </row>
        <row r="1446">
          <cell r="B1446">
            <v>5020</v>
          </cell>
          <cell r="C1446" t="str">
            <v>CL_130_</v>
          </cell>
          <cell r="D1446" t="str">
            <v>Rancho La Cuchilla No. 130</v>
          </cell>
          <cell r="E1446" t="str">
            <v>De la Huerta</v>
          </cell>
          <cell r="F1446">
            <v>300</v>
          </cell>
          <cell r="G1446">
            <v>1</v>
          </cell>
          <cell r="H1446">
            <v>300</v>
          </cell>
          <cell r="I1446">
            <v>41434</v>
          </cell>
          <cell r="J1446">
            <v>0</v>
          </cell>
          <cell r="W1446">
            <v>0</v>
          </cell>
          <cell r="AC1446">
            <v>300</v>
          </cell>
          <cell r="AJ1446">
            <v>300</v>
          </cell>
          <cell r="AW1446">
            <v>0</v>
          </cell>
        </row>
        <row r="1447">
          <cell r="B1447">
            <v>5021</v>
          </cell>
          <cell r="C1447" t="str">
            <v>UP_136_</v>
          </cell>
          <cell r="D1447" t="str">
            <v>Rancho Upácuaro No. 136</v>
          </cell>
          <cell r="E1447" t="str">
            <v>López Lena</v>
          </cell>
          <cell r="F1447">
            <v>300</v>
          </cell>
          <cell r="G1447">
            <v>1</v>
          </cell>
          <cell r="H1447">
            <v>600</v>
          </cell>
          <cell r="I1447">
            <v>41434</v>
          </cell>
          <cell r="J1447">
            <v>0</v>
          </cell>
          <cell r="W1447">
            <v>0</v>
          </cell>
          <cell r="AB1447">
            <v>300</v>
          </cell>
          <cell r="AC1447">
            <v>300</v>
          </cell>
          <cell r="AJ1447">
            <v>600</v>
          </cell>
          <cell r="AW1447">
            <v>0</v>
          </cell>
        </row>
        <row r="1448">
          <cell r="B1448">
            <v>5022</v>
          </cell>
          <cell r="C1448" t="str">
            <v>UP_21_</v>
          </cell>
          <cell r="D1448" t="str">
            <v>Rancho Upácuaro No. 21</v>
          </cell>
          <cell r="E1448" t="str">
            <v>Fierro Betancourt</v>
          </cell>
          <cell r="F1448">
            <v>150</v>
          </cell>
          <cell r="G1448">
            <v>1</v>
          </cell>
          <cell r="H1448">
            <v>150</v>
          </cell>
          <cell r="I1448">
            <v>41434</v>
          </cell>
          <cell r="J1448">
            <v>0</v>
          </cell>
          <cell r="W1448">
            <v>0</v>
          </cell>
          <cell r="AC1448">
            <v>150</v>
          </cell>
          <cell r="AJ1448">
            <v>150</v>
          </cell>
          <cell r="AW1448">
            <v>0</v>
          </cell>
        </row>
        <row r="1449">
          <cell r="B1449">
            <v>5023</v>
          </cell>
          <cell r="C1449" t="str">
            <v>UP_124_</v>
          </cell>
          <cell r="D1449" t="str">
            <v>Rancho Upácuaro No. 124</v>
          </cell>
          <cell r="E1449" t="str">
            <v>Reyes Nicandro</v>
          </cell>
          <cell r="F1449">
            <v>300</v>
          </cell>
          <cell r="G1449">
            <v>1</v>
          </cell>
          <cell r="H1449">
            <v>300</v>
          </cell>
          <cell r="I1449">
            <v>41434</v>
          </cell>
          <cell r="J1449">
            <v>0</v>
          </cell>
          <cell r="W1449">
            <v>0</v>
          </cell>
          <cell r="AC1449">
            <v>300</v>
          </cell>
          <cell r="AJ1449">
            <v>300</v>
          </cell>
          <cell r="AW1449">
            <v>0</v>
          </cell>
        </row>
        <row r="1450">
          <cell r="B1450">
            <v>5024</v>
          </cell>
          <cell r="C1450" t="str">
            <v>UP_60_</v>
          </cell>
          <cell r="D1450" t="str">
            <v>Rancho Upácuaro No. 60</v>
          </cell>
          <cell r="E1450" t="str">
            <v>Zavala</v>
          </cell>
          <cell r="F1450">
            <v>300</v>
          </cell>
          <cell r="G1450">
            <v>1</v>
          </cell>
          <cell r="H1450">
            <v>300</v>
          </cell>
          <cell r="I1450">
            <v>41434</v>
          </cell>
          <cell r="J1450">
            <v>0</v>
          </cell>
          <cell r="W1450">
            <v>0</v>
          </cell>
          <cell r="AC1450">
            <v>300</v>
          </cell>
          <cell r="AJ1450">
            <v>300</v>
          </cell>
          <cell r="AW1450">
            <v>0</v>
          </cell>
        </row>
        <row r="1451">
          <cell r="B1451">
            <v>5025</v>
          </cell>
          <cell r="C1451" t="str">
            <v>CL_41_</v>
          </cell>
          <cell r="D1451" t="str">
            <v>Rancho La Cuchilla No. 41</v>
          </cell>
          <cell r="E1451" t="str">
            <v>Arriaga Lemus</v>
          </cell>
          <cell r="F1451">
            <v>250</v>
          </cell>
          <cell r="G1451">
            <v>1</v>
          </cell>
          <cell r="H1451">
            <v>250</v>
          </cell>
          <cell r="I1451">
            <v>41434</v>
          </cell>
          <cell r="J1451">
            <v>0</v>
          </cell>
          <cell r="W1451">
            <v>0</v>
          </cell>
          <cell r="AC1451">
            <v>250</v>
          </cell>
          <cell r="AJ1451">
            <v>250</v>
          </cell>
          <cell r="AW1451">
            <v>0</v>
          </cell>
        </row>
        <row r="1452">
          <cell r="B1452">
            <v>5026</v>
          </cell>
          <cell r="C1452" t="str">
            <v>UP_14_</v>
          </cell>
          <cell r="D1452" t="str">
            <v>Rancho Upácuaro No. 14</v>
          </cell>
          <cell r="E1452" t="str">
            <v>Guerrero</v>
          </cell>
          <cell r="F1452">
            <v>300</v>
          </cell>
          <cell r="G1452">
            <v>1</v>
          </cell>
          <cell r="H1452">
            <v>600</v>
          </cell>
          <cell r="I1452">
            <v>41434</v>
          </cell>
          <cell r="J1452">
            <v>0</v>
          </cell>
          <cell r="W1452">
            <v>0</v>
          </cell>
          <cell r="Y1452">
            <v>300</v>
          </cell>
          <cell r="Z1452">
            <v>300</v>
          </cell>
          <cell r="AJ1452">
            <v>600</v>
          </cell>
          <cell r="AW1452">
            <v>0</v>
          </cell>
        </row>
        <row r="1453">
          <cell r="B1453">
            <v>5027</v>
          </cell>
          <cell r="C1453" t="str">
            <v>CL_92_</v>
          </cell>
          <cell r="D1453" t="str">
            <v>Rancho La Cuchilla No. 92</v>
          </cell>
          <cell r="E1453" t="str">
            <v>Cabrera</v>
          </cell>
          <cell r="F1453">
            <v>300</v>
          </cell>
          <cell r="G1453">
            <v>1</v>
          </cell>
          <cell r="H1453">
            <v>300</v>
          </cell>
          <cell r="I1453">
            <v>41434</v>
          </cell>
          <cell r="J1453">
            <v>0</v>
          </cell>
          <cell r="W1453">
            <v>0</v>
          </cell>
          <cell r="AC1453">
            <v>300</v>
          </cell>
          <cell r="AJ1453">
            <v>300</v>
          </cell>
          <cell r="AW1453">
            <v>0</v>
          </cell>
        </row>
        <row r="1454">
          <cell r="B1454">
            <v>5028</v>
          </cell>
          <cell r="C1454" t="str">
            <v>LD_21_</v>
          </cell>
          <cell r="D1454" t="str">
            <v>Rancho Landero No. 21</v>
          </cell>
          <cell r="E1454" t="str">
            <v>Meza</v>
          </cell>
          <cell r="F1454">
            <v>300</v>
          </cell>
          <cell r="G1454">
            <v>1</v>
          </cell>
          <cell r="H1454">
            <v>300</v>
          </cell>
          <cell r="I1454">
            <v>41434</v>
          </cell>
          <cell r="J1454">
            <v>0</v>
          </cell>
          <cell r="W1454">
            <v>0</v>
          </cell>
          <cell r="AC1454">
            <v>300</v>
          </cell>
          <cell r="AJ1454">
            <v>300</v>
          </cell>
          <cell r="AW1454">
            <v>0</v>
          </cell>
        </row>
        <row r="1455">
          <cell r="B1455">
            <v>5029</v>
          </cell>
          <cell r="C1455" t="str">
            <v>CL_94_</v>
          </cell>
          <cell r="D1455" t="str">
            <v>Rancho La Cuchilla No. 94</v>
          </cell>
          <cell r="E1455" t="str">
            <v>Sánchez Márquez</v>
          </cell>
          <cell r="F1455">
            <v>300</v>
          </cell>
          <cell r="G1455">
            <v>1</v>
          </cell>
          <cell r="H1455">
            <v>300</v>
          </cell>
          <cell r="I1455">
            <v>41434</v>
          </cell>
          <cell r="J1455">
            <v>0</v>
          </cell>
          <cell r="W1455">
            <v>0</v>
          </cell>
          <cell r="AC1455">
            <v>300</v>
          </cell>
          <cell r="AJ1455">
            <v>300</v>
          </cell>
          <cell r="AW1455">
            <v>0</v>
          </cell>
        </row>
        <row r="1456">
          <cell r="B1456">
            <v>5030</v>
          </cell>
          <cell r="C1456" t="str">
            <v>LD_47_</v>
          </cell>
          <cell r="D1456" t="str">
            <v>Rancho Landero No. 47</v>
          </cell>
          <cell r="E1456" t="str">
            <v>García González</v>
          </cell>
          <cell r="F1456">
            <v>300</v>
          </cell>
          <cell r="G1456">
            <v>1</v>
          </cell>
          <cell r="H1456">
            <v>300</v>
          </cell>
          <cell r="I1456">
            <v>41434</v>
          </cell>
          <cell r="J1456">
            <v>0</v>
          </cell>
          <cell r="W1456">
            <v>0</v>
          </cell>
          <cell r="AC1456">
            <v>300</v>
          </cell>
          <cell r="AJ1456">
            <v>300</v>
          </cell>
          <cell r="AW1456">
            <v>0</v>
          </cell>
        </row>
        <row r="1457">
          <cell r="B1457">
            <v>5031</v>
          </cell>
          <cell r="C1457" t="str">
            <v>LD_24_</v>
          </cell>
          <cell r="D1457" t="str">
            <v>Rancho Landero No. 24</v>
          </cell>
          <cell r="E1457" t="str">
            <v>Vázquez Peralta</v>
          </cell>
          <cell r="F1457">
            <v>300</v>
          </cell>
          <cell r="G1457">
            <v>1</v>
          </cell>
          <cell r="H1457">
            <v>300</v>
          </cell>
          <cell r="I1457">
            <v>41434</v>
          </cell>
          <cell r="J1457">
            <v>0</v>
          </cell>
          <cell r="W1457">
            <v>0</v>
          </cell>
          <cell r="AB1457">
            <v>300</v>
          </cell>
          <cell r="AJ1457">
            <v>300</v>
          </cell>
          <cell r="AW1457">
            <v>0</v>
          </cell>
        </row>
        <row r="1458">
          <cell r="B1458">
            <v>5031</v>
          </cell>
          <cell r="C1458" t="str">
            <v>LD_24_</v>
          </cell>
          <cell r="D1458" t="str">
            <v>Rancho Landero No. 24</v>
          </cell>
          <cell r="E1458" t="str">
            <v>Vázquez Peralta</v>
          </cell>
          <cell r="F1458">
            <v>300</v>
          </cell>
          <cell r="G1458">
            <v>4</v>
          </cell>
          <cell r="H1458">
            <v>160</v>
          </cell>
          <cell r="I1458">
            <v>41434</v>
          </cell>
          <cell r="J1458" t="str">
            <v>NO SUMA</v>
          </cell>
          <cell r="W1458">
            <v>0</v>
          </cell>
          <cell r="AJ1458">
            <v>0</v>
          </cell>
          <cell r="AW1458">
            <v>0</v>
          </cell>
        </row>
        <row r="1459">
          <cell r="B1459">
            <v>5032</v>
          </cell>
          <cell r="C1459" t="str">
            <v>EZ_25_</v>
          </cell>
          <cell r="D1459" t="str">
            <v>Rancho Estanzuela No. 25</v>
          </cell>
          <cell r="E1459" t="str">
            <v>Contreras Figueroa</v>
          </cell>
          <cell r="F1459">
            <v>300</v>
          </cell>
          <cell r="G1459">
            <v>1</v>
          </cell>
          <cell r="H1459">
            <v>300</v>
          </cell>
          <cell r="I1459">
            <v>41434</v>
          </cell>
          <cell r="J1459">
            <v>0</v>
          </cell>
          <cell r="W1459">
            <v>0</v>
          </cell>
          <cell r="AC1459">
            <v>300</v>
          </cell>
          <cell r="AJ1459">
            <v>300</v>
          </cell>
          <cell r="AW1459">
            <v>0</v>
          </cell>
        </row>
        <row r="1460">
          <cell r="B1460">
            <v>5033</v>
          </cell>
          <cell r="C1460" t="str">
            <v>UP_130_</v>
          </cell>
          <cell r="D1460" t="str">
            <v>Rancho Upácuaro No. 130</v>
          </cell>
          <cell r="E1460" t="str">
            <v>Rodríguez Álvarez</v>
          </cell>
          <cell r="F1460">
            <v>150</v>
          </cell>
          <cell r="G1460">
            <v>1</v>
          </cell>
          <cell r="H1460">
            <v>300</v>
          </cell>
          <cell r="I1460">
            <v>41434</v>
          </cell>
          <cell r="J1460">
            <v>0</v>
          </cell>
          <cell r="W1460">
            <v>0</v>
          </cell>
          <cell r="AB1460">
            <v>150</v>
          </cell>
          <cell r="AC1460">
            <v>150</v>
          </cell>
          <cell r="AJ1460">
            <v>300</v>
          </cell>
          <cell r="AW1460">
            <v>0</v>
          </cell>
        </row>
        <row r="1461">
          <cell r="B1461">
            <v>5034</v>
          </cell>
          <cell r="C1461" t="str">
            <v>LD_51_</v>
          </cell>
          <cell r="D1461" t="str">
            <v>Rancho Landero No. 51</v>
          </cell>
          <cell r="E1461" t="str">
            <v>H. Robles Tamayo</v>
          </cell>
          <cell r="F1461">
            <v>300</v>
          </cell>
          <cell r="G1461">
            <v>3</v>
          </cell>
          <cell r="H1461">
            <v>150</v>
          </cell>
          <cell r="I1461">
            <v>41434</v>
          </cell>
          <cell r="J1461" t="str">
            <v>NO SUMA</v>
          </cell>
          <cell r="W1461">
            <v>0</v>
          </cell>
          <cell r="AJ1461">
            <v>0</v>
          </cell>
          <cell r="AW1461">
            <v>0</v>
          </cell>
        </row>
        <row r="1462">
          <cell r="B1462">
            <v>5035</v>
          </cell>
          <cell r="C1462" t="str">
            <v>LD_69_</v>
          </cell>
          <cell r="D1462" t="str">
            <v>Rancho Landero No. 69</v>
          </cell>
          <cell r="E1462" t="str">
            <v>Gómez Ayala</v>
          </cell>
          <cell r="F1462">
            <v>300</v>
          </cell>
          <cell r="G1462">
            <v>1</v>
          </cell>
          <cell r="H1462">
            <v>300</v>
          </cell>
          <cell r="I1462">
            <v>41434</v>
          </cell>
          <cell r="J1462">
            <v>0</v>
          </cell>
          <cell r="W1462">
            <v>0</v>
          </cell>
          <cell r="AC1462">
            <v>300</v>
          </cell>
          <cell r="AJ1462">
            <v>300</v>
          </cell>
          <cell r="AW1462">
            <v>0</v>
          </cell>
        </row>
        <row r="1463">
          <cell r="B1463">
            <v>5036</v>
          </cell>
          <cell r="C1463" t="str">
            <v>LD_87_</v>
          </cell>
          <cell r="D1463" t="str">
            <v>Rancho Landero No. 87</v>
          </cell>
          <cell r="E1463" t="str">
            <v>Fey Lafferla</v>
          </cell>
          <cell r="F1463">
            <v>300</v>
          </cell>
          <cell r="G1463">
            <v>1</v>
          </cell>
          <cell r="H1463">
            <v>300</v>
          </cell>
          <cell r="I1463">
            <v>41434</v>
          </cell>
          <cell r="J1463">
            <v>0</v>
          </cell>
          <cell r="W1463">
            <v>0</v>
          </cell>
          <cell r="AB1463">
            <v>300</v>
          </cell>
          <cell r="AJ1463">
            <v>300</v>
          </cell>
          <cell r="AW1463">
            <v>0</v>
          </cell>
        </row>
        <row r="1464">
          <cell r="B1464">
            <v>5037</v>
          </cell>
          <cell r="C1464" t="str">
            <v>LD_37_</v>
          </cell>
          <cell r="D1464" t="str">
            <v>Rancho Landero No. 37</v>
          </cell>
          <cell r="E1464" t="str">
            <v>Hernández</v>
          </cell>
          <cell r="F1464">
            <v>300</v>
          </cell>
          <cell r="G1464">
            <v>1</v>
          </cell>
          <cell r="H1464">
            <v>900</v>
          </cell>
          <cell r="I1464">
            <v>41434</v>
          </cell>
          <cell r="J1464">
            <v>0</v>
          </cell>
          <cell r="W1464">
            <v>0</v>
          </cell>
          <cell r="X1464">
            <v>300</v>
          </cell>
          <cell r="Y1464">
            <v>300</v>
          </cell>
          <cell r="AA1464">
            <v>300</v>
          </cell>
          <cell r="AJ1464">
            <v>900</v>
          </cell>
          <cell r="AW1464">
            <v>0</v>
          </cell>
        </row>
        <row r="1465">
          <cell r="B1465">
            <v>5038</v>
          </cell>
          <cell r="C1465" t="str">
            <v>LD_85_</v>
          </cell>
          <cell r="D1465" t="str">
            <v>Rancho Landero No. 85</v>
          </cell>
          <cell r="E1465" t="str">
            <v>Martínez Olague</v>
          </cell>
          <cell r="F1465">
            <v>300</v>
          </cell>
          <cell r="G1465">
            <v>1</v>
          </cell>
          <cell r="H1465">
            <v>300</v>
          </cell>
          <cell r="I1465">
            <v>41434</v>
          </cell>
          <cell r="J1465">
            <v>0</v>
          </cell>
          <cell r="W1465">
            <v>0</v>
          </cell>
          <cell r="AC1465">
            <v>300</v>
          </cell>
          <cell r="AJ1465">
            <v>300</v>
          </cell>
          <cell r="AW1465">
            <v>0</v>
          </cell>
        </row>
        <row r="1466">
          <cell r="B1466">
            <v>5039</v>
          </cell>
          <cell r="C1466" t="str">
            <v>LD_85_</v>
          </cell>
          <cell r="D1466" t="str">
            <v>Rancho Landero No. 85</v>
          </cell>
          <cell r="E1466" t="str">
            <v>Martínez Olague</v>
          </cell>
          <cell r="F1466">
            <v>300</v>
          </cell>
          <cell r="G1466">
            <v>1</v>
          </cell>
          <cell r="H1466">
            <v>300</v>
          </cell>
          <cell r="I1466">
            <v>41434</v>
          </cell>
          <cell r="J1466">
            <v>0</v>
          </cell>
          <cell r="W1466">
            <v>0</v>
          </cell>
          <cell r="AC1466">
            <v>300</v>
          </cell>
          <cell r="AJ1466">
            <v>300</v>
          </cell>
          <cell r="AW1466">
            <v>0</v>
          </cell>
        </row>
        <row r="1467">
          <cell r="B1467">
            <v>5040</v>
          </cell>
          <cell r="C1467" t="str">
            <v>EZ_111_</v>
          </cell>
          <cell r="D1467" t="str">
            <v>Rancho Estanzuela No. 111</v>
          </cell>
          <cell r="E1467" t="str">
            <v>Flores Pérez</v>
          </cell>
          <cell r="F1467">
            <v>300</v>
          </cell>
          <cell r="G1467">
            <v>1</v>
          </cell>
          <cell r="H1467">
            <v>300</v>
          </cell>
          <cell r="I1467">
            <v>41434</v>
          </cell>
          <cell r="J1467">
            <v>0</v>
          </cell>
          <cell r="W1467">
            <v>0</v>
          </cell>
          <cell r="AC1467">
            <v>300</v>
          </cell>
          <cell r="AJ1467">
            <v>300</v>
          </cell>
          <cell r="AW1467">
            <v>0</v>
          </cell>
        </row>
        <row r="1468">
          <cell r="B1468">
            <v>5041</v>
          </cell>
          <cell r="C1468" t="str">
            <v>UP_64_</v>
          </cell>
          <cell r="D1468" t="str">
            <v>Rancho Upácuaro No. 64</v>
          </cell>
          <cell r="E1468" t="str">
            <v>Méndez Oliva</v>
          </cell>
          <cell r="F1468">
            <v>300</v>
          </cell>
          <cell r="G1468">
            <v>1</v>
          </cell>
          <cell r="H1468">
            <v>300</v>
          </cell>
          <cell r="I1468">
            <v>41437</v>
          </cell>
          <cell r="J1468">
            <v>0</v>
          </cell>
          <cell r="W1468">
            <v>0</v>
          </cell>
          <cell r="AA1468">
            <v>300</v>
          </cell>
          <cell r="AJ1468">
            <v>300</v>
          </cell>
          <cell r="AW1468">
            <v>0</v>
          </cell>
        </row>
        <row r="1469">
          <cell r="B1469">
            <v>5041</v>
          </cell>
          <cell r="C1469" t="str">
            <v>UP_64_</v>
          </cell>
          <cell r="D1469" t="str">
            <v>Rancho Upácuaro No. 64</v>
          </cell>
          <cell r="E1469" t="str">
            <v>Méndez Oliva</v>
          </cell>
          <cell r="F1469">
            <v>300</v>
          </cell>
          <cell r="G1469">
            <v>4</v>
          </cell>
          <cell r="H1469">
            <v>160</v>
          </cell>
          <cell r="I1469">
            <v>41437</v>
          </cell>
          <cell r="J1469" t="str">
            <v>NO SUMA</v>
          </cell>
          <cell r="W1469">
            <v>0</v>
          </cell>
          <cell r="AJ1469">
            <v>0</v>
          </cell>
          <cell r="AW1469">
            <v>0</v>
          </cell>
        </row>
        <row r="1470">
          <cell r="B1470">
            <v>5042</v>
          </cell>
          <cell r="C1470" t="str">
            <v>EZ_119_1</v>
          </cell>
          <cell r="D1470" t="str">
            <v>Rancho Estanzuela No. 119</v>
          </cell>
          <cell r="E1470" t="str">
            <v>López Tovar</v>
          </cell>
          <cell r="F1470">
            <v>300</v>
          </cell>
          <cell r="G1470">
            <v>4</v>
          </cell>
          <cell r="H1470">
            <v>160</v>
          </cell>
          <cell r="I1470">
            <v>41438</v>
          </cell>
          <cell r="J1470" t="str">
            <v>NO SUMA</v>
          </cell>
          <cell r="W1470">
            <v>0</v>
          </cell>
          <cell r="AJ1470">
            <v>0</v>
          </cell>
          <cell r="AW1470">
            <v>0</v>
          </cell>
        </row>
        <row r="1471">
          <cell r="B1471">
            <v>6103</v>
          </cell>
          <cell r="C1471" t="str">
            <v>UP_46_</v>
          </cell>
          <cell r="D1471" t="str">
            <v>Rancho Upácuaro No. 46</v>
          </cell>
          <cell r="E1471" t="str">
            <v>Fuentes</v>
          </cell>
          <cell r="F1471">
            <v>300</v>
          </cell>
          <cell r="G1471">
            <v>1</v>
          </cell>
          <cell r="H1471">
            <v>300</v>
          </cell>
          <cell r="I1471">
            <v>41439</v>
          </cell>
          <cell r="J1471">
            <v>0</v>
          </cell>
          <cell r="W1471">
            <v>0</v>
          </cell>
          <cell r="AC1471">
            <v>300</v>
          </cell>
          <cell r="AJ1471">
            <v>300</v>
          </cell>
          <cell r="AW1471">
            <v>0</v>
          </cell>
        </row>
        <row r="1472">
          <cell r="B1472">
            <v>5043</v>
          </cell>
          <cell r="C1472" t="str">
            <v>LD_99_</v>
          </cell>
          <cell r="D1472" t="str">
            <v>Rancho Landero No. 99</v>
          </cell>
          <cell r="E1472" t="str">
            <v>Rangel</v>
          </cell>
          <cell r="F1472">
            <v>300</v>
          </cell>
          <cell r="G1472">
            <v>1</v>
          </cell>
          <cell r="H1472">
            <v>300</v>
          </cell>
          <cell r="I1472">
            <v>41441</v>
          </cell>
          <cell r="J1472">
            <v>0</v>
          </cell>
          <cell r="W1472">
            <v>0</v>
          </cell>
          <cell r="AA1472">
            <v>300</v>
          </cell>
          <cell r="AJ1472">
            <v>300</v>
          </cell>
          <cell r="AW1472">
            <v>0</v>
          </cell>
        </row>
        <row r="1473">
          <cell r="B1473">
            <v>5044</v>
          </cell>
          <cell r="C1473" t="str">
            <v>CL_23_</v>
          </cell>
          <cell r="D1473" t="str">
            <v>Rancho La Cuchilla No. 23</v>
          </cell>
          <cell r="E1473" t="str">
            <v>Ocampo</v>
          </cell>
          <cell r="F1473">
            <v>200</v>
          </cell>
          <cell r="G1473">
            <v>3</v>
          </cell>
          <cell r="H1473">
            <v>150</v>
          </cell>
          <cell r="I1473">
            <v>41441</v>
          </cell>
          <cell r="J1473" t="str">
            <v>NO SUMA</v>
          </cell>
          <cell r="W1473">
            <v>0</v>
          </cell>
          <cell r="AJ1473">
            <v>0</v>
          </cell>
          <cell r="AW1473">
            <v>0</v>
          </cell>
        </row>
        <row r="1474">
          <cell r="B1474">
            <v>5045</v>
          </cell>
          <cell r="C1474" t="str">
            <v>UP_114_</v>
          </cell>
          <cell r="D1474" t="str">
            <v>Rancho Upácuaro No. 114</v>
          </cell>
          <cell r="E1474" t="str">
            <v>Hernández Cornejo</v>
          </cell>
          <cell r="F1474">
            <v>300</v>
          </cell>
          <cell r="G1474">
            <v>1</v>
          </cell>
          <cell r="H1474">
            <v>300</v>
          </cell>
          <cell r="I1474">
            <v>41441</v>
          </cell>
          <cell r="J1474">
            <v>0</v>
          </cell>
          <cell r="W1474">
            <v>0</v>
          </cell>
          <cell r="AC1474">
            <v>300</v>
          </cell>
          <cell r="AJ1474">
            <v>300</v>
          </cell>
          <cell r="AW1474">
            <v>0</v>
          </cell>
        </row>
        <row r="1475">
          <cell r="B1475">
            <v>5046</v>
          </cell>
          <cell r="C1475" t="str">
            <v>LD_63_</v>
          </cell>
          <cell r="D1475" t="str">
            <v>Rancho Landero No. 63</v>
          </cell>
          <cell r="E1475" t="str">
            <v>Hernández Chávez</v>
          </cell>
          <cell r="F1475">
            <v>300</v>
          </cell>
          <cell r="G1475">
            <v>1</v>
          </cell>
          <cell r="H1475">
            <v>600</v>
          </cell>
          <cell r="I1475">
            <v>41441</v>
          </cell>
          <cell r="J1475">
            <v>0</v>
          </cell>
          <cell r="W1475">
            <v>0</v>
          </cell>
          <cell r="AB1475">
            <v>300</v>
          </cell>
          <cell r="AC1475">
            <v>300</v>
          </cell>
          <cell r="AJ1475">
            <v>600</v>
          </cell>
          <cell r="AW1475">
            <v>0</v>
          </cell>
        </row>
        <row r="1476">
          <cell r="B1476">
            <v>5047</v>
          </cell>
          <cell r="C1476" t="str">
            <v>LD_25_</v>
          </cell>
          <cell r="D1476" t="str">
            <v>Rancho Landero No. 25</v>
          </cell>
          <cell r="E1476" t="str">
            <v>Escamilla Martínez</v>
          </cell>
          <cell r="F1476">
            <v>300</v>
          </cell>
          <cell r="G1476">
            <v>1</v>
          </cell>
          <cell r="H1476">
            <v>300</v>
          </cell>
          <cell r="I1476">
            <v>41441</v>
          </cell>
          <cell r="J1476">
            <v>0</v>
          </cell>
          <cell r="W1476">
            <v>0</v>
          </cell>
          <cell r="AB1476">
            <v>300</v>
          </cell>
          <cell r="AJ1476">
            <v>300</v>
          </cell>
          <cell r="AW1476">
            <v>0</v>
          </cell>
        </row>
        <row r="1477">
          <cell r="B1477">
            <v>5048</v>
          </cell>
          <cell r="C1477" t="str">
            <v>UP_47_</v>
          </cell>
          <cell r="D1477" t="str">
            <v>Rancho Upácuaro No. 47</v>
          </cell>
          <cell r="E1477" t="str">
            <v>Flores Muñoz</v>
          </cell>
          <cell r="F1477">
            <v>300</v>
          </cell>
          <cell r="G1477">
            <v>1</v>
          </cell>
          <cell r="H1477">
            <v>300</v>
          </cell>
          <cell r="I1477">
            <v>41441</v>
          </cell>
          <cell r="J1477">
            <v>0</v>
          </cell>
          <cell r="W1477">
            <v>0</v>
          </cell>
          <cell r="AC1477">
            <v>300</v>
          </cell>
          <cell r="AJ1477">
            <v>300</v>
          </cell>
          <cell r="AW1477">
            <v>0</v>
          </cell>
        </row>
        <row r="1478">
          <cell r="B1478">
            <v>5049</v>
          </cell>
          <cell r="C1478" t="str">
            <v>LD_12_</v>
          </cell>
          <cell r="D1478" t="str">
            <v>Rancho Landero No. 12</v>
          </cell>
          <cell r="E1478" t="str">
            <v>Guzmán Silva</v>
          </cell>
          <cell r="F1478">
            <v>300</v>
          </cell>
          <cell r="G1478">
            <v>1</v>
          </cell>
          <cell r="H1478">
            <v>600</v>
          </cell>
          <cell r="I1478">
            <v>41441</v>
          </cell>
          <cell r="J1478">
            <v>0</v>
          </cell>
          <cell r="W1478">
            <v>0</v>
          </cell>
          <cell r="AB1478">
            <v>300</v>
          </cell>
          <cell r="AC1478">
            <v>300</v>
          </cell>
          <cell r="AJ1478">
            <v>600</v>
          </cell>
          <cell r="AW1478">
            <v>0</v>
          </cell>
        </row>
        <row r="1479">
          <cell r="B1479">
            <v>5050</v>
          </cell>
          <cell r="C1479" t="str">
            <v>LD_18_</v>
          </cell>
          <cell r="D1479" t="str">
            <v>Rancho Landero No. 18</v>
          </cell>
          <cell r="E1479" t="str">
            <v>Rosado</v>
          </cell>
          <cell r="F1479">
            <v>250</v>
          </cell>
          <cell r="G1479">
            <v>1</v>
          </cell>
          <cell r="H1479">
            <v>250</v>
          </cell>
          <cell r="I1479">
            <v>41441</v>
          </cell>
          <cell r="J1479">
            <v>0</v>
          </cell>
          <cell r="W1479">
            <v>0</v>
          </cell>
          <cell r="AC1479">
            <v>250</v>
          </cell>
          <cell r="AJ1479">
            <v>250</v>
          </cell>
          <cell r="AW1479">
            <v>0</v>
          </cell>
        </row>
        <row r="1480">
          <cell r="B1480">
            <v>5050</v>
          </cell>
          <cell r="C1480" t="str">
            <v>LD_18_</v>
          </cell>
          <cell r="D1480" t="str">
            <v>Rancho Landero No. 18</v>
          </cell>
          <cell r="E1480" t="str">
            <v>Rosado</v>
          </cell>
          <cell r="F1480">
            <v>250</v>
          </cell>
          <cell r="G1480">
            <v>4</v>
          </cell>
          <cell r="H1480">
            <v>160</v>
          </cell>
          <cell r="I1480">
            <v>41441</v>
          </cell>
          <cell r="J1480" t="str">
            <v>NO SUMA</v>
          </cell>
          <cell r="W1480">
            <v>0</v>
          </cell>
          <cell r="AJ1480">
            <v>0</v>
          </cell>
          <cell r="AW1480">
            <v>0</v>
          </cell>
        </row>
        <row r="1481">
          <cell r="B1481">
            <v>5051</v>
          </cell>
          <cell r="C1481" t="str">
            <v>RV_1_</v>
          </cell>
          <cell r="D1481" t="str">
            <v>Rancho Recoveco No. 1</v>
          </cell>
          <cell r="E1481" t="str">
            <v>Díaz</v>
          </cell>
          <cell r="F1481">
            <v>300</v>
          </cell>
          <cell r="G1481">
            <v>1</v>
          </cell>
          <cell r="H1481">
            <v>300</v>
          </cell>
          <cell r="I1481">
            <v>41441</v>
          </cell>
          <cell r="J1481">
            <v>0</v>
          </cell>
          <cell r="W1481">
            <v>0</v>
          </cell>
          <cell r="AC1481">
            <v>300</v>
          </cell>
          <cell r="AJ1481">
            <v>300</v>
          </cell>
          <cell r="AW1481">
            <v>0</v>
          </cell>
        </row>
        <row r="1482">
          <cell r="B1482">
            <v>5052</v>
          </cell>
          <cell r="C1482" t="str">
            <v>RV_175_0</v>
          </cell>
          <cell r="D1482" t="str">
            <v>Rancho Recoveco No. 175</v>
          </cell>
          <cell r="E1482" t="str">
            <v>Ramírez</v>
          </cell>
          <cell r="F1482">
            <v>300</v>
          </cell>
          <cell r="G1482">
            <v>1</v>
          </cell>
          <cell r="H1482">
            <v>300</v>
          </cell>
          <cell r="I1482">
            <v>41441</v>
          </cell>
          <cell r="J1482">
            <v>0</v>
          </cell>
          <cell r="W1482">
            <v>0</v>
          </cell>
          <cell r="AC1482">
            <v>300</v>
          </cell>
          <cell r="AJ1482">
            <v>300</v>
          </cell>
          <cell r="AW1482">
            <v>0</v>
          </cell>
        </row>
        <row r="1483">
          <cell r="B1483">
            <v>5053</v>
          </cell>
          <cell r="D1483" t="str">
            <v/>
          </cell>
          <cell r="E1483" t="str">
            <v/>
          </cell>
          <cell r="F1483" t="str">
            <v/>
          </cell>
          <cell r="G1483">
            <v>8</v>
          </cell>
          <cell r="I1483">
            <v>41441</v>
          </cell>
          <cell r="J1483" t="str">
            <v>NO SUMA</v>
          </cell>
          <cell r="W1483">
            <v>0</v>
          </cell>
          <cell r="AJ1483">
            <v>0</v>
          </cell>
          <cell r="AW1483">
            <v>0</v>
          </cell>
        </row>
        <row r="1484">
          <cell r="B1484">
            <v>5054</v>
          </cell>
          <cell r="C1484" t="str">
            <v>LD_71_</v>
          </cell>
          <cell r="D1484" t="str">
            <v>Rancho Landero No. 71</v>
          </cell>
          <cell r="E1484" t="str">
            <v>Cabrera Balcázar</v>
          </cell>
          <cell r="F1484">
            <v>300</v>
          </cell>
          <cell r="G1484">
            <v>1</v>
          </cell>
          <cell r="H1484">
            <v>300</v>
          </cell>
          <cell r="I1484">
            <v>41441</v>
          </cell>
          <cell r="J1484">
            <v>0</v>
          </cell>
          <cell r="W1484">
            <v>0</v>
          </cell>
          <cell r="AC1484">
            <v>300</v>
          </cell>
          <cell r="AJ1484">
            <v>300</v>
          </cell>
          <cell r="AW1484">
            <v>0</v>
          </cell>
        </row>
        <row r="1485">
          <cell r="B1485">
            <v>5055</v>
          </cell>
          <cell r="C1485" t="str">
            <v>EZ_55_</v>
          </cell>
          <cell r="D1485" t="str">
            <v>Rancho Estanzuela No. 55</v>
          </cell>
          <cell r="E1485" t="str">
            <v>Rodríguez Acevedo</v>
          </cell>
          <cell r="F1485">
            <v>300</v>
          </cell>
          <cell r="G1485">
            <v>1</v>
          </cell>
          <cell r="H1485">
            <v>300</v>
          </cell>
          <cell r="I1485">
            <v>41441</v>
          </cell>
          <cell r="J1485">
            <v>0</v>
          </cell>
          <cell r="W1485">
            <v>0</v>
          </cell>
          <cell r="AC1485">
            <v>300</v>
          </cell>
          <cell r="AJ1485">
            <v>300</v>
          </cell>
          <cell r="AW1485">
            <v>0</v>
          </cell>
        </row>
        <row r="1486">
          <cell r="B1486">
            <v>5056</v>
          </cell>
          <cell r="C1486" t="str">
            <v>EZ_103_</v>
          </cell>
          <cell r="D1486" t="str">
            <v>Rancho Estanzuela No. 103</v>
          </cell>
          <cell r="E1486" t="str">
            <v>Valencia Aranda</v>
          </cell>
          <cell r="F1486">
            <v>300</v>
          </cell>
          <cell r="G1486">
            <v>4</v>
          </cell>
          <cell r="H1486">
            <v>160</v>
          </cell>
          <cell r="I1486">
            <v>41441</v>
          </cell>
          <cell r="J1486" t="str">
            <v>NO SUMA</v>
          </cell>
          <cell r="W1486">
            <v>0</v>
          </cell>
          <cell r="AJ1486">
            <v>0</v>
          </cell>
          <cell r="AW1486">
            <v>0</v>
          </cell>
        </row>
        <row r="1487">
          <cell r="B1487">
            <v>5057</v>
          </cell>
          <cell r="C1487" t="str">
            <v>HS_828_</v>
          </cell>
          <cell r="D1487" t="str">
            <v>Calzada del Hueso No. 828</v>
          </cell>
          <cell r="E1487" t="str">
            <v>Cervantes, Miguel</v>
          </cell>
          <cell r="F1487">
            <v>300</v>
          </cell>
          <cell r="G1487">
            <v>3</v>
          </cell>
          <cell r="H1487">
            <v>150</v>
          </cell>
          <cell r="I1487">
            <v>41441</v>
          </cell>
          <cell r="J1487" t="str">
            <v>NO SUMA</v>
          </cell>
          <cell r="W1487">
            <v>0</v>
          </cell>
          <cell r="AJ1487">
            <v>0</v>
          </cell>
          <cell r="AW1487">
            <v>0</v>
          </cell>
        </row>
        <row r="1488">
          <cell r="B1488">
            <v>5058</v>
          </cell>
          <cell r="C1488" t="str">
            <v>UP_9_</v>
          </cell>
          <cell r="D1488" t="str">
            <v>Rancho Upácuaro No. 9</v>
          </cell>
          <cell r="E1488" t="str">
            <v>Núñez</v>
          </cell>
          <cell r="F1488">
            <v>300</v>
          </cell>
          <cell r="G1488">
            <v>3</v>
          </cell>
          <cell r="H1488">
            <v>150</v>
          </cell>
          <cell r="I1488">
            <v>41441</v>
          </cell>
          <cell r="J1488" t="str">
            <v>NO SUMA</v>
          </cell>
          <cell r="W1488">
            <v>0</v>
          </cell>
          <cell r="AJ1488">
            <v>0</v>
          </cell>
          <cell r="AW1488">
            <v>0</v>
          </cell>
        </row>
        <row r="1489">
          <cell r="B1489">
            <v>5058</v>
          </cell>
          <cell r="C1489" t="str">
            <v>UP_9_</v>
          </cell>
          <cell r="D1489" t="str">
            <v>Rancho Upácuaro No. 9</v>
          </cell>
          <cell r="E1489" t="str">
            <v>Núñez</v>
          </cell>
          <cell r="F1489">
            <v>300</v>
          </cell>
          <cell r="G1489">
            <v>4</v>
          </cell>
          <cell r="H1489">
            <v>160</v>
          </cell>
          <cell r="I1489">
            <v>41441</v>
          </cell>
          <cell r="J1489" t="str">
            <v>NO SUMA</v>
          </cell>
          <cell r="W1489">
            <v>0</v>
          </cell>
          <cell r="AJ1489">
            <v>0</v>
          </cell>
          <cell r="AW1489">
            <v>0</v>
          </cell>
        </row>
        <row r="1490">
          <cell r="B1490">
            <v>5059</v>
          </cell>
          <cell r="C1490" t="str">
            <v>RM_9_B</v>
          </cell>
          <cell r="D1490" t="str">
            <v>Rancho Romeral No. 9, B</v>
          </cell>
          <cell r="E1490" t="str">
            <v>Morales Macías</v>
          </cell>
          <cell r="F1490">
            <v>100</v>
          </cell>
          <cell r="G1490">
            <v>1</v>
          </cell>
          <cell r="H1490">
            <v>100</v>
          </cell>
          <cell r="I1490">
            <v>41441</v>
          </cell>
          <cell r="J1490">
            <v>0</v>
          </cell>
          <cell r="W1490">
            <v>0</v>
          </cell>
          <cell r="AC1490">
            <v>100</v>
          </cell>
          <cell r="AJ1490">
            <v>100</v>
          </cell>
          <cell r="AW1490">
            <v>0</v>
          </cell>
        </row>
        <row r="1491">
          <cell r="B1491">
            <v>5060</v>
          </cell>
          <cell r="C1491" t="str">
            <v>CL_43_A</v>
          </cell>
          <cell r="D1491" t="str">
            <v>Rancho La Cuchilla No. 43, A</v>
          </cell>
          <cell r="E1491" t="str">
            <v>De la Rosa</v>
          </cell>
          <cell r="F1491">
            <v>200</v>
          </cell>
          <cell r="G1491">
            <v>1</v>
          </cell>
          <cell r="H1491">
            <v>200</v>
          </cell>
          <cell r="I1491">
            <v>41441</v>
          </cell>
          <cell r="J1491">
            <v>0</v>
          </cell>
          <cell r="W1491">
            <v>0</v>
          </cell>
          <cell r="AC1491">
            <v>200</v>
          </cell>
          <cell r="AJ1491">
            <v>200</v>
          </cell>
          <cell r="AW1491">
            <v>0</v>
          </cell>
        </row>
        <row r="1492">
          <cell r="B1492">
            <v>5060</v>
          </cell>
          <cell r="C1492" t="str">
            <v>CL_43_A</v>
          </cell>
          <cell r="D1492" t="str">
            <v>Rancho La Cuchilla No. 43, A</v>
          </cell>
          <cell r="E1492" t="str">
            <v>De la Rosa</v>
          </cell>
          <cell r="F1492">
            <v>200</v>
          </cell>
          <cell r="G1492">
            <v>4</v>
          </cell>
          <cell r="H1492">
            <v>160</v>
          </cell>
          <cell r="I1492">
            <v>41441</v>
          </cell>
          <cell r="J1492" t="str">
            <v>NO SUMA</v>
          </cell>
          <cell r="W1492">
            <v>0</v>
          </cell>
          <cell r="AJ1492">
            <v>0</v>
          </cell>
          <cell r="AW1492">
            <v>0</v>
          </cell>
        </row>
        <row r="1493">
          <cell r="B1493">
            <v>5061</v>
          </cell>
          <cell r="C1493" t="str">
            <v>UP_71_</v>
          </cell>
          <cell r="D1493" t="str">
            <v>Rancho Upácuaro No. 71</v>
          </cell>
          <cell r="E1493" t="str">
            <v>Trejo Méndez</v>
          </cell>
          <cell r="F1493">
            <v>300</v>
          </cell>
          <cell r="G1493">
            <v>1</v>
          </cell>
          <cell r="H1493">
            <v>300</v>
          </cell>
          <cell r="I1493">
            <v>41441</v>
          </cell>
          <cell r="J1493">
            <v>0</v>
          </cell>
          <cell r="W1493">
            <v>0</v>
          </cell>
          <cell r="AB1493">
            <v>300</v>
          </cell>
          <cell r="AJ1493">
            <v>300</v>
          </cell>
          <cell r="AW1493">
            <v>0</v>
          </cell>
        </row>
        <row r="1494">
          <cell r="B1494">
            <v>5062</v>
          </cell>
          <cell r="C1494" t="str">
            <v>EP_22_A</v>
          </cell>
          <cell r="D1494" t="str">
            <v>Rancho Estopila No. 22, A</v>
          </cell>
          <cell r="E1494" t="str">
            <v>Ayala Carranza</v>
          </cell>
          <cell r="F1494">
            <v>150</v>
          </cell>
          <cell r="G1494">
            <v>1</v>
          </cell>
          <cell r="H1494">
            <v>150</v>
          </cell>
          <cell r="I1494">
            <v>41441</v>
          </cell>
          <cell r="J1494">
            <v>0</v>
          </cell>
          <cell r="W1494">
            <v>0</v>
          </cell>
          <cell r="AC1494">
            <v>150</v>
          </cell>
          <cell r="AJ1494">
            <v>150</v>
          </cell>
          <cell r="AW1494">
            <v>0</v>
          </cell>
        </row>
        <row r="1495">
          <cell r="B1495">
            <v>5063</v>
          </cell>
          <cell r="C1495" t="str">
            <v>ZB_38_</v>
          </cell>
          <cell r="D1495" t="str">
            <v>Rancho Zinamba No. 38</v>
          </cell>
          <cell r="E1495" t="str">
            <v>Ramírez Díaz</v>
          </cell>
          <cell r="F1495">
            <v>300</v>
          </cell>
          <cell r="G1495">
            <v>1</v>
          </cell>
          <cell r="H1495">
            <v>300</v>
          </cell>
          <cell r="I1495">
            <v>41441</v>
          </cell>
          <cell r="J1495">
            <v>0</v>
          </cell>
          <cell r="W1495">
            <v>0</v>
          </cell>
          <cell r="AC1495">
            <v>300</v>
          </cell>
          <cell r="AJ1495">
            <v>300</v>
          </cell>
          <cell r="AW1495">
            <v>0</v>
          </cell>
        </row>
        <row r="1496">
          <cell r="B1496">
            <v>5064</v>
          </cell>
          <cell r="C1496" t="str">
            <v>ZB_24_</v>
          </cell>
          <cell r="D1496" t="str">
            <v>Rancho Zinamba No. 24</v>
          </cell>
          <cell r="E1496" t="str">
            <v>Monroy García</v>
          </cell>
          <cell r="F1496">
            <v>300</v>
          </cell>
          <cell r="G1496">
            <v>1</v>
          </cell>
          <cell r="H1496">
            <v>300</v>
          </cell>
          <cell r="I1496">
            <v>41441</v>
          </cell>
          <cell r="J1496">
            <v>0</v>
          </cell>
          <cell r="W1496">
            <v>0</v>
          </cell>
          <cell r="AC1496">
            <v>300</v>
          </cell>
          <cell r="AJ1496">
            <v>300</v>
          </cell>
          <cell r="AW1496">
            <v>0</v>
          </cell>
        </row>
        <row r="1497">
          <cell r="B1497">
            <v>5065</v>
          </cell>
          <cell r="C1497" t="str">
            <v>UP_26_</v>
          </cell>
          <cell r="D1497" t="str">
            <v>Rancho Upácuaro No. 26</v>
          </cell>
          <cell r="E1497" t="str">
            <v>Salazar</v>
          </cell>
          <cell r="F1497">
            <v>300</v>
          </cell>
          <cell r="G1497">
            <v>1</v>
          </cell>
          <cell r="H1497">
            <v>300</v>
          </cell>
          <cell r="I1497">
            <v>41441</v>
          </cell>
          <cell r="J1497">
            <v>0</v>
          </cell>
          <cell r="W1497">
            <v>0</v>
          </cell>
          <cell r="AC1497">
            <v>300</v>
          </cell>
          <cell r="AJ1497">
            <v>300</v>
          </cell>
          <cell r="AW1497">
            <v>0</v>
          </cell>
        </row>
        <row r="1498">
          <cell r="B1498">
            <v>5066</v>
          </cell>
          <cell r="C1498" t="str">
            <v>RV_195_</v>
          </cell>
          <cell r="D1498" t="str">
            <v>Rancho Recoveco No. 195</v>
          </cell>
          <cell r="E1498" t="str">
            <v>Sandoval</v>
          </cell>
          <cell r="F1498">
            <v>300</v>
          </cell>
          <cell r="G1498">
            <v>1</v>
          </cell>
          <cell r="H1498">
            <v>300</v>
          </cell>
          <cell r="I1498">
            <v>41441</v>
          </cell>
          <cell r="J1498">
            <v>0</v>
          </cell>
          <cell r="W1498">
            <v>0</v>
          </cell>
          <cell r="AC1498">
            <v>300</v>
          </cell>
          <cell r="AJ1498">
            <v>300</v>
          </cell>
          <cell r="AW1498">
            <v>0</v>
          </cell>
        </row>
        <row r="1499">
          <cell r="B1499">
            <v>5067</v>
          </cell>
          <cell r="C1499" t="str">
            <v>UP_40_</v>
          </cell>
          <cell r="D1499" t="str">
            <v>Rancho Upácuaro No. 40</v>
          </cell>
          <cell r="E1499" t="str">
            <v>López Ramírez</v>
          </cell>
          <cell r="F1499">
            <v>300</v>
          </cell>
          <cell r="G1499">
            <v>1</v>
          </cell>
          <cell r="H1499">
            <v>300</v>
          </cell>
          <cell r="I1499">
            <v>41441</v>
          </cell>
          <cell r="J1499">
            <v>0</v>
          </cell>
          <cell r="W1499">
            <v>0</v>
          </cell>
          <cell r="AC1499">
            <v>300</v>
          </cell>
          <cell r="AJ1499">
            <v>300</v>
          </cell>
          <cell r="AW1499">
            <v>0</v>
          </cell>
        </row>
        <row r="1500">
          <cell r="B1500">
            <v>5068</v>
          </cell>
          <cell r="C1500" t="str">
            <v>LD_89_</v>
          </cell>
          <cell r="D1500" t="str">
            <v>Rancho Landero No. 89</v>
          </cell>
          <cell r="E1500" t="str">
            <v>Del Pozo Solís</v>
          </cell>
          <cell r="F1500">
            <v>300</v>
          </cell>
          <cell r="G1500">
            <v>1</v>
          </cell>
          <cell r="H1500">
            <v>300</v>
          </cell>
          <cell r="I1500">
            <v>41441</v>
          </cell>
          <cell r="J1500">
            <v>0</v>
          </cell>
          <cell r="W1500">
            <v>0</v>
          </cell>
          <cell r="AC1500">
            <v>300</v>
          </cell>
          <cell r="AJ1500">
            <v>300</v>
          </cell>
          <cell r="AW1500">
            <v>0</v>
          </cell>
        </row>
        <row r="1501">
          <cell r="B1501">
            <v>5069</v>
          </cell>
          <cell r="C1501" t="str">
            <v>UP_23_</v>
          </cell>
          <cell r="D1501" t="str">
            <v>Rancho Upácuaro No. 23</v>
          </cell>
          <cell r="E1501" t="str">
            <v>Arredondo</v>
          </cell>
          <cell r="F1501">
            <v>300</v>
          </cell>
          <cell r="G1501">
            <v>1</v>
          </cell>
          <cell r="H1501">
            <v>600</v>
          </cell>
          <cell r="I1501">
            <v>41441</v>
          </cell>
          <cell r="J1501">
            <v>0</v>
          </cell>
          <cell r="W1501">
            <v>0</v>
          </cell>
          <cell r="AD1501">
            <v>300</v>
          </cell>
          <cell r="AE1501">
            <v>300</v>
          </cell>
          <cell r="AJ1501">
            <v>600</v>
          </cell>
          <cell r="AW1501">
            <v>0</v>
          </cell>
        </row>
        <row r="1502">
          <cell r="B1502">
            <v>5070</v>
          </cell>
          <cell r="C1502" t="str">
            <v>UP_23_</v>
          </cell>
          <cell r="D1502" t="str">
            <v>Rancho Upácuaro No. 23</v>
          </cell>
          <cell r="E1502" t="str">
            <v>Arredondo</v>
          </cell>
          <cell r="F1502">
            <v>300</v>
          </cell>
          <cell r="G1502">
            <v>5</v>
          </cell>
          <cell r="H1502">
            <v>20</v>
          </cell>
          <cell r="I1502">
            <v>41441</v>
          </cell>
          <cell r="J1502" t="str">
            <v>NO SUMA</v>
          </cell>
          <cell r="W1502">
            <v>0</v>
          </cell>
          <cell r="AJ1502">
            <v>0</v>
          </cell>
          <cell r="AW1502">
            <v>0</v>
          </cell>
        </row>
        <row r="1503">
          <cell r="B1503">
            <v>5071</v>
          </cell>
          <cell r="C1503" t="str">
            <v>UP_73_B</v>
          </cell>
          <cell r="D1503" t="str">
            <v>Rancho Upácuaro No. 73, B</v>
          </cell>
          <cell r="E1503" t="str">
            <v>Chávez</v>
          </cell>
          <cell r="F1503">
            <v>200</v>
          </cell>
          <cell r="G1503">
            <v>1</v>
          </cell>
          <cell r="H1503">
            <v>1200</v>
          </cell>
          <cell r="I1503">
            <v>41441</v>
          </cell>
          <cell r="J1503">
            <v>0</v>
          </cell>
          <cell r="W1503">
            <v>0</v>
          </cell>
          <cell r="X1503">
            <v>200</v>
          </cell>
          <cell r="Y1503">
            <v>200</v>
          </cell>
          <cell r="Z1503">
            <v>200</v>
          </cell>
          <cell r="AA1503">
            <v>200</v>
          </cell>
          <cell r="AB1503">
            <v>200</v>
          </cell>
          <cell r="AC1503">
            <v>200</v>
          </cell>
          <cell r="AJ1503">
            <v>1200</v>
          </cell>
          <cell r="AW1503">
            <v>0</v>
          </cell>
        </row>
        <row r="1504">
          <cell r="B1504">
            <v>5072</v>
          </cell>
          <cell r="C1504" t="str">
            <v>RV_175_B</v>
          </cell>
          <cell r="D1504" t="str">
            <v>Rancho Recoveco No. 175, B</v>
          </cell>
          <cell r="E1504" t="str">
            <v>García Calderón</v>
          </cell>
          <cell r="F1504">
            <v>150</v>
          </cell>
          <cell r="G1504">
            <v>1</v>
          </cell>
          <cell r="H1504">
            <v>150</v>
          </cell>
          <cell r="I1504">
            <v>41441</v>
          </cell>
          <cell r="J1504">
            <v>0</v>
          </cell>
          <cell r="W1504">
            <v>0</v>
          </cell>
          <cell r="AC1504">
            <v>150</v>
          </cell>
          <cell r="AJ1504">
            <v>150</v>
          </cell>
          <cell r="AW1504">
            <v>0</v>
          </cell>
        </row>
        <row r="1505">
          <cell r="B1505">
            <v>5072</v>
          </cell>
          <cell r="C1505" t="str">
            <v>RV_175_B</v>
          </cell>
          <cell r="D1505" t="str">
            <v>Rancho Recoveco No. 175, B</v>
          </cell>
          <cell r="E1505" t="str">
            <v>García Calderón</v>
          </cell>
          <cell r="F1505">
            <v>150</v>
          </cell>
          <cell r="G1505">
            <v>5</v>
          </cell>
          <cell r="H1505">
            <v>20</v>
          </cell>
          <cell r="I1505">
            <v>41441</v>
          </cell>
          <cell r="J1505" t="str">
            <v>NO SUMA</v>
          </cell>
          <cell r="W1505">
            <v>0</v>
          </cell>
          <cell r="AJ1505">
            <v>0</v>
          </cell>
          <cell r="AW1505">
            <v>0</v>
          </cell>
        </row>
        <row r="1506">
          <cell r="B1506">
            <v>5073</v>
          </cell>
          <cell r="C1506" t="str">
            <v>UP_70_</v>
          </cell>
          <cell r="D1506" t="str">
            <v>Rancho Upácuaro No. 70</v>
          </cell>
          <cell r="E1506" t="str">
            <v>Ramírez Tejeda</v>
          </cell>
          <cell r="F1506">
            <v>300</v>
          </cell>
          <cell r="G1506">
            <v>1</v>
          </cell>
          <cell r="H1506">
            <v>300</v>
          </cell>
          <cell r="I1506">
            <v>41441</v>
          </cell>
          <cell r="J1506">
            <v>0</v>
          </cell>
          <cell r="W1506">
            <v>0</v>
          </cell>
          <cell r="AH1506">
            <v>300</v>
          </cell>
          <cell r="AJ1506">
            <v>300</v>
          </cell>
          <cell r="AW1506">
            <v>0</v>
          </cell>
        </row>
        <row r="1507">
          <cell r="B1507">
            <v>5073</v>
          </cell>
          <cell r="C1507" t="str">
            <v>UP_70_</v>
          </cell>
          <cell r="D1507" t="str">
            <v>Rancho Upácuaro No. 70</v>
          </cell>
          <cell r="E1507" t="str">
            <v>Ramírez Tejeda</v>
          </cell>
          <cell r="F1507">
            <v>300</v>
          </cell>
          <cell r="G1507">
            <v>3</v>
          </cell>
          <cell r="H1507">
            <v>150</v>
          </cell>
          <cell r="I1507">
            <v>41441</v>
          </cell>
          <cell r="J1507" t="str">
            <v>NO SUMA</v>
          </cell>
          <cell r="W1507">
            <v>0</v>
          </cell>
          <cell r="AJ1507">
            <v>0</v>
          </cell>
          <cell r="AW1507">
            <v>0</v>
          </cell>
        </row>
        <row r="1508">
          <cell r="B1508">
            <v>5074</v>
          </cell>
          <cell r="C1508" t="str">
            <v>LD_89_</v>
          </cell>
          <cell r="D1508" t="str">
            <v>Rancho Landero No. 89</v>
          </cell>
          <cell r="E1508" t="str">
            <v>Del Pozo Solís</v>
          </cell>
          <cell r="F1508">
            <v>300</v>
          </cell>
          <cell r="G1508">
            <v>4</v>
          </cell>
          <cell r="H1508">
            <v>160</v>
          </cell>
          <cell r="I1508">
            <v>41443</v>
          </cell>
          <cell r="J1508" t="str">
            <v>NO SUMA</v>
          </cell>
          <cell r="W1508">
            <v>0</v>
          </cell>
          <cell r="AJ1508">
            <v>0</v>
          </cell>
          <cell r="AW1508">
            <v>0</v>
          </cell>
        </row>
        <row r="1509">
          <cell r="B1509">
            <v>5075</v>
          </cell>
          <cell r="C1509" t="str">
            <v>UP_9_</v>
          </cell>
          <cell r="D1509" t="str">
            <v>Rancho Upácuaro No. 9</v>
          </cell>
          <cell r="E1509" t="str">
            <v>Núñez</v>
          </cell>
          <cell r="F1509">
            <v>300</v>
          </cell>
          <cell r="G1509">
            <v>4</v>
          </cell>
          <cell r="H1509">
            <v>160</v>
          </cell>
          <cell r="I1509">
            <v>41443</v>
          </cell>
          <cell r="J1509" t="str">
            <v>NO SUMA</v>
          </cell>
          <cell r="W1509">
            <v>0</v>
          </cell>
          <cell r="AJ1509">
            <v>0</v>
          </cell>
          <cell r="AW1509">
            <v>0</v>
          </cell>
        </row>
        <row r="1510">
          <cell r="B1510">
            <v>5076</v>
          </cell>
          <cell r="C1510" t="str">
            <v>UP_37_</v>
          </cell>
          <cell r="D1510" t="str">
            <v>Rancho Upácuaro No. 37</v>
          </cell>
          <cell r="E1510" t="str">
            <v>García Valdés</v>
          </cell>
          <cell r="F1510">
            <v>300</v>
          </cell>
          <cell r="G1510">
            <v>4</v>
          </cell>
          <cell r="H1510">
            <v>160</v>
          </cell>
          <cell r="I1510">
            <v>41443</v>
          </cell>
          <cell r="J1510" t="str">
            <v>NO SUMA</v>
          </cell>
          <cell r="W1510">
            <v>0</v>
          </cell>
          <cell r="AJ1510">
            <v>0</v>
          </cell>
          <cell r="AW1510">
            <v>0</v>
          </cell>
        </row>
        <row r="1511">
          <cell r="B1511">
            <v>5077</v>
          </cell>
          <cell r="C1511" t="str">
            <v>ZB_12_</v>
          </cell>
          <cell r="D1511" t="str">
            <v>Rancho Zinamba No. 12</v>
          </cell>
          <cell r="E1511" t="str">
            <v>Rodríguez</v>
          </cell>
          <cell r="F1511">
            <v>400</v>
          </cell>
          <cell r="G1511">
            <v>1</v>
          </cell>
          <cell r="H1511">
            <v>400</v>
          </cell>
          <cell r="I1511">
            <v>41443</v>
          </cell>
          <cell r="J1511">
            <v>0</v>
          </cell>
          <cell r="W1511">
            <v>0</v>
          </cell>
          <cell r="AC1511">
            <v>400</v>
          </cell>
          <cell r="AJ1511">
            <v>400</v>
          </cell>
          <cell r="AW1511">
            <v>0</v>
          </cell>
        </row>
        <row r="1512">
          <cell r="B1512">
            <v>46</v>
          </cell>
          <cell r="C1512" t="str">
            <v>HS_B_</v>
          </cell>
          <cell r="D1512" t="str">
            <v>Calzada del Hueso No. B</v>
          </cell>
          <cell r="E1512" t="str">
            <v>CARSO</v>
          </cell>
          <cell r="F1512">
            <v>1000</v>
          </cell>
          <cell r="G1512">
            <v>1</v>
          </cell>
          <cell r="H1512">
            <v>1000</v>
          </cell>
          <cell r="I1512">
            <v>41445</v>
          </cell>
          <cell r="J1512">
            <v>0</v>
          </cell>
          <cell r="W1512">
            <v>0</v>
          </cell>
          <cell r="AC1512">
            <v>1000</v>
          </cell>
          <cell r="AJ1512">
            <v>1000</v>
          </cell>
          <cell r="AW1512">
            <v>0</v>
          </cell>
        </row>
        <row r="1513">
          <cell r="B1513">
            <v>5078</v>
          </cell>
          <cell r="C1513" t="str">
            <v>UP_118_</v>
          </cell>
          <cell r="D1513" t="str">
            <v>Rancho Upácuaro No. 118</v>
          </cell>
          <cell r="E1513" t="str">
            <v>Siegrist</v>
          </cell>
          <cell r="F1513">
            <v>300</v>
          </cell>
          <cell r="G1513">
            <v>1</v>
          </cell>
          <cell r="H1513">
            <v>600</v>
          </cell>
          <cell r="I1513">
            <v>41446</v>
          </cell>
          <cell r="J1513">
            <v>0</v>
          </cell>
          <cell r="W1513">
            <v>0</v>
          </cell>
          <cell r="AC1513">
            <v>300</v>
          </cell>
          <cell r="AD1513">
            <v>300</v>
          </cell>
          <cell r="AJ1513">
            <v>600</v>
          </cell>
          <cell r="AW1513">
            <v>0</v>
          </cell>
        </row>
        <row r="1514">
          <cell r="B1514">
            <v>5079</v>
          </cell>
          <cell r="C1514" t="str">
            <v>CL_15_</v>
          </cell>
          <cell r="D1514" t="str">
            <v>Rancho La Cuchilla No. 15</v>
          </cell>
          <cell r="E1514" t="str">
            <v>Guerrero Ponce</v>
          </cell>
          <cell r="F1514">
            <v>300</v>
          </cell>
          <cell r="G1514">
            <v>1</v>
          </cell>
          <cell r="H1514">
            <v>300</v>
          </cell>
          <cell r="I1514">
            <v>41448</v>
          </cell>
          <cell r="J1514">
            <v>0</v>
          </cell>
          <cell r="W1514">
            <v>0</v>
          </cell>
          <cell r="AA1514">
            <v>300</v>
          </cell>
          <cell r="AJ1514">
            <v>300</v>
          </cell>
          <cell r="AW1514">
            <v>0</v>
          </cell>
        </row>
        <row r="1515">
          <cell r="B1515">
            <v>5080</v>
          </cell>
          <cell r="C1515" t="str">
            <v>CL_32_</v>
          </cell>
          <cell r="D1515" t="str">
            <v>Rancho La Cuchilla No. 32</v>
          </cell>
          <cell r="E1515" t="str">
            <v>Hernández</v>
          </cell>
          <cell r="F1515">
            <v>300</v>
          </cell>
          <cell r="G1515">
            <v>1</v>
          </cell>
          <cell r="H1515">
            <v>300</v>
          </cell>
          <cell r="I1515">
            <v>41448</v>
          </cell>
          <cell r="J1515">
            <v>0</v>
          </cell>
          <cell r="W1515">
            <v>0</v>
          </cell>
          <cell r="AC1515">
            <v>300</v>
          </cell>
          <cell r="AJ1515">
            <v>300</v>
          </cell>
          <cell r="AW1515">
            <v>0</v>
          </cell>
        </row>
        <row r="1516">
          <cell r="B1516">
            <v>5081</v>
          </cell>
          <cell r="C1516" t="str">
            <v>UP_69_</v>
          </cell>
          <cell r="D1516" t="str">
            <v>Rancho Upácuaro No. 69</v>
          </cell>
          <cell r="E1516" t="str">
            <v>Gómez</v>
          </cell>
          <cell r="F1516">
            <v>300</v>
          </cell>
          <cell r="G1516">
            <v>1</v>
          </cell>
          <cell r="H1516">
            <v>300</v>
          </cell>
          <cell r="I1516">
            <v>41448</v>
          </cell>
          <cell r="J1516">
            <v>0</v>
          </cell>
          <cell r="W1516">
            <v>0</v>
          </cell>
          <cell r="AB1516">
            <v>300</v>
          </cell>
          <cell r="AJ1516">
            <v>300</v>
          </cell>
          <cell r="AW1516">
            <v>0</v>
          </cell>
        </row>
        <row r="1517">
          <cell r="B1517">
            <v>5082</v>
          </cell>
          <cell r="C1517" t="str">
            <v>UP_146_</v>
          </cell>
          <cell r="D1517" t="str">
            <v>Rancho Upácuaro No. 146</v>
          </cell>
          <cell r="E1517" t="str">
            <v>Islas</v>
          </cell>
          <cell r="F1517">
            <v>300</v>
          </cell>
          <cell r="G1517">
            <v>1</v>
          </cell>
          <cell r="H1517">
            <v>300</v>
          </cell>
          <cell r="I1517">
            <v>41448</v>
          </cell>
          <cell r="J1517">
            <v>0</v>
          </cell>
          <cell r="W1517">
            <v>0</v>
          </cell>
          <cell r="AB1517">
            <v>300</v>
          </cell>
          <cell r="AJ1517">
            <v>300</v>
          </cell>
          <cell r="AW1517">
            <v>0</v>
          </cell>
        </row>
        <row r="1518">
          <cell r="B1518">
            <v>5083</v>
          </cell>
          <cell r="C1518" t="str">
            <v>LD_68_</v>
          </cell>
          <cell r="D1518" t="str">
            <v>Rancho Landero No. 68</v>
          </cell>
          <cell r="E1518" t="str">
            <v>Moreno</v>
          </cell>
          <cell r="F1518">
            <v>300</v>
          </cell>
          <cell r="G1518">
            <v>1</v>
          </cell>
          <cell r="H1518">
            <v>600</v>
          </cell>
          <cell r="I1518">
            <v>41448</v>
          </cell>
          <cell r="J1518">
            <v>0</v>
          </cell>
          <cell r="W1518">
            <v>0</v>
          </cell>
          <cell r="AB1518">
            <v>300</v>
          </cell>
          <cell r="AC1518">
            <v>300</v>
          </cell>
          <cell r="AJ1518">
            <v>600</v>
          </cell>
          <cell r="AW1518">
            <v>0</v>
          </cell>
        </row>
        <row r="1519">
          <cell r="B1519">
            <v>5084</v>
          </cell>
          <cell r="C1519" t="str">
            <v>RM_9_A</v>
          </cell>
          <cell r="D1519" t="str">
            <v>Rancho Romeral No. 9, A</v>
          </cell>
          <cell r="E1519" t="str">
            <v>Quiñones Hernández</v>
          </cell>
          <cell r="F1519">
            <v>300</v>
          </cell>
          <cell r="G1519">
            <v>1</v>
          </cell>
          <cell r="H1519">
            <v>900</v>
          </cell>
          <cell r="I1519">
            <v>41448</v>
          </cell>
          <cell r="J1519">
            <v>0</v>
          </cell>
          <cell r="W1519">
            <v>0</v>
          </cell>
          <cell r="AB1519">
            <v>300</v>
          </cell>
          <cell r="AC1519">
            <v>300</v>
          </cell>
          <cell r="AD1519">
            <v>300</v>
          </cell>
          <cell r="AJ1519">
            <v>900</v>
          </cell>
          <cell r="AW1519">
            <v>0</v>
          </cell>
        </row>
        <row r="1520">
          <cell r="B1520">
            <v>5085</v>
          </cell>
          <cell r="C1520" t="str">
            <v>CL_55_</v>
          </cell>
          <cell r="D1520" t="str">
            <v>Rancho La Cuchilla No. 55</v>
          </cell>
          <cell r="E1520" t="str">
            <v>López Velázquez</v>
          </cell>
          <cell r="F1520">
            <v>300</v>
          </cell>
          <cell r="G1520">
            <v>1</v>
          </cell>
          <cell r="H1520">
            <v>300</v>
          </cell>
          <cell r="I1520">
            <v>41448</v>
          </cell>
          <cell r="J1520">
            <v>0</v>
          </cell>
          <cell r="W1520">
            <v>0</v>
          </cell>
          <cell r="AC1520">
            <v>300</v>
          </cell>
          <cell r="AJ1520">
            <v>300</v>
          </cell>
          <cell r="AW1520">
            <v>0</v>
          </cell>
        </row>
        <row r="1521">
          <cell r="B1521">
            <v>5086</v>
          </cell>
          <cell r="C1521" t="str">
            <v>EZ_73_</v>
          </cell>
          <cell r="D1521" t="str">
            <v>Rancho Estanzuela No. 73</v>
          </cell>
          <cell r="E1521" t="str">
            <v>García María del C.</v>
          </cell>
          <cell r="F1521">
            <v>300</v>
          </cell>
          <cell r="G1521">
            <v>1</v>
          </cell>
          <cell r="H1521">
            <v>600</v>
          </cell>
          <cell r="I1521">
            <v>41448</v>
          </cell>
          <cell r="J1521">
            <v>0</v>
          </cell>
          <cell r="W1521">
            <v>0</v>
          </cell>
          <cell r="AC1521">
            <v>300</v>
          </cell>
          <cell r="AD1521">
            <v>300</v>
          </cell>
          <cell r="AJ1521">
            <v>600</v>
          </cell>
          <cell r="AW1521">
            <v>0</v>
          </cell>
        </row>
        <row r="1522">
          <cell r="B1522">
            <v>5087</v>
          </cell>
          <cell r="C1522" t="str">
            <v>CL_107_</v>
          </cell>
          <cell r="D1522" t="str">
            <v>Rancho La Cuchilla No. 107</v>
          </cell>
          <cell r="E1522" t="str">
            <v>Olivares Rivera</v>
          </cell>
          <cell r="F1522">
            <v>300</v>
          </cell>
          <cell r="G1522">
            <v>1</v>
          </cell>
          <cell r="H1522">
            <v>300</v>
          </cell>
          <cell r="I1522">
            <v>41448</v>
          </cell>
          <cell r="J1522">
            <v>0</v>
          </cell>
          <cell r="W1522">
            <v>0</v>
          </cell>
          <cell r="AC1522">
            <v>300</v>
          </cell>
          <cell r="AJ1522">
            <v>300</v>
          </cell>
          <cell r="AW1522">
            <v>0</v>
          </cell>
        </row>
        <row r="1523">
          <cell r="B1523">
            <v>5088</v>
          </cell>
          <cell r="C1523" t="str">
            <v>CL_93_</v>
          </cell>
          <cell r="D1523" t="str">
            <v>Rancho La Cuchilla No. 93</v>
          </cell>
          <cell r="E1523" t="str">
            <v>Alcántara Silva</v>
          </cell>
          <cell r="F1523">
            <v>300</v>
          </cell>
          <cell r="G1523">
            <v>1</v>
          </cell>
          <cell r="H1523">
            <v>300</v>
          </cell>
          <cell r="I1523">
            <v>41448</v>
          </cell>
          <cell r="J1523">
            <v>0</v>
          </cell>
          <cell r="W1523">
            <v>0</v>
          </cell>
          <cell r="AC1523">
            <v>300</v>
          </cell>
          <cell r="AJ1523">
            <v>300</v>
          </cell>
          <cell r="AW1523">
            <v>0</v>
          </cell>
        </row>
        <row r="1524">
          <cell r="B1524">
            <v>5089</v>
          </cell>
          <cell r="D1524" t="str">
            <v/>
          </cell>
          <cell r="E1524" t="str">
            <v/>
          </cell>
          <cell r="F1524" t="str">
            <v/>
          </cell>
          <cell r="G1524">
            <v>8</v>
          </cell>
          <cell r="I1524">
            <v>41448</v>
          </cell>
          <cell r="J1524" t="str">
            <v>NO SUMA</v>
          </cell>
          <cell r="W1524">
            <v>0</v>
          </cell>
          <cell r="AJ1524">
            <v>0</v>
          </cell>
          <cell r="AW1524">
            <v>0</v>
          </cell>
        </row>
        <row r="1525">
          <cell r="B1525">
            <v>5090</v>
          </cell>
          <cell r="C1525" t="str">
            <v>LD_76_</v>
          </cell>
          <cell r="D1525" t="str">
            <v>Rancho Landero No. 76</v>
          </cell>
          <cell r="E1525" t="str">
            <v>Ugarte</v>
          </cell>
          <cell r="F1525">
            <v>300</v>
          </cell>
          <cell r="G1525">
            <v>1</v>
          </cell>
          <cell r="H1525">
            <v>300</v>
          </cell>
          <cell r="I1525">
            <v>41448</v>
          </cell>
          <cell r="J1525">
            <v>0</v>
          </cell>
          <cell r="W1525">
            <v>0</v>
          </cell>
          <cell r="AC1525">
            <v>300</v>
          </cell>
          <cell r="AJ1525">
            <v>300</v>
          </cell>
          <cell r="AW1525">
            <v>0</v>
          </cell>
        </row>
        <row r="1526">
          <cell r="B1526">
            <v>5091</v>
          </cell>
          <cell r="C1526" t="str">
            <v>CL_75_</v>
          </cell>
          <cell r="D1526" t="str">
            <v>Rancho La Cuchilla No. 75</v>
          </cell>
          <cell r="E1526" t="str">
            <v>Sosa Lucio</v>
          </cell>
          <cell r="F1526">
            <v>300</v>
          </cell>
          <cell r="G1526">
            <v>1</v>
          </cell>
          <cell r="H1526">
            <v>600</v>
          </cell>
          <cell r="I1526">
            <v>41448</v>
          </cell>
          <cell r="J1526">
            <v>0</v>
          </cell>
          <cell r="W1526">
            <v>0</v>
          </cell>
          <cell r="AB1526">
            <v>300</v>
          </cell>
          <cell r="AC1526">
            <v>300</v>
          </cell>
          <cell r="AJ1526">
            <v>600</v>
          </cell>
          <cell r="AW1526">
            <v>0</v>
          </cell>
        </row>
        <row r="1527">
          <cell r="B1527">
            <v>5092</v>
          </cell>
          <cell r="C1527" t="str">
            <v>EZ_77_</v>
          </cell>
          <cell r="D1527" t="str">
            <v>Rancho Estanzuela No. 77</v>
          </cell>
          <cell r="E1527" t="str">
            <v>De la Rosa Rico</v>
          </cell>
          <cell r="F1527">
            <v>300</v>
          </cell>
          <cell r="G1527">
            <v>1</v>
          </cell>
          <cell r="H1527">
            <v>600</v>
          </cell>
          <cell r="I1527">
            <v>41448</v>
          </cell>
          <cell r="J1527">
            <v>0</v>
          </cell>
          <cell r="W1527">
            <v>0</v>
          </cell>
          <cell r="Z1527">
            <v>300</v>
          </cell>
          <cell r="AA1527">
            <v>300</v>
          </cell>
          <cell r="AJ1527">
            <v>600</v>
          </cell>
          <cell r="AW1527">
            <v>0</v>
          </cell>
        </row>
        <row r="1528">
          <cell r="B1528">
            <v>5093</v>
          </cell>
          <cell r="C1528" t="str">
            <v>UP_19_</v>
          </cell>
          <cell r="D1528" t="str">
            <v>Rancho Upácuaro No. 19</v>
          </cell>
          <cell r="E1528" t="str">
            <v>Peña Inclán</v>
          </cell>
          <cell r="F1528">
            <v>200</v>
          </cell>
          <cell r="G1528">
            <v>1</v>
          </cell>
          <cell r="H1528">
            <v>200</v>
          </cell>
          <cell r="I1528">
            <v>41448</v>
          </cell>
          <cell r="J1528">
            <v>0</v>
          </cell>
          <cell r="W1528">
            <v>0</v>
          </cell>
          <cell r="AC1528">
            <v>200</v>
          </cell>
          <cell r="AJ1528">
            <v>200</v>
          </cell>
          <cell r="AW1528">
            <v>0</v>
          </cell>
        </row>
        <row r="1529">
          <cell r="B1529">
            <v>5094</v>
          </cell>
          <cell r="C1529" t="str">
            <v>EZ_11_A</v>
          </cell>
          <cell r="D1529" t="str">
            <v>Rancho Estanzuela No. 11, A</v>
          </cell>
          <cell r="E1529" t="str">
            <v>Evans González</v>
          </cell>
          <cell r="F1529">
            <v>300</v>
          </cell>
          <cell r="G1529">
            <v>1</v>
          </cell>
          <cell r="H1529">
            <v>300</v>
          </cell>
          <cell r="I1529">
            <v>41448</v>
          </cell>
          <cell r="J1529">
            <v>0</v>
          </cell>
          <cell r="W1529">
            <v>0</v>
          </cell>
          <cell r="AC1529">
            <v>300</v>
          </cell>
          <cell r="AJ1529">
            <v>300</v>
          </cell>
          <cell r="AW1529">
            <v>0</v>
          </cell>
        </row>
        <row r="1530">
          <cell r="B1530">
            <v>5095</v>
          </cell>
          <cell r="C1530" t="str">
            <v>CL_71_</v>
          </cell>
          <cell r="D1530" t="str">
            <v>Rancho La Cuchilla No. 71</v>
          </cell>
          <cell r="E1530" t="str">
            <v>Pulido</v>
          </cell>
          <cell r="F1530">
            <v>300</v>
          </cell>
          <cell r="G1530">
            <v>1</v>
          </cell>
          <cell r="H1530">
            <v>300</v>
          </cell>
          <cell r="I1530">
            <v>41448</v>
          </cell>
          <cell r="J1530">
            <v>0</v>
          </cell>
          <cell r="W1530">
            <v>0</v>
          </cell>
          <cell r="AC1530">
            <v>300</v>
          </cell>
          <cell r="AJ1530">
            <v>300</v>
          </cell>
          <cell r="AW1530">
            <v>0</v>
          </cell>
        </row>
        <row r="1531">
          <cell r="B1531">
            <v>5096</v>
          </cell>
          <cell r="C1531" t="str">
            <v>UP_80_</v>
          </cell>
          <cell r="D1531" t="str">
            <v>Rancho Upácuaro No. 80</v>
          </cell>
          <cell r="E1531" t="str">
            <v>De los Ríos</v>
          </cell>
          <cell r="F1531">
            <v>300</v>
          </cell>
          <cell r="G1531">
            <v>1</v>
          </cell>
          <cell r="H1531">
            <v>300</v>
          </cell>
          <cell r="I1531">
            <v>41448</v>
          </cell>
          <cell r="J1531">
            <v>0</v>
          </cell>
          <cell r="W1531">
            <v>0</v>
          </cell>
          <cell r="AC1531">
            <v>300</v>
          </cell>
          <cell r="AJ1531">
            <v>300</v>
          </cell>
          <cell r="AW1531">
            <v>0</v>
          </cell>
        </row>
        <row r="1532">
          <cell r="B1532">
            <v>5096</v>
          </cell>
          <cell r="C1532" t="str">
            <v>UP_80_</v>
          </cell>
          <cell r="D1532" t="str">
            <v>Rancho Upácuaro No. 80</v>
          </cell>
          <cell r="E1532" t="str">
            <v>De los Ríos</v>
          </cell>
          <cell r="G1532">
            <v>3</v>
          </cell>
          <cell r="H1532">
            <v>150</v>
          </cell>
          <cell r="I1532">
            <v>41448</v>
          </cell>
          <cell r="J1532" t="str">
            <v>NO SUMA</v>
          </cell>
          <cell r="W1532">
            <v>0</v>
          </cell>
          <cell r="AJ1532">
            <v>0</v>
          </cell>
          <cell r="AW1532">
            <v>0</v>
          </cell>
        </row>
        <row r="1533">
          <cell r="B1533">
            <v>5097</v>
          </cell>
          <cell r="C1533" t="str">
            <v>EZ_11_B</v>
          </cell>
          <cell r="D1533" t="str">
            <v>Rancho Estanzuela No. 11, B</v>
          </cell>
          <cell r="E1533" t="str">
            <v>Gómez Miguel</v>
          </cell>
          <cell r="F1533">
            <v>200</v>
          </cell>
          <cell r="G1533">
            <v>1</v>
          </cell>
          <cell r="H1533">
            <v>400</v>
          </cell>
          <cell r="I1533">
            <v>41448</v>
          </cell>
          <cell r="J1533">
            <v>0</v>
          </cell>
          <cell r="W1533">
            <v>0</v>
          </cell>
          <cell r="AC1533">
            <v>200</v>
          </cell>
          <cell r="AD1533">
            <v>200</v>
          </cell>
          <cell r="AJ1533">
            <v>400</v>
          </cell>
          <cell r="AW1533">
            <v>0</v>
          </cell>
        </row>
        <row r="1534">
          <cell r="B1534">
            <v>5098</v>
          </cell>
          <cell r="C1534" t="str">
            <v>EZ_19_</v>
          </cell>
          <cell r="D1534" t="str">
            <v>Rancho Estanzuela No. 19</v>
          </cell>
          <cell r="E1534" t="str">
            <v>Robles</v>
          </cell>
          <cell r="F1534">
            <v>300</v>
          </cell>
          <cell r="G1534">
            <v>1</v>
          </cell>
          <cell r="H1534">
            <v>600</v>
          </cell>
          <cell r="I1534">
            <v>41448</v>
          </cell>
          <cell r="J1534">
            <v>0</v>
          </cell>
          <cell r="W1534">
            <v>0</v>
          </cell>
          <cell r="AB1534">
            <v>300</v>
          </cell>
          <cell r="AC1534">
            <v>300</v>
          </cell>
          <cell r="AJ1534">
            <v>600</v>
          </cell>
          <cell r="AW1534">
            <v>0</v>
          </cell>
        </row>
        <row r="1535">
          <cell r="B1535">
            <v>5099</v>
          </cell>
          <cell r="C1535" t="str">
            <v>CL_132_</v>
          </cell>
          <cell r="D1535" t="str">
            <v>Rancho La Cuchilla No. 132</v>
          </cell>
          <cell r="E1535" t="str">
            <v>Téllez Girón</v>
          </cell>
          <cell r="F1535">
            <v>300</v>
          </cell>
          <cell r="G1535">
            <v>1</v>
          </cell>
          <cell r="H1535">
            <v>300</v>
          </cell>
          <cell r="I1535">
            <v>41448</v>
          </cell>
          <cell r="J1535">
            <v>0</v>
          </cell>
          <cell r="W1535">
            <v>0</v>
          </cell>
          <cell r="AC1535">
            <v>300</v>
          </cell>
          <cell r="AJ1535">
            <v>300</v>
          </cell>
          <cell r="AW1535">
            <v>0</v>
          </cell>
        </row>
        <row r="1536">
          <cell r="B1536">
            <v>5099</v>
          </cell>
          <cell r="C1536" t="str">
            <v>CL_132_</v>
          </cell>
          <cell r="D1536" t="str">
            <v>Rancho La Cuchilla No. 132</v>
          </cell>
          <cell r="E1536" t="str">
            <v>Téllez Girón</v>
          </cell>
          <cell r="G1536">
            <v>4</v>
          </cell>
          <cell r="H1536">
            <v>160</v>
          </cell>
          <cell r="I1536">
            <v>41448</v>
          </cell>
          <cell r="J1536" t="str">
            <v>NO SUMA</v>
          </cell>
          <cell r="W1536">
            <v>0</v>
          </cell>
          <cell r="AJ1536">
            <v>0</v>
          </cell>
          <cell r="AW1536">
            <v>0</v>
          </cell>
        </row>
        <row r="1537">
          <cell r="B1537">
            <v>5100</v>
          </cell>
          <cell r="C1537" t="str">
            <v>CL_36_</v>
          </cell>
          <cell r="D1537" t="str">
            <v>Rancho La Cuchilla No. 36</v>
          </cell>
          <cell r="E1537" t="str">
            <v>Castillo</v>
          </cell>
          <cell r="F1537">
            <v>300</v>
          </cell>
          <cell r="G1537">
            <v>1</v>
          </cell>
          <cell r="H1537">
            <v>300</v>
          </cell>
          <cell r="I1537">
            <v>41448</v>
          </cell>
          <cell r="J1537">
            <v>0</v>
          </cell>
          <cell r="W1537">
            <v>0</v>
          </cell>
          <cell r="AC1537">
            <v>300</v>
          </cell>
          <cell r="AJ1537">
            <v>300</v>
          </cell>
          <cell r="AW1537">
            <v>0</v>
          </cell>
        </row>
        <row r="1538">
          <cell r="B1538">
            <v>5101</v>
          </cell>
          <cell r="C1538" t="str">
            <v>LD_35_</v>
          </cell>
          <cell r="D1538" t="str">
            <v>Rancho Landero No. 35</v>
          </cell>
          <cell r="E1538" t="str">
            <v>Loperena</v>
          </cell>
          <cell r="F1538">
            <v>300</v>
          </cell>
          <cell r="G1538">
            <v>5</v>
          </cell>
          <cell r="H1538">
            <v>20</v>
          </cell>
          <cell r="I1538">
            <v>41448</v>
          </cell>
          <cell r="J1538" t="str">
            <v>NO SUMA</v>
          </cell>
          <cell r="W1538">
            <v>0</v>
          </cell>
          <cell r="AJ1538">
            <v>0</v>
          </cell>
          <cell r="AW1538">
            <v>0</v>
          </cell>
        </row>
        <row r="1539">
          <cell r="B1539">
            <v>5102</v>
          </cell>
          <cell r="C1539" t="str">
            <v>CL_7_102</v>
          </cell>
          <cell r="D1539" t="str">
            <v>Rancho La Cuchilla No. 7, 102</v>
          </cell>
          <cell r="E1539" t="str">
            <v>García Moreno</v>
          </cell>
          <cell r="F1539">
            <v>100</v>
          </cell>
          <cell r="G1539">
            <v>1</v>
          </cell>
          <cell r="H1539">
            <v>100</v>
          </cell>
          <cell r="I1539">
            <v>41448</v>
          </cell>
          <cell r="J1539">
            <v>0</v>
          </cell>
          <cell r="W1539">
            <v>0</v>
          </cell>
          <cell r="AC1539">
            <v>100</v>
          </cell>
          <cell r="AJ1539">
            <v>100</v>
          </cell>
          <cell r="AW1539">
            <v>0</v>
          </cell>
        </row>
        <row r="1540">
          <cell r="B1540">
            <v>5103</v>
          </cell>
          <cell r="C1540" t="str">
            <v>ZB_76_</v>
          </cell>
          <cell r="D1540" t="str">
            <v>Rancho Zinamba No. 76</v>
          </cell>
          <cell r="E1540" t="str">
            <v>Márquez</v>
          </cell>
          <cell r="F1540">
            <v>300</v>
          </cell>
          <cell r="G1540">
            <v>1</v>
          </cell>
          <cell r="H1540">
            <v>1200</v>
          </cell>
          <cell r="I1540">
            <v>41448</v>
          </cell>
          <cell r="J1540">
            <v>0</v>
          </cell>
          <cell r="W1540">
            <v>0</v>
          </cell>
          <cell r="Z1540">
            <v>300</v>
          </cell>
          <cell r="AA1540">
            <v>300</v>
          </cell>
          <cell r="AB1540">
            <v>300</v>
          </cell>
          <cell r="AC1540">
            <v>300</v>
          </cell>
          <cell r="AJ1540">
            <v>1200</v>
          </cell>
          <cell r="AW1540">
            <v>0</v>
          </cell>
        </row>
        <row r="1541">
          <cell r="B1541">
            <v>5103</v>
          </cell>
          <cell r="C1541" t="str">
            <v>ZB_76_</v>
          </cell>
          <cell r="D1541" t="str">
            <v>Rancho Zinamba No. 76</v>
          </cell>
          <cell r="E1541" t="str">
            <v>Márquez</v>
          </cell>
          <cell r="G1541">
            <v>4</v>
          </cell>
          <cell r="H1541">
            <v>160</v>
          </cell>
          <cell r="I1541">
            <v>41448</v>
          </cell>
          <cell r="J1541" t="str">
            <v>NO SUMA</v>
          </cell>
          <cell r="W1541">
            <v>0</v>
          </cell>
          <cell r="AJ1541">
            <v>0</v>
          </cell>
          <cell r="AW1541">
            <v>0</v>
          </cell>
        </row>
        <row r="1542">
          <cell r="B1542">
            <v>5104</v>
          </cell>
          <cell r="C1542" t="str">
            <v>EZ_7_A</v>
          </cell>
          <cell r="D1542" t="str">
            <v>Rancho Estanzuela No. 7, A</v>
          </cell>
          <cell r="E1542" t="str">
            <v>Herrera Izquierdo</v>
          </cell>
          <cell r="F1542">
            <v>150</v>
          </cell>
          <cell r="G1542">
            <v>1</v>
          </cell>
          <cell r="H1542">
            <v>150</v>
          </cell>
          <cell r="I1542">
            <v>41448</v>
          </cell>
          <cell r="J1542">
            <v>0</v>
          </cell>
          <cell r="W1542">
            <v>0</v>
          </cell>
          <cell r="AC1542">
            <v>150</v>
          </cell>
          <cell r="AJ1542">
            <v>150</v>
          </cell>
          <cell r="AW1542">
            <v>0</v>
          </cell>
        </row>
        <row r="1543">
          <cell r="B1543">
            <v>5105</v>
          </cell>
          <cell r="C1543" t="str">
            <v>EZ_25_</v>
          </cell>
          <cell r="D1543" t="str">
            <v>Rancho Estanzuela No. 25</v>
          </cell>
          <cell r="E1543" t="str">
            <v>Contreras Figueroa</v>
          </cell>
          <cell r="F1543">
            <v>300</v>
          </cell>
          <cell r="G1543">
            <v>4</v>
          </cell>
          <cell r="H1543">
            <v>160</v>
          </cell>
          <cell r="I1543">
            <v>41448</v>
          </cell>
          <cell r="J1543" t="str">
            <v>NO SUMA</v>
          </cell>
          <cell r="W1543">
            <v>0</v>
          </cell>
          <cell r="AJ1543">
            <v>0</v>
          </cell>
          <cell r="AW1543">
            <v>0</v>
          </cell>
        </row>
        <row r="1544">
          <cell r="B1544">
            <v>45</v>
          </cell>
          <cell r="C1544" t="str">
            <v>CM_130_A</v>
          </cell>
          <cell r="D1544" t="str">
            <v>Rancho Estanzuela No. 130, A</v>
          </cell>
          <cell r="E1544" t="str">
            <v>Colegio Carmel</v>
          </cell>
          <cell r="F1544">
            <v>10000</v>
          </cell>
          <cell r="G1544">
            <v>1</v>
          </cell>
          <cell r="H1544">
            <v>10000</v>
          </cell>
          <cell r="I1544">
            <v>41449</v>
          </cell>
          <cell r="J1544">
            <v>0</v>
          </cell>
          <cell r="W1544">
            <v>0</v>
          </cell>
          <cell r="AC1544">
            <v>10000</v>
          </cell>
          <cell r="AJ1544">
            <v>10000</v>
          </cell>
          <cell r="AW1544">
            <v>0</v>
          </cell>
        </row>
        <row r="1545">
          <cell r="B1545">
            <v>5106</v>
          </cell>
          <cell r="C1545" t="str">
            <v>LD_70_</v>
          </cell>
          <cell r="D1545" t="str">
            <v>Rancho Landero No. 70</v>
          </cell>
          <cell r="E1545" t="str">
            <v>Olguín</v>
          </cell>
          <cell r="F1545">
            <v>100</v>
          </cell>
          <cell r="G1545">
            <v>3</v>
          </cell>
          <cell r="H1545">
            <v>150</v>
          </cell>
          <cell r="I1545">
            <v>41451</v>
          </cell>
          <cell r="J1545" t="str">
            <v>NO SUMA</v>
          </cell>
          <cell r="W1545">
            <v>0</v>
          </cell>
          <cell r="AJ1545">
            <v>0</v>
          </cell>
          <cell r="AW1545">
            <v>0</v>
          </cell>
        </row>
        <row r="1546">
          <cell r="B1546">
            <v>5107</v>
          </cell>
          <cell r="C1546" t="str">
            <v>RV_3_</v>
          </cell>
          <cell r="D1546" t="str">
            <v>Rancho Recoveco No. 3</v>
          </cell>
          <cell r="E1546" t="str">
            <v>Garduño</v>
          </cell>
          <cell r="F1546">
            <v>300</v>
          </cell>
          <cell r="G1546">
            <v>1</v>
          </cell>
          <cell r="H1546">
            <v>300</v>
          </cell>
          <cell r="I1546">
            <v>41451</v>
          </cell>
          <cell r="J1546">
            <v>0</v>
          </cell>
          <cell r="W1546">
            <v>0</v>
          </cell>
          <cell r="AC1546">
            <v>300</v>
          </cell>
          <cell r="AJ1546">
            <v>300</v>
          </cell>
          <cell r="AW1546">
            <v>0</v>
          </cell>
        </row>
        <row r="1547">
          <cell r="B1547">
            <v>5108</v>
          </cell>
          <cell r="C1547" t="str">
            <v>UP_34_</v>
          </cell>
          <cell r="D1547" t="str">
            <v>Rancho Upácuaro No. 34</v>
          </cell>
          <cell r="E1547" t="str">
            <v>Gómez González</v>
          </cell>
          <cell r="F1547">
            <v>300</v>
          </cell>
          <cell r="G1547">
            <v>1</v>
          </cell>
          <cell r="H1547">
            <v>600</v>
          </cell>
          <cell r="I1547">
            <v>41453</v>
          </cell>
          <cell r="J1547">
            <v>0</v>
          </cell>
          <cell r="W1547">
            <v>0</v>
          </cell>
          <cell r="AC1547">
            <v>300</v>
          </cell>
          <cell r="AD1547">
            <v>300</v>
          </cell>
          <cell r="AJ1547">
            <v>600</v>
          </cell>
          <cell r="AW1547">
            <v>0</v>
          </cell>
        </row>
        <row r="1548">
          <cell r="B1548">
            <v>5109</v>
          </cell>
          <cell r="C1548" t="str">
            <v>UP_62_</v>
          </cell>
          <cell r="D1548" t="str">
            <v>Rancho Upácuaro No. 62</v>
          </cell>
          <cell r="E1548" t="str">
            <v>Jiménez Escutia</v>
          </cell>
          <cell r="F1548">
            <v>300</v>
          </cell>
          <cell r="G1548">
            <v>1</v>
          </cell>
          <cell r="H1548">
            <v>300</v>
          </cell>
          <cell r="I1548">
            <v>41454</v>
          </cell>
          <cell r="J1548">
            <v>0</v>
          </cell>
          <cell r="W1548">
            <v>0</v>
          </cell>
          <cell r="AC1548">
            <v>300</v>
          </cell>
          <cell r="AJ1548">
            <v>300</v>
          </cell>
          <cell r="AW1548">
            <v>0</v>
          </cell>
        </row>
        <row r="1549">
          <cell r="B1549">
            <v>5110</v>
          </cell>
          <cell r="C1549" t="str">
            <v>UP_32_</v>
          </cell>
          <cell r="D1549" t="str">
            <v>Rancho Upácuaro No. 32</v>
          </cell>
          <cell r="E1549" t="str">
            <v>Sairafi Carmen</v>
          </cell>
          <cell r="F1549">
            <v>300</v>
          </cell>
          <cell r="G1549">
            <v>1</v>
          </cell>
          <cell r="H1549">
            <v>300</v>
          </cell>
          <cell r="I1549">
            <v>41455</v>
          </cell>
          <cell r="J1549">
            <v>0</v>
          </cell>
          <cell r="W1549">
            <v>0</v>
          </cell>
          <cell r="AD1549">
            <v>300</v>
          </cell>
          <cell r="AJ1549">
            <v>300</v>
          </cell>
          <cell r="AW1549">
            <v>0</v>
          </cell>
        </row>
        <row r="1550">
          <cell r="B1550">
            <v>5111</v>
          </cell>
          <cell r="C1550" t="str">
            <v>ZB_80_</v>
          </cell>
          <cell r="D1550" t="str">
            <v>Rancho Zinamba No. 80</v>
          </cell>
          <cell r="E1550" t="str">
            <v>Vázquez</v>
          </cell>
          <cell r="F1550">
            <v>250</v>
          </cell>
          <cell r="G1550">
            <v>1</v>
          </cell>
          <cell r="H1550">
            <v>500</v>
          </cell>
          <cell r="I1550">
            <v>41455</v>
          </cell>
          <cell r="J1550">
            <v>0</v>
          </cell>
          <cell r="W1550">
            <v>0</v>
          </cell>
          <cell r="AB1550">
            <v>250</v>
          </cell>
          <cell r="AC1550">
            <v>250</v>
          </cell>
          <cell r="AJ1550">
            <v>500</v>
          </cell>
          <cell r="AW1550">
            <v>0</v>
          </cell>
        </row>
        <row r="1551">
          <cell r="B1551">
            <v>5112</v>
          </cell>
          <cell r="C1551" t="str">
            <v>RV_181_</v>
          </cell>
          <cell r="D1551" t="str">
            <v>Rancho Recoveco No. 181</v>
          </cell>
          <cell r="E1551" t="str">
            <v>Torices González</v>
          </cell>
          <cell r="F1551">
            <v>300</v>
          </cell>
          <cell r="G1551">
            <v>1</v>
          </cell>
          <cell r="H1551">
            <v>300</v>
          </cell>
          <cell r="I1551">
            <v>41455</v>
          </cell>
          <cell r="J1551">
            <v>0</v>
          </cell>
          <cell r="W1551">
            <v>0</v>
          </cell>
          <cell r="AD1551">
            <v>300</v>
          </cell>
          <cell r="AJ1551">
            <v>300</v>
          </cell>
          <cell r="AW1551">
            <v>0</v>
          </cell>
        </row>
        <row r="1552">
          <cell r="B1552">
            <v>5112</v>
          </cell>
          <cell r="C1552" t="str">
            <v>RV_181_</v>
          </cell>
          <cell r="D1552" t="str">
            <v>Rancho Recoveco No. 181</v>
          </cell>
          <cell r="E1552" t="str">
            <v>Torices González</v>
          </cell>
          <cell r="F1552">
            <v>300</v>
          </cell>
          <cell r="G1552">
            <v>4</v>
          </cell>
          <cell r="H1552">
            <v>320</v>
          </cell>
          <cell r="I1552">
            <v>41455</v>
          </cell>
          <cell r="J1552" t="str">
            <v>NO SUMA</v>
          </cell>
          <cell r="W1552">
            <v>0</v>
          </cell>
          <cell r="AJ1552">
            <v>0</v>
          </cell>
          <cell r="AW1552">
            <v>0</v>
          </cell>
        </row>
        <row r="1553">
          <cell r="B1553">
            <v>5113</v>
          </cell>
          <cell r="C1553" t="str">
            <v>RV_181_</v>
          </cell>
          <cell r="D1553" t="str">
            <v>Rancho Recoveco No. 181</v>
          </cell>
          <cell r="E1553" t="str">
            <v>Torices González</v>
          </cell>
          <cell r="F1553">
            <v>300</v>
          </cell>
          <cell r="G1553">
            <v>3</v>
          </cell>
          <cell r="H1553">
            <v>150</v>
          </cell>
          <cell r="I1553">
            <v>41455</v>
          </cell>
          <cell r="J1553" t="str">
            <v>NO SUMA</v>
          </cell>
          <cell r="W1553">
            <v>0</v>
          </cell>
          <cell r="AJ1553">
            <v>0</v>
          </cell>
          <cell r="AW1553">
            <v>0</v>
          </cell>
        </row>
        <row r="1554">
          <cell r="B1554">
            <v>5114</v>
          </cell>
          <cell r="C1554" t="str">
            <v>EP_18_</v>
          </cell>
          <cell r="D1554" t="str">
            <v>Rancho Estopila No. 18</v>
          </cell>
          <cell r="E1554" t="str">
            <v>Aguilar Zarmeño</v>
          </cell>
          <cell r="F1554">
            <v>300</v>
          </cell>
          <cell r="G1554">
            <v>1</v>
          </cell>
          <cell r="H1554">
            <v>300</v>
          </cell>
          <cell r="I1554">
            <v>41455</v>
          </cell>
          <cell r="J1554">
            <v>0</v>
          </cell>
          <cell r="W1554">
            <v>0</v>
          </cell>
          <cell r="AD1554">
            <v>300</v>
          </cell>
          <cell r="AJ1554">
            <v>300</v>
          </cell>
          <cell r="AW1554">
            <v>0</v>
          </cell>
        </row>
        <row r="1555">
          <cell r="B1555">
            <v>5115</v>
          </cell>
          <cell r="C1555" t="str">
            <v>LD_62_</v>
          </cell>
          <cell r="D1555" t="str">
            <v>Rancho Landero No. 62</v>
          </cell>
          <cell r="E1555" t="str">
            <v>Narvaez Sara</v>
          </cell>
          <cell r="F1555">
            <v>300</v>
          </cell>
          <cell r="G1555">
            <v>1</v>
          </cell>
          <cell r="H1555">
            <v>600</v>
          </cell>
          <cell r="I1555">
            <v>41455</v>
          </cell>
          <cell r="J1555">
            <v>0</v>
          </cell>
          <cell r="W1555">
            <v>0</v>
          </cell>
          <cell r="AC1555">
            <v>300</v>
          </cell>
          <cell r="AD1555">
            <v>300</v>
          </cell>
          <cell r="AJ1555">
            <v>600</v>
          </cell>
          <cell r="AW1555">
            <v>0</v>
          </cell>
        </row>
        <row r="1556">
          <cell r="B1556">
            <v>5116</v>
          </cell>
          <cell r="C1556" t="str">
            <v>CL_111_</v>
          </cell>
          <cell r="D1556" t="str">
            <v>Rancho La Cuchilla No. 111</v>
          </cell>
          <cell r="E1556" t="str">
            <v>García Santos O.</v>
          </cell>
          <cell r="F1556">
            <v>150</v>
          </cell>
          <cell r="G1556">
            <v>1</v>
          </cell>
          <cell r="H1556">
            <v>300</v>
          </cell>
          <cell r="I1556">
            <v>41455</v>
          </cell>
          <cell r="J1556">
            <v>0</v>
          </cell>
          <cell r="W1556">
            <v>0</v>
          </cell>
          <cell r="AC1556">
            <v>150</v>
          </cell>
          <cell r="AD1556">
            <v>150</v>
          </cell>
          <cell r="AJ1556">
            <v>300</v>
          </cell>
          <cell r="AW1556">
            <v>0</v>
          </cell>
        </row>
        <row r="1557">
          <cell r="B1557">
            <v>5117</v>
          </cell>
          <cell r="C1557" t="str">
            <v>UP_65_</v>
          </cell>
          <cell r="D1557" t="str">
            <v>Rancho Upácuaro No. 65</v>
          </cell>
          <cell r="E1557" t="str">
            <v>Olguín</v>
          </cell>
          <cell r="F1557">
            <v>300</v>
          </cell>
          <cell r="G1557">
            <v>1</v>
          </cell>
          <cell r="H1557">
            <v>300</v>
          </cell>
          <cell r="I1557">
            <v>41455</v>
          </cell>
          <cell r="J1557">
            <v>0</v>
          </cell>
          <cell r="W1557">
            <v>0</v>
          </cell>
          <cell r="AC1557">
            <v>300</v>
          </cell>
          <cell r="AJ1557">
            <v>300</v>
          </cell>
          <cell r="AW1557">
            <v>0</v>
          </cell>
        </row>
        <row r="1558">
          <cell r="B1558">
            <v>5118</v>
          </cell>
          <cell r="C1558" t="str">
            <v>LD_96_</v>
          </cell>
          <cell r="D1558" t="str">
            <v>Rancho Landero No. 96</v>
          </cell>
          <cell r="E1558" t="str">
            <v>Espinoza Aguirre</v>
          </cell>
          <cell r="F1558">
            <v>300</v>
          </cell>
          <cell r="G1558">
            <v>1</v>
          </cell>
          <cell r="H1558">
            <v>900</v>
          </cell>
          <cell r="I1558">
            <v>41455</v>
          </cell>
          <cell r="J1558">
            <v>0</v>
          </cell>
          <cell r="W1558">
            <v>0</v>
          </cell>
          <cell r="AB1558">
            <v>300</v>
          </cell>
          <cell r="AC1558">
            <v>300</v>
          </cell>
          <cell r="AD1558">
            <v>300</v>
          </cell>
          <cell r="AJ1558">
            <v>900</v>
          </cell>
          <cell r="AW1558">
            <v>0</v>
          </cell>
        </row>
        <row r="1559">
          <cell r="B1559">
            <v>5119</v>
          </cell>
          <cell r="C1559" t="str">
            <v>UP_120_</v>
          </cell>
          <cell r="D1559" t="str">
            <v>Rancho Upácuaro No. 120</v>
          </cell>
          <cell r="E1559" t="str">
            <v>Rayas Rivera</v>
          </cell>
          <cell r="F1559">
            <v>300</v>
          </cell>
          <cell r="G1559">
            <v>1</v>
          </cell>
          <cell r="H1559">
            <v>300</v>
          </cell>
          <cell r="I1559">
            <v>41455</v>
          </cell>
          <cell r="J1559">
            <v>0</v>
          </cell>
          <cell r="W1559">
            <v>0</v>
          </cell>
          <cell r="AD1559">
            <v>300</v>
          </cell>
          <cell r="AJ1559">
            <v>300</v>
          </cell>
          <cell r="AW1559">
            <v>0</v>
          </cell>
        </row>
        <row r="1560">
          <cell r="B1560">
            <v>5120</v>
          </cell>
          <cell r="C1560" t="str">
            <v>LD_76_</v>
          </cell>
          <cell r="D1560" t="str">
            <v>Rancho Landero No. 76</v>
          </cell>
          <cell r="E1560" t="str">
            <v>Ugarte</v>
          </cell>
          <cell r="F1560">
            <v>300</v>
          </cell>
          <cell r="G1560">
            <v>1</v>
          </cell>
          <cell r="H1560">
            <v>300</v>
          </cell>
          <cell r="I1560">
            <v>41455</v>
          </cell>
          <cell r="J1560">
            <v>0</v>
          </cell>
          <cell r="W1560">
            <v>0</v>
          </cell>
          <cell r="AD1560">
            <v>300</v>
          </cell>
          <cell r="AJ1560">
            <v>300</v>
          </cell>
          <cell r="AW1560">
            <v>0</v>
          </cell>
        </row>
        <row r="1561">
          <cell r="B1561">
            <v>5121</v>
          </cell>
          <cell r="C1561" t="str">
            <v>RV_197_</v>
          </cell>
          <cell r="D1561" t="str">
            <v>Rancho Recoveco No. 197</v>
          </cell>
          <cell r="E1561" t="str">
            <v>Colín González</v>
          </cell>
          <cell r="F1561">
            <v>300</v>
          </cell>
          <cell r="G1561">
            <v>1</v>
          </cell>
          <cell r="H1561">
            <v>300</v>
          </cell>
          <cell r="I1561">
            <v>41455</v>
          </cell>
          <cell r="J1561">
            <v>0</v>
          </cell>
          <cell r="W1561">
            <v>0</v>
          </cell>
          <cell r="AC1561">
            <v>300</v>
          </cell>
          <cell r="AJ1561">
            <v>300</v>
          </cell>
          <cell r="AW1561">
            <v>0</v>
          </cell>
        </row>
        <row r="1562">
          <cell r="B1562">
            <v>5122</v>
          </cell>
          <cell r="C1562" t="str">
            <v>UP_134_</v>
          </cell>
          <cell r="D1562" t="str">
            <v>Rancho Upácuaro No. 134</v>
          </cell>
          <cell r="E1562" t="str">
            <v>Flores Pérez</v>
          </cell>
          <cell r="F1562">
            <v>300</v>
          </cell>
          <cell r="G1562">
            <v>1</v>
          </cell>
          <cell r="H1562">
            <v>300</v>
          </cell>
          <cell r="I1562">
            <v>41455</v>
          </cell>
          <cell r="J1562">
            <v>0</v>
          </cell>
          <cell r="W1562">
            <v>0</v>
          </cell>
          <cell r="AC1562">
            <v>300</v>
          </cell>
          <cell r="AJ1562">
            <v>300</v>
          </cell>
          <cell r="AW1562">
            <v>0</v>
          </cell>
        </row>
        <row r="1563">
          <cell r="B1563">
            <v>5123</v>
          </cell>
          <cell r="C1563" t="str">
            <v>LD_30_</v>
          </cell>
          <cell r="D1563" t="str">
            <v>Rancho Landero No. 30</v>
          </cell>
          <cell r="E1563" t="str">
            <v>Torres Guzmán</v>
          </cell>
          <cell r="F1563">
            <v>300</v>
          </cell>
          <cell r="G1563">
            <v>1</v>
          </cell>
          <cell r="H1563">
            <v>900</v>
          </cell>
          <cell r="I1563">
            <v>41455</v>
          </cell>
          <cell r="J1563">
            <v>0</v>
          </cell>
          <cell r="W1563">
            <v>0</v>
          </cell>
          <cell r="AC1563">
            <v>300</v>
          </cell>
          <cell r="AD1563">
            <v>300</v>
          </cell>
          <cell r="AE1563">
            <v>300</v>
          </cell>
          <cell r="AJ1563">
            <v>900</v>
          </cell>
          <cell r="AW1563">
            <v>0</v>
          </cell>
        </row>
        <row r="1564">
          <cell r="B1564">
            <v>5124</v>
          </cell>
          <cell r="C1564" t="str">
            <v>UP_100_</v>
          </cell>
          <cell r="D1564" t="str">
            <v>Rancho Upácuaro No. 100</v>
          </cell>
          <cell r="E1564" t="str">
            <v>Mancera Rodríguez</v>
          </cell>
          <cell r="F1564">
            <v>300</v>
          </cell>
          <cell r="G1564">
            <v>1</v>
          </cell>
          <cell r="H1564">
            <v>300</v>
          </cell>
          <cell r="I1564">
            <v>41455</v>
          </cell>
          <cell r="J1564">
            <v>0</v>
          </cell>
          <cell r="W1564">
            <v>0</v>
          </cell>
          <cell r="AD1564">
            <v>300</v>
          </cell>
          <cell r="AJ1564">
            <v>300</v>
          </cell>
          <cell r="AW1564">
            <v>0</v>
          </cell>
        </row>
        <row r="1565">
          <cell r="B1565">
            <v>5125</v>
          </cell>
          <cell r="C1565" t="str">
            <v>CL_12_</v>
          </cell>
          <cell r="D1565" t="str">
            <v>Rancho La Cuchilla No. 12</v>
          </cell>
          <cell r="E1565" t="str">
            <v>Rivera Flores</v>
          </cell>
          <cell r="F1565">
            <v>300</v>
          </cell>
          <cell r="G1565">
            <v>1</v>
          </cell>
          <cell r="H1565">
            <v>600</v>
          </cell>
          <cell r="I1565">
            <v>41455</v>
          </cell>
          <cell r="J1565">
            <v>0</v>
          </cell>
          <cell r="W1565">
            <v>0</v>
          </cell>
          <cell r="AB1565">
            <v>300</v>
          </cell>
          <cell r="AD1565">
            <v>300</v>
          </cell>
          <cell r="AJ1565">
            <v>600</v>
          </cell>
          <cell r="AW1565">
            <v>0</v>
          </cell>
        </row>
        <row r="1566">
          <cell r="B1566">
            <v>5126</v>
          </cell>
          <cell r="C1566" t="str">
            <v>CL_20_</v>
          </cell>
          <cell r="D1566" t="str">
            <v>Rancho La Cuchilla No. 20</v>
          </cell>
          <cell r="E1566" t="str">
            <v>Sánchez López</v>
          </cell>
          <cell r="F1566">
            <v>300</v>
          </cell>
          <cell r="G1566">
            <v>1</v>
          </cell>
          <cell r="H1566">
            <v>300</v>
          </cell>
          <cell r="I1566">
            <v>41455</v>
          </cell>
          <cell r="J1566">
            <v>0</v>
          </cell>
          <cell r="W1566">
            <v>0</v>
          </cell>
          <cell r="AD1566">
            <v>300</v>
          </cell>
          <cell r="AJ1566">
            <v>300</v>
          </cell>
          <cell r="AW1566">
            <v>0</v>
          </cell>
        </row>
        <row r="1567">
          <cell r="B1567">
            <v>5127</v>
          </cell>
          <cell r="C1567" t="str">
            <v>EZ_61_</v>
          </cell>
          <cell r="D1567" t="str">
            <v>Rancho Estanzuela No. 61</v>
          </cell>
          <cell r="E1567" t="str">
            <v>González Almazán</v>
          </cell>
          <cell r="F1567">
            <v>300</v>
          </cell>
          <cell r="G1567">
            <v>1</v>
          </cell>
          <cell r="H1567">
            <v>600</v>
          </cell>
          <cell r="I1567">
            <v>41455</v>
          </cell>
          <cell r="J1567">
            <v>0</v>
          </cell>
          <cell r="W1567">
            <v>0</v>
          </cell>
          <cell r="AC1567">
            <v>300</v>
          </cell>
          <cell r="AD1567">
            <v>300</v>
          </cell>
          <cell r="AJ1567">
            <v>600</v>
          </cell>
          <cell r="AW1567">
            <v>0</v>
          </cell>
        </row>
        <row r="1568">
          <cell r="B1568">
            <v>5128</v>
          </cell>
          <cell r="C1568" t="str">
            <v>EZ_71_</v>
          </cell>
          <cell r="D1568" t="str">
            <v>Rancho Estanzuela No. 71</v>
          </cell>
          <cell r="E1568" t="str">
            <v>Soriano</v>
          </cell>
          <cell r="F1568">
            <v>300</v>
          </cell>
          <cell r="G1568">
            <v>3</v>
          </cell>
          <cell r="H1568">
            <v>150</v>
          </cell>
          <cell r="I1568">
            <v>41455</v>
          </cell>
          <cell r="J1568" t="str">
            <v>NO SUMA</v>
          </cell>
          <cell r="W1568">
            <v>0</v>
          </cell>
          <cell r="AJ1568">
            <v>0</v>
          </cell>
          <cell r="AW1568">
            <v>0</v>
          </cell>
        </row>
        <row r="1569">
          <cell r="B1569">
            <v>5129</v>
          </cell>
          <cell r="C1569" t="str">
            <v>EZ_89_</v>
          </cell>
          <cell r="D1569" t="str">
            <v>Rancho Estanzuela No. 89</v>
          </cell>
          <cell r="E1569" t="str">
            <v>Romero Ortiz</v>
          </cell>
          <cell r="F1569">
            <v>300</v>
          </cell>
          <cell r="G1569">
            <v>1</v>
          </cell>
          <cell r="H1569">
            <v>600</v>
          </cell>
          <cell r="I1569">
            <v>41455</v>
          </cell>
          <cell r="J1569">
            <v>0</v>
          </cell>
          <cell r="W1569">
            <v>0</v>
          </cell>
          <cell r="AC1569">
            <v>300</v>
          </cell>
          <cell r="AD1569">
            <v>300</v>
          </cell>
          <cell r="AJ1569">
            <v>600</v>
          </cell>
          <cell r="AW1569">
            <v>0</v>
          </cell>
        </row>
        <row r="1570">
          <cell r="B1570">
            <v>5130</v>
          </cell>
          <cell r="C1570" t="str">
            <v>ZB_44_</v>
          </cell>
          <cell r="D1570" t="str">
            <v>Rancho Zinamba No. 44</v>
          </cell>
          <cell r="E1570" t="str">
            <v>Canales</v>
          </cell>
          <cell r="F1570">
            <v>300</v>
          </cell>
          <cell r="G1570">
            <v>1</v>
          </cell>
          <cell r="H1570">
            <v>300</v>
          </cell>
          <cell r="I1570">
            <v>41455</v>
          </cell>
          <cell r="J1570">
            <v>0</v>
          </cell>
          <cell r="W1570">
            <v>0</v>
          </cell>
          <cell r="AC1570">
            <v>300</v>
          </cell>
          <cell r="AJ1570">
            <v>300</v>
          </cell>
          <cell r="AW1570">
            <v>0</v>
          </cell>
        </row>
        <row r="1571">
          <cell r="B1571">
            <v>5131</v>
          </cell>
          <cell r="C1571" t="str">
            <v>EZ_21_</v>
          </cell>
          <cell r="D1571" t="str">
            <v>Rancho Estanzuela No. 21</v>
          </cell>
          <cell r="E1571" t="str">
            <v>Chavero Barrera</v>
          </cell>
          <cell r="F1571">
            <v>300</v>
          </cell>
          <cell r="G1571">
            <v>1</v>
          </cell>
          <cell r="H1571">
            <v>300</v>
          </cell>
          <cell r="I1571">
            <v>41455</v>
          </cell>
          <cell r="J1571">
            <v>0</v>
          </cell>
          <cell r="W1571">
            <v>0</v>
          </cell>
          <cell r="AC1571">
            <v>300</v>
          </cell>
          <cell r="AJ1571">
            <v>300</v>
          </cell>
          <cell r="AW1571">
            <v>0</v>
          </cell>
        </row>
        <row r="1572">
          <cell r="B1572">
            <v>5132</v>
          </cell>
          <cell r="C1572" t="str">
            <v>LD_75_</v>
          </cell>
          <cell r="D1572" t="str">
            <v>Rancho Landero No. 75</v>
          </cell>
          <cell r="E1572" t="str">
            <v>Villaseñor Hernández</v>
          </cell>
          <cell r="F1572">
            <v>300</v>
          </cell>
          <cell r="G1572">
            <v>1</v>
          </cell>
          <cell r="H1572">
            <v>900</v>
          </cell>
          <cell r="I1572">
            <v>41455</v>
          </cell>
          <cell r="J1572">
            <v>0</v>
          </cell>
          <cell r="W1572">
            <v>0</v>
          </cell>
          <cell r="AB1572">
            <v>300</v>
          </cell>
          <cell r="AC1572">
            <v>300</v>
          </cell>
          <cell r="AD1572">
            <v>300</v>
          </cell>
          <cell r="AJ1572">
            <v>900</v>
          </cell>
          <cell r="AW1572">
            <v>0</v>
          </cell>
        </row>
        <row r="1573">
          <cell r="B1573">
            <v>5133</v>
          </cell>
          <cell r="C1573" t="str">
            <v>ZB_68_</v>
          </cell>
          <cell r="D1573" t="str">
            <v>Rancho Zinamba No. 68</v>
          </cell>
          <cell r="E1573" t="str">
            <v>Rivera Villicaña</v>
          </cell>
          <cell r="F1573">
            <v>300</v>
          </cell>
          <cell r="G1573">
            <v>1</v>
          </cell>
          <cell r="H1573">
            <v>300</v>
          </cell>
          <cell r="I1573">
            <v>41455</v>
          </cell>
          <cell r="J1573">
            <v>0</v>
          </cell>
          <cell r="W1573">
            <v>0</v>
          </cell>
          <cell r="AD1573">
            <v>300</v>
          </cell>
          <cell r="AJ1573">
            <v>300</v>
          </cell>
          <cell r="AW1573">
            <v>0</v>
          </cell>
        </row>
        <row r="1574">
          <cell r="B1574">
            <v>5134</v>
          </cell>
          <cell r="C1574" t="str">
            <v>ZB_50_</v>
          </cell>
          <cell r="D1574" t="str">
            <v>Rancho Zinamba No. 50</v>
          </cell>
          <cell r="E1574" t="str">
            <v>Del Castillo</v>
          </cell>
          <cell r="F1574">
            <v>300</v>
          </cell>
          <cell r="G1574">
            <v>1</v>
          </cell>
          <cell r="H1574">
            <v>300</v>
          </cell>
          <cell r="I1574">
            <v>41455</v>
          </cell>
          <cell r="J1574">
            <v>0</v>
          </cell>
          <cell r="W1574">
            <v>0</v>
          </cell>
          <cell r="AC1574">
            <v>300</v>
          </cell>
          <cell r="AJ1574">
            <v>300</v>
          </cell>
          <cell r="AW1574">
            <v>0</v>
          </cell>
        </row>
        <row r="1575">
          <cell r="B1575">
            <v>5135</v>
          </cell>
          <cell r="C1575" t="str">
            <v>UP_140_</v>
          </cell>
          <cell r="D1575" t="str">
            <v>Rancho Upácuaro No. 140</v>
          </cell>
          <cell r="E1575" t="str">
            <v>Gozain</v>
          </cell>
          <cell r="F1575">
            <v>300</v>
          </cell>
          <cell r="G1575">
            <v>1</v>
          </cell>
          <cell r="H1575">
            <v>300</v>
          </cell>
          <cell r="I1575">
            <v>41455</v>
          </cell>
          <cell r="J1575">
            <v>0</v>
          </cell>
          <cell r="W1575">
            <v>0</v>
          </cell>
          <cell r="AD1575">
            <v>300</v>
          </cell>
          <cell r="AJ1575">
            <v>300</v>
          </cell>
          <cell r="AW1575">
            <v>0</v>
          </cell>
        </row>
        <row r="1576">
          <cell r="B1576">
            <v>5136</v>
          </cell>
          <cell r="C1576" t="str">
            <v>CL_66_</v>
          </cell>
          <cell r="D1576" t="str">
            <v>Rancho La Cuchilla No. 66</v>
          </cell>
          <cell r="E1576" t="str">
            <v>Prieto</v>
          </cell>
          <cell r="F1576">
            <v>300</v>
          </cell>
          <cell r="G1576">
            <v>1</v>
          </cell>
          <cell r="H1576">
            <v>300</v>
          </cell>
          <cell r="I1576">
            <v>41455</v>
          </cell>
          <cell r="J1576">
            <v>0</v>
          </cell>
          <cell r="W1576">
            <v>0</v>
          </cell>
          <cell r="AC1576">
            <v>300</v>
          </cell>
          <cell r="AJ1576">
            <v>300</v>
          </cell>
          <cell r="AW1576">
            <v>0</v>
          </cell>
        </row>
        <row r="1577">
          <cell r="B1577">
            <v>5137</v>
          </cell>
          <cell r="C1577" t="str">
            <v>CL_18_</v>
          </cell>
          <cell r="D1577" t="str">
            <v>Rancho La Cuchilla No. 18</v>
          </cell>
          <cell r="E1577" t="str">
            <v>Aldana Sánchez</v>
          </cell>
          <cell r="F1577">
            <v>300</v>
          </cell>
          <cell r="G1577">
            <v>1</v>
          </cell>
          <cell r="H1577">
            <v>600</v>
          </cell>
          <cell r="I1577">
            <v>41455</v>
          </cell>
          <cell r="J1577">
            <v>0</v>
          </cell>
          <cell r="W1577">
            <v>0</v>
          </cell>
          <cell r="AC1577">
            <v>300</v>
          </cell>
          <cell r="AD1577">
            <v>300</v>
          </cell>
          <cell r="AJ1577">
            <v>600</v>
          </cell>
          <cell r="AW1577">
            <v>0</v>
          </cell>
        </row>
        <row r="1578">
          <cell r="B1578">
            <v>5138</v>
          </cell>
          <cell r="C1578" t="str">
            <v>CL_129_</v>
          </cell>
          <cell r="D1578" t="str">
            <v>Rancho La Cuchilla No. 129</v>
          </cell>
          <cell r="E1578" t="str">
            <v>Gamboa Rueda</v>
          </cell>
          <cell r="F1578">
            <v>200</v>
          </cell>
          <cell r="G1578">
            <v>1</v>
          </cell>
          <cell r="H1578">
            <v>400</v>
          </cell>
          <cell r="I1578">
            <v>41455</v>
          </cell>
          <cell r="J1578">
            <v>0</v>
          </cell>
          <cell r="W1578">
            <v>0</v>
          </cell>
          <cell r="AC1578">
            <v>200</v>
          </cell>
          <cell r="AD1578">
            <v>200</v>
          </cell>
          <cell r="AJ1578">
            <v>400</v>
          </cell>
          <cell r="AW1578">
            <v>0</v>
          </cell>
        </row>
        <row r="1579">
          <cell r="B1579">
            <v>5139</v>
          </cell>
          <cell r="C1579" t="str">
            <v>CL_66_</v>
          </cell>
          <cell r="D1579" t="str">
            <v>Rancho La Cuchilla No. 66</v>
          </cell>
          <cell r="E1579" t="str">
            <v>Prieto</v>
          </cell>
          <cell r="F1579">
            <v>300</v>
          </cell>
          <cell r="G1579">
            <v>5</v>
          </cell>
          <cell r="H1579">
            <v>20</v>
          </cell>
          <cell r="I1579">
            <v>41455</v>
          </cell>
          <cell r="J1579" t="str">
            <v>NO SUMA</v>
          </cell>
          <cell r="W1579">
            <v>0</v>
          </cell>
          <cell r="AJ1579">
            <v>0</v>
          </cell>
          <cell r="AW1579">
            <v>0</v>
          </cell>
        </row>
        <row r="1580">
          <cell r="B1580">
            <v>5140</v>
          </cell>
          <cell r="C1580" t="str">
            <v>CL_97_</v>
          </cell>
          <cell r="D1580" t="str">
            <v>Rancho La Cuchilla No. 97</v>
          </cell>
          <cell r="E1580" t="str">
            <v>López Ruiz</v>
          </cell>
          <cell r="F1580">
            <v>300</v>
          </cell>
          <cell r="G1580">
            <v>1</v>
          </cell>
          <cell r="H1580">
            <v>300</v>
          </cell>
          <cell r="I1580">
            <v>41455</v>
          </cell>
          <cell r="J1580">
            <v>0</v>
          </cell>
          <cell r="W1580">
            <v>0</v>
          </cell>
          <cell r="AC1580">
            <v>300</v>
          </cell>
          <cell r="AJ1580">
            <v>300</v>
          </cell>
          <cell r="AW1580">
            <v>0</v>
          </cell>
        </row>
        <row r="1581">
          <cell r="B1581">
            <v>5141</v>
          </cell>
          <cell r="C1581" t="str">
            <v>CL_92_</v>
          </cell>
          <cell r="D1581" t="str">
            <v>Rancho La Cuchilla No. 92</v>
          </cell>
          <cell r="E1581" t="str">
            <v>Cabrera</v>
          </cell>
          <cell r="F1581">
            <v>300</v>
          </cell>
          <cell r="G1581">
            <v>1</v>
          </cell>
          <cell r="H1581">
            <v>300</v>
          </cell>
          <cell r="I1581">
            <v>41455</v>
          </cell>
          <cell r="J1581">
            <v>0</v>
          </cell>
          <cell r="W1581">
            <v>0</v>
          </cell>
          <cell r="AD1581">
            <v>300</v>
          </cell>
          <cell r="AJ1581">
            <v>300</v>
          </cell>
          <cell r="AW1581">
            <v>0</v>
          </cell>
        </row>
        <row r="1582">
          <cell r="B1582">
            <v>5142</v>
          </cell>
          <cell r="C1582" t="str">
            <v>LD_73_</v>
          </cell>
          <cell r="D1582" t="str">
            <v>Rancho Landero No. 73</v>
          </cell>
          <cell r="E1582" t="str">
            <v>Islas Palacios</v>
          </cell>
          <cell r="F1582">
            <v>300</v>
          </cell>
          <cell r="G1582">
            <v>1</v>
          </cell>
          <cell r="H1582">
            <v>600</v>
          </cell>
          <cell r="I1582">
            <v>41455</v>
          </cell>
          <cell r="J1582">
            <v>0</v>
          </cell>
          <cell r="W1582">
            <v>0</v>
          </cell>
          <cell r="AB1582">
            <v>300</v>
          </cell>
          <cell r="AC1582">
            <v>300</v>
          </cell>
          <cell r="AJ1582">
            <v>600</v>
          </cell>
          <cell r="AW1582">
            <v>0</v>
          </cell>
        </row>
        <row r="1583">
          <cell r="B1583">
            <v>5143</v>
          </cell>
          <cell r="C1583" t="str">
            <v>UP_88_</v>
          </cell>
          <cell r="D1583" t="str">
            <v>Rancho Upácuaro No. 88</v>
          </cell>
          <cell r="E1583" t="str">
            <v>Millán Núñez</v>
          </cell>
          <cell r="F1583">
            <v>300</v>
          </cell>
          <cell r="G1583">
            <v>1</v>
          </cell>
          <cell r="H1583">
            <v>600</v>
          </cell>
          <cell r="I1583">
            <v>41455</v>
          </cell>
          <cell r="J1583">
            <v>0</v>
          </cell>
          <cell r="W1583">
            <v>0</v>
          </cell>
          <cell r="AC1583">
            <v>300</v>
          </cell>
          <cell r="AD1583">
            <v>300</v>
          </cell>
          <cell r="AJ1583">
            <v>600</v>
          </cell>
          <cell r="AW1583">
            <v>0</v>
          </cell>
        </row>
        <row r="1584">
          <cell r="B1584">
            <v>5144</v>
          </cell>
          <cell r="C1584" t="str">
            <v>CL_139_</v>
          </cell>
          <cell r="D1584" t="str">
            <v>Rancho La Cuchilla No. 139</v>
          </cell>
          <cell r="E1584" t="str">
            <v>Gloria García</v>
          </cell>
          <cell r="F1584">
            <v>200</v>
          </cell>
          <cell r="G1584">
            <v>1</v>
          </cell>
          <cell r="H1584">
            <v>200</v>
          </cell>
          <cell r="I1584">
            <v>41455</v>
          </cell>
          <cell r="J1584">
            <v>0</v>
          </cell>
          <cell r="W1584">
            <v>0</v>
          </cell>
          <cell r="AD1584">
            <v>200</v>
          </cell>
          <cell r="AJ1584">
            <v>200</v>
          </cell>
          <cell r="AW1584">
            <v>0</v>
          </cell>
        </row>
        <row r="1585">
          <cell r="B1585">
            <v>5145</v>
          </cell>
          <cell r="C1585" t="str">
            <v>CL_7_102</v>
          </cell>
          <cell r="D1585" t="str">
            <v>Rancho La Cuchilla No. 7, 102</v>
          </cell>
          <cell r="E1585" t="str">
            <v>García Moreno</v>
          </cell>
          <cell r="F1585">
            <v>100</v>
          </cell>
          <cell r="G1585">
            <v>1</v>
          </cell>
          <cell r="H1585">
            <v>100</v>
          </cell>
          <cell r="I1585">
            <v>41455</v>
          </cell>
          <cell r="J1585">
            <v>0</v>
          </cell>
          <cell r="W1585">
            <v>0</v>
          </cell>
          <cell r="AD1585">
            <v>100</v>
          </cell>
          <cell r="AJ1585">
            <v>100</v>
          </cell>
          <cell r="AW1585">
            <v>0</v>
          </cell>
        </row>
        <row r="1586">
          <cell r="B1586">
            <v>5146</v>
          </cell>
          <cell r="C1586" t="str">
            <v>CL_7_202</v>
          </cell>
          <cell r="D1586" t="str">
            <v>Rancho La Cuchilla No. 7, 202</v>
          </cell>
          <cell r="E1586" t="str">
            <v>Carbajal Zayas</v>
          </cell>
          <cell r="F1586">
            <v>100</v>
          </cell>
          <cell r="G1586">
            <v>1</v>
          </cell>
          <cell r="H1586">
            <v>100</v>
          </cell>
          <cell r="I1586">
            <v>41455</v>
          </cell>
          <cell r="J1586">
            <v>0</v>
          </cell>
          <cell r="W1586">
            <v>0</v>
          </cell>
          <cell r="AC1586">
            <v>100</v>
          </cell>
          <cell r="AJ1586">
            <v>100</v>
          </cell>
          <cell r="AW1586">
            <v>0</v>
          </cell>
        </row>
        <row r="1587">
          <cell r="B1587">
            <v>5147</v>
          </cell>
          <cell r="C1587" t="str">
            <v>CL_12_</v>
          </cell>
          <cell r="D1587" t="str">
            <v>Rancho La Cuchilla No. 12</v>
          </cell>
          <cell r="E1587" t="str">
            <v>Rivera Flores</v>
          </cell>
          <cell r="F1587">
            <v>300</v>
          </cell>
          <cell r="G1587">
            <v>1</v>
          </cell>
          <cell r="H1587">
            <v>300</v>
          </cell>
          <cell r="I1587">
            <v>41455</v>
          </cell>
          <cell r="J1587">
            <v>0</v>
          </cell>
          <cell r="W1587">
            <v>0</v>
          </cell>
          <cell r="AC1587">
            <v>300</v>
          </cell>
          <cell r="AJ1587">
            <v>300</v>
          </cell>
          <cell r="AW1587">
            <v>0</v>
          </cell>
        </row>
        <row r="1588">
          <cell r="B1588">
            <v>5148</v>
          </cell>
          <cell r="C1588" t="str">
            <v>LD_87_</v>
          </cell>
          <cell r="D1588" t="str">
            <v>Rancho Landero No. 87</v>
          </cell>
          <cell r="E1588" t="str">
            <v>Fey Lafferla</v>
          </cell>
          <cell r="F1588">
            <v>300</v>
          </cell>
          <cell r="G1588">
            <v>1</v>
          </cell>
          <cell r="H1588">
            <v>300</v>
          </cell>
          <cell r="I1588">
            <v>41455</v>
          </cell>
          <cell r="J1588">
            <v>0</v>
          </cell>
          <cell r="W1588">
            <v>0</v>
          </cell>
          <cell r="AC1588">
            <v>300</v>
          </cell>
          <cell r="AJ1588">
            <v>300</v>
          </cell>
          <cell r="AW1588">
            <v>0</v>
          </cell>
        </row>
        <row r="1589">
          <cell r="B1589">
            <v>5149</v>
          </cell>
          <cell r="C1589" t="str">
            <v>LD_87_</v>
          </cell>
          <cell r="D1589" t="str">
            <v>Rancho Landero No. 87</v>
          </cell>
          <cell r="E1589" t="str">
            <v>Fey Lafferla</v>
          </cell>
          <cell r="F1589">
            <v>300</v>
          </cell>
          <cell r="G1589">
            <v>4</v>
          </cell>
          <cell r="H1589">
            <v>160</v>
          </cell>
          <cell r="I1589">
            <v>41455</v>
          </cell>
          <cell r="J1589" t="str">
            <v>NO SUMA</v>
          </cell>
          <cell r="W1589">
            <v>0</v>
          </cell>
          <cell r="AJ1589">
            <v>0</v>
          </cell>
          <cell r="AW1589">
            <v>0</v>
          </cell>
        </row>
        <row r="1590">
          <cell r="B1590">
            <v>5150</v>
          </cell>
          <cell r="C1590" t="str">
            <v>EZ_95_</v>
          </cell>
          <cell r="D1590" t="str">
            <v>Rancho Estanzuela No. 95</v>
          </cell>
          <cell r="E1590" t="str">
            <v>Castro Puente</v>
          </cell>
          <cell r="F1590">
            <v>300</v>
          </cell>
          <cell r="G1590">
            <v>1</v>
          </cell>
          <cell r="H1590">
            <v>1200</v>
          </cell>
          <cell r="I1590">
            <v>41455</v>
          </cell>
          <cell r="J1590">
            <v>0</v>
          </cell>
          <cell r="W1590">
            <v>0</v>
          </cell>
          <cell r="AC1590">
            <v>300</v>
          </cell>
          <cell r="AD1590">
            <v>300</v>
          </cell>
          <cell r="AE1590">
            <v>300</v>
          </cell>
          <cell r="AF1590">
            <v>300</v>
          </cell>
          <cell r="AJ1590">
            <v>1200</v>
          </cell>
          <cell r="AW1590">
            <v>0</v>
          </cell>
        </row>
        <row r="1591">
          <cell r="B1591">
            <v>5151</v>
          </cell>
          <cell r="C1591" t="str">
            <v>CL_134_</v>
          </cell>
          <cell r="D1591" t="str">
            <v>Rancho La Cuchilla No. 134</v>
          </cell>
          <cell r="E1591" t="str">
            <v>Moreno Sánchez</v>
          </cell>
          <cell r="F1591">
            <v>300</v>
          </cell>
          <cell r="G1591">
            <v>1</v>
          </cell>
          <cell r="H1591">
            <v>1500</v>
          </cell>
          <cell r="I1591">
            <v>41455</v>
          </cell>
          <cell r="J1591">
            <v>0</v>
          </cell>
          <cell r="W1591">
            <v>0</v>
          </cell>
          <cell r="Y1591">
            <v>300</v>
          </cell>
          <cell r="Z1591">
            <v>300</v>
          </cell>
          <cell r="AA1591">
            <v>300</v>
          </cell>
          <cell r="AB1591">
            <v>300</v>
          </cell>
          <cell r="AC1591">
            <v>300</v>
          </cell>
          <cell r="AJ1591">
            <v>1500</v>
          </cell>
          <cell r="AW1591">
            <v>0</v>
          </cell>
        </row>
        <row r="1592">
          <cell r="B1592">
            <v>5152</v>
          </cell>
          <cell r="C1592" t="str">
            <v>LD_22_</v>
          </cell>
          <cell r="D1592" t="str">
            <v>Rancho Landero No. 22</v>
          </cell>
          <cell r="E1592" t="str">
            <v>Reyes</v>
          </cell>
          <cell r="F1592">
            <v>150</v>
          </cell>
          <cell r="G1592">
            <v>1</v>
          </cell>
          <cell r="H1592">
            <v>150</v>
          </cell>
          <cell r="I1592">
            <v>41455</v>
          </cell>
          <cell r="J1592">
            <v>0</v>
          </cell>
          <cell r="W1592">
            <v>0</v>
          </cell>
          <cell r="AC1592">
            <v>150</v>
          </cell>
          <cell r="AJ1592">
            <v>150</v>
          </cell>
          <cell r="AW1592">
            <v>0</v>
          </cell>
        </row>
        <row r="1593">
          <cell r="B1593">
            <v>5153</v>
          </cell>
          <cell r="C1593" t="str">
            <v>EZ_69_</v>
          </cell>
          <cell r="D1593" t="str">
            <v>Rancho Estanzuela No. 69</v>
          </cell>
          <cell r="E1593" t="str">
            <v>Apaez</v>
          </cell>
          <cell r="F1593">
            <v>300</v>
          </cell>
          <cell r="G1593">
            <v>1</v>
          </cell>
          <cell r="H1593">
            <v>300</v>
          </cell>
          <cell r="I1593">
            <v>41455</v>
          </cell>
          <cell r="J1593">
            <v>0</v>
          </cell>
          <cell r="W1593">
            <v>0</v>
          </cell>
          <cell r="AD1593">
            <v>300</v>
          </cell>
          <cell r="AJ1593">
            <v>300</v>
          </cell>
          <cell r="AW1593">
            <v>0</v>
          </cell>
        </row>
        <row r="1594">
          <cell r="B1594">
            <v>5154</v>
          </cell>
          <cell r="C1594" t="str">
            <v>ZB_8_</v>
          </cell>
          <cell r="D1594" t="str">
            <v>Rancho Zinamba No. 8</v>
          </cell>
          <cell r="E1594" t="str">
            <v>Florido</v>
          </cell>
          <cell r="F1594">
            <v>300</v>
          </cell>
          <cell r="G1594">
            <v>1</v>
          </cell>
          <cell r="H1594">
            <v>300</v>
          </cell>
          <cell r="I1594">
            <v>41455</v>
          </cell>
          <cell r="J1594">
            <v>0</v>
          </cell>
          <cell r="W1594">
            <v>0</v>
          </cell>
          <cell r="AC1594">
            <v>300</v>
          </cell>
          <cell r="AJ1594">
            <v>300</v>
          </cell>
          <cell r="AW1594">
            <v>0</v>
          </cell>
        </row>
        <row r="1595">
          <cell r="B1595">
            <v>5155</v>
          </cell>
          <cell r="C1595" t="str">
            <v>LD_93_</v>
          </cell>
          <cell r="D1595" t="str">
            <v>Rancho Landero No. 93</v>
          </cell>
          <cell r="E1595" t="str">
            <v>Ortega López</v>
          </cell>
          <cell r="F1595">
            <v>300</v>
          </cell>
          <cell r="G1595">
            <v>1</v>
          </cell>
          <cell r="H1595">
            <v>900</v>
          </cell>
          <cell r="I1595">
            <v>41455</v>
          </cell>
          <cell r="J1595">
            <v>0</v>
          </cell>
          <cell r="W1595">
            <v>0</v>
          </cell>
          <cell r="AA1595">
            <v>300</v>
          </cell>
          <cell r="AB1595">
            <v>300</v>
          </cell>
          <cell r="AC1595">
            <v>300</v>
          </cell>
          <cell r="AJ1595">
            <v>900</v>
          </cell>
          <cell r="AW1595">
            <v>0</v>
          </cell>
        </row>
        <row r="1596">
          <cell r="B1596" t="str">
            <v>NÚMERO</v>
          </cell>
          <cell r="C1596" t="str">
            <v>CASA</v>
          </cell>
          <cell r="D1596" t="str">
            <v>DOMICILIO</v>
          </cell>
          <cell r="E1596" t="str">
            <v>FAMILIA</v>
          </cell>
          <cell r="F1596" t="str">
            <v>CUOTA</v>
          </cell>
          <cell r="G1596" t="str">
            <v>C_ING</v>
          </cell>
          <cell r="H1596" t="str">
            <v>IMPORTE</v>
          </cell>
          <cell r="I1596" t="str">
            <v>FECHA</v>
          </cell>
          <cell r="J1596" t="str">
            <v>CHK</v>
          </cell>
          <cell r="K1596" t="str">
            <v>ENE
2012</v>
          </cell>
          <cell r="L1596" t="str">
            <v>FEB
2012</v>
          </cell>
          <cell r="M1596" t="str">
            <v>MAR
2012</v>
          </cell>
          <cell r="N1596" t="str">
            <v>ABR
2012</v>
          </cell>
          <cell r="O1596" t="str">
            <v>MAY
2012</v>
          </cell>
          <cell r="P1596" t="str">
            <v>JUN
2012</v>
          </cell>
          <cell r="Q1596" t="str">
            <v>JUL
2012</v>
          </cell>
          <cell r="R1596" t="str">
            <v>AGO
2012</v>
          </cell>
          <cell r="S1596" t="str">
            <v>SEP
2012</v>
          </cell>
          <cell r="T1596" t="str">
            <v>OCT
2012</v>
          </cell>
          <cell r="U1596" t="str">
            <v>NOV
2012</v>
          </cell>
          <cell r="V1596" t="str">
            <v>DIC
2012</v>
          </cell>
          <cell r="W1596" t="str">
            <v>SUMA
2012</v>
          </cell>
          <cell r="X1596" t="str">
            <v>ENE
2013</v>
          </cell>
          <cell r="Y1596" t="str">
            <v>FEB
2013</v>
          </cell>
          <cell r="Z1596" t="str">
            <v>MAR
2013</v>
          </cell>
          <cell r="AA1596" t="str">
            <v>ABR
2013</v>
          </cell>
          <cell r="AB1596" t="str">
            <v>MAY
2013</v>
          </cell>
          <cell r="AC1596" t="str">
            <v>JUN
2013</v>
          </cell>
          <cell r="AD1596" t="str">
            <v>JUL
2013</v>
          </cell>
          <cell r="AE1596" t="str">
            <v>AGO
2013</v>
          </cell>
          <cell r="AF1596" t="str">
            <v>SEP
2013</v>
          </cell>
          <cell r="AG1596" t="str">
            <v>OCT
2013</v>
          </cell>
          <cell r="AH1596" t="str">
            <v>NOV
2013</v>
          </cell>
          <cell r="AI1596" t="str">
            <v>DIC
2013</v>
          </cell>
          <cell r="AJ1596" t="str">
            <v>SUMA
2013</v>
          </cell>
          <cell r="AK1596" t="str">
            <v>ENE
2014</v>
          </cell>
          <cell r="AL1596" t="str">
            <v>FEB
2014</v>
          </cell>
          <cell r="AM1596" t="str">
            <v>MAR
2014</v>
          </cell>
          <cell r="AN1596" t="str">
            <v>ABR
2014</v>
          </cell>
          <cell r="AO1596" t="str">
            <v>MAY
2014</v>
          </cell>
          <cell r="AP1596" t="str">
            <v>JUN
2014</v>
          </cell>
          <cell r="AQ1596" t="str">
            <v>JUL
2014</v>
          </cell>
          <cell r="AR1596" t="str">
            <v>AGO
2014</v>
          </cell>
          <cell r="AS1596" t="str">
            <v>SEP
2014</v>
          </cell>
          <cell r="AT1596" t="str">
            <v>OCT
2014</v>
          </cell>
          <cell r="AU1596" t="str">
            <v>NOV
2014</v>
          </cell>
          <cell r="AV1596" t="str">
            <v>DIC
2014</v>
          </cell>
          <cell r="AW1596" t="str">
            <v>SUMA
2014</v>
          </cell>
        </row>
        <row r="1597">
          <cell r="B1597">
            <v>5156</v>
          </cell>
          <cell r="C1597" t="str">
            <v>HS_828_</v>
          </cell>
          <cell r="D1597" t="str">
            <v>Calzada del Hueso No. 828</v>
          </cell>
          <cell r="E1597" t="str">
            <v>Cervantes, Miguel</v>
          </cell>
          <cell r="F1597">
            <v>300</v>
          </cell>
          <cell r="G1597">
            <v>1</v>
          </cell>
          <cell r="H1597">
            <v>600</v>
          </cell>
          <cell r="I1597">
            <v>41457</v>
          </cell>
          <cell r="J1597">
            <v>0</v>
          </cell>
          <cell r="W1597">
            <v>0</v>
          </cell>
          <cell r="AC1597">
            <v>300</v>
          </cell>
          <cell r="AD1597">
            <v>300</v>
          </cell>
          <cell r="AJ1597">
            <v>600</v>
          </cell>
          <cell r="AW1597">
            <v>0</v>
          </cell>
        </row>
        <row r="1598">
          <cell r="B1598">
            <v>5157</v>
          </cell>
          <cell r="C1598" t="str">
            <v>CL_14_</v>
          </cell>
          <cell r="D1598" t="str">
            <v>Rancho La Cuchilla No. 14</v>
          </cell>
          <cell r="E1598" t="str">
            <v>Chávez Lara</v>
          </cell>
          <cell r="F1598">
            <v>300</v>
          </cell>
          <cell r="G1598">
            <v>1</v>
          </cell>
          <cell r="H1598">
            <v>600</v>
          </cell>
          <cell r="I1598">
            <v>41457</v>
          </cell>
          <cell r="J1598">
            <v>0</v>
          </cell>
          <cell r="W1598">
            <v>0</v>
          </cell>
          <cell r="AC1598">
            <v>300</v>
          </cell>
          <cell r="AD1598">
            <v>300</v>
          </cell>
          <cell r="AJ1598">
            <v>600</v>
          </cell>
          <cell r="AW1598">
            <v>0</v>
          </cell>
        </row>
        <row r="1599">
          <cell r="B1599">
            <v>5158</v>
          </cell>
          <cell r="C1599" t="str">
            <v>UP_24_</v>
          </cell>
          <cell r="D1599" t="str">
            <v>Rancho Upácuaro No. 24</v>
          </cell>
          <cell r="E1599" t="str">
            <v>Parra</v>
          </cell>
          <cell r="F1599">
            <v>300</v>
          </cell>
          <cell r="G1599">
            <v>1</v>
          </cell>
          <cell r="H1599">
            <v>600</v>
          </cell>
          <cell r="I1599">
            <v>41457</v>
          </cell>
          <cell r="J1599">
            <v>0</v>
          </cell>
          <cell r="W1599">
            <v>0</v>
          </cell>
          <cell r="AA1599">
            <v>300</v>
          </cell>
          <cell r="AB1599">
            <v>300</v>
          </cell>
          <cell r="AJ1599">
            <v>600</v>
          </cell>
          <cell r="AW1599">
            <v>0</v>
          </cell>
        </row>
        <row r="1600">
          <cell r="B1600">
            <v>6104</v>
          </cell>
          <cell r="C1600" t="str">
            <v>UP_46_</v>
          </cell>
          <cell r="D1600" t="str">
            <v>Rancho Upácuaro No. 46</v>
          </cell>
          <cell r="E1600" t="str">
            <v>Fuentes</v>
          </cell>
          <cell r="F1600">
            <v>300</v>
          </cell>
          <cell r="G1600">
            <v>1</v>
          </cell>
          <cell r="H1600">
            <v>300</v>
          </cell>
          <cell r="I1600">
            <v>41458</v>
          </cell>
          <cell r="J1600">
            <v>0</v>
          </cell>
          <cell r="W1600">
            <v>0</v>
          </cell>
          <cell r="AD1600">
            <v>300</v>
          </cell>
          <cell r="AJ1600">
            <v>300</v>
          </cell>
          <cell r="AW1600">
            <v>0</v>
          </cell>
        </row>
        <row r="1601">
          <cell r="B1601">
            <v>5159</v>
          </cell>
          <cell r="C1601" t="str">
            <v>LD_80_</v>
          </cell>
          <cell r="D1601" t="str">
            <v>Rancho Landero No. 80</v>
          </cell>
          <cell r="E1601" t="str">
            <v>Villaseñor Sánchez</v>
          </cell>
          <cell r="F1601">
            <v>300</v>
          </cell>
          <cell r="G1601">
            <v>1</v>
          </cell>
          <cell r="H1601">
            <v>300</v>
          </cell>
          <cell r="I1601">
            <v>41462</v>
          </cell>
          <cell r="J1601">
            <v>0</v>
          </cell>
          <cell r="W1601">
            <v>0</v>
          </cell>
          <cell r="AC1601">
            <v>300</v>
          </cell>
          <cell r="AJ1601">
            <v>300</v>
          </cell>
          <cell r="AW1601">
            <v>0</v>
          </cell>
        </row>
        <row r="1602">
          <cell r="B1602">
            <v>5160</v>
          </cell>
          <cell r="C1602" t="str">
            <v>LD_80_</v>
          </cell>
          <cell r="D1602" t="str">
            <v>Rancho Landero No. 80</v>
          </cell>
          <cell r="E1602" t="str">
            <v>Villaseñor Sánchez</v>
          </cell>
          <cell r="F1602">
            <v>300</v>
          </cell>
          <cell r="G1602">
            <v>3</v>
          </cell>
          <cell r="H1602">
            <v>150</v>
          </cell>
          <cell r="I1602">
            <v>41462</v>
          </cell>
          <cell r="J1602" t="str">
            <v>NO SUMA</v>
          </cell>
          <cell r="W1602">
            <v>0</v>
          </cell>
          <cell r="AJ1602">
            <v>0</v>
          </cell>
          <cell r="AW1602">
            <v>0</v>
          </cell>
        </row>
        <row r="1603">
          <cell r="B1603">
            <v>5161</v>
          </cell>
          <cell r="C1603" t="str">
            <v>ZB_82_</v>
          </cell>
          <cell r="D1603" t="str">
            <v>Rancho Zinamba No. 82</v>
          </cell>
          <cell r="E1603" t="str">
            <v>Morán Carmona</v>
          </cell>
          <cell r="F1603">
            <v>150</v>
          </cell>
          <cell r="G1603">
            <v>1</v>
          </cell>
          <cell r="H1603">
            <v>450</v>
          </cell>
          <cell r="I1603">
            <v>41462</v>
          </cell>
          <cell r="J1603">
            <v>0</v>
          </cell>
          <cell r="W1603">
            <v>0</v>
          </cell>
          <cell r="AA1603">
            <v>150</v>
          </cell>
          <cell r="AB1603">
            <v>150</v>
          </cell>
          <cell r="AC1603">
            <v>150</v>
          </cell>
          <cell r="AJ1603">
            <v>450</v>
          </cell>
          <cell r="AW1603">
            <v>0</v>
          </cell>
        </row>
        <row r="1604">
          <cell r="B1604">
            <v>5162</v>
          </cell>
          <cell r="C1604" t="str">
            <v>RM_9_B</v>
          </cell>
          <cell r="D1604" t="str">
            <v>Rancho Romeral No. 9, B</v>
          </cell>
          <cell r="E1604" t="str">
            <v>Morales Macías</v>
          </cell>
          <cell r="F1604">
            <v>100</v>
          </cell>
          <cell r="G1604">
            <v>1</v>
          </cell>
          <cell r="H1604">
            <v>100</v>
          </cell>
          <cell r="I1604">
            <v>41462</v>
          </cell>
          <cell r="J1604">
            <v>0</v>
          </cell>
          <cell r="W1604">
            <v>0</v>
          </cell>
          <cell r="AD1604">
            <v>100</v>
          </cell>
          <cell r="AJ1604">
            <v>100</v>
          </cell>
          <cell r="AW1604">
            <v>0</v>
          </cell>
        </row>
        <row r="1605">
          <cell r="B1605">
            <v>5163</v>
          </cell>
          <cell r="C1605" t="str">
            <v>RV_179_</v>
          </cell>
          <cell r="D1605" t="str">
            <v>Rancho Recoveco No. 179</v>
          </cell>
          <cell r="E1605" t="str">
            <v>Flores Delgado</v>
          </cell>
          <cell r="F1605">
            <v>300</v>
          </cell>
          <cell r="G1605">
            <v>1</v>
          </cell>
          <cell r="H1605">
            <v>300</v>
          </cell>
          <cell r="I1605">
            <v>41462</v>
          </cell>
          <cell r="J1605">
            <v>0</v>
          </cell>
          <cell r="W1605">
            <v>0</v>
          </cell>
          <cell r="AD1605">
            <v>300</v>
          </cell>
          <cell r="AJ1605">
            <v>300</v>
          </cell>
          <cell r="AW1605">
            <v>0</v>
          </cell>
        </row>
        <row r="1606">
          <cell r="B1606">
            <v>5164</v>
          </cell>
          <cell r="C1606" t="str">
            <v>LD_25_</v>
          </cell>
          <cell r="D1606" t="str">
            <v>Rancho Landero No. 25</v>
          </cell>
          <cell r="E1606" t="str">
            <v>Escamilla Martínez</v>
          </cell>
          <cell r="F1606">
            <v>300</v>
          </cell>
          <cell r="G1606">
            <v>1</v>
          </cell>
          <cell r="H1606">
            <v>300</v>
          </cell>
          <cell r="I1606">
            <v>41462</v>
          </cell>
          <cell r="J1606">
            <v>0</v>
          </cell>
          <cell r="W1606">
            <v>0</v>
          </cell>
          <cell r="AC1606">
            <v>300</v>
          </cell>
          <cell r="AJ1606">
            <v>300</v>
          </cell>
          <cell r="AW1606">
            <v>0</v>
          </cell>
        </row>
        <row r="1607">
          <cell r="B1607">
            <v>5165</v>
          </cell>
          <cell r="C1607" t="str">
            <v>UP_76_</v>
          </cell>
          <cell r="D1607" t="str">
            <v>Rancho Upácuaro No. 76</v>
          </cell>
          <cell r="E1607" t="str">
            <v>Ruiz de San Pedro</v>
          </cell>
          <cell r="F1607">
            <v>300</v>
          </cell>
          <cell r="G1607">
            <v>1</v>
          </cell>
          <cell r="H1607">
            <v>300</v>
          </cell>
          <cell r="I1607">
            <v>41462</v>
          </cell>
          <cell r="J1607">
            <v>0</v>
          </cell>
          <cell r="W1607">
            <v>0</v>
          </cell>
          <cell r="AD1607">
            <v>300</v>
          </cell>
          <cell r="AJ1607">
            <v>300</v>
          </cell>
          <cell r="AW1607">
            <v>0</v>
          </cell>
        </row>
        <row r="1608">
          <cell r="B1608">
            <v>5166</v>
          </cell>
          <cell r="C1608" t="str">
            <v>CL_42_</v>
          </cell>
          <cell r="D1608" t="str">
            <v>Rancho La Cuchilla No. 42</v>
          </cell>
          <cell r="E1608" t="str">
            <v>Mac Kinney</v>
          </cell>
          <cell r="F1608">
            <v>300</v>
          </cell>
          <cell r="G1608">
            <v>1</v>
          </cell>
          <cell r="H1608">
            <v>300</v>
          </cell>
          <cell r="I1608">
            <v>41462</v>
          </cell>
          <cell r="J1608">
            <v>0</v>
          </cell>
          <cell r="W1608">
            <v>0</v>
          </cell>
          <cell r="AD1608">
            <v>300</v>
          </cell>
          <cell r="AJ1608">
            <v>300</v>
          </cell>
          <cell r="AW1608">
            <v>0</v>
          </cell>
        </row>
        <row r="1609">
          <cell r="B1609">
            <v>5167</v>
          </cell>
          <cell r="C1609" t="str">
            <v>UP_18_</v>
          </cell>
          <cell r="D1609" t="str">
            <v>Rancho Upácuaro No. 18</v>
          </cell>
          <cell r="E1609" t="str">
            <v>Guzmán</v>
          </cell>
          <cell r="F1609">
            <v>300</v>
          </cell>
          <cell r="G1609">
            <v>1</v>
          </cell>
          <cell r="H1609">
            <v>300</v>
          </cell>
          <cell r="I1609">
            <v>41462</v>
          </cell>
          <cell r="J1609">
            <v>0</v>
          </cell>
          <cell r="W1609">
            <v>0</v>
          </cell>
          <cell r="AD1609">
            <v>300</v>
          </cell>
          <cell r="AJ1609">
            <v>300</v>
          </cell>
          <cell r="AW1609">
            <v>0</v>
          </cell>
        </row>
        <row r="1610">
          <cell r="B1610">
            <v>5168</v>
          </cell>
          <cell r="C1610" t="str">
            <v>UP_101_</v>
          </cell>
          <cell r="D1610" t="str">
            <v>Rancho Upácuaro No. 101</v>
          </cell>
          <cell r="E1610" t="str">
            <v>Chávez, Arturo</v>
          </cell>
          <cell r="F1610">
            <v>300</v>
          </cell>
          <cell r="G1610">
            <v>1</v>
          </cell>
          <cell r="H1610">
            <v>600</v>
          </cell>
          <cell r="I1610">
            <v>41462</v>
          </cell>
          <cell r="J1610">
            <v>0</v>
          </cell>
          <cell r="W1610">
            <v>0</v>
          </cell>
          <cell r="AD1610">
            <v>300</v>
          </cell>
          <cell r="AE1610">
            <v>300</v>
          </cell>
          <cell r="AJ1610">
            <v>600</v>
          </cell>
          <cell r="AW1610">
            <v>0</v>
          </cell>
        </row>
        <row r="1611">
          <cell r="B1611">
            <v>5168</v>
          </cell>
          <cell r="C1611" t="str">
            <v>UP_101_</v>
          </cell>
          <cell r="D1611" t="str">
            <v>Rancho Upácuaro No. 101</v>
          </cell>
          <cell r="E1611" t="str">
            <v>Chávez, Arturo</v>
          </cell>
          <cell r="F1611">
            <v>300</v>
          </cell>
          <cell r="G1611">
            <v>3</v>
          </cell>
          <cell r="H1611">
            <v>150</v>
          </cell>
          <cell r="I1611">
            <v>41462</v>
          </cell>
          <cell r="J1611" t="str">
            <v>NO SUMA</v>
          </cell>
          <cell r="W1611">
            <v>0</v>
          </cell>
          <cell r="AJ1611">
            <v>0</v>
          </cell>
          <cell r="AW1611">
            <v>0</v>
          </cell>
        </row>
        <row r="1612">
          <cell r="B1612">
            <v>5169</v>
          </cell>
          <cell r="C1612" t="str">
            <v>CL_131_</v>
          </cell>
          <cell r="D1612" t="str">
            <v>Rancho La Cuchilla No. 131</v>
          </cell>
          <cell r="E1612" t="str">
            <v>Cabrera Escudero</v>
          </cell>
          <cell r="F1612">
            <v>300</v>
          </cell>
          <cell r="G1612">
            <v>1</v>
          </cell>
          <cell r="H1612">
            <v>600</v>
          </cell>
          <cell r="I1612">
            <v>41462</v>
          </cell>
          <cell r="J1612">
            <v>0</v>
          </cell>
          <cell r="W1612">
            <v>0</v>
          </cell>
          <cell r="AD1612">
            <v>300</v>
          </cell>
          <cell r="AE1612">
            <v>300</v>
          </cell>
          <cell r="AJ1612">
            <v>600</v>
          </cell>
          <cell r="AW1612">
            <v>0</v>
          </cell>
        </row>
        <row r="1613">
          <cell r="B1613">
            <v>5170</v>
          </cell>
          <cell r="C1613" t="str">
            <v>UP_108_</v>
          </cell>
          <cell r="D1613" t="str">
            <v>Rancho Upácuaro No. 108</v>
          </cell>
          <cell r="E1613" t="str">
            <v>Mejía</v>
          </cell>
          <cell r="F1613">
            <v>300</v>
          </cell>
          <cell r="G1613">
            <v>1</v>
          </cell>
          <cell r="H1613">
            <v>300</v>
          </cell>
          <cell r="I1613">
            <v>41462</v>
          </cell>
          <cell r="J1613">
            <v>0</v>
          </cell>
          <cell r="W1613">
            <v>0</v>
          </cell>
          <cell r="AD1613">
            <v>300</v>
          </cell>
          <cell r="AJ1613">
            <v>300</v>
          </cell>
          <cell r="AW1613">
            <v>0</v>
          </cell>
        </row>
        <row r="1614">
          <cell r="B1614">
            <v>5171</v>
          </cell>
          <cell r="C1614" t="str">
            <v>CL_81_A</v>
          </cell>
          <cell r="D1614" t="str">
            <v>Rancho La Cuchilla No. 81, A</v>
          </cell>
          <cell r="E1614" t="str">
            <v>Barrientos López</v>
          </cell>
          <cell r="F1614">
            <v>300</v>
          </cell>
          <cell r="G1614">
            <v>1</v>
          </cell>
          <cell r="H1614">
            <v>300</v>
          </cell>
          <cell r="I1614">
            <v>41462</v>
          </cell>
          <cell r="J1614">
            <v>0</v>
          </cell>
          <cell r="W1614">
            <v>0</v>
          </cell>
          <cell r="AD1614">
            <v>300</v>
          </cell>
          <cell r="AJ1614">
            <v>300</v>
          </cell>
          <cell r="AW1614">
            <v>0</v>
          </cell>
        </row>
        <row r="1615">
          <cell r="B1615">
            <v>5172</v>
          </cell>
          <cell r="C1615" t="str">
            <v>RV_173_</v>
          </cell>
          <cell r="D1615" t="str">
            <v>Rancho Recoveco No. 173</v>
          </cell>
          <cell r="E1615" t="str">
            <v>Velarde</v>
          </cell>
          <cell r="F1615">
            <v>300</v>
          </cell>
          <cell r="G1615">
            <v>1</v>
          </cell>
          <cell r="H1615">
            <v>300</v>
          </cell>
          <cell r="I1615">
            <v>41462</v>
          </cell>
          <cell r="J1615">
            <v>0</v>
          </cell>
          <cell r="W1615">
            <v>0</v>
          </cell>
          <cell r="AD1615">
            <v>300</v>
          </cell>
          <cell r="AJ1615">
            <v>300</v>
          </cell>
          <cell r="AW1615">
            <v>0</v>
          </cell>
        </row>
        <row r="1616">
          <cell r="B1616">
            <v>5173</v>
          </cell>
          <cell r="C1616" t="str">
            <v>CL_33_</v>
          </cell>
          <cell r="D1616" t="str">
            <v>Rancho La Cuchilla No. 33</v>
          </cell>
          <cell r="E1616" t="str">
            <v>Tanús</v>
          </cell>
          <cell r="F1616">
            <v>300</v>
          </cell>
          <cell r="G1616">
            <v>1</v>
          </cell>
          <cell r="H1616">
            <v>300</v>
          </cell>
          <cell r="I1616">
            <v>41462</v>
          </cell>
          <cell r="J1616">
            <v>0</v>
          </cell>
          <cell r="W1616">
            <v>0</v>
          </cell>
          <cell r="AD1616">
            <v>300</v>
          </cell>
          <cell r="AJ1616">
            <v>300</v>
          </cell>
          <cell r="AW1616">
            <v>0</v>
          </cell>
        </row>
        <row r="1617">
          <cell r="B1617">
            <v>5174</v>
          </cell>
          <cell r="C1617" t="str">
            <v>ZB_88_</v>
          </cell>
          <cell r="D1617" t="str">
            <v>Rancho Zinamba No. 88</v>
          </cell>
          <cell r="E1617" t="str">
            <v>Martínez</v>
          </cell>
          <cell r="F1617">
            <v>250</v>
          </cell>
          <cell r="G1617">
            <v>1</v>
          </cell>
          <cell r="H1617">
            <v>250</v>
          </cell>
          <cell r="I1617">
            <v>41462</v>
          </cell>
          <cell r="J1617">
            <v>0</v>
          </cell>
          <cell r="W1617">
            <v>0</v>
          </cell>
          <cell r="AD1617">
            <v>250</v>
          </cell>
          <cell r="AJ1617">
            <v>250</v>
          </cell>
          <cell r="AW1617">
            <v>0</v>
          </cell>
        </row>
        <row r="1618">
          <cell r="B1618">
            <v>5175</v>
          </cell>
          <cell r="C1618" t="str">
            <v>LD_38_</v>
          </cell>
          <cell r="D1618" t="str">
            <v>Rancho Landero No. 38</v>
          </cell>
          <cell r="E1618" t="str">
            <v>Sánchez Peña</v>
          </cell>
          <cell r="F1618">
            <v>300</v>
          </cell>
          <cell r="G1618">
            <v>1</v>
          </cell>
          <cell r="H1618">
            <v>600</v>
          </cell>
          <cell r="I1618">
            <v>41462</v>
          </cell>
          <cell r="J1618">
            <v>0</v>
          </cell>
          <cell r="W1618">
            <v>0</v>
          </cell>
          <cell r="AD1618">
            <v>300</v>
          </cell>
          <cell r="AE1618">
            <v>300</v>
          </cell>
          <cell r="AJ1618">
            <v>600</v>
          </cell>
          <cell r="AW1618">
            <v>0</v>
          </cell>
        </row>
        <row r="1619">
          <cell r="B1619">
            <v>5176</v>
          </cell>
          <cell r="C1619" t="str">
            <v>EP_15_</v>
          </cell>
          <cell r="D1619" t="str">
            <v>Rancho Estopila No. 15</v>
          </cell>
          <cell r="E1619" t="str">
            <v>Zhang</v>
          </cell>
          <cell r="F1619">
            <v>300</v>
          </cell>
          <cell r="G1619">
            <v>1</v>
          </cell>
          <cell r="H1619">
            <v>300</v>
          </cell>
          <cell r="I1619">
            <v>41462</v>
          </cell>
          <cell r="J1619">
            <v>0</v>
          </cell>
          <cell r="W1619">
            <v>0</v>
          </cell>
          <cell r="AD1619">
            <v>300</v>
          </cell>
          <cell r="AJ1619">
            <v>300</v>
          </cell>
          <cell r="AW1619">
            <v>0</v>
          </cell>
        </row>
        <row r="1620">
          <cell r="B1620">
            <v>5176</v>
          </cell>
          <cell r="C1620" t="str">
            <v>EP_15_</v>
          </cell>
          <cell r="D1620" t="str">
            <v>Rancho Estopila No. 15</v>
          </cell>
          <cell r="E1620" t="str">
            <v>Zhang</v>
          </cell>
          <cell r="F1620">
            <v>300</v>
          </cell>
          <cell r="G1620">
            <v>5</v>
          </cell>
          <cell r="H1620">
            <v>320</v>
          </cell>
          <cell r="I1620">
            <v>41462</v>
          </cell>
          <cell r="J1620" t="str">
            <v>NO SUMA</v>
          </cell>
          <cell r="W1620">
            <v>0</v>
          </cell>
          <cell r="AJ1620">
            <v>0</v>
          </cell>
          <cell r="AW1620">
            <v>0</v>
          </cell>
        </row>
        <row r="1621">
          <cell r="B1621">
            <v>5177</v>
          </cell>
          <cell r="C1621" t="str">
            <v>UP_87_</v>
          </cell>
          <cell r="D1621" t="str">
            <v>Rancho Upácuaro No. 87</v>
          </cell>
          <cell r="E1621" t="str">
            <v>Rodríguez Parés</v>
          </cell>
          <cell r="F1621">
            <v>300</v>
          </cell>
          <cell r="G1621">
            <v>1</v>
          </cell>
          <cell r="H1621">
            <v>300</v>
          </cell>
          <cell r="I1621">
            <v>41462</v>
          </cell>
          <cell r="J1621">
            <v>0</v>
          </cell>
          <cell r="W1621">
            <v>0</v>
          </cell>
          <cell r="AD1621">
            <v>300</v>
          </cell>
          <cell r="AJ1621">
            <v>300</v>
          </cell>
          <cell r="AW1621">
            <v>0</v>
          </cell>
        </row>
        <row r="1622">
          <cell r="B1622">
            <v>5178</v>
          </cell>
          <cell r="C1622" t="str">
            <v>CL_43_B</v>
          </cell>
          <cell r="D1622" t="str">
            <v>Rancho La Cuchilla No. 43, B</v>
          </cell>
          <cell r="E1622" t="str">
            <v>Luna Albertano</v>
          </cell>
          <cell r="F1622">
            <v>125</v>
          </cell>
          <cell r="G1622">
            <v>1</v>
          </cell>
          <cell r="H1622">
            <v>125</v>
          </cell>
          <cell r="I1622">
            <v>41462</v>
          </cell>
          <cell r="J1622">
            <v>0</v>
          </cell>
          <cell r="W1622">
            <v>0</v>
          </cell>
          <cell r="AD1622">
            <v>125</v>
          </cell>
          <cell r="AJ1622">
            <v>125</v>
          </cell>
          <cell r="AW1622">
            <v>0</v>
          </cell>
        </row>
        <row r="1623">
          <cell r="B1623">
            <v>5179</v>
          </cell>
          <cell r="C1623" t="str">
            <v>UP_14_</v>
          </cell>
          <cell r="D1623" t="str">
            <v>Rancho Upácuaro No. 14</v>
          </cell>
          <cell r="E1623" t="str">
            <v>Guerrero</v>
          </cell>
          <cell r="F1623">
            <v>300</v>
          </cell>
          <cell r="G1623">
            <v>1</v>
          </cell>
          <cell r="H1623">
            <v>600</v>
          </cell>
          <cell r="I1623">
            <v>41462</v>
          </cell>
          <cell r="J1623">
            <v>0</v>
          </cell>
          <cell r="W1623">
            <v>0</v>
          </cell>
          <cell r="AA1623">
            <v>300</v>
          </cell>
          <cell r="AB1623">
            <v>300</v>
          </cell>
          <cell r="AJ1623">
            <v>600</v>
          </cell>
          <cell r="AW1623">
            <v>0</v>
          </cell>
        </row>
        <row r="1624">
          <cell r="B1624">
            <v>5180</v>
          </cell>
          <cell r="C1624" t="str">
            <v>CL_120_</v>
          </cell>
          <cell r="D1624" t="str">
            <v>Rancho La Cuchilla No. 120</v>
          </cell>
          <cell r="E1624" t="str">
            <v>Pozos Vilchis</v>
          </cell>
          <cell r="F1624">
            <v>300</v>
          </cell>
          <cell r="G1624">
            <v>1</v>
          </cell>
          <cell r="H1624">
            <v>300</v>
          </cell>
          <cell r="I1624">
            <v>41462</v>
          </cell>
          <cell r="J1624">
            <v>0</v>
          </cell>
          <cell r="W1624">
            <v>0</v>
          </cell>
          <cell r="AD1624">
            <v>300</v>
          </cell>
          <cell r="AJ1624">
            <v>300</v>
          </cell>
          <cell r="AW1624">
            <v>0</v>
          </cell>
        </row>
        <row r="1625">
          <cell r="B1625">
            <v>5181</v>
          </cell>
          <cell r="C1625" t="str">
            <v>UP_69_</v>
          </cell>
          <cell r="D1625" t="str">
            <v>Rancho Upácuaro No. 69</v>
          </cell>
          <cell r="E1625" t="str">
            <v>Gómez</v>
          </cell>
          <cell r="F1625">
            <v>300</v>
          </cell>
          <cell r="G1625">
            <v>1</v>
          </cell>
          <cell r="H1625">
            <v>300</v>
          </cell>
          <cell r="I1625">
            <v>41462</v>
          </cell>
          <cell r="J1625">
            <v>0</v>
          </cell>
          <cell r="W1625">
            <v>0</v>
          </cell>
          <cell r="AD1625">
            <v>300</v>
          </cell>
          <cell r="AJ1625">
            <v>300</v>
          </cell>
          <cell r="AW1625">
            <v>0</v>
          </cell>
        </row>
        <row r="1626">
          <cell r="B1626">
            <v>5182</v>
          </cell>
          <cell r="C1626" t="str">
            <v>CL_40_</v>
          </cell>
          <cell r="D1626" t="str">
            <v>Rancho La Cuchilla No. 40</v>
          </cell>
          <cell r="E1626" t="str">
            <v>López Pico</v>
          </cell>
          <cell r="F1626">
            <v>300</v>
          </cell>
          <cell r="G1626">
            <v>1</v>
          </cell>
          <cell r="H1626">
            <v>300</v>
          </cell>
          <cell r="I1626">
            <v>41462</v>
          </cell>
          <cell r="J1626">
            <v>0</v>
          </cell>
          <cell r="W1626">
            <v>0</v>
          </cell>
          <cell r="AD1626">
            <v>300</v>
          </cell>
          <cell r="AJ1626">
            <v>300</v>
          </cell>
          <cell r="AW1626">
            <v>0</v>
          </cell>
        </row>
        <row r="1627">
          <cell r="B1627">
            <v>5183</v>
          </cell>
          <cell r="C1627" t="str">
            <v>LD_89_</v>
          </cell>
          <cell r="D1627" t="str">
            <v>Rancho Landero No. 89</v>
          </cell>
          <cell r="E1627" t="str">
            <v>Del Pozo Solís</v>
          </cell>
          <cell r="F1627">
            <v>300</v>
          </cell>
          <cell r="G1627">
            <v>1</v>
          </cell>
          <cell r="H1627">
            <v>300</v>
          </cell>
          <cell r="I1627">
            <v>41462</v>
          </cell>
          <cell r="J1627">
            <v>0</v>
          </cell>
          <cell r="W1627">
            <v>0</v>
          </cell>
          <cell r="AD1627">
            <v>300</v>
          </cell>
          <cell r="AJ1627">
            <v>300</v>
          </cell>
          <cell r="AW1627">
            <v>0</v>
          </cell>
        </row>
        <row r="1628">
          <cell r="B1628">
            <v>5184</v>
          </cell>
          <cell r="C1628" t="str">
            <v>CL_141_</v>
          </cell>
          <cell r="D1628" t="str">
            <v>Rancho La Cuchilla No. 141</v>
          </cell>
          <cell r="E1628" t="str">
            <v>Salazar Torres</v>
          </cell>
          <cell r="F1628">
            <v>300</v>
          </cell>
          <cell r="G1628">
            <v>3</v>
          </cell>
          <cell r="H1628">
            <v>150</v>
          </cell>
          <cell r="I1628">
            <v>41462</v>
          </cell>
          <cell r="J1628" t="str">
            <v>NO SUMA</v>
          </cell>
          <cell r="W1628">
            <v>0</v>
          </cell>
          <cell r="AJ1628">
            <v>0</v>
          </cell>
          <cell r="AW1628">
            <v>0</v>
          </cell>
        </row>
        <row r="1629">
          <cell r="B1629">
            <v>5185</v>
          </cell>
          <cell r="C1629" t="str">
            <v>LD_83_</v>
          </cell>
          <cell r="D1629" t="str">
            <v>Rancho Landero No. 83</v>
          </cell>
          <cell r="E1629" t="str">
            <v>Aguilar</v>
          </cell>
          <cell r="F1629">
            <v>300</v>
          </cell>
          <cell r="G1629">
            <v>1</v>
          </cell>
          <cell r="H1629">
            <v>300</v>
          </cell>
          <cell r="I1629">
            <v>41462</v>
          </cell>
          <cell r="J1629">
            <v>0</v>
          </cell>
          <cell r="W1629">
            <v>0</v>
          </cell>
          <cell r="AD1629">
            <v>300</v>
          </cell>
          <cell r="AJ1629">
            <v>300</v>
          </cell>
          <cell r="AW1629">
            <v>0</v>
          </cell>
        </row>
        <row r="1630">
          <cell r="B1630">
            <v>5186</v>
          </cell>
          <cell r="C1630" t="str">
            <v>EZ_151_</v>
          </cell>
          <cell r="D1630" t="str">
            <v>Rancho Estanzuela No. 151</v>
          </cell>
          <cell r="E1630" t="str">
            <v>Pérez Salazar</v>
          </cell>
          <cell r="F1630">
            <v>300</v>
          </cell>
          <cell r="G1630">
            <v>1</v>
          </cell>
          <cell r="H1630">
            <v>300</v>
          </cell>
          <cell r="I1630">
            <v>41462</v>
          </cell>
          <cell r="J1630">
            <v>0</v>
          </cell>
          <cell r="W1630">
            <v>0</v>
          </cell>
          <cell r="AD1630">
            <v>300</v>
          </cell>
          <cell r="AJ1630">
            <v>300</v>
          </cell>
          <cell r="AW1630">
            <v>0</v>
          </cell>
        </row>
        <row r="1631">
          <cell r="B1631">
            <v>5187</v>
          </cell>
          <cell r="C1631" t="str">
            <v>UP_93_</v>
          </cell>
          <cell r="D1631" t="str">
            <v>Rancho Upácuaro No. 93</v>
          </cell>
          <cell r="E1631" t="str">
            <v>Valdés</v>
          </cell>
          <cell r="F1631">
            <v>300</v>
          </cell>
          <cell r="G1631">
            <v>1</v>
          </cell>
          <cell r="H1631">
            <v>300</v>
          </cell>
          <cell r="I1631">
            <v>41462</v>
          </cell>
          <cell r="J1631">
            <v>0</v>
          </cell>
          <cell r="W1631">
            <v>0</v>
          </cell>
          <cell r="AD1631">
            <v>300</v>
          </cell>
          <cell r="AJ1631">
            <v>300</v>
          </cell>
          <cell r="AW1631">
            <v>0</v>
          </cell>
        </row>
        <row r="1632">
          <cell r="B1632">
            <v>5188</v>
          </cell>
          <cell r="C1632" t="str">
            <v>UP_116_</v>
          </cell>
          <cell r="D1632" t="str">
            <v>Rancho Upácuaro No. 116</v>
          </cell>
          <cell r="E1632" t="str">
            <v>García Zamudio</v>
          </cell>
          <cell r="F1632">
            <v>300</v>
          </cell>
          <cell r="G1632">
            <v>1</v>
          </cell>
          <cell r="H1632">
            <v>300</v>
          </cell>
          <cell r="I1632">
            <v>41462</v>
          </cell>
          <cell r="J1632">
            <v>0</v>
          </cell>
          <cell r="W1632">
            <v>0</v>
          </cell>
          <cell r="AC1632">
            <v>300</v>
          </cell>
          <cell r="AJ1632">
            <v>300</v>
          </cell>
          <cell r="AW1632">
            <v>0</v>
          </cell>
        </row>
        <row r="1633">
          <cell r="B1633">
            <v>5188</v>
          </cell>
          <cell r="C1633" t="str">
            <v>UP_116_</v>
          </cell>
          <cell r="D1633" t="str">
            <v>Rancho Upácuaro No. 116</v>
          </cell>
          <cell r="E1633" t="str">
            <v>García Zamudio</v>
          </cell>
          <cell r="F1633">
            <v>300</v>
          </cell>
          <cell r="G1633">
            <v>5</v>
          </cell>
          <cell r="H1633">
            <v>20</v>
          </cell>
          <cell r="I1633">
            <v>41462</v>
          </cell>
          <cell r="J1633" t="str">
            <v>NO SUMA</v>
          </cell>
          <cell r="W1633">
            <v>0</v>
          </cell>
          <cell r="AJ1633">
            <v>0</v>
          </cell>
          <cell r="AW1633">
            <v>0</v>
          </cell>
        </row>
        <row r="1634">
          <cell r="B1634">
            <v>5189</v>
          </cell>
          <cell r="C1634" t="str">
            <v>CL_112_PB</v>
          </cell>
          <cell r="D1634" t="str">
            <v>Rancho La Cuchilla No. 112, PB</v>
          </cell>
          <cell r="E1634" t="str">
            <v>Soreque</v>
          </cell>
          <cell r="F1634">
            <v>150</v>
          </cell>
          <cell r="G1634">
            <v>1</v>
          </cell>
          <cell r="H1634">
            <v>150</v>
          </cell>
          <cell r="I1634">
            <v>41462</v>
          </cell>
          <cell r="J1634">
            <v>0</v>
          </cell>
          <cell r="W1634">
            <v>0</v>
          </cell>
          <cell r="AD1634">
            <v>150</v>
          </cell>
          <cell r="AJ1634">
            <v>150</v>
          </cell>
          <cell r="AW1634">
            <v>0</v>
          </cell>
        </row>
        <row r="1635">
          <cell r="B1635">
            <v>5190</v>
          </cell>
          <cell r="C1635" t="str">
            <v>EZ_3_</v>
          </cell>
          <cell r="D1635" t="str">
            <v>Rancho Estanzuela No. 3</v>
          </cell>
          <cell r="E1635" t="str">
            <v>Villanueva Nájera</v>
          </cell>
          <cell r="F1635">
            <v>150</v>
          </cell>
          <cell r="G1635">
            <v>1</v>
          </cell>
          <cell r="H1635">
            <v>450</v>
          </cell>
          <cell r="I1635">
            <v>41462</v>
          </cell>
          <cell r="J1635">
            <v>0</v>
          </cell>
          <cell r="W1635">
            <v>0</v>
          </cell>
          <cell r="AD1635">
            <v>150</v>
          </cell>
          <cell r="AE1635">
            <v>150</v>
          </cell>
          <cell r="AF1635">
            <v>150</v>
          </cell>
          <cell r="AJ1635">
            <v>450</v>
          </cell>
          <cell r="AW1635">
            <v>0</v>
          </cell>
        </row>
        <row r="1636">
          <cell r="B1636">
            <v>5190</v>
          </cell>
          <cell r="C1636" t="str">
            <v>EZ_3_</v>
          </cell>
          <cell r="D1636" t="str">
            <v>Rancho Estanzuela No. 3</v>
          </cell>
          <cell r="E1636" t="str">
            <v>Villanueva Nájera</v>
          </cell>
          <cell r="F1636">
            <v>150</v>
          </cell>
          <cell r="G1636">
            <v>5</v>
          </cell>
          <cell r="H1636">
            <v>20</v>
          </cell>
          <cell r="I1636">
            <v>41462</v>
          </cell>
          <cell r="J1636" t="str">
            <v>NO SUMA</v>
          </cell>
          <cell r="W1636">
            <v>0</v>
          </cell>
          <cell r="AJ1636">
            <v>0</v>
          </cell>
          <cell r="AW1636">
            <v>0</v>
          </cell>
        </row>
        <row r="1637">
          <cell r="B1637">
            <v>5191</v>
          </cell>
          <cell r="C1637" t="str">
            <v>LD_54_2</v>
          </cell>
          <cell r="D1637" t="str">
            <v>Rancho Landero No. 54, 2</v>
          </cell>
          <cell r="E1637" t="str">
            <v>Castillo Hernández</v>
          </cell>
          <cell r="F1637">
            <v>300</v>
          </cell>
          <cell r="G1637">
            <v>1</v>
          </cell>
          <cell r="H1637">
            <v>150</v>
          </cell>
          <cell r="I1637">
            <v>41462</v>
          </cell>
          <cell r="J1637">
            <v>0</v>
          </cell>
          <cell r="W1637">
            <v>0</v>
          </cell>
          <cell r="AD1637">
            <v>150</v>
          </cell>
          <cell r="AJ1637">
            <v>150</v>
          </cell>
          <cell r="AW1637">
            <v>0</v>
          </cell>
        </row>
        <row r="1638">
          <cell r="B1638">
            <v>5192</v>
          </cell>
          <cell r="C1638" t="str">
            <v>ZB_84_</v>
          </cell>
          <cell r="D1638" t="str">
            <v>Rancho Zinamba No. 84</v>
          </cell>
          <cell r="E1638" t="str">
            <v>Lobato</v>
          </cell>
          <cell r="F1638">
            <v>300</v>
          </cell>
          <cell r="G1638">
            <v>3</v>
          </cell>
          <cell r="H1638">
            <v>150</v>
          </cell>
          <cell r="I1638">
            <v>41462</v>
          </cell>
          <cell r="J1638" t="str">
            <v>NO SUMA</v>
          </cell>
          <cell r="W1638">
            <v>0</v>
          </cell>
          <cell r="AJ1638">
            <v>0</v>
          </cell>
          <cell r="AW1638">
            <v>0</v>
          </cell>
        </row>
        <row r="1639">
          <cell r="B1639">
            <v>5193</v>
          </cell>
          <cell r="C1639" t="str">
            <v>LD_54_2</v>
          </cell>
          <cell r="D1639" t="str">
            <v>Rancho Landero No. 54, 2</v>
          </cell>
          <cell r="E1639" t="str">
            <v>Castillo Hernández</v>
          </cell>
          <cell r="F1639">
            <v>300</v>
          </cell>
          <cell r="G1639">
            <v>5</v>
          </cell>
          <cell r="H1639">
            <v>40</v>
          </cell>
          <cell r="I1639">
            <v>41462</v>
          </cell>
          <cell r="J1639" t="str">
            <v>NO SUMA</v>
          </cell>
          <cell r="W1639">
            <v>0</v>
          </cell>
          <cell r="AJ1639">
            <v>0</v>
          </cell>
          <cell r="AW1639">
            <v>0</v>
          </cell>
        </row>
        <row r="1640">
          <cell r="B1640">
            <v>5194</v>
          </cell>
          <cell r="C1640" t="str">
            <v>UP_136_</v>
          </cell>
          <cell r="D1640" t="str">
            <v>Rancho Upácuaro No. 136</v>
          </cell>
          <cell r="E1640" t="str">
            <v>López Lena</v>
          </cell>
          <cell r="F1640">
            <v>300</v>
          </cell>
          <cell r="G1640">
            <v>1</v>
          </cell>
          <cell r="H1640">
            <v>300</v>
          </cell>
          <cell r="I1640">
            <v>41462</v>
          </cell>
          <cell r="J1640">
            <v>0</v>
          </cell>
          <cell r="W1640">
            <v>0</v>
          </cell>
          <cell r="AD1640">
            <v>300</v>
          </cell>
          <cell r="AJ1640">
            <v>300</v>
          </cell>
          <cell r="AW1640">
            <v>0</v>
          </cell>
        </row>
        <row r="1641">
          <cell r="B1641">
            <v>5194</v>
          </cell>
          <cell r="C1641" t="str">
            <v>UP_136_</v>
          </cell>
          <cell r="D1641" t="str">
            <v>Rancho Upácuaro No. 136</v>
          </cell>
          <cell r="E1641" t="str">
            <v>López Lena</v>
          </cell>
          <cell r="F1641">
            <v>300</v>
          </cell>
          <cell r="G1641">
            <v>3</v>
          </cell>
          <cell r="H1641">
            <v>150</v>
          </cell>
          <cell r="I1641">
            <v>41462</v>
          </cell>
          <cell r="J1641" t="str">
            <v>NO SUMA</v>
          </cell>
          <cell r="W1641">
            <v>0</v>
          </cell>
          <cell r="AJ1641">
            <v>0</v>
          </cell>
          <cell r="AW1641">
            <v>0</v>
          </cell>
        </row>
        <row r="1642">
          <cell r="B1642">
            <v>5195</v>
          </cell>
          <cell r="C1642" t="str">
            <v>UP_26_</v>
          </cell>
          <cell r="D1642" t="str">
            <v>Rancho Upácuaro No. 26</v>
          </cell>
          <cell r="E1642" t="str">
            <v>Salazar</v>
          </cell>
          <cell r="F1642">
            <v>300</v>
          </cell>
          <cell r="G1642">
            <v>1</v>
          </cell>
          <cell r="H1642">
            <v>300</v>
          </cell>
          <cell r="I1642">
            <v>41462</v>
          </cell>
          <cell r="J1642">
            <v>0</v>
          </cell>
          <cell r="W1642">
            <v>0</v>
          </cell>
          <cell r="AD1642">
            <v>300</v>
          </cell>
          <cell r="AJ1642">
            <v>300</v>
          </cell>
          <cell r="AW1642">
            <v>0</v>
          </cell>
        </row>
        <row r="1643">
          <cell r="B1643">
            <v>5196</v>
          </cell>
          <cell r="C1643" t="str">
            <v>CL_89_</v>
          </cell>
          <cell r="D1643" t="str">
            <v>Rancho La Cuchilla No. 89</v>
          </cell>
          <cell r="E1643" t="str">
            <v>Gálvez</v>
          </cell>
          <cell r="F1643">
            <v>300</v>
          </cell>
          <cell r="G1643">
            <v>1</v>
          </cell>
          <cell r="H1643">
            <v>300</v>
          </cell>
          <cell r="I1643">
            <v>41462</v>
          </cell>
          <cell r="J1643">
            <v>0</v>
          </cell>
          <cell r="W1643">
            <v>0</v>
          </cell>
          <cell r="AD1643">
            <v>300</v>
          </cell>
          <cell r="AJ1643">
            <v>300</v>
          </cell>
          <cell r="AW1643">
            <v>0</v>
          </cell>
        </row>
        <row r="1644">
          <cell r="B1644">
            <v>5197</v>
          </cell>
          <cell r="C1644" t="str">
            <v>UP_42_</v>
          </cell>
          <cell r="D1644" t="str">
            <v>Rancho Upácuaro No. 42</v>
          </cell>
          <cell r="E1644" t="str">
            <v>García Ramírez</v>
          </cell>
          <cell r="F1644">
            <v>300</v>
          </cell>
          <cell r="G1644">
            <v>1</v>
          </cell>
          <cell r="H1644">
            <v>600</v>
          </cell>
          <cell r="I1644">
            <v>41462</v>
          </cell>
          <cell r="J1644">
            <v>0</v>
          </cell>
          <cell r="W1644">
            <v>0</v>
          </cell>
          <cell r="AB1644">
            <v>300</v>
          </cell>
          <cell r="AC1644">
            <v>300</v>
          </cell>
          <cell r="AJ1644">
            <v>600</v>
          </cell>
          <cell r="AW1644">
            <v>0</v>
          </cell>
        </row>
        <row r="1645">
          <cell r="B1645">
            <v>5198</v>
          </cell>
          <cell r="C1645" t="str">
            <v>LD_58_</v>
          </cell>
          <cell r="D1645" t="str">
            <v>Rancho Landero No. 58</v>
          </cell>
          <cell r="E1645" t="str">
            <v>Valero</v>
          </cell>
          <cell r="F1645">
            <v>300</v>
          </cell>
          <cell r="G1645">
            <v>1</v>
          </cell>
          <cell r="H1645">
            <v>1200</v>
          </cell>
          <cell r="I1645">
            <v>41462</v>
          </cell>
          <cell r="J1645">
            <v>0</v>
          </cell>
          <cell r="W1645">
            <v>0</v>
          </cell>
          <cell r="AB1645">
            <v>300</v>
          </cell>
          <cell r="AC1645">
            <v>300</v>
          </cell>
          <cell r="AD1645">
            <v>300</v>
          </cell>
          <cell r="AE1645">
            <v>300</v>
          </cell>
          <cell r="AJ1645">
            <v>1200</v>
          </cell>
          <cell r="AW1645">
            <v>0</v>
          </cell>
        </row>
        <row r="1646">
          <cell r="B1646">
            <v>5198</v>
          </cell>
          <cell r="C1646" t="str">
            <v>LD_58_</v>
          </cell>
          <cell r="D1646" t="str">
            <v>Rancho Landero No. 58</v>
          </cell>
          <cell r="E1646" t="str">
            <v>Valero</v>
          </cell>
          <cell r="F1646">
            <v>300</v>
          </cell>
          <cell r="G1646">
            <v>3</v>
          </cell>
          <cell r="H1646">
            <v>150</v>
          </cell>
          <cell r="I1646">
            <v>41462</v>
          </cell>
          <cell r="J1646" t="str">
            <v>NO SUMA</v>
          </cell>
          <cell r="W1646">
            <v>0</v>
          </cell>
          <cell r="AJ1646">
            <v>0</v>
          </cell>
          <cell r="AW1646">
            <v>0</v>
          </cell>
        </row>
        <row r="1647">
          <cell r="B1647">
            <v>5199</v>
          </cell>
          <cell r="C1647" t="str">
            <v>CL_121_</v>
          </cell>
          <cell r="D1647" t="str">
            <v>Rancho La Cuchilla No. 121</v>
          </cell>
          <cell r="E1647" t="str">
            <v>Ramírez Márquez</v>
          </cell>
          <cell r="F1647">
            <v>300</v>
          </cell>
          <cell r="G1647">
            <v>1</v>
          </cell>
          <cell r="H1647">
            <v>1800</v>
          </cell>
          <cell r="I1647">
            <v>41462</v>
          </cell>
          <cell r="J1647">
            <v>0</v>
          </cell>
          <cell r="W1647">
            <v>0</v>
          </cell>
          <cell r="AD1647">
            <v>300</v>
          </cell>
          <cell r="AE1647">
            <v>300</v>
          </cell>
          <cell r="AF1647">
            <v>300</v>
          </cell>
          <cell r="AG1647">
            <v>300</v>
          </cell>
          <cell r="AH1647">
            <v>300</v>
          </cell>
          <cell r="AI1647">
            <v>300</v>
          </cell>
          <cell r="AJ1647">
            <v>1800</v>
          </cell>
          <cell r="AW1647">
            <v>0</v>
          </cell>
        </row>
        <row r="1648">
          <cell r="B1648">
            <v>5200</v>
          </cell>
          <cell r="C1648" t="str">
            <v>LD_90_</v>
          </cell>
          <cell r="D1648" t="str">
            <v>Rancho Landero No. 90</v>
          </cell>
          <cell r="E1648" t="str">
            <v>Córdova Reséndiz</v>
          </cell>
          <cell r="F1648">
            <v>300</v>
          </cell>
          <cell r="G1648">
            <v>1</v>
          </cell>
          <cell r="H1648">
            <v>1200</v>
          </cell>
          <cell r="I1648">
            <v>41462</v>
          </cell>
          <cell r="J1648">
            <v>0</v>
          </cell>
          <cell r="W1648">
            <v>0</v>
          </cell>
          <cell r="AA1648">
            <v>300</v>
          </cell>
          <cell r="AB1648">
            <v>300</v>
          </cell>
          <cell r="AC1648">
            <v>300</v>
          </cell>
          <cell r="AD1648">
            <v>300</v>
          </cell>
          <cell r="AJ1648">
            <v>1200</v>
          </cell>
          <cell r="AW1648">
            <v>0</v>
          </cell>
        </row>
        <row r="1649">
          <cell r="B1649">
            <v>5201</v>
          </cell>
          <cell r="C1649" t="str">
            <v>EZ_101_</v>
          </cell>
          <cell r="D1649" t="str">
            <v>Rancho Estanzuela No. 101</v>
          </cell>
          <cell r="E1649" t="str">
            <v>Calderón Celis</v>
          </cell>
          <cell r="F1649">
            <v>300</v>
          </cell>
          <cell r="G1649">
            <v>1</v>
          </cell>
          <cell r="H1649">
            <v>1200</v>
          </cell>
          <cell r="I1649">
            <v>41462</v>
          </cell>
          <cell r="J1649">
            <v>0</v>
          </cell>
          <cell r="W1649">
            <v>0</v>
          </cell>
          <cell r="Z1649">
            <v>300</v>
          </cell>
          <cell r="AA1649">
            <v>300</v>
          </cell>
          <cell r="AB1649">
            <v>300</v>
          </cell>
          <cell r="AC1649">
            <v>300</v>
          </cell>
          <cell r="AJ1649">
            <v>1200</v>
          </cell>
          <cell r="AW1649">
            <v>0</v>
          </cell>
        </row>
        <row r="1650">
          <cell r="B1650">
            <v>5202</v>
          </cell>
          <cell r="C1650" t="str">
            <v>CL_72_</v>
          </cell>
          <cell r="D1650" t="str">
            <v>Rancho La Cuchilla No. 72</v>
          </cell>
          <cell r="E1650" t="str">
            <v>Ortiz González</v>
          </cell>
          <cell r="F1650">
            <v>300</v>
          </cell>
          <cell r="G1650">
            <v>1</v>
          </cell>
          <cell r="H1650">
            <v>300</v>
          </cell>
          <cell r="I1650">
            <v>41462</v>
          </cell>
          <cell r="J1650">
            <v>0</v>
          </cell>
          <cell r="W1650">
            <v>0</v>
          </cell>
          <cell r="AD1650">
            <v>300</v>
          </cell>
          <cell r="AJ1650">
            <v>300</v>
          </cell>
          <cell r="AW1650">
            <v>0</v>
          </cell>
        </row>
        <row r="1651">
          <cell r="B1651">
            <v>5203</v>
          </cell>
          <cell r="C1651" t="str">
            <v>ZB_20_</v>
          </cell>
          <cell r="D1651" t="str">
            <v>Rancho Zinamba No. 20</v>
          </cell>
          <cell r="E1651" t="str">
            <v>Alegre Retana</v>
          </cell>
          <cell r="F1651">
            <v>300</v>
          </cell>
          <cell r="G1651">
            <v>1</v>
          </cell>
          <cell r="H1651">
            <v>300</v>
          </cell>
          <cell r="I1651">
            <v>41462</v>
          </cell>
          <cell r="J1651">
            <v>0</v>
          </cell>
          <cell r="W1651">
            <v>0</v>
          </cell>
          <cell r="AC1651">
            <v>300</v>
          </cell>
          <cell r="AJ1651">
            <v>300</v>
          </cell>
          <cell r="AW1651">
            <v>0</v>
          </cell>
        </row>
        <row r="1652">
          <cell r="B1652">
            <v>5204</v>
          </cell>
          <cell r="C1652" t="str">
            <v>UP_73_A</v>
          </cell>
          <cell r="D1652" t="str">
            <v>Rancho Upácuaro No. 73, A</v>
          </cell>
          <cell r="E1652" t="str">
            <v>Ortega</v>
          </cell>
          <cell r="F1652">
            <v>150</v>
          </cell>
          <cell r="G1652">
            <v>1</v>
          </cell>
          <cell r="H1652">
            <v>150</v>
          </cell>
          <cell r="I1652">
            <v>41462</v>
          </cell>
          <cell r="J1652">
            <v>0</v>
          </cell>
          <cell r="W1652">
            <v>0</v>
          </cell>
          <cell r="AD1652">
            <v>150</v>
          </cell>
          <cell r="AJ1652">
            <v>150</v>
          </cell>
          <cell r="AW1652">
            <v>0</v>
          </cell>
        </row>
        <row r="1653">
          <cell r="B1653">
            <v>5205</v>
          </cell>
          <cell r="C1653" t="str">
            <v>UP_54_</v>
          </cell>
          <cell r="D1653" t="str">
            <v>Rancho Upácuaro No. 54</v>
          </cell>
          <cell r="E1653" t="str">
            <v>García Rueda</v>
          </cell>
          <cell r="F1653">
            <v>200</v>
          </cell>
          <cell r="G1653">
            <v>1</v>
          </cell>
          <cell r="H1653">
            <v>400</v>
          </cell>
          <cell r="I1653">
            <v>41462</v>
          </cell>
          <cell r="J1653">
            <v>0</v>
          </cell>
          <cell r="W1653">
            <v>0</v>
          </cell>
          <cell r="AC1653">
            <v>200</v>
          </cell>
          <cell r="AD1653">
            <v>200</v>
          </cell>
          <cell r="AJ1653">
            <v>400</v>
          </cell>
          <cell r="AW1653">
            <v>0</v>
          </cell>
        </row>
        <row r="1654">
          <cell r="B1654">
            <v>5206</v>
          </cell>
          <cell r="C1654" t="str">
            <v>RV_175_0</v>
          </cell>
          <cell r="D1654" t="str">
            <v>Rancho Recoveco No. 175</v>
          </cell>
          <cell r="E1654" t="str">
            <v>Ramírez</v>
          </cell>
          <cell r="F1654">
            <v>300</v>
          </cell>
          <cell r="G1654">
            <v>1</v>
          </cell>
          <cell r="H1654">
            <v>300</v>
          </cell>
          <cell r="I1654">
            <v>41462</v>
          </cell>
          <cell r="J1654">
            <v>0</v>
          </cell>
          <cell r="W1654">
            <v>0</v>
          </cell>
          <cell r="AD1654">
            <v>300</v>
          </cell>
          <cell r="AJ1654">
            <v>300</v>
          </cell>
          <cell r="AW1654">
            <v>0</v>
          </cell>
        </row>
        <row r="1655">
          <cell r="B1655">
            <v>5207</v>
          </cell>
          <cell r="C1655" t="str">
            <v>CL_130_</v>
          </cell>
          <cell r="D1655" t="str">
            <v>Rancho La Cuchilla No. 130</v>
          </cell>
          <cell r="E1655" t="str">
            <v>De la Huerta</v>
          </cell>
          <cell r="F1655">
            <v>300</v>
          </cell>
          <cell r="G1655">
            <v>1</v>
          </cell>
          <cell r="H1655">
            <v>300</v>
          </cell>
          <cell r="I1655">
            <v>41462</v>
          </cell>
          <cell r="J1655">
            <v>0</v>
          </cell>
          <cell r="W1655">
            <v>0</v>
          </cell>
          <cell r="AD1655">
            <v>300</v>
          </cell>
          <cell r="AJ1655">
            <v>300</v>
          </cell>
          <cell r="AW1655">
            <v>0</v>
          </cell>
        </row>
        <row r="1656">
          <cell r="B1656">
            <v>5208</v>
          </cell>
          <cell r="C1656" t="str">
            <v>EZ_35_</v>
          </cell>
          <cell r="D1656" t="str">
            <v>Rancho Estanzuela No. 35</v>
          </cell>
          <cell r="E1656" t="str">
            <v>Rodríguez</v>
          </cell>
          <cell r="F1656">
            <v>300</v>
          </cell>
          <cell r="G1656">
            <v>1</v>
          </cell>
          <cell r="H1656">
            <v>300</v>
          </cell>
          <cell r="I1656">
            <v>41462</v>
          </cell>
          <cell r="J1656">
            <v>0</v>
          </cell>
          <cell r="W1656">
            <v>0</v>
          </cell>
          <cell r="AD1656">
            <v>300</v>
          </cell>
          <cell r="AJ1656">
            <v>300</v>
          </cell>
          <cell r="AW1656">
            <v>0</v>
          </cell>
        </row>
        <row r="1657">
          <cell r="B1657">
            <v>5209</v>
          </cell>
          <cell r="C1657" t="str">
            <v>EZ_159_</v>
          </cell>
          <cell r="D1657" t="str">
            <v>Rancho Estanzuela No. 159</v>
          </cell>
          <cell r="E1657" t="str">
            <v>Reyes Núñez</v>
          </cell>
          <cell r="F1657">
            <v>250</v>
          </cell>
          <cell r="G1657">
            <v>1</v>
          </cell>
          <cell r="H1657">
            <v>250</v>
          </cell>
          <cell r="I1657">
            <v>41462</v>
          </cell>
          <cell r="J1657">
            <v>0</v>
          </cell>
          <cell r="W1657">
            <v>0</v>
          </cell>
          <cell r="AD1657">
            <v>250</v>
          </cell>
          <cell r="AJ1657">
            <v>250</v>
          </cell>
          <cell r="AW1657">
            <v>0</v>
          </cell>
        </row>
        <row r="1658">
          <cell r="B1658">
            <v>5210</v>
          </cell>
          <cell r="C1658" t="str">
            <v>CL_41_</v>
          </cell>
          <cell r="D1658" t="str">
            <v>Rancho La Cuchilla No. 41</v>
          </cell>
          <cell r="E1658" t="str">
            <v>Arriaga Lemus</v>
          </cell>
          <cell r="F1658">
            <v>250</v>
          </cell>
          <cell r="G1658">
            <v>1</v>
          </cell>
          <cell r="H1658">
            <v>300</v>
          </cell>
          <cell r="I1658">
            <v>41462</v>
          </cell>
          <cell r="J1658">
            <v>0</v>
          </cell>
          <cell r="W1658">
            <v>0</v>
          </cell>
          <cell r="AD1658">
            <v>300</v>
          </cell>
          <cell r="AJ1658">
            <v>300</v>
          </cell>
          <cell r="AW1658">
            <v>0</v>
          </cell>
        </row>
        <row r="1659">
          <cell r="B1659">
            <v>5211</v>
          </cell>
          <cell r="C1659" t="str">
            <v>EZ_161_1</v>
          </cell>
          <cell r="D1659" t="str">
            <v>Rancho Estanzuela No. 161, 1</v>
          </cell>
          <cell r="E1659" t="str">
            <v>Guevara</v>
          </cell>
          <cell r="F1659">
            <v>150</v>
          </cell>
          <cell r="G1659">
            <v>1</v>
          </cell>
          <cell r="H1659">
            <v>150</v>
          </cell>
          <cell r="I1659">
            <v>41462</v>
          </cell>
          <cell r="J1659">
            <v>0</v>
          </cell>
          <cell r="W1659">
            <v>0</v>
          </cell>
          <cell r="AC1659">
            <v>150</v>
          </cell>
          <cell r="AJ1659">
            <v>150</v>
          </cell>
          <cell r="AW1659">
            <v>0</v>
          </cell>
        </row>
        <row r="1660">
          <cell r="B1660">
            <v>5212</v>
          </cell>
          <cell r="C1660" t="str">
            <v>CL_54_</v>
          </cell>
          <cell r="D1660" t="str">
            <v>Rancho La Cuchilla No. 54</v>
          </cell>
          <cell r="E1660" t="str">
            <v>Mendoza Edgar</v>
          </cell>
          <cell r="F1660">
            <v>300</v>
          </cell>
          <cell r="G1660">
            <v>1</v>
          </cell>
          <cell r="H1660">
            <v>600</v>
          </cell>
          <cell r="I1660">
            <v>41462</v>
          </cell>
          <cell r="J1660">
            <v>0</v>
          </cell>
          <cell r="W1660">
            <v>0</v>
          </cell>
          <cell r="AD1660">
            <v>300</v>
          </cell>
          <cell r="AE1660">
            <v>300</v>
          </cell>
          <cell r="AJ1660">
            <v>600</v>
          </cell>
          <cell r="AW1660">
            <v>0</v>
          </cell>
        </row>
        <row r="1661">
          <cell r="B1661">
            <v>5212</v>
          </cell>
          <cell r="C1661" t="str">
            <v>CL_54_</v>
          </cell>
          <cell r="D1661" t="str">
            <v>Rancho La Cuchilla No. 54</v>
          </cell>
          <cell r="E1661" t="str">
            <v>Mendoza Edgar</v>
          </cell>
          <cell r="F1661">
            <v>300</v>
          </cell>
          <cell r="G1661">
            <v>3</v>
          </cell>
          <cell r="H1661">
            <v>150</v>
          </cell>
          <cell r="I1661">
            <v>41462</v>
          </cell>
          <cell r="J1661" t="str">
            <v>NO SUMA</v>
          </cell>
          <cell r="W1661">
            <v>0</v>
          </cell>
          <cell r="AJ1661">
            <v>0</v>
          </cell>
          <cell r="AW1661">
            <v>0</v>
          </cell>
        </row>
        <row r="1662">
          <cell r="B1662">
            <v>5213</v>
          </cell>
          <cell r="C1662" t="str">
            <v>LD_42_</v>
          </cell>
          <cell r="D1662" t="str">
            <v>Rancho Landero No. 42</v>
          </cell>
          <cell r="E1662" t="str">
            <v>Ávila Fidel</v>
          </cell>
          <cell r="F1662">
            <v>300</v>
          </cell>
          <cell r="G1662">
            <v>1</v>
          </cell>
          <cell r="H1662">
            <v>300</v>
          </cell>
          <cell r="I1662">
            <v>41462</v>
          </cell>
          <cell r="J1662">
            <v>0</v>
          </cell>
          <cell r="W1662">
            <v>0</v>
          </cell>
          <cell r="AD1662">
            <v>300</v>
          </cell>
          <cell r="AJ1662">
            <v>300</v>
          </cell>
          <cell r="AW1662">
            <v>0</v>
          </cell>
        </row>
        <row r="1663">
          <cell r="B1663">
            <v>5214</v>
          </cell>
          <cell r="C1663" t="str">
            <v>LD_21_</v>
          </cell>
          <cell r="D1663" t="str">
            <v>Rancho Landero No. 21</v>
          </cell>
          <cell r="E1663" t="str">
            <v>Meza</v>
          </cell>
          <cell r="F1663">
            <v>300</v>
          </cell>
          <cell r="G1663">
            <v>1</v>
          </cell>
          <cell r="H1663">
            <v>300</v>
          </cell>
          <cell r="I1663">
            <v>41462</v>
          </cell>
          <cell r="J1663">
            <v>0</v>
          </cell>
          <cell r="W1663">
            <v>0</v>
          </cell>
          <cell r="AD1663">
            <v>300</v>
          </cell>
          <cell r="AJ1663">
            <v>300</v>
          </cell>
          <cell r="AW1663">
            <v>0</v>
          </cell>
        </row>
        <row r="1664">
          <cell r="B1664">
            <v>5215</v>
          </cell>
          <cell r="C1664" t="str">
            <v>CL_46_</v>
          </cell>
          <cell r="D1664" t="str">
            <v>Rancho La Cuchilla No. 46</v>
          </cell>
          <cell r="E1664" t="str">
            <v>Cruz López</v>
          </cell>
          <cell r="F1664">
            <v>300</v>
          </cell>
          <cell r="G1664">
            <v>1</v>
          </cell>
          <cell r="H1664">
            <v>600</v>
          </cell>
          <cell r="I1664">
            <v>41462</v>
          </cell>
          <cell r="J1664">
            <v>0</v>
          </cell>
          <cell r="W1664">
            <v>0</v>
          </cell>
          <cell r="AC1664">
            <v>300</v>
          </cell>
          <cell r="AD1664">
            <v>300</v>
          </cell>
          <cell r="AJ1664">
            <v>600</v>
          </cell>
          <cell r="AW1664">
            <v>0</v>
          </cell>
        </row>
        <row r="1665">
          <cell r="B1665">
            <v>5216</v>
          </cell>
          <cell r="C1665" t="str">
            <v>LD_19_</v>
          </cell>
          <cell r="D1665" t="str">
            <v>Rancho Landero No. 19</v>
          </cell>
          <cell r="E1665" t="str">
            <v>Jiménez Guadarrama</v>
          </cell>
          <cell r="F1665">
            <v>300</v>
          </cell>
          <cell r="G1665">
            <v>1</v>
          </cell>
          <cell r="H1665">
            <v>900</v>
          </cell>
          <cell r="I1665">
            <v>41462</v>
          </cell>
          <cell r="J1665">
            <v>0</v>
          </cell>
          <cell r="W1665">
            <v>0</v>
          </cell>
          <cell r="AA1665">
            <v>300</v>
          </cell>
          <cell r="AB1665">
            <v>300</v>
          </cell>
          <cell r="AC1665">
            <v>300</v>
          </cell>
          <cell r="AJ1665">
            <v>900</v>
          </cell>
          <cell r="AW1665">
            <v>0</v>
          </cell>
        </row>
        <row r="1666">
          <cell r="B1666">
            <v>5217</v>
          </cell>
          <cell r="C1666" t="str">
            <v>EZ_139_</v>
          </cell>
          <cell r="D1666" t="str">
            <v>Rancho Estanzuela No. 139</v>
          </cell>
          <cell r="E1666" t="str">
            <v>Ortiz</v>
          </cell>
          <cell r="F1666">
            <v>300</v>
          </cell>
          <cell r="G1666">
            <v>1</v>
          </cell>
          <cell r="H1666">
            <v>300</v>
          </cell>
          <cell r="I1666">
            <v>41462</v>
          </cell>
          <cell r="J1666">
            <v>0</v>
          </cell>
          <cell r="W1666">
            <v>0</v>
          </cell>
          <cell r="AC1666">
            <v>300</v>
          </cell>
          <cell r="AJ1666">
            <v>300</v>
          </cell>
          <cell r="AW1666">
            <v>0</v>
          </cell>
        </row>
        <row r="1667">
          <cell r="B1667">
            <v>5218</v>
          </cell>
          <cell r="C1667" t="str">
            <v>UP_96_</v>
          </cell>
          <cell r="D1667" t="str">
            <v>Rancho Upácuaro No. 96</v>
          </cell>
          <cell r="E1667" t="str">
            <v>Daza Gutiérrez</v>
          </cell>
          <cell r="F1667">
            <v>300</v>
          </cell>
          <cell r="G1667">
            <v>1</v>
          </cell>
          <cell r="H1667">
            <v>600</v>
          </cell>
          <cell r="I1667">
            <v>41462</v>
          </cell>
          <cell r="J1667">
            <v>0</v>
          </cell>
          <cell r="W1667">
            <v>0</v>
          </cell>
          <cell r="AC1667">
            <v>300</v>
          </cell>
          <cell r="AD1667">
            <v>300</v>
          </cell>
          <cell r="AJ1667">
            <v>600</v>
          </cell>
          <cell r="AW1667">
            <v>0</v>
          </cell>
        </row>
        <row r="1668">
          <cell r="B1668">
            <v>5219</v>
          </cell>
          <cell r="C1668" t="str">
            <v>CL_19_</v>
          </cell>
          <cell r="D1668" t="str">
            <v>Rancho La Cuchilla No. 19</v>
          </cell>
          <cell r="E1668" t="str">
            <v>Tapia Vázquez</v>
          </cell>
          <cell r="F1668">
            <v>300</v>
          </cell>
          <cell r="G1668">
            <v>1</v>
          </cell>
          <cell r="H1668">
            <v>300</v>
          </cell>
          <cell r="I1668">
            <v>41462</v>
          </cell>
          <cell r="J1668">
            <v>0</v>
          </cell>
          <cell r="W1668">
            <v>0</v>
          </cell>
          <cell r="AD1668">
            <v>300</v>
          </cell>
          <cell r="AJ1668">
            <v>300</v>
          </cell>
          <cell r="AW1668">
            <v>0</v>
          </cell>
        </row>
        <row r="1669">
          <cell r="B1669">
            <v>5220</v>
          </cell>
          <cell r="C1669" t="str">
            <v>RM_30_</v>
          </cell>
          <cell r="D1669" t="str">
            <v>Rancho Romeral No. 30</v>
          </cell>
          <cell r="E1669" t="str">
            <v>Osorio</v>
          </cell>
          <cell r="F1669">
            <v>200</v>
          </cell>
          <cell r="G1669">
            <v>1</v>
          </cell>
          <cell r="H1669">
            <v>200</v>
          </cell>
          <cell r="I1669">
            <v>41462</v>
          </cell>
          <cell r="J1669">
            <v>0</v>
          </cell>
          <cell r="W1669">
            <v>0</v>
          </cell>
          <cell r="AC1669">
            <v>200</v>
          </cell>
          <cell r="AJ1669">
            <v>200</v>
          </cell>
          <cell r="AW1669">
            <v>0</v>
          </cell>
        </row>
        <row r="1670">
          <cell r="B1670">
            <v>5221</v>
          </cell>
          <cell r="C1670" t="str">
            <v>CL_82_</v>
          </cell>
          <cell r="D1670" t="str">
            <v>Rancho La Cuchilla No. 82</v>
          </cell>
          <cell r="E1670" t="str">
            <v>Cruz</v>
          </cell>
          <cell r="F1670">
            <v>300</v>
          </cell>
          <cell r="G1670">
            <v>1</v>
          </cell>
          <cell r="H1670">
            <v>900</v>
          </cell>
          <cell r="I1670">
            <v>41462</v>
          </cell>
          <cell r="J1670">
            <v>0</v>
          </cell>
          <cell r="W1670">
            <v>0</v>
          </cell>
          <cell r="AB1670">
            <v>300</v>
          </cell>
          <cell r="AC1670">
            <v>300</v>
          </cell>
          <cell r="AD1670">
            <v>300</v>
          </cell>
          <cell r="AJ1670">
            <v>900</v>
          </cell>
          <cell r="AW1670">
            <v>0</v>
          </cell>
        </row>
        <row r="1671">
          <cell r="B1671">
            <v>5222</v>
          </cell>
          <cell r="C1671" t="str">
            <v>ZB_56_</v>
          </cell>
          <cell r="D1671" t="str">
            <v>Rancho Zinamba No. 56</v>
          </cell>
          <cell r="E1671" t="str">
            <v>Aguado</v>
          </cell>
          <cell r="F1671">
            <v>250</v>
          </cell>
          <cell r="G1671">
            <v>1</v>
          </cell>
          <cell r="H1671">
            <v>250</v>
          </cell>
          <cell r="I1671">
            <v>41462</v>
          </cell>
          <cell r="J1671">
            <v>0</v>
          </cell>
          <cell r="W1671">
            <v>0</v>
          </cell>
          <cell r="AD1671">
            <v>250</v>
          </cell>
          <cell r="AJ1671">
            <v>250</v>
          </cell>
          <cell r="AW1671">
            <v>0</v>
          </cell>
        </row>
        <row r="1672">
          <cell r="B1672">
            <v>5223</v>
          </cell>
          <cell r="C1672" t="str">
            <v>UP_47_</v>
          </cell>
          <cell r="D1672" t="str">
            <v>Rancho Upácuaro No. 47</v>
          </cell>
          <cell r="E1672" t="str">
            <v>Flores Muñoz</v>
          </cell>
          <cell r="F1672">
            <v>300</v>
          </cell>
          <cell r="G1672">
            <v>1</v>
          </cell>
          <cell r="H1672">
            <v>300</v>
          </cell>
          <cell r="I1672">
            <v>41462</v>
          </cell>
          <cell r="J1672">
            <v>0</v>
          </cell>
          <cell r="W1672">
            <v>0</v>
          </cell>
          <cell r="AD1672">
            <v>300</v>
          </cell>
          <cell r="AJ1672">
            <v>300</v>
          </cell>
          <cell r="AW1672">
            <v>0</v>
          </cell>
        </row>
        <row r="1673">
          <cell r="B1673">
            <v>5224</v>
          </cell>
          <cell r="C1673" t="str">
            <v>EZ_91_</v>
          </cell>
          <cell r="D1673" t="str">
            <v>Rancho Estanzuela No. 91</v>
          </cell>
          <cell r="E1673" t="str">
            <v>Lobato Torres</v>
          </cell>
          <cell r="F1673">
            <v>300</v>
          </cell>
          <cell r="G1673">
            <v>1</v>
          </cell>
          <cell r="H1673">
            <v>300</v>
          </cell>
          <cell r="I1673">
            <v>41462</v>
          </cell>
          <cell r="J1673">
            <v>0</v>
          </cell>
          <cell r="W1673">
            <v>0</v>
          </cell>
          <cell r="AD1673">
            <v>300</v>
          </cell>
          <cell r="AJ1673">
            <v>300</v>
          </cell>
          <cell r="AW1673">
            <v>0</v>
          </cell>
        </row>
        <row r="1674">
          <cell r="B1674">
            <v>5225</v>
          </cell>
          <cell r="C1674" t="str">
            <v>EZ_57_</v>
          </cell>
          <cell r="D1674" t="str">
            <v>Rancho Estanzuela No. 57</v>
          </cell>
          <cell r="E1674" t="str">
            <v>Olivares</v>
          </cell>
          <cell r="F1674">
            <v>300</v>
          </cell>
          <cell r="G1674">
            <v>1</v>
          </cell>
          <cell r="H1674">
            <v>600</v>
          </cell>
          <cell r="I1674">
            <v>41462</v>
          </cell>
          <cell r="J1674">
            <v>0</v>
          </cell>
          <cell r="W1674">
            <v>0</v>
          </cell>
          <cell r="AB1674">
            <v>300</v>
          </cell>
          <cell r="AC1674">
            <v>300</v>
          </cell>
          <cell r="AJ1674">
            <v>600</v>
          </cell>
          <cell r="AW1674">
            <v>0</v>
          </cell>
        </row>
        <row r="1675">
          <cell r="B1675">
            <v>5226</v>
          </cell>
          <cell r="C1675" t="str">
            <v>UP_63_</v>
          </cell>
          <cell r="D1675" t="str">
            <v>Rancho Upácuaro No. 63</v>
          </cell>
          <cell r="E1675" t="str">
            <v>González Benavides</v>
          </cell>
          <cell r="F1675">
            <v>300</v>
          </cell>
          <cell r="G1675">
            <v>1</v>
          </cell>
          <cell r="H1675">
            <v>900</v>
          </cell>
          <cell r="I1675">
            <v>41462</v>
          </cell>
          <cell r="J1675">
            <v>0</v>
          </cell>
          <cell r="W1675">
            <v>0</v>
          </cell>
          <cell r="AD1675">
            <v>300</v>
          </cell>
          <cell r="AE1675">
            <v>300</v>
          </cell>
          <cell r="AF1675">
            <v>300</v>
          </cell>
          <cell r="AJ1675">
            <v>900</v>
          </cell>
          <cell r="AW1675">
            <v>0</v>
          </cell>
        </row>
        <row r="1676">
          <cell r="B1676">
            <v>5227</v>
          </cell>
          <cell r="C1676" t="str">
            <v>EZ_157_3</v>
          </cell>
          <cell r="D1676" t="str">
            <v>Rancho Estanzuela No. 157, 3</v>
          </cell>
          <cell r="E1676" t="str">
            <v>Conde</v>
          </cell>
          <cell r="F1676">
            <v>0</v>
          </cell>
          <cell r="G1676">
            <v>5</v>
          </cell>
          <cell r="H1676">
            <v>20</v>
          </cell>
          <cell r="I1676">
            <v>41462</v>
          </cell>
          <cell r="J1676" t="str">
            <v>NO SUMA</v>
          </cell>
          <cell r="W1676">
            <v>0</v>
          </cell>
          <cell r="AJ1676">
            <v>0</v>
          </cell>
          <cell r="AW1676">
            <v>0</v>
          </cell>
        </row>
        <row r="1677">
          <cell r="B1677">
            <v>5228</v>
          </cell>
          <cell r="C1677" t="str">
            <v>LD_18_</v>
          </cell>
          <cell r="D1677" t="str">
            <v>Rancho Landero No. 18</v>
          </cell>
          <cell r="E1677" t="str">
            <v>Rosado</v>
          </cell>
          <cell r="F1677">
            <v>250</v>
          </cell>
          <cell r="G1677">
            <v>1</v>
          </cell>
          <cell r="H1677">
            <v>250</v>
          </cell>
          <cell r="I1677">
            <v>41462</v>
          </cell>
          <cell r="J1677">
            <v>0</v>
          </cell>
          <cell r="W1677">
            <v>0</v>
          </cell>
          <cell r="AD1677">
            <v>250</v>
          </cell>
          <cell r="AJ1677">
            <v>250</v>
          </cell>
          <cell r="AW1677">
            <v>0</v>
          </cell>
        </row>
        <row r="1678">
          <cell r="B1678">
            <v>5229</v>
          </cell>
          <cell r="C1678" t="str">
            <v>CL_87_</v>
          </cell>
          <cell r="D1678" t="str">
            <v>Rancho La Cuchilla No. 87</v>
          </cell>
          <cell r="E1678" t="str">
            <v>Villanueva S.</v>
          </cell>
          <cell r="F1678">
            <v>300</v>
          </cell>
          <cell r="G1678">
            <v>1</v>
          </cell>
          <cell r="H1678">
            <v>300</v>
          </cell>
          <cell r="I1678">
            <v>41462</v>
          </cell>
          <cell r="J1678">
            <v>0</v>
          </cell>
          <cell r="W1678">
            <v>0</v>
          </cell>
          <cell r="AD1678">
            <v>300</v>
          </cell>
          <cell r="AJ1678">
            <v>300</v>
          </cell>
          <cell r="AW1678">
            <v>0</v>
          </cell>
        </row>
        <row r="1679">
          <cell r="B1679">
            <v>5230</v>
          </cell>
          <cell r="C1679" t="str">
            <v>EZ_31_</v>
          </cell>
          <cell r="D1679" t="str">
            <v>Rancho Estanzuela No. 31</v>
          </cell>
          <cell r="E1679" t="str">
            <v>Chávez Valdés</v>
          </cell>
          <cell r="F1679">
            <v>300</v>
          </cell>
          <cell r="G1679">
            <v>1</v>
          </cell>
          <cell r="H1679">
            <v>300</v>
          </cell>
          <cell r="I1679">
            <v>41462</v>
          </cell>
          <cell r="J1679">
            <v>0</v>
          </cell>
          <cell r="W1679">
            <v>0</v>
          </cell>
          <cell r="AD1679">
            <v>300</v>
          </cell>
          <cell r="AJ1679">
            <v>300</v>
          </cell>
          <cell r="AW1679">
            <v>0</v>
          </cell>
        </row>
        <row r="1680">
          <cell r="B1680">
            <v>5231</v>
          </cell>
          <cell r="C1680" t="str">
            <v>LD_7_</v>
          </cell>
          <cell r="D1680" t="str">
            <v>Rancho Landero No. 7</v>
          </cell>
          <cell r="E1680" t="str">
            <v>Robles</v>
          </cell>
          <cell r="F1680">
            <v>150</v>
          </cell>
          <cell r="G1680">
            <v>1</v>
          </cell>
          <cell r="H1680">
            <v>150</v>
          </cell>
          <cell r="I1680">
            <v>41462</v>
          </cell>
          <cell r="J1680">
            <v>0</v>
          </cell>
          <cell r="W1680">
            <v>0</v>
          </cell>
          <cell r="AD1680">
            <v>150</v>
          </cell>
          <cell r="AJ1680">
            <v>150</v>
          </cell>
          <cell r="AW1680">
            <v>0</v>
          </cell>
        </row>
        <row r="1681">
          <cell r="B1681">
            <v>5232</v>
          </cell>
          <cell r="C1681" t="str">
            <v>RV_175_B</v>
          </cell>
          <cell r="D1681" t="str">
            <v>Rancho Recoveco No. 175, B</v>
          </cell>
          <cell r="E1681" t="str">
            <v>García Calderón</v>
          </cell>
          <cell r="F1681">
            <v>150</v>
          </cell>
          <cell r="G1681">
            <v>1</v>
          </cell>
          <cell r="H1681">
            <v>150</v>
          </cell>
          <cell r="I1681">
            <v>41469</v>
          </cell>
          <cell r="J1681">
            <v>0</v>
          </cell>
          <cell r="W1681">
            <v>0</v>
          </cell>
          <cell r="AD1681">
            <v>150</v>
          </cell>
          <cell r="AJ1681">
            <v>150</v>
          </cell>
          <cell r="AW1681">
            <v>0</v>
          </cell>
        </row>
        <row r="1682">
          <cell r="B1682">
            <v>5233</v>
          </cell>
          <cell r="C1682" t="str">
            <v>ZB_14_</v>
          </cell>
          <cell r="D1682" t="str">
            <v>Rancho Zinamba No. 14</v>
          </cell>
          <cell r="E1682" t="str">
            <v>Gutiérrez García</v>
          </cell>
          <cell r="F1682">
            <v>300</v>
          </cell>
          <cell r="G1682">
            <v>1</v>
          </cell>
          <cell r="H1682">
            <v>600</v>
          </cell>
          <cell r="I1682">
            <v>41469</v>
          </cell>
          <cell r="J1682">
            <v>0</v>
          </cell>
          <cell r="W1682">
            <v>0</v>
          </cell>
          <cell r="AC1682">
            <v>300</v>
          </cell>
          <cell r="AD1682">
            <v>300</v>
          </cell>
          <cell r="AJ1682">
            <v>600</v>
          </cell>
          <cell r="AW1682">
            <v>0</v>
          </cell>
        </row>
        <row r="1683">
          <cell r="B1683">
            <v>5233</v>
          </cell>
          <cell r="C1683" t="str">
            <v>ZB_14_</v>
          </cell>
          <cell r="D1683" t="str">
            <v>Rancho Zinamba No. 14</v>
          </cell>
          <cell r="E1683" t="str">
            <v>Gutiérrez García</v>
          </cell>
          <cell r="F1683">
            <v>300</v>
          </cell>
          <cell r="G1683">
            <v>3</v>
          </cell>
          <cell r="H1683">
            <v>150</v>
          </cell>
          <cell r="I1683">
            <v>41469</v>
          </cell>
          <cell r="J1683" t="str">
            <v>NO SUMA</v>
          </cell>
          <cell r="W1683">
            <v>0</v>
          </cell>
          <cell r="AJ1683">
            <v>0</v>
          </cell>
          <cell r="AW1683">
            <v>0</v>
          </cell>
        </row>
        <row r="1684">
          <cell r="B1684">
            <v>5234</v>
          </cell>
          <cell r="C1684" t="str">
            <v>EZ_161_1</v>
          </cell>
          <cell r="D1684" t="str">
            <v>Rancho Estanzuela No. 161, 1</v>
          </cell>
          <cell r="E1684" t="str">
            <v>Guevara</v>
          </cell>
          <cell r="F1684">
            <v>150</v>
          </cell>
          <cell r="G1684">
            <v>1</v>
          </cell>
          <cell r="H1684">
            <v>150</v>
          </cell>
          <cell r="I1684">
            <v>41469</v>
          </cell>
          <cell r="J1684">
            <v>0</v>
          </cell>
          <cell r="W1684">
            <v>0</v>
          </cell>
          <cell r="AD1684">
            <v>150</v>
          </cell>
          <cell r="AJ1684">
            <v>150</v>
          </cell>
          <cell r="AW1684">
            <v>0</v>
          </cell>
        </row>
        <row r="1685">
          <cell r="B1685">
            <v>5235</v>
          </cell>
          <cell r="C1685" t="str">
            <v>UP_85_</v>
          </cell>
          <cell r="D1685" t="str">
            <v>Rancho Upácuaro No. 85</v>
          </cell>
          <cell r="E1685" t="str">
            <v>Del Toro Huerta</v>
          </cell>
          <cell r="F1685">
            <v>300</v>
          </cell>
          <cell r="G1685">
            <v>1</v>
          </cell>
          <cell r="H1685">
            <v>300</v>
          </cell>
          <cell r="I1685">
            <v>41469</v>
          </cell>
          <cell r="J1685">
            <v>0</v>
          </cell>
          <cell r="W1685">
            <v>0</v>
          </cell>
          <cell r="AD1685">
            <v>300</v>
          </cell>
          <cell r="AJ1685">
            <v>300</v>
          </cell>
          <cell r="AW1685">
            <v>0</v>
          </cell>
        </row>
        <row r="1686">
          <cell r="B1686">
            <v>5236</v>
          </cell>
          <cell r="C1686" t="str">
            <v>ZB_80_</v>
          </cell>
          <cell r="D1686" t="str">
            <v>Rancho Zinamba No. 80</v>
          </cell>
          <cell r="E1686" t="str">
            <v>Vázquez</v>
          </cell>
          <cell r="F1686">
            <v>250</v>
          </cell>
          <cell r="G1686">
            <v>1</v>
          </cell>
          <cell r="H1686">
            <v>250</v>
          </cell>
          <cell r="I1686">
            <v>41469</v>
          </cell>
          <cell r="J1686">
            <v>0</v>
          </cell>
          <cell r="W1686">
            <v>0</v>
          </cell>
          <cell r="AD1686">
            <v>250</v>
          </cell>
          <cell r="AJ1686">
            <v>250</v>
          </cell>
          <cell r="AW1686">
            <v>0</v>
          </cell>
        </row>
        <row r="1687">
          <cell r="B1687">
            <v>5237</v>
          </cell>
          <cell r="C1687" t="str">
            <v>UP_75_</v>
          </cell>
          <cell r="D1687" t="str">
            <v>Rancho Upácuaro No. 75</v>
          </cell>
          <cell r="E1687" t="str">
            <v>Montaño Zetina</v>
          </cell>
          <cell r="F1687">
            <v>300</v>
          </cell>
          <cell r="G1687">
            <v>1</v>
          </cell>
          <cell r="H1687">
            <v>900</v>
          </cell>
          <cell r="I1687">
            <v>41469</v>
          </cell>
          <cell r="J1687">
            <v>0</v>
          </cell>
          <cell r="W1687">
            <v>0</v>
          </cell>
          <cell r="AC1687">
            <v>300</v>
          </cell>
          <cell r="AD1687">
            <v>300</v>
          </cell>
          <cell r="AE1687">
            <v>300</v>
          </cell>
          <cell r="AJ1687">
            <v>900</v>
          </cell>
          <cell r="AW1687">
            <v>0</v>
          </cell>
        </row>
        <row r="1688">
          <cell r="B1688">
            <v>5238</v>
          </cell>
          <cell r="C1688" t="str">
            <v>CL_45_</v>
          </cell>
          <cell r="D1688" t="str">
            <v>Rancho La Cuchilla No. 45</v>
          </cell>
          <cell r="E1688" t="str">
            <v>Estévez Hernández</v>
          </cell>
          <cell r="F1688">
            <v>300</v>
          </cell>
          <cell r="G1688">
            <v>1</v>
          </cell>
          <cell r="H1688">
            <v>300</v>
          </cell>
          <cell r="I1688">
            <v>41469</v>
          </cell>
          <cell r="J1688">
            <v>0</v>
          </cell>
          <cell r="W1688">
            <v>0</v>
          </cell>
          <cell r="AD1688">
            <v>300</v>
          </cell>
          <cell r="AJ1688">
            <v>300</v>
          </cell>
          <cell r="AW1688">
            <v>0</v>
          </cell>
        </row>
        <row r="1689">
          <cell r="B1689">
            <v>5239</v>
          </cell>
          <cell r="C1689" t="str">
            <v>EZ_99_</v>
          </cell>
          <cell r="D1689" t="str">
            <v>Rancho Estanzuela No. 99</v>
          </cell>
          <cell r="E1689" t="str">
            <v>García López</v>
          </cell>
          <cell r="F1689">
            <v>300</v>
          </cell>
          <cell r="G1689">
            <v>1</v>
          </cell>
          <cell r="H1689">
            <v>600</v>
          </cell>
          <cell r="I1689">
            <v>41469</v>
          </cell>
          <cell r="J1689">
            <v>0</v>
          </cell>
          <cell r="W1689">
            <v>0</v>
          </cell>
          <cell r="AC1689">
            <v>300</v>
          </cell>
          <cell r="AD1689">
            <v>300</v>
          </cell>
          <cell r="AJ1689">
            <v>600</v>
          </cell>
          <cell r="AW1689">
            <v>0</v>
          </cell>
        </row>
        <row r="1690">
          <cell r="B1690">
            <v>5240</v>
          </cell>
          <cell r="C1690" t="str">
            <v>ZB_38_</v>
          </cell>
          <cell r="D1690" t="str">
            <v>Rancho Zinamba No. 38</v>
          </cell>
          <cell r="E1690" t="str">
            <v>Ramírez Díaz</v>
          </cell>
          <cell r="F1690">
            <v>300</v>
          </cell>
          <cell r="G1690">
            <v>1</v>
          </cell>
          <cell r="H1690">
            <v>300</v>
          </cell>
          <cell r="I1690">
            <v>41469</v>
          </cell>
          <cell r="J1690">
            <v>0</v>
          </cell>
          <cell r="W1690">
            <v>0</v>
          </cell>
          <cell r="AD1690">
            <v>300</v>
          </cell>
          <cell r="AJ1690">
            <v>300</v>
          </cell>
          <cell r="AW1690">
            <v>0</v>
          </cell>
        </row>
        <row r="1691">
          <cell r="B1691">
            <v>5241</v>
          </cell>
          <cell r="C1691" t="str">
            <v>UP_80_</v>
          </cell>
          <cell r="D1691" t="str">
            <v>Rancho Upácuaro No. 80</v>
          </cell>
          <cell r="E1691" t="str">
            <v>De los Ríos</v>
          </cell>
          <cell r="F1691">
            <v>300</v>
          </cell>
          <cell r="G1691">
            <v>1</v>
          </cell>
          <cell r="H1691">
            <v>300</v>
          </cell>
          <cell r="I1691">
            <v>41469</v>
          </cell>
          <cell r="J1691">
            <v>0</v>
          </cell>
          <cell r="W1691">
            <v>0</v>
          </cell>
          <cell r="AD1691">
            <v>300</v>
          </cell>
          <cell r="AJ1691">
            <v>300</v>
          </cell>
          <cell r="AW1691">
            <v>0</v>
          </cell>
        </row>
        <row r="1692">
          <cell r="B1692">
            <v>5242</v>
          </cell>
          <cell r="C1692" t="str">
            <v>UP_114_</v>
          </cell>
          <cell r="D1692" t="str">
            <v>Rancho Upácuaro No. 114</v>
          </cell>
          <cell r="E1692" t="str">
            <v>Hernández Cornejo</v>
          </cell>
          <cell r="F1692">
            <v>300</v>
          </cell>
          <cell r="G1692">
            <v>1</v>
          </cell>
          <cell r="H1692">
            <v>300</v>
          </cell>
          <cell r="I1692">
            <v>41469</v>
          </cell>
          <cell r="J1692">
            <v>0</v>
          </cell>
          <cell r="W1692">
            <v>0</v>
          </cell>
          <cell r="AD1692">
            <v>300</v>
          </cell>
          <cell r="AJ1692">
            <v>300</v>
          </cell>
          <cell r="AW1692">
            <v>0</v>
          </cell>
        </row>
        <row r="1693">
          <cell r="B1693">
            <v>5243</v>
          </cell>
          <cell r="C1693" t="str">
            <v>LD_51_</v>
          </cell>
          <cell r="D1693" t="str">
            <v>Rancho Landero No. 51</v>
          </cell>
          <cell r="E1693" t="str">
            <v>H. Robles Tamayo</v>
          </cell>
          <cell r="F1693">
            <v>300</v>
          </cell>
          <cell r="G1693">
            <v>1</v>
          </cell>
          <cell r="H1693">
            <v>300</v>
          </cell>
          <cell r="I1693">
            <v>41469</v>
          </cell>
          <cell r="J1693">
            <v>0</v>
          </cell>
          <cell r="W1693">
            <v>0</v>
          </cell>
          <cell r="AD1693">
            <v>300</v>
          </cell>
          <cell r="AJ1693">
            <v>300</v>
          </cell>
          <cell r="AW1693">
            <v>0</v>
          </cell>
        </row>
        <row r="1694">
          <cell r="B1694">
            <v>5244</v>
          </cell>
          <cell r="C1694" t="str">
            <v>EZ_133_B</v>
          </cell>
          <cell r="D1694" t="str">
            <v>Rancho Estanzuela No. 133, B</v>
          </cell>
          <cell r="E1694" t="str">
            <v>Hernández Salazar</v>
          </cell>
          <cell r="F1694">
            <v>250</v>
          </cell>
          <cell r="G1694">
            <v>1</v>
          </cell>
          <cell r="H1694">
            <v>500</v>
          </cell>
          <cell r="I1694">
            <v>41469</v>
          </cell>
          <cell r="J1694">
            <v>0</v>
          </cell>
          <cell r="W1694">
            <v>0</v>
          </cell>
          <cell r="AC1694">
            <v>250</v>
          </cell>
          <cell r="AD1694">
            <v>250</v>
          </cell>
          <cell r="AJ1694">
            <v>500</v>
          </cell>
          <cell r="AW1694">
            <v>0</v>
          </cell>
        </row>
        <row r="1695">
          <cell r="B1695">
            <v>5245</v>
          </cell>
          <cell r="C1695" t="str">
            <v>CL_148_</v>
          </cell>
          <cell r="D1695" t="str">
            <v>Rancho La Cuchilla No. 148</v>
          </cell>
          <cell r="E1695" t="str">
            <v>Vázquez Vázquez</v>
          </cell>
          <cell r="F1695">
            <v>300</v>
          </cell>
          <cell r="G1695">
            <v>1</v>
          </cell>
          <cell r="H1695">
            <v>900</v>
          </cell>
          <cell r="I1695">
            <v>41469</v>
          </cell>
          <cell r="J1695">
            <v>0</v>
          </cell>
          <cell r="W1695">
            <v>0</v>
          </cell>
          <cell r="AB1695">
            <v>300</v>
          </cell>
          <cell r="AC1695">
            <v>300</v>
          </cell>
          <cell r="AD1695">
            <v>300</v>
          </cell>
          <cell r="AJ1695">
            <v>900</v>
          </cell>
          <cell r="AW1695">
            <v>0</v>
          </cell>
        </row>
        <row r="1696">
          <cell r="B1696">
            <v>5246</v>
          </cell>
          <cell r="C1696" t="str">
            <v>ZB_26_</v>
          </cell>
          <cell r="D1696" t="str">
            <v>Rancho Zinamba No. 26</v>
          </cell>
          <cell r="E1696" t="str">
            <v>Ayala</v>
          </cell>
          <cell r="F1696">
            <v>300</v>
          </cell>
          <cell r="G1696">
            <v>1</v>
          </cell>
          <cell r="H1696">
            <v>600</v>
          </cell>
          <cell r="I1696">
            <v>41469</v>
          </cell>
          <cell r="J1696">
            <v>0</v>
          </cell>
          <cell r="W1696">
            <v>0</v>
          </cell>
          <cell r="AB1696">
            <v>300</v>
          </cell>
          <cell r="AC1696">
            <v>300</v>
          </cell>
          <cell r="AJ1696">
            <v>600</v>
          </cell>
          <cell r="AW1696">
            <v>0</v>
          </cell>
        </row>
        <row r="1697">
          <cell r="B1697">
            <v>5247</v>
          </cell>
          <cell r="C1697" t="str">
            <v>LD_91_</v>
          </cell>
          <cell r="D1697" t="str">
            <v>Rancho Landero No. 91</v>
          </cell>
          <cell r="E1697" t="str">
            <v>Llaca</v>
          </cell>
          <cell r="F1697">
            <v>300</v>
          </cell>
          <cell r="G1697">
            <v>1</v>
          </cell>
          <cell r="H1697">
            <v>600</v>
          </cell>
          <cell r="I1697">
            <v>41469</v>
          </cell>
          <cell r="J1697">
            <v>0</v>
          </cell>
          <cell r="W1697">
            <v>0</v>
          </cell>
          <cell r="AD1697">
            <v>300</v>
          </cell>
          <cell r="AE1697">
            <v>300</v>
          </cell>
          <cell r="AJ1697">
            <v>600</v>
          </cell>
          <cell r="AW1697">
            <v>0</v>
          </cell>
        </row>
        <row r="1698">
          <cell r="B1698">
            <v>5248</v>
          </cell>
          <cell r="C1698" t="str">
            <v>ZB_84_</v>
          </cell>
          <cell r="D1698" t="str">
            <v>Rancho Zinamba No. 84</v>
          </cell>
          <cell r="E1698" t="str">
            <v>Lobato</v>
          </cell>
          <cell r="F1698">
            <v>300</v>
          </cell>
          <cell r="G1698">
            <v>1</v>
          </cell>
          <cell r="H1698">
            <v>600</v>
          </cell>
          <cell r="I1698">
            <v>41469</v>
          </cell>
          <cell r="J1698">
            <v>0</v>
          </cell>
          <cell r="W1698">
            <v>0</v>
          </cell>
          <cell r="AB1698">
            <v>300</v>
          </cell>
          <cell r="AC1698">
            <v>300</v>
          </cell>
          <cell r="AJ1698">
            <v>600</v>
          </cell>
          <cell r="AW1698">
            <v>0</v>
          </cell>
        </row>
        <row r="1699">
          <cell r="B1699">
            <v>5249</v>
          </cell>
          <cell r="C1699" t="str">
            <v>UP_116_</v>
          </cell>
          <cell r="D1699" t="str">
            <v>Rancho Upácuaro No. 116</v>
          </cell>
          <cell r="E1699" t="str">
            <v>García Zamudio</v>
          </cell>
          <cell r="F1699">
            <v>300</v>
          </cell>
          <cell r="G1699">
            <v>1</v>
          </cell>
          <cell r="H1699">
            <v>300</v>
          </cell>
          <cell r="I1699">
            <v>41469</v>
          </cell>
          <cell r="J1699">
            <v>0</v>
          </cell>
          <cell r="W1699">
            <v>0</v>
          </cell>
          <cell r="AD1699">
            <v>300</v>
          </cell>
          <cell r="AJ1699">
            <v>300</v>
          </cell>
          <cell r="AW1699">
            <v>0</v>
          </cell>
        </row>
        <row r="1700">
          <cell r="B1700">
            <v>5250</v>
          </cell>
          <cell r="C1700" t="str">
            <v>ZB_34_</v>
          </cell>
          <cell r="D1700" t="str">
            <v>Rancho Zinamba No. 34</v>
          </cell>
          <cell r="E1700" t="str">
            <v>Torres Zavala</v>
          </cell>
          <cell r="F1700">
            <v>300</v>
          </cell>
          <cell r="G1700">
            <v>1</v>
          </cell>
          <cell r="H1700">
            <v>300</v>
          </cell>
          <cell r="I1700">
            <v>41469</v>
          </cell>
          <cell r="J1700">
            <v>0</v>
          </cell>
          <cell r="W1700">
            <v>0</v>
          </cell>
          <cell r="AD1700">
            <v>300</v>
          </cell>
          <cell r="AJ1700">
            <v>300</v>
          </cell>
          <cell r="AW1700">
            <v>0</v>
          </cell>
        </row>
        <row r="1701">
          <cell r="B1701">
            <v>5251</v>
          </cell>
          <cell r="C1701" t="str">
            <v>LD_71_</v>
          </cell>
          <cell r="D1701" t="str">
            <v>Rancho Landero No. 71</v>
          </cell>
          <cell r="E1701" t="str">
            <v>Cabrera Balcázar</v>
          </cell>
          <cell r="F1701">
            <v>300</v>
          </cell>
          <cell r="G1701">
            <v>1</v>
          </cell>
          <cell r="H1701">
            <v>300</v>
          </cell>
          <cell r="I1701">
            <v>41469</v>
          </cell>
          <cell r="J1701">
            <v>0</v>
          </cell>
          <cell r="W1701">
            <v>0</v>
          </cell>
          <cell r="AD1701">
            <v>300</v>
          </cell>
          <cell r="AJ1701">
            <v>300</v>
          </cell>
          <cell r="AW1701">
            <v>0</v>
          </cell>
        </row>
        <row r="1702">
          <cell r="B1702">
            <v>5252</v>
          </cell>
          <cell r="C1702" t="str">
            <v>LD_84_</v>
          </cell>
          <cell r="D1702" t="str">
            <v>Rancho Landero No. 84</v>
          </cell>
          <cell r="E1702" t="str">
            <v>Alcántara</v>
          </cell>
          <cell r="F1702">
            <v>300</v>
          </cell>
          <cell r="G1702">
            <v>1</v>
          </cell>
          <cell r="H1702">
            <v>600</v>
          </cell>
          <cell r="I1702">
            <v>41469</v>
          </cell>
          <cell r="J1702">
            <v>0</v>
          </cell>
          <cell r="W1702">
            <v>0</v>
          </cell>
          <cell r="AC1702">
            <v>300</v>
          </cell>
          <cell r="AD1702">
            <v>300</v>
          </cell>
          <cell r="AJ1702">
            <v>600</v>
          </cell>
          <cell r="AW1702">
            <v>0</v>
          </cell>
        </row>
        <row r="1703">
          <cell r="B1703">
            <v>5253</v>
          </cell>
          <cell r="C1703" t="str">
            <v>UP_104_</v>
          </cell>
          <cell r="D1703" t="str">
            <v>Rancho Upácuaro No. 104</v>
          </cell>
          <cell r="E1703" t="str">
            <v>Jiménez Almazo</v>
          </cell>
          <cell r="F1703">
            <v>300</v>
          </cell>
          <cell r="G1703">
            <v>1</v>
          </cell>
          <cell r="H1703">
            <v>900</v>
          </cell>
          <cell r="I1703">
            <v>41469</v>
          </cell>
          <cell r="J1703">
            <v>0</v>
          </cell>
          <cell r="W1703">
            <v>0</v>
          </cell>
          <cell r="AB1703">
            <v>300</v>
          </cell>
          <cell r="AC1703">
            <v>300</v>
          </cell>
          <cell r="AD1703">
            <v>300</v>
          </cell>
          <cell r="AJ1703">
            <v>900</v>
          </cell>
          <cell r="AW1703">
            <v>0</v>
          </cell>
        </row>
        <row r="1704">
          <cell r="B1704">
            <v>5254</v>
          </cell>
          <cell r="C1704" t="str">
            <v>CL_110_</v>
          </cell>
          <cell r="D1704" t="str">
            <v>Rancho La Cuchilla No. 110</v>
          </cell>
          <cell r="E1704" t="str">
            <v>Domínguez Canudas</v>
          </cell>
          <cell r="F1704">
            <v>300</v>
          </cell>
          <cell r="G1704">
            <v>1</v>
          </cell>
          <cell r="H1704">
            <v>300</v>
          </cell>
          <cell r="I1704">
            <v>41469</v>
          </cell>
          <cell r="J1704">
            <v>0</v>
          </cell>
          <cell r="W1704">
            <v>0</v>
          </cell>
          <cell r="AD1704">
            <v>300</v>
          </cell>
          <cell r="AJ1704">
            <v>300</v>
          </cell>
          <cell r="AW1704">
            <v>0</v>
          </cell>
        </row>
        <row r="1705">
          <cell r="B1705">
            <v>5255</v>
          </cell>
          <cell r="C1705" t="str">
            <v>UP_33_</v>
          </cell>
          <cell r="D1705" t="str">
            <v>Rancho Upácuaro No. 33</v>
          </cell>
          <cell r="E1705" t="str">
            <v>Ulloa Miranda</v>
          </cell>
          <cell r="F1705">
            <v>300</v>
          </cell>
          <cell r="G1705">
            <v>1</v>
          </cell>
          <cell r="H1705">
            <v>600</v>
          </cell>
          <cell r="I1705">
            <v>41469</v>
          </cell>
          <cell r="J1705">
            <v>0</v>
          </cell>
          <cell r="W1705">
            <v>0</v>
          </cell>
          <cell r="AD1705">
            <v>300</v>
          </cell>
          <cell r="AE1705">
            <v>300</v>
          </cell>
          <cell r="AJ1705">
            <v>600</v>
          </cell>
          <cell r="AW1705">
            <v>0</v>
          </cell>
        </row>
        <row r="1706">
          <cell r="B1706">
            <v>5256</v>
          </cell>
          <cell r="C1706" t="str">
            <v>UP_60_</v>
          </cell>
          <cell r="D1706" t="str">
            <v>Rancho Upácuaro No. 60</v>
          </cell>
          <cell r="E1706" t="str">
            <v>Zavala</v>
          </cell>
          <cell r="F1706">
            <v>300</v>
          </cell>
          <cell r="G1706">
            <v>1</v>
          </cell>
          <cell r="H1706">
            <v>300</v>
          </cell>
          <cell r="I1706">
            <v>41469</v>
          </cell>
          <cell r="J1706">
            <v>0</v>
          </cell>
          <cell r="W1706">
            <v>0</v>
          </cell>
          <cell r="AD1706">
            <v>300</v>
          </cell>
          <cell r="AJ1706">
            <v>300</v>
          </cell>
          <cell r="AW1706">
            <v>0</v>
          </cell>
        </row>
        <row r="1707">
          <cell r="B1707">
            <v>5257</v>
          </cell>
          <cell r="C1707" t="str">
            <v>ZB_42_</v>
          </cell>
          <cell r="D1707" t="str">
            <v>Rancho Zinamba No. 42</v>
          </cell>
          <cell r="E1707" t="str">
            <v>López Aldave</v>
          </cell>
          <cell r="F1707">
            <v>250</v>
          </cell>
          <cell r="G1707">
            <v>1</v>
          </cell>
          <cell r="H1707">
            <v>250</v>
          </cell>
          <cell r="I1707">
            <v>41469</v>
          </cell>
          <cell r="J1707">
            <v>0</v>
          </cell>
          <cell r="W1707">
            <v>0</v>
          </cell>
          <cell r="AD1707">
            <v>250</v>
          </cell>
          <cell r="AJ1707">
            <v>250</v>
          </cell>
          <cell r="AW1707">
            <v>0</v>
          </cell>
        </row>
        <row r="1708">
          <cell r="B1708">
            <v>5258</v>
          </cell>
          <cell r="C1708" t="str">
            <v>EZ_25_</v>
          </cell>
          <cell r="D1708" t="str">
            <v>Rancho Estanzuela No. 25</v>
          </cell>
          <cell r="E1708" t="str">
            <v>Contreras Figueroa</v>
          </cell>
          <cell r="F1708">
            <v>300</v>
          </cell>
          <cell r="G1708">
            <v>1</v>
          </cell>
          <cell r="H1708">
            <v>300</v>
          </cell>
          <cell r="I1708">
            <v>41469</v>
          </cell>
          <cell r="J1708">
            <v>0</v>
          </cell>
          <cell r="W1708">
            <v>0</v>
          </cell>
          <cell r="AD1708">
            <v>300</v>
          </cell>
          <cell r="AJ1708">
            <v>300</v>
          </cell>
          <cell r="AW1708">
            <v>0</v>
          </cell>
        </row>
        <row r="1709">
          <cell r="B1709">
            <v>5259</v>
          </cell>
          <cell r="C1709" t="str">
            <v>CL_94_</v>
          </cell>
          <cell r="D1709" t="str">
            <v>Rancho La Cuchilla No. 94</v>
          </cell>
          <cell r="E1709" t="str">
            <v>Sánchez Márquez</v>
          </cell>
          <cell r="F1709">
            <v>300</v>
          </cell>
          <cell r="G1709">
            <v>1</v>
          </cell>
          <cell r="H1709">
            <v>600</v>
          </cell>
          <cell r="I1709">
            <v>41469</v>
          </cell>
          <cell r="J1709">
            <v>0</v>
          </cell>
          <cell r="W1709">
            <v>0</v>
          </cell>
          <cell r="AD1709">
            <v>300</v>
          </cell>
          <cell r="AE1709">
            <v>300</v>
          </cell>
          <cell r="AJ1709">
            <v>600</v>
          </cell>
          <cell r="AW1709">
            <v>0</v>
          </cell>
        </row>
        <row r="1710">
          <cell r="B1710">
            <v>5260</v>
          </cell>
          <cell r="C1710" t="str">
            <v>LD_47_</v>
          </cell>
          <cell r="D1710" t="str">
            <v>Rancho Landero No. 47</v>
          </cell>
          <cell r="E1710" t="str">
            <v>García González</v>
          </cell>
          <cell r="F1710">
            <v>300</v>
          </cell>
          <cell r="G1710">
            <v>1</v>
          </cell>
          <cell r="H1710">
            <v>300</v>
          </cell>
          <cell r="I1710">
            <v>41469</v>
          </cell>
          <cell r="J1710">
            <v>0</v>
          </cell>
          <cell r="W1710">
            <v>0</v>
          </cell>
          <cell r="AD1710">
            <v>300</v>
          </cell>
          <cell r="AJ1710">
            <v>300</v>
          </cell>
          <cell r="AW1710">
            <v>0</v>
          </cell>
        </row>
        <row r="1711">
          <cell r="B1711">
            <v>5261</v>
          </cell>
          <cell r="C1711" t="str">
            <v>CL_117_</v>
          </cell>
          <cell r="D1711" t="str">
            <v>Rancho La Cuchilla No. 117</v>
          </cell>
          <cell r="E1711" t="str">
            <v>Gómez</v>
          </cell>
          <cell r="F1711">
            <v>300</v>
          </cell>
          <cell r="G1711">
            <v>1</v>
          </cell>
          <cell r="H1711">
            <v>900</v>
          </cell>
          <cell r="I1711">
            <v>41469</v>
          </cell>
          <cell r="J1711">
            <v>0</v>
          </cell>
          <cell r="W1711">
            <v>0</v>
          </cell>
          <cell r="AE1711">
            <v>300</v>
          </cell>
          <cell r="AF1711">
            <v>300</v>
          </cell>
          <cell r="AG1711">
            <v>300</v>
          </cell>
          <cell r="AJ1711">
            <v>900</v>
          </cell>
          <cell r="AW1711">
            <v>0</v>
          </cell>
        </row>
        <row r="1712">
          <cell r="B1712">
            <v>5262</v>
          </cell>
          <cell r="C1712" t="str">
            <v>UP_21_</v>
          </cell>
          <cell r="D1712" t="str">
            <v>Rancho Upácuaro No. 21</v>
          </cell>
          <cell r="E1712" t="str">
            <v>Fierro Betancourt</v>
          </cell>
          <cell r="F1712">
            <v>150</v>
          </cell>
          <cell r="G1712">
            <v>1</v>
          </cell>
          <cell r="H1712">
            <v>150</v>
          </cell>
          <cell r="I1712">
            <v>41469</v>
          </cell>
          <cell r="J1712">
            <v>0</v>
          </cell>
          <cell r="W1712">
            <v>0</v>
          </cell>
          <cell r="AD1712">
            <v>150</v>
          </cell>
          <cell r="AJ1712">
            <v>150</v>
          </cell>
          <cell r="AW1712">
            <v>0</v>
          </cell>
        </row>
        <row r="1713">
          <cell r="B1713">
            <v>5263</v>
          </cell>
          <cell r="C1713" t="str">
            <v>EZ_111_</v>
          </cell>
          <cell r="D1713" t="str">
            <v>Rancho Estanzuela No. 111</v>
          </cell>
          <cell r="E1713" t="str">
            <v>Flores Pérez</v>
          </cell>
          <cell r="F1713">
            <v>300</v>
          </cell>
          <cell r="G1713">
            <v>1</v>
          </cell>
          <cell r="H1713">
            <v>300</v>
          </cell>
          <cell r="I1713">
            <v>41470</v>
          </cell>
          <cell r="J1713">
            <v>0</v>
          </cell>
          <cell r="W1713">
            <v>0</v>
          </cell>
          <cell r="AD1713">
            <v>300</v>
          </cell>
          <cell r="AJ1713">
            <v>300</v>
          </cell>
          <cell r="AW1713">
            <v>0</v>
          </cell>
        </row>
        <row r="1714">
          <cell r="B1714">
            <v>5264</v>
          </cell>
          <cell r="C1714" t="str">
            <v>ZB_12_</v>
          </cell>
          <cell r="D1714" t="str">
            <v>Rancho Zinamba No. 12</v>
          </cell>
          <cell r="E1714" t="str">
            <v>Rodríguez</v>
          </cell>
          <cell r="F1714">
            <v>400</v>
          </cell>
          <cell r="G1714">
            <v>1</v>
          </cell>
          <cell r="H1714">
            <v>400</v>
          </cell>
          <cell r="I1714">
            <v>41470</v>
          </cell>
          <cell r="J1714">
            <v>0</v>
          </cell>
          <cell r="W1714">
            <v>0</v>
          </cell>
          <cell r="AD1714">
            <v>400</v>
          </cell>
          <cell r="AJ1714">
            <v>400</v>
          </cell>
          <cell r="AW1714">
            <v>0</v>
          </cell>
        </row>
        <row r="1715">
          <cell r="B1715">
            <v>5265</v>
          </cell>
          <cell r="D1715" t="str">
            <v/>
          </cell>
          <cell r="E1715" t="str">
            <v/>
          </cell>
          <cell r="F1715" t="str">
            <v/>
          </cell>
          <cell r="G1715">
            <v>8</v>
          </cell>
          <cell r="I1715">
            <v>41470</v>
          </cell>
          <cell r="J1715" t="str">
            <v>NO SUMA</v>
          </cell>
          <cell r="W1715">
            <v>0</v>
          </cell>
          <cell r="AJ1715">
            <v>0</v>
          </cell>
          <cell r="AW1715">
            <v>0</v>
          </cell>
        </row>
        <row r="1716">
          <cell r="B1716">
            <v>5266</v>
          </cell>
          <cell r="C1716" t="str">
            <v>CL_61_</v>
          </cell>
          <cell r="D1716" t="str">
            <v>Rancho La Cuchilla No. 61</v>
          </cell>
          <cell r="E1716" t="str">
            <v>Rivera</v>
          </cell>
          <cell r="F1716">
            <v>300</v>
          </cell>
          <cell r="G1716">
            <v>1</v>
          </cell>
          <cell r="H1716">
            <v>1200</v>
          </cell>
          <cell r="I1716">
            <v>41470</v>
          </cell>
          <cell r="J1716">
            <v>0</v>
          </cell>
          <cell r="W1716">
            <v>0</v>
          </cell>
          <cell r="AA1716">
            <v>300</v>
          </cell>
          <cell r="AB1716">
            <v>300</v>
          </cell>
          <cell r="AC1716">
            <v>300</v>
          </cell>
          <cell r="AD1716">
            <v>300</v>
          </cell>
          <cell r="AJ1716">
            <v>1200</v>
          </cell>
          <cell r="AW1716">
            <v>0</v>
          </cell>
        </row>
        <row r="1717">
          <cell r="B1717">
            <v>5267</v>
          </cell>
          <cell r="C1717" t="str">
            <v>CL_61_</v>
          </cell>
          <cell r="D1717" t="str">
            <v>Rancho La Cuchilla No. 61</v>
          </cell>
          <cell r="E1717" t="str">
            <v>Rivera</v>
          </cell>
          <cell r="F1717">
            <v>300</v>
          </cell>
          <cell r="G1717">
            <v>4</v>
          </cell>
          <cell r="H1717">
            <v>160</v>
          </cell>
          <cell r="I1717">
            <v>41470</v>
          </cell>
          <cell r="J1717" t="str">
            <v>NO SUMA</v>
          </cell>
          <cell r="W1717">
            <v>0</v>
          </cell>
          <cell r="AJ1717">
            <v>0</v>
          </cell>
          <cell r="AW1717">
            <v>0</v>
          </cell>
        </row>
        <row r="1718">
          <cell r="B1718">
            <v>5268</v>
          </cell>
          <cell r="C1718" t="str">
            <v>ZB_10_</v>
          </cell>
          <cell r="D1718" t="str">
            <v>Rancho Zinamba No. 10</v>
          </cell>
          <cell r="E1718" t="str">
            <v>Roy Sánchez</v>
          </cell>
          <cell r="F1718">
            <v>300</v>
          </cell>
          <cell r="G1718">
            <v>1</v>
          </cell>
          <cell r="H1718">
            <v>1200</v>
          </cell>
          <cell r="I1718">
            <v>41471</v>
          </cell>
          <cell r="J1718">
            <v>0</v>
          </cell>
          <cell r="W1718">
            <v>0</v>
          </cell>
          <cell r="AC1718">
            <v>300</v>
          </cell>
          <cell r="AD1718">
            <v>300</v>
          </cell>
          <cell r="AE1718">
            <v>300</v>
          </cell>
          <cell r="AF1718">
            <v>300</v>
          </cell>
          <cell r="AJ1718">
            <v>1200</v>
          </cell>
          <cell r="AW1718">
            <v>0</v>
          </cell>
        </row>
        <row r="1719">
          <cell r="B1719">
            <v>5269</v>
          </cell>
          <cell r="C1719" t="str">
            <v>CL_63_</v>
          </cell>
          <cell r="D1719" t="str">
            <v>Rancho La Cuchilla No. 63</v>
          </cell>
          <cell r="E1719" t="str">
            <v>Díaz de la Rosa</v>
          </cell>
          <cell r="F1719">
            <v>300</v>
          </cell>
          <cell r="G1719">
            <v>3</v>
          </cell>
          <cell r="H1719">
            <v>150</v>
          </cell>
          <cell r="I1719">
            <v>41472</v>
          </cell>
          <cell r="J1719" t="str">
            <v>NO SUMA</v>
          </cell>
          <cell r="W1719">
            <v>0</v>
          </cell>
          <cell r="AJ1719">
            <v>0</v>
          </cell>
          <cell r="AW1719">
            <v>0</v>
          </cell>
        </row>
        <row r="1720">
          <cell r="B1720">
            <v>5270</v>
          </cell>
          <cell r="C1720" t="str">
            <v>CL_63_</v>
          </cell>
          <cell r="D1720" t="str">
            <v>Rancho La Cuchilla No. 63</v>
          </cell>
          <cell r="E1720" t="str">
            <v>Díaz de la Rosa</v>
          </cell>
          <cell r="F1720">
            <v>300</v>
          </cell>
          <cell r="G1720">
            <v>3</v>
          </cell>
          <cell r="H1720">
            <v>150</v>
          </cell>
          <cell r="I1720">
            <v>41472</v>
          </cell>
          <cell r="J1720" t="str">
            <v>NO SUMA</v>
          </cell>
          <cell r="W1720">
            <v>0</v>
          </cell>
          <cell r="AJ1720">
            <v>0</v>
          </cell>
          <cell r="AW1720">
            <v>0</v>
          </cell>
        </row>
        <row r="1721">
          <cell r="B1721">
            <v>5271</v>
          </cell>
          <cell r="C1721" t="str">
            <v>UP_124_</v>
          </cell>
          <cell r="D1721" t="str">
            <v>Rancho Upácuaro No. 124</v>
          </cell>
          <cell r="E1721" t="str">
            <v>Reyes Nicandro</v>
          </cell>
          <cell r="F1721">
            <v>300</v>
          </cell>
          <cell r="G1721">
            <v>1</v>
          </cell>
          <cell r="H1721">
            <v>300</v>
          </cell>
          <cell r="I1721">
            <v>41474</v>
          </cell>
          <cell r="J1721">
            <v>0</v>
          </cell>
          <cell r="W1721">
            <v>0</v>
          </cell>
          <cell r="AD1721">
            <v>300</v>
          </cell>
          <cell r="AJ1721">
            <v>300</v>
          </cell>
          <cell r="AW1721">
            <v>0</v>
          </cell>
        </row>
        <row r="1722">
          <cell r="B1722">
            <v>47</v>
          </cell>
          <cell r="C1722" t="str">
            <v>CM_130_A</v>
          </cell>
          <cell r="D1722" t="str">
            <v>Rancho Estanzuela No. 130, A</v>
          </cell>
          <cell r="E1722" t="str">
            <v>Colegio Carmel</v>
          </cell>
          <cell r="F1722">
            <v>10000</v>
          </cell>
          <cell r="G1722">
            <v>1</v>
          </cell>
          <cell r="H1722">
            <v>10000</v>
          </cell>
          <cell r="I1722">
            <v>41474</v>
          </cell>
          <cell r="J1722">
            <v>0</v>
          </cell>
          <cell r="W1722">
            <v>0</v>
          </cell>
          <cell r="AD1722">
            <v>10000</v>
          </cell>
          <cell r="AJ1722">
            <v>10000</v>
          </cell>
          <cell r="AW1722">
            <v>0</v>
          </cell>
        </row>
        <row r="1723">
          <cell r="B1723">
            <v>6105</v>
          </cell>
          <cell r="C1723" t="str">
            <v>EZ_15_A</v>
          </cell>
          <cell r="D1723" t="str">
            <v>Rancho Estanzuela No. 15, A</v>
          </cell>
          <cell r="E1723" t="str">
            <v>González</v>
          </cell>
          <cell r="F1723">
            <v>150</v>
          </cell>
          <cell r="G1723">
            <v>1</v>
          </cell>
          <cell r="H1723">
            <v>600</v>
          </cell>
          <cell r="I1723">
            <v>41474</v>
          </cell>
          <cell r="J1723">
            <v>0</v>
          </cell>
          <cell r="W1723">
            <v>0</v>
          </cell>
          <cell r="AB1723">
            <v>150</v>
          </cell>
          <cell r="AC1723">
            <v>150</v>
          </cell>
          <cell r="AD1723">
            <v>150</v>
          </cell>
          <cell r="AE1723">
            <v>150</v>
          </cell>
          <cell r="AJ1723">
            <v>600</v>
          </cell>
          <cell r="AW1723">
            <v>0</v>
          </cell>
        </row>
        <row r="1724">
          <cell r="B1724">
            <v>5272</v>
          </cell>
          <cell r="C1724" t="str">
            <v>LD_70_</v>
          </cell>
          <cell r="D1724" t="str">
            <v>Rancho Landero No. 70</v>
          </cell>
          <cell r="E1724" t="str">
            <v>Olguín</v>
          </cell>
          <cell r="F1724">
            <v>100</v>
          </cell>
          <cell r="G1724">
            <v>1</v>
          </cell>
          <cell r="H1724">
            <v>200</v>
          </cell>
          <cell r="I1724">
            <v>41476</v>
          </cell>
          <cell r="J1724">
            <v>0</v>
          </cell>
          <cell r="W1724">
            <v>0</v>
          </cell>
          <cell r="AC1724">
            <v>100</v>
          </cell>
          <cell r="AD1724">
            <v>100</v>
          </cell>
          <cell r="AJ1724">
            <v>200</v>
          </cell>
          <cell r="AW1724">
            <v>0</v>
          </cell>
        </row>
        <row r="1725">
          <cell r="B1725">
            <v>5273</v>
          </cell>
          <cell r="C1725" t="str">
            <v>UP_146_</v>
          </cell>
          <cell r="D1725" t="str">
            <v>Rancho Upácuaro No. 146</v>
          </cell>
          <cell r="E1725" t="str">
            <v>Islas</v>
          </cell>
          <cell r="F1725">
            <v>300</v>
          </cell>
          <cell r="G1725">
            <v>1</v>
          </cell>
          <cell r="H1725">
            <v>300</v>
          </cell>
          <cell r="I1725">
            <v>41476</v>
          </cell>
          <cell r="J1725">
            <v>0</v>
          </cell>
          <cell r="W1725">
            <v>0</v>
          </cell>
          <cell r="AC1725">
            <v>300</v>
          </cell>
          <cell r="AJ1725">
            <v>300</v>
          </cell>
          <cell r="AW1725">
            <v>0</v>
          </cell>
        </row>
        <row r="1726">
          <cell r="B1726">
            <v>5274</v>
          </cell>
          <cell r="C1726" t="str">
            <v>UP_86_</v>
          </cell>
          <cell r="D1726" t="str">
            <v>Rancho Upácuaro No. 86</v>
          </cell>
          <cell r="E1726" t="str">
            <v>López Canseco</v>
          </cell>
          <cell r="F1726">
            <v>300</v>
          </cell>
          <cell r="G1726">
            <v>1</v>
          </cell>
          <cell r="H1726">
            <v>900</v>
          </cell>
          <cell r="I1726">
            <v>41476</v>
          </cell>
          <cell r="J1726">
            <v>0</v>
          </cell>
          <cell r="W1726">
            <v>0</v>
          </cell>
          <cell r="AC1726">
            <v>300</v>
          </cell>
          <cell r="AD1726">
            <v>300</v>
          </cell>
          <cell r="AE1726">
            <v>300</v>
          </cell>
          <cell r="AJ1726">
            <v>900</v>
          </cell>
          <cell r="AW1726">
            <v>0</v>
          </cell>
        </row>
        <row r="1727">
          <cell r="B1727">
            <v>5275</v>
          </cell>
          <cell r="C1727" t="str">
            <v>UP_11_</v>
          </cell>
          <cell r="D1727" t="str">
            <v>Rancho Upácuaro No. 11</v>
          </cell>
          <cell r="E1727" t="str">
            <v>Partida</v>
          </cell>
          <cell r="F1727">
            <v>300</v>
          </cell>
          <cell r="G1727">
            <v>4</v>
          </cell>
          <cell r="H1727">
            <v>160</v>
          </cell>
          <cell r="I1727">
            <v>41476</v>
          </cell>
          <cell r="J1727" t="str">
            <v>NO SUMA</v>
          </cell>
          <cell r="W1727">
            <v>0</v>
          </cell>
          <cell r="AJ1727">
            <v>0</v>
          </cell>
          <cell r="AW1727">
            <v>0</v>
          </cell>
        </row>
        <row r="1728">
          <cell r="B1728">
            <v>5276</v>
          </cell>
          <cell r="C1728" t="str">
            <v>RM_10_A</v>
          </cell>
          <cell r="D1728" t="str">
            <v>Rancho Romeral No. 10, A</v>
          </cell>
          <cell r="E1728" t="str">
            <v>Casillas Álvarez</v>
          </cell>
          <cell r="F1728">
            <v>150</v>
          </cell>
          <cell r="G1728">
            <v>1</v>
          </cell>
          <cell r="H1728">
            <v>300</v>
          </cell>
          <cell r="I1728">
            <v>41476</v>
          </cell>
          <cell r="J1728">
            <v>0</v>
          </cell>
          <cell r="W1728">
            <v>0</v>
          </cell>
          <cell r="AD1728">
            <v>150</v>
          </cell>
          <cell r="AE1728">
            <v>150</v>
          </cell>
          <cell r="AJ1728">
            <v>300</v>
          </cell>
          <cell r="AW1728">
            <v>0</v>
          </cell>
        </row>
        <row r="1729">
          <cell r="B1729">
            <v>5277</v>
          </cell>
          <cell r="C1729" t="str">
            <v>UP_134_</v>
          </cell>
          <cell r="D1729" t="str">
            <v>Rancho Upácuaro No. 134</v>
          </cell>
          <cell r="E1729" t="str">
            <v>Flores Pérez</v>
          </cell>
          <cell r="F1729">
            <v>300</v>
          </cell>
          <cell r="G1729">
            <v>1</v>
          </cell>
          <cell r="H1729">
            <v>300</v>
          </cell>
          <cell r="I1729">
            <v>41476</v>
          </cell>
          <cell r="J1729">
            <v>0</v>
          </cell>
          <cell r="W1729">
            <v>0</v>
          </cell>
          <cell r="AD1729">
            <v>300</v>
          </cell>
          <cell r="AJ1729">
            <v>300</v>
          </cell>
          <cell r="AW1729">
            <v>0</v>
          </cell>
        </row>
        <row r="1730">
          <cell r="B1730">
            <v>5278</v>
          </cell>
          <cell r="C1730" t="str">
            <v>LD_77_</v>
          </cell>
          <cell r="D1730" t="str">
            <v>Rancho Landero No. 77</v>
          </cell>
          <cell r="E1730" t="str">
            <v>Muñoz</v>
          </cell>
          <cell r="F1730">
            <v>300</v>
          </cell>
          <cell r="G1730">
            <v>1</v>
          </cell>
          <cell r="H1730">
            <v>600</v>
          </cell>
          <cell r="I1730">
            <v>41476</v>
          </cell>
          <cell r="J1730">
            <v>0</v>
          </cell>
          <cell r="W1730">
            <v>0</v>
          </cell>
          <cell r="AB1730">
            <v>300</v>
          </cell>
          <cell r="AC1730">
            <v>300</v>
          </cell>
          <cell r="AJ1730">
            <v>600</v>
          </cell>
          <cell r="AW1730">
            <v>0</v>
          </cell>
        </row>
        <row r="1731">
          <cell r="B1731">
            <v>5278</v>
          </cell>
          <cell r="C1731" t="str">
            <v>LD_77_</v>
          </cell>
          <cell r="D1731" t="str">
            <v>Rancho Landero No. 77</v>
          </cell>
          <cell r="E1731" t="str">
            <v>Muñoz</v>
          </cell>
          <cell r="F1731">
            <v>300</v>
          </cell>
          <cell r="G1731">
            <v>5</v>
          </cell>
          <cell r="H1731">
            <v>20</v>
          </cell>
          <cell r="I1731">
            <v>41476</v>
          </cell>
          <cell r="J1731" t="str">
            <v>NO SUMA</v>
          </cell>
          <cell r="W1731">
            <v>0</v>
          </cell>
          <cell r="AJ1731">
            <v>0</v>
          </cell>
          <cell r="AW1731">
            <v>0</v>
          </cell>
        </row>
        <row r="1732">
          <cell r="B1732">
            <v>5279</v>
          </cell>
          <cell r="C1732" t="str">
            <v>CL_127_</v>
          </cell>
          <cell r="D1732" t="str">
            <v>Rancho La Cuchilla No. 127</v>
          </cell>
          <cell r="E1732" t="str">
            <v>Quiñones</v>
          </cell>
          <cell r="F1732">
            <v>300</v>
          </cell>
          <cell r="G1732">
            <v>1</v>
          </cell>
          <cell r="H1732">
            <v>600</v>
          </cell>
          <cell r="I1732">
            <v>41476</v>
          </cell>
          <cell r="J1732">
            <v>0</v>
          </cell>
          <cell r="W1732">
            <v>0</v>
          </cell>
          <cell r="AC1732">
            <v>300</v>
          </cell>
          <cell r="AD1732">
            <v>300</v>
          </cell>
          <cell r="AJ1732">
            <v>600</v>
          </cell>
          <cell r="AW1732">
            <v>0</v>
          </cell>
        </row>
        <row r="1733">
          <cell r="B1733">
            <v>5280</v>
          </cell>
          <cell r="C1733" t="str">
            <v>LD_65_</v>
          </cell>
          <cell r="D1733" t="str">
            <v>Rancho Landero No. 65</v>
          </cell>
          <cell r="E1733" t="str">
            <v>Alpizar</v>
          </cell>
          <cell r="F1733">
            <v>300</v>
          </cell>
          <cell r="G1733">
            <v>1</v>
          </cell>
          <cell r="H1733">
            <v>600</v>
          </cell>
          <cell r="I1733">
            <v>41476</v>
          </cell>
          <cell r="J1733">
            <v>0</v>
          </cell>
          <cell r="W1733">
            <v>0</v>
          </cell>
          <cell r="AC1733">
            <v>300</v>
          </cell>
          <cell r="AD1733">
            <v>300</v>
          </cell>
          <cell r="AJ1733">
            <v>600</v>
          </cell>
          <cell r="AW1733">
            <v>0</v>
          </cell>
        </row>
        <row r="1734">
          <cell r="B1734">
            <v>5281</v>
          </cell>
          <cell r="C1734" t="str">
            <v>CL_75_</v>
          </cell>
          <cell r="D1734" t="str">
            <v>Rancho La Cuchilla No. 75</v>
          </cell>
          <cell r="E1734" t="str">
            <v>Sosa Lucio</v>
          </cell>
          <cell r="F1734">
            <v>300</v>
          </cell>
          <cell r="G1734">
            <v>1</v>
          </cell>
          <cell r="H1734">
            <v>300</v>
          </cell>
          <cell r="I1734">
            <v>41476</v>
          </cell>
          <cell r="J1734">
            <v>0</v>
          </cell>
          <cell r="W1734">
            <v>0</v>
          </cell>
          <cell r="AD1734">
            <v>300</v>
          </cell>
          <cell r="AJ1734">
            <v>300</v>
          </cell>
          <cell r="AW1734">
            <v>0</v>
          </cell>
        </row>
        <row r="1735">
          <cell r="B1735">
            <v>5282</v>
          </cell>
          <cell r="C1735" t="str">
            <v>CL_43_A</v>
          </cell>
          <cell r="D1735" t="str">
            <v>Rancho La Cuchilla No. 43, A</v>
          </cell>
          <cell r="E1735" t="str">
            <v>De la Rosa</v>
          </cell>
          <cell r="F1735">
            <v>200</v>
          </cell>
          <cell r="G1735">
            <v>1</v>
          </cell>
          <cell r="H1735">
            <v>200</v>
          </cell>
          <cell r="I1735">
            <v>41476</v>
          </cell>
          <cell r="J1735">
            <v>0</v>
          </cell>
          <cell r="W1735">
            <v>0</v>
          </cell>
          <cell r="AD1735">
            <v>200</v>
          </cell>
          <cell r="AJ1735">
            <v>200</v>
          </cell>
          <cell r="AW1735">
            <v>0</v>
          </cell>
        </row>
        <row r="1736">
          <cell r="B1736">
            <v>5283</v>
          </cell>
          <cell r="C1736" t="str">
            <v>UP_64_</v>
          </cell>
          <cell r="D1736" t="str">
            <v>Rancho Upácuaro No. 64</v>
          </cell>
          <cell r="E1736" t="str">
            <v>Méndez Oliva</v>
          </cell>
          <cell r="F1736">
            <v>300</v>
          </cell>
          <cell r="G1736">
            <v>1</v>
          </cell>
          <cell r="H1736">
            <v>300</v>
          </cell>
          <cell r="I1736">
            <v>41476</v>
          </cell>
          <cell r="J1736">
            <v>0</v>
          </cell>
          <cell r="W1736">
            <v>0</v>
          </cell>
          <cell r="AC1736">
            <v>300</v>
          </cell>
          <cell r="AJ1736">
            <v>300</v>
          </cell>
          <cell r="AW1736">
            <v>0</v>
          </cell>
        </row>
        <row r="1737">
          <cell r="B1737">
            <v>5284</v>
          </cell>
          <cell r="C1737" t="str">
            <v>EZ_15_A</v>
          </cell>
          <cell r="D1737" t="str">
            <v>Rancho Estanzuela No. 15, A</v>
          </cell>
          <cell r="E1737" t="str">
            <v>González</v>
          </cell>
          <cell r="F1737">
            <v>150</v>
          </cell>
          <cell r="G1737">
            <v>3</v>
          </cell>
          <cell r="H1737">
            <v>150</v>
          </cell>
          <cell r="I1737">
            <v>41476</v>
          </cell>
          <cell r="J1737" t="str">
            <v>NO SUMA</v>
          </cell>
          <cell r="W1737">
            <v>0</v>
          </cell>
          <cell r="AJ1737">
            <v>0</v>
          </cell>
          <cell r="AW1737">
            <v>0</v>
          </cell>
        </row>
        <row r="1738">
          <cell r="B1738">
            <v>5285</v>
          </cell>
          <cell r="C1738" t="str">
            <v>UP_19_</v>
          </cell>
          <cell r="D1738" t="str">
            <v>Rancho Upácuaro No. 19</v>
          </cell>
          <cell r="E1738" t="str">
            <v>Peña Inclán</v>
          </cell>
          <cell r="F1738">
            <v>200</v>
          </cell>
          <cell r="G1738">
            <v>1</v>
          </cell>
          <cell r="H1738">
            <v>200</v>
          </cell>
          <cell r="I1738">
            <v>41476</v>
          </cell>
          <cell r="J1738">
            <v>0</v>
          </cell>
          <cell r="W1738">
            <v>0</v>
          </cell>
          <cell r="AD1738">
            <v>200</v>
          </cell>
          <cell r="AJ1738">
            <v>200</v>
          </cell>
          <cell r="AW1738">
            <v>0</v>
          </cell>
        </row>
        <row r="1739">
          <cell r="B1739">
            <v>5286</v>
          </cell>
          <cell r="C1739" t="str">
            <v>EP_22_A</v>
          </cell>
          <cell r="D1739" t="str">
            <v>Rancho Estopila No. 22, A</v>
          </cell>
          <cell r="E1739" t="str">
            <v>Ayala Carranza</v>
          </cell>
          <cell r="F1739">
            <v>150</v>
          </cell>
          <cell r="G1739">
            <v>1</v>
          </cell>
          <cell r="H1739">
            <v>150</v>
          </cell>
          <cell r="I1739">
            <v>41476</v>
          </cell>
          <cell r="J1739">
            <v>0</v>
          </cell>
          <cell r="W1739">
            <v>0</v>
          </cell>
          <cell r="AD1739">
            <v>150</v>
          </cell>
          <cell r="AJ1739">
            <v>150</v>
          </cell>
          <cell r="AW1739">
            <v>0</v>
          </cell>
        </row>
        <row r="1740">
          <cell r="B1740">
            <v>5287</v>
          </cell>
          <cell r="C1740" t="str">
            <v>CL_66_</v>
          </cell>
          <cell r="D1740" t="str">
            <v>Rancho La Cuchilla No. 66</v>
          </cell>
          <cell r="E1740" t="str">
            <v>Prieto</v>
          </cell>
          <cell r="F1740">
            <v>300</v>
          </cell>
          <cell r="G1740">
            <v>1</v>
          </cell>
          <cell r="H1740">
            <v>300</v>
          </cell>
          <cell r="I1740">
            <v>41476</v>
          </cell>
          <cell r="J1740">
            <v>0</v>
          </cell>
          <cell r="W1740">
            <v>0</v>
          </cell>
          <cell r="AD1740">
            <v>300</v>
          </cell>
          <cell r="AJ1740">
            <v>300</v>
          </cell>
          <cell r="AW1740">
            <v>0</v>
          </cell>
        </row>
        <row r="1741">
          <cell r="B1741">
            <v>5288</v>
          </cell>
          <cell r="C1741" t="str">
            <v>LD_85_</v>
          </cell>
          <cell r="D1741" t="str">
            <v>Rancho Landero No. 85</v>
          </cell>
          <cell r="E1741" t="str">
            <v>Martínez Olague</v>
          </cell>
          <cell r="F1741">
            <v>300</v>
          </cell>
          <cell r="G1741">
            <v>1</v>
          </cell>
          <cell r="H1741">
            <v>300</v>
          </cell>
          <cell r="I1741">
            <v>41476</v>
          </cell>
          <cell r="J1741">
            <v>0</v>
          </cell>
          <cell r="W1741">
            <v>0</v>
          </cell>
          <cell r="AD1741">
            <v>300</v>
          </cell>
          <cell r="AJ1741">
            <v>300</v>
          </cell>
          <cell r="AW1741">
            <v>0</v>
          </cell>
        </row>
        <row r="1742">
          <cell r="B1742">
            <v>5289</v>
          </cell>
          <cell r="C1742" t="str">
            <v>CL_132_</v>
          </cell>
          <cell r="D1742" t="str">
            <v>Rancho La Cuchilla No. 132</v>
          </cell>
          <cell r="E1742" t="str">
            <v>Téllez Girón</v>
          </cell>
          <cell r="F1742">
            <v>300</v>
          </cell>
          <cell r="G1742">
            <v>1</v>
          </cell>
          <cell r="H1742">
            <v>300</v>
          </cell>
          <cell r="I1742">
            <v>41476</v>
          </cell>
          <cell r="J1742">
            <v>0</v>
          </cell>
          <cell r="W1742">
            <v>0</v>
          </cell>
          <cell r="AD1742">
            <v>300</v>
          </cell>
          <cell r="AJ1742">
            <v>300</v>
          </cell>
          <cell r="AW1742">
            <v>0</v>
          </cell>
        </row>
        <row r="1743">
          <cell r="B1743">
            <v>5290</v>
          </cell>
          <cell r="C1743" t="str">
            <v>CL_71_</v>
          </cell>
          <cell r="D1743" t="str">
            <v>Rancho La Cuchilla No. 71</v>
          </cell>
          <cell r="E1743" t="str">
            <v>Pulido</v>
          </cell>
          <cell r="F1743">
            <v>300</v>
          </cell>
          <cell r="G1743">
            <v>1</v>
          </cell>
          <cell r="H1743">
            <v>300</v>
          </cell>
          <cell r="I1743">
            <v>41476</v>
          </cell>
          <cell r="J1743">
            <v>0</v>
          </cell>
          <cell r="W1743">
            <v>0</v>
          </cell>
          <cell r="AD1743">
            <v>300</v>
          </cell>
          <cell r="AJ1743">
            <v>300</v>
          </cell>
          <cell r="AW1743">
            <v>0</v>
          </cell>
        </row>
        <row r="1744">
          <cell r="B1744">
            <v>5291</v>
          </cell>
          <cell r="C1744" t="str">
            <v>RV_1_</v>
          </cell>
          <cell r="D1744" t="str">
            <v>Rancho Recoveco No. 1</v>
          </cell>
          <cell r="E1744" t="str">
            <v>Díaz</v>
          </cell>
          <cell r="F1744">
            <v>300</v>
          </cell>
          <cell r="G1744">
            <v>1</v>
          </cell>
          <cell r="H1744">
            <v>300</v>
          </cell>
          <cell r="I1744">
            <v>41476</v>
          </cell>
          <cell r="J1744">
            <v>0</v>
          </cell>
          <cell r="W1744">
            <v>0</v>
          </cell>
          <cell r="AD1744">
            <v>300</v>
          </cell>
          <cell r="AJ1744">
            <v>300</v>
          </cell>
          <cell r="AW1744">
            <v>0</v>
          </cell>
        </row>
        <row r="1745">
          <cell r="B1745">
            <v>5292</v>
          </cell>
          <cell r="C1745" t="str">
            <v>UP_71_</v>
          </cell>
          <cell r="D1745" t="str">
            <v>Rancho Upácuaro No. 71</v>
          </cell>
          <cell r="E1745" t="str">
            <v>Trejo Méndez</v>
          </cell>
          <cell r="F1745">
            <v>300</v>
          </cell>
          <cell r="G1745">
            <v>1</v>
          </cell>
          <cell r="H1745">
            <v>300</v>
          </cell>
          <cell r="I1745">
            <v>41476</v>
          </cell>
          <cell r="J1745">
            <v>0</v>
          </cell>
          <cell r="W1745">
            <v>0</v>
          </cell>
          <cell r="AD1745">
            <v>300</v>
          </cell>
          <cell r="AJ1745">
            <v>300</v>
          </cell>
          <cell r="AW1745">
            <v>0</v>
          </cell>
        </row>
        <row r="1746">
          <cell r="B1746">
            <v>5293</v>
          </cell>
          <cell r="C1746" t="str">
            <v>ZB_20_</v>
          </cell>
          <cell r="D1746" t="str">
            <v>Rancho Zinamba No. 20</v>
          </cell>
          <cell r="E1746" t="str">
            <v>Alegre Retana</v>
          </cell>
          <cell r="F1746">
            <v>300</v>
          </cell>
          <cell r="G1746">
            <v>1</v>
          </cell>
          <cell r="H1746">
            <v>300</v>
          </cell>
          <cell r="I1746">
            <v>41476</v>
          </cell>
          <cell r="J1746">
            <v>0</v>
          </cell>
          <cell r="W1746">
            <v>0</v>
          </cell>
          <cell r="AD1746">
            <v>300</v>
          </cell>
          <cell r="AJ1746">
            <v>300</v>
          </cell>
          <cell r="AW1746">
            <v>0</v>
          </cell>
        </row>
        <row r="1747">
          <cell r="B1747">
            <v>5294</v>
          </cell>
          <cell r="C1747" t="str">
            <v>LD_69_</v>
          </cell>
          <cell r="D1747" t="str">
            <v>Rancho Landero No. 69</v>
          </cell>
          <cell r="E1747" t="str">
            <v>Gómez Ayala</v>
          </cell>
          <cell r="F1747">
            <v>300</v>
          </cell>
          <cell r="G1747">
            <v>1</v>
          </cell>
          <cell r="H1747">
            <v>300</v>
          </cell>
          <cell r="I1747">
            <v>41476</v>
          </cell>
          <cell r="J1747">
            <v>0</v>
          </cell>
          <cell r="W1747">
            <v>0</v>
          </cell>
          <cell r="AD1747">
            <v>300</v>
          </cell>
          <cell r="AJ1747">
            <v>300</v>
          </cell>
          <cell r="AW1747">
            <v>0</v>
          </cell>
        </row>
        <row r="1748">
          <cell r="B1748">
            <v>5294</v>
          </cell>
          <cell r="C1748" t="str">
            <v>LD_69_</v>
          </cell>
          <cell r="D1748" t="str">
            <v>Rancho Landero No. 69</v>
          </cell>
          <cell r="E1748" t="str">
            <v>Gómez Ayala</v>
          </cell>
          <cell r="F1748">
            <v>300</v>
          </cell>
          <cell r="G1748">
            <v>5</v>
          </cell>
          <cell r="H1748">
            <v>20</v>
          </cell>
          <cell r="I1748">
            <v>41476</v>
          </cell>
          <cell r="J1748" t="str">
            <v>NO SUMA</v>
          </cell>
          <cell r="W1748">
            <v>0</v>
          </cell>
          <cell r="AJ1748">
            <v>0</v>
          </cell>
          <cell r="AW1748">
            <v>0</v>
          </cell>
        </row>
        <row r="1749">
          <cell r="B1749">
            <v>5295</v>
          </cell>
          <cell r="C1749" t="str">
            <v>RV_175_A</v>
          </cell>
          <cell r="D1749" t="str">
            <v>Rancho Recoveco No. 175, A</v>
          </cell>
          <cell r="E1749" t="str">
            <v>Pérez</v>
          </cell>
          <cell r="F1749">
            <v>300</v>
          </cell>
          <cell r="G1749">
            <v>1</v>
          </cell>
          <cell r="H1749">
            <v>600</v>
          </cell>
          <cell r="I1749">
            <v>41476</v>
          </cell>
          <cell r="J1749">
            <v>0</v>
          </cell>
          <cell r="W1749">
            <v>0</v>
          </cell>
          <cell r="AC1749">
            <v>300</v>
          </cell>
          <cell r="AD1749">
            <v>300</v>
          </cell>
          <cell r="AJ1749">
            <v>600</v>
          </cell>
          <cell r="AW1749">
            <v>0</v>
          </cell>
        </row>
        <row r="1750">
          <cell r="B1750">
            <v>5296</v>
          </cell>
          <cell r="C1750" t="str">
            <v>EZ_55_</v>
          </cell>
          <cell r="D1750" t="str">
            <v>Rancho Estanzuela No. 55</v>
          </cell>
          <cell r="E1750" t="str">
            <v>Rodríguez Acevedo</v>
          </cell>
          <cell r="F1750">
            <v>300</v>
          </cell>
          <cell r="G1750">
            <v>1</v>
          </cell>
          <cell r="H1750">
            <v>300</v>
          </cell>
          <cell r="I1750">
            <v>41476</v>
          </cell>
          <cell r="J1750">
            <v>0</v>
          </cell>
          <cell r="W1750">
            <v>0</v>
          </cell>
          <cell r="AD1750">
            <v>300</v>
          </cell>
          <cell r="AJ1750">
            <v>300</v>
          </cell>
          <cell r="AW1750">
            <v>0</v>
          </cell>
        </row>
        <row r="1751">
          <cell r="B1751">
            <v>48</v>
          </cell>
          <cell r="C1751" t="str">
            <v>HS_B_</v>
          </cell>
          <cell r="D1751" t="str">
            <v>Calzada del Hueso No. B</v>
          </cell>
          <cell r="E1751" t="str">
            <v>CARSO</v>
          </cell>
          <cell r="F1751">
            <v>1000</v>
          </cell>
          <cell r="G1751">
            <v>1</v>
          </cell>
          <cell r="H1751">
            <v>1000</v>
          </cell>
          <cell r="I1751">
            <v>41475</v>
          </cell>
          <cell r="J1751">
            <v>0</v>
          </cell>
          <cell r="W1751">
            <v>0</v>
          </cell>
          <cell r="AD1751">
            <v>1000</v>
          </cell>
          <cell r="AJ1751">
            <v>1000</v>
          </cell>
          <cell r="AW1751">
            <v>0</v>
          </cell>
        </row>
        <row r="1752">
          <cell r="B1752">
            <v>5297</v>
          </cell>
          <cell r="C1752" t="str">
            <v>CL_97_</v>
          </cell>
          <cell r="D1752" t="str">
            <v>Rancho La Cuchilla No. 97</v>
          </cell>
          <cell r="E1752" t="str">
            <v>López Ruiz</v>
          </cell>
          <cell r="F1752">
            <v>300</v>
          </cell>
          <cell r="G1752">
            <v>1</v>
          </cell>
          <cell r="H1752">
            <v>300</v>
          </cell>
          <cell r="I1752">
            <v>41477</v>
          </cell>
          <cell r="J1752">
            <v>0</v>
          </cell>
          <cell r="W1752">
            <v>0</v>
          </cell>
          <cell r="AD1752">
            <v>300</v>
          </cell>
          <cell r="AJ1752">
            <v>300</v>
          </cell>
          <cell r="AW1752">
            <v>0</v>
          </cell>
        </row>
        <row r="1753">
          <cell r="B1753">
            <v>5298</v>
          </cell>
          <cell r="C1753" t="str">
            <v>LD_1_B</v>
          </cell>
          <cell r="D1753" t="str">
            <v>Rancho Landero No. 1, B</v>
          </cell>
          <cell r="E1753" t="str">
            <v>Pérez</v>
          </cell>
          <cell r="F1753">
            <v>300</v>
          </cell>
          <cell r="G1753">
            <v>3</v>
          </cell>
          <cell r="H1753">
            <v>300</v>
          </cell>
          <cell r="I1753">
            <v>41478</v>
          </cell>
          <cell r="J1753" t="str">
            <v>NO SUMA</v>
          </cell>
          <cell r="W1753">
            <v>0</v>
          </cell>
          <cell r="AJ1753">
            <v>0</v>
          </cell>
          <cell r="AW1753">
            <v>0</v>
          </cell>
        </row>
        <row r="1754">
          <cell r="B1754">
            <v>5299</v>
          </cell>
          <cell r="C1754" t="str">
            <v>RV_3_</v>
          </cell>
          <cell r="D1754" t="str">
            <v>Rancho Recoveco No. 3</v>
          </cell>
          <cell r="E1754" t="str">
            <v>Garduño</v>
          </cell>
          <cell r="F1754">
            <v>300</v>
          </cell>
          <cell r="G1754">
            <v>1</v>
          </cell>
          <cell r="H1754">
            <v>300</v>
          </cell>
          <cell r="I1754">
            <v>41483</v>
          </cell>
          <cell r="J1754">
            <v>0</v>
          </cell>
          <cell r="W1754">
            <v>0</v>
          </cell>
          <cell r="AD1754">
            <v>300</v>
          </cell>
          <cell r="AJ1754">
            <v>300</v>
          </cell>
          <cell r="AW1754">
            <v>0</v>
          </cell>
        </row>
        <row r="1755">
          <cell r="B1755">
            <v>5300</v>
          </cell>
          <cell r="C1755" t="str">
            <v>ZB_8_</v>
          </cell>
          <cell r="D1755" t="str">
            <v>Rancho Zinamba No. 8</v>
          </cell>
          <cell r="E1755" t="str">
            <v>Florido</v>
          </cell>
          <cell r="F1755">
            <v>300</v>
          </cell>
          <cell r="G1755">
            <v>1</v>
          </cell>
          <cell r="H1755">
            <v>300</v>
          </cell>
          <cell r="I1755">
            <v>41483</v>
          </cell>
          <cell r="J1755">
            <v>0</v>
          </cell>
          <cell r="W1755">
            <v>0</v>
          </cell>
          <cell r="AD1755">
            <v>300</v>
          </cell>
          <cell r="AJ1755">
            <v>300</v>
          </cell>
          <cell r="AW1755">
            <v>0</v>
          </cell>
        </row>
        <row r="1756">
          <cell r="B1756">
            <v>5301</v>
          </cell>
          <cell r="C1756" t="str">
            <v>UP_93_</v>
          </cell>
          <cell r="D1756" t="str">
            <v>Rancho Upácuaro No. 93</v>
          </cell>
          <cell r="E1756" t="str">
            <v>Valdés</v>
          </cell>
          <cell r="F1756">
            <v>300</v>
          </cell>
          <cell r="G1756">
            <v>1</v>
          </cell>
          <cell r="H1756">
            <v>300</v>
          </cell>
          <cell r="I1756">
            <v>41484</v>
          </cell>
          <cell r="J1756">
            <v>0</v>
          </cell>
          <cell r="W1756">
            <v>0</v>
          </cell>
          <cell r="AE1756">
            <v>300</v>
          </cell>
          <cell r="AJ1756">
            <v>300</v>
          </cell>
          <cell r="AW1756">
            <v>0</v>
          </cell>
        </row>
        <row r="1757">
          <cell r="B1757">
            <v>5302</v>
          </cell>
          <cell r="D1757" t="str">
            <v/>
          </cell>
          <cell r="E1757" t="str">
            <v/>
          </cell>
          <cell r="G1757">
            <v>1</v>
          </cell>
          <cell r="H1757">
            <v>300</v>
          </cell>
          <cell r="I1757">
            <v>41484</v>
          </cell>
          <cell r="J1757">
            <v>-300</v>
          </cell>
          <cell r="W1757">
            <v>0</v>
          </cell>
          <cell r="AJ1757">
            <v>0</v>
          </cell>
          <cell r="AW1757">
            <v>0</v>
          </cell>
        </row>
        <row r="1758">
          <cell r="B1758">
            <v>5303</v>
          </cell>
          <cell r="C1758" t="str">
            <v>LD_25_</v>
          </cell>
          <cell r="D1758" t="str">
            <v>Rancho Landero No. 25</v>
          </cell>
          <cell r="E1758" t="str">
            <v>Escamilla Martínez</v>
          </cell>
          <cell r="F1758">
            <v>300</v>
          </cell>
          <cell r="G1758">
            <v>1</v>
          </cell>
          <cell r="H1758">
            <v>300</v>
          </cell>
          <cell r="I1758">
            <v>41484</v>
          </cell>
          <cell r="J1758">
            <v>0</v>
          </cell>
          <cell r="W1758">
            <v>0</v>
          </cell>
          <cell r="AD1758">
            <v>300</v>
          </cell>
          <cell r="AJ1758">
            <v>300</v>
          </cell>
          <cell r="AW1758">
            <v>0</v>
          </cell>
        </row>
        <row r="1759">
          <cell r="B1759">
            <v>5304</v>
          </cell>
          <cell r="C1759" t="str">
            <v>UP_40_</v>
          </cell>
          <cell r="D1759" t="str">
            <v>Rancho Upácuaro No. 40</v>
          </cell>
          <cell r="E1759" t="str">
            <v>López Ramírez</v>
          </cell>
          <cell r="F1759">
            <v>300</v>
          </cell>
          <cell r="G1759">
            <v>1</v>
          </cell>
          <cell r="H1759">
            <v>300</v>
          </cell>
          <cell r="I1759">
            <v>41484</v>
          </cell>
          <cell r="J1759">
            <v>0</v>
          </cell>
          <cell r="W1759">
            <v>0</v>
          </cell>
          <cell r="AD1759">
            <v>300</v>
          </cell>
          <cell r="AJ1759">
            <v>300</v>
          </cell>
          <cell r="AW1759">
            <v>0</v>
          </cell>
        </row>
        <row r="1760">
          <cell r="B1760">
            <v>5305</v>
          </cell>
          <cell r="C1760" t="str">
            <v>RM_17_</v>
          </cell>
          <cell r="D1760" t="str">
            <v>Rancho Romeral No. 17</v>
          </cell>
          <cell r="E1760" t="str">
            <v>Aguilar Lomelí</v>
          </cell>
          <cell r="F1760">
            <v>300</v>
          </cell>
          <cell r="G1760">
            <v>1</v>
          </cell>
          <cell r="H1760">
            <v>600</v>
          </cell>
          <cell r="I1760">
            <v>41484</v>
          </cell>
          <cell r="J1760">
            <v>0</v>
          </cell>
          <cell r="W1760">
            <v>0</v>
          </cell>
          <cell r="AC1760">
            <v>300</v>
          </cell>
          <cell r="AD1760">
            <v>300</v>
          </cell>
          <cell r="AJ1760">
            <v>600</v>
          </cell>
          <cell r="AW1760">
            <v>0</v>
          </cell>
        </row>
        <row r="1761">
          <cell r="B1761">
            <v>5306</v>
          </cell>
          <cell r="C1761" t="str">
            <v>UP_24_</v>
          </cell>
          <cell r="D1761" t="str">
            <v>Rancho Upácuaro No. 24</v>
          </cell>
          <cell r="E1761" t="str">
            <v>Parra</v>
          </cell>
          <cell r="F1761">
            <v>300</v>
          </cell>
          <cell r="G1761">
            <v>1</v>
          </cell>
          <cell r="H1761">
            <v>300</v>
          </cell>
          <cell r="I1761">
            <v>41484</v>
          </cell>
          <cell r="J1761">
            <v>0</v>
          </cell>
          <cell r="W1761">
            <v>0</v>
          </cell>
          <cell r="AC1761">
            <v>300</v>
          </cell>
          <cell r="AJ1761">
            <v>300</v>
          </cell>
          <cell r="AW1761">
            <v>0</v>
          </cell>
        </row>
        <row r="1762">
          <cell r="B1762">
            <v>5307</v>
          </cell>
          <cell r="C1762" t="str">
            <v>CL_15_</v>
          </cell>
          <cell r="D1762" t="str">
            <v>Rancho La Cuchilla No. 15</v>
          </cell>
          <cell r="E1762" t="str">
            <v>Guerrero Ponce</v>
          </cell>
          <cell r="F1762">
            <v>300</v>
          </cell>
          <cell r="G1762">
            <v>1</v>
          </cell>
          <cell r="H1762">
            <v>1200</v>
          </cell>
          <cell r="I1762">
            <v>41484</v>
          </cell>
          <cell r="J1762">
            <v>0</v>
          </cell>
          <cell r="W1762">
            <v>0</v>
          </cell>
          <cell r="AB1762">
            <v>300</v>
          </cell>
          <cell r="AC1762">
            <v>300</v>
          </cell>
          <cell r="AD1762">
            <v>300</v>
          </cell>
          <cell r="AE1762">
            <v>300</v>
          </cell>
          <cell r="AJ1762">
            <v>1200</v>
          </cell>
          <cell r="AW1762">
            <v>0</v>
          </cell>
        </row>
        <row r="1763">
          <cell r="B1763">
            <v>5308</v>
          </cell>
          <cell r="C1763" t="str">
            <v>UP_146_</v>
          </cell>
          <cell r="D1763" t="str">
            <v>Rancho Upácuaro No. 146</v>
          </cell>
          <cell r="E1763" t="str">
            <v>Islas</v>
          </cell>
          <cell r="F1763">
            <v>300</v>
          </cell>
          <cell r="G1763">
            <v>3</v>
          </cell>
          <cell r="H1763">
            <v>150</v>
          </cell>
          <cell r="I1763">
            <v>41484</v>
          </cell>
          <cell r="J1763" t="str">
            <v>NO SUMA</v>
          </cell>
          <cell r="W1763">
            <v>0</v>
          </cell>
          <cell r="AJ1763">
            <v>0</v>
          </cell>
          <cell r="AW1763">
            <v>0</v>
          </cell>
        </row>
        <row r="1764">
          <cell r="B1764">
            <v>5309</v>
          </cell>
          <cell r="D1764" t="str">
            <v/>
          </cell>
          <cell r="E1764" t="str">
            <v/>
          </cell>
          <cell r="F1764" t="str">
            <v/>
          </cell>
          <cell r="G1764">
            <v>8</v>
          </cell>
          <cell r="I1764">
            <v>41484</v>
          </cell>
          <cell r="J1764" t="str">
            <v>NO SUMA</v>
          </cell>
          <cell r="W1764">
            <v>0</v>
          </cell>
          <cell r="AJ1764">
            <v>0</v>
          </cell>
          <cell r="AW1764">
            <v>0</v>
          </cell>
        </row>
        <row r="1765">
          <cell r="B1765">
            <v>5310</v>
          </cell>
          <cell r="C1765" t="str">
            <v>RV_197_</v>
          </cell>
          <cell r="D1765" t="str">
            <v>Rancho Recoveco No. 197</v>
          </cell>
          <cell r="E1765" t="str">
            <v>Colín González</v>
          </cell>
          <cell r="F1765">
            <v>300</v>
          </cell>
          <cell r="G1765">
            <v>1</v>
          </cell>
          <cell r="H1765">
            <v>300</v>
          </cell>
          <cell r="I1765">
            <v>41484</v>
          </cell>
          <cell r="J1765">
            <v>0</v>
          </cell>
          <cell r="W1765">
            <v>0</v>
          </cell>
          <cell r="AE1765">
            <v>300</v>
          </cell>
          <cell r="AJ1765">
            <v>300</v>
          </cell>
          <cell r="AW1765">
            <v>0</v>
          </cell>
        </row>
        <row r="1766">
          <cell r="B1766">
            <v>5311</v>
          </cell>
          <cell r="C1766" t="str">
            <v>LD_24_</v>
          </cell>
          <cell r="D1766" t="str">
            <v>Rancho Landero No. 24</v>
          </cell>
          <cell r="E1766" t="str">
            <v>Vázquez Peralta</v>
          </cell>
          <cell r="F1766">
            <v>300</v>
          </cell>
          <cell r="G1766">
            <v>1</v>
          </cell>
          <cell r="H1766">
            <v>600</v>
          </cell>
          <cell r="I1766">
            <v>41484</v>
          </cell>
          <cell r="J1766">
            <v>0</v>
          </cell>
          <cell r="W1766">
            <v>0</v>
          </cell>
          <cell r="AC1766">
            <v>300</v>
          </cell>
          <cell r="AD1766">
            <v>300</v>
          </cell>
          <cell r="AJ1766">
            <v>600</v>
          </cell>
          <cell r="AW1766">
            <v>0</v>
          </cell>
        </row>
        <row r="1767">
          <cell r="B1767">
            <v>5312</v>
          </cell>
          <cell r="C1767" t="str">
            <v>LD_73_</v>
          </cell>
          <cell r="D1767" t="str">
            <v>Rancho Landero No. 73</v>
          </cell>
          <cell r="E1767" t="str">
            <v>Islas Palacios</v>
          </cell>
          <cell r="F1767">
            <v>300</v>
          </cell>
          <cell r="G1767">
            <v>1</v>
          </cell>
          <cell r="H1767">
            <v>300</v>
          </cell>
          <cell r="I1767">
            <v>41484</v>
          </cell>
          <cell r="J1767">
            <v>0</v>
          </cell>
          <cell r="W1767">
            <v>0</v>
          </cell>
          <cell r="AD1767">
            <v>300</v>
          </cell>
          <cell r="AJ1767">
            <v>300</v>
          </cell>
          <cell r="AW1767">
            <v>0</v>
          </cell>
        </row>
        <row r="1768">
          <cell r="B1768">
            <v>5313</v>
          </cell>
          <cell r="C1768" t="str">
            <v>LD_31_</v>
          </cell>
          <cell r="D1768" t="str">
            <v>Rancho Landero No. 31</v>
          </cell>
          <cell r="E1768" t="str">
            <v>Díaz Hernández</v>
          </cell>
          <cell r="F1768">
            <v>200</v>
          </cell>
          <cell r="G1768">
            <v>1</v>
          </cell>
          <cell r="H1768">
            <v>400</v>
          </cell>
          <cell r="I1768">
            <v>41484</v>
          </cell>
          <cell r="J1768">
            <v>0</v>
          </cell>
          <cell r="W1768">
            <v>0</v>
          </cell>
          <cell r="AD1768">
            <v>200</v>
          </cell>
          <cell r="AE1768">
            <v>200</v>
          </cell>
          <cell r="AJ1768">
            <v>400</v>
          </cell>
          <cell r="AW1768">
            <v>0</v>
          </cell>
        </row>
        <row r="1769">
          <cell r="B1769">
            <v>5314</v>
          </cell>
          <cell r="C1769" t="str">
            <v>UP_48_</v>
          </cell>
          <cell r="D1769" t="str">
            <v>Rancho Upácuaro No. 48</v>
          </cell>
          <cell r="E1769" t="str">
            <v>Bernal</v>
          </cell>
          <cell r="F1769">
            <v>200</v>
          </cell>
          <cell r="G1769">
            <v>1</v>
          </cell>
          <cell r="H1769">
            <v>400</v>
          </cell>
          <cell r="I1769">
            <v>41484</v>
          </cell>
          <cell r="J1769">
            <v>0</v>
          </cell>
          <cell r="W1769">
            <v>0</v>
          </cell>
          <cell r="AA1769">
            <v>200</v>
          </cell>
          <cell r="AB1769">
            <v>200</v>
          </cell>
          <cell r="AJ1769">
            <v>400</v>
          </cell>
          <cell r="AW1769">
            <v>0</v>
          </cell>
        </row>
        <row r="1770">
          <cell r="B1770">
            <v>5315</v>
          </cell>
          <cell r="C1770" t="str">
            <v>EZ_19_</v>
          </cell>
          <cell r="D1770" t="str">
            <v>Rancho Estanzuela No. 19</v>
          </cell>
          <cell r="E1770" t="str">
            <v>Robles</v>
          </cell>
          <cell r="F1770">
            <v>300</v>
          </cell>
          <cell r="G1770">
            <v>1</v>
          </cell>
          <cell r="H1770">
            <v>600</v>
          </cell>
          <cell r="I1770">
            <v>41484</v>
          </cell>
          <cell r="J1770">
            <v>0</v>
          </cell>
          <cell r="W1770">
            <v>0</v>
          </cell>
          <cell r="AD1770">
            <v>300</v>
          </cell>
          <cell r="AE1770">
            <v>300</v>
          </cell>
          <cell r="AJ1770">
            <v>600</v>
          </cell>
          <cell r="AW1770">
            <v>0</v>
          </cell>
        </row>
        <row r="1771">
          <cell r="B1771">
            <v>5316</v>
          </cell>
          <cell r="C1771" t="str">
            <v>UP_65_</v>
          </cell>
          <cell r="D1771" t="str">
            <v>Rancho Upácuaro No. 65</v>
          </cell>
          <cell r="E1771" t="str">
            <v>Olguín</v>
          </cell>
          <cell r="F1771">
            <v>300</v>
          </cell>
          <cell r="G1771">
            <v>1</v>
          </cell>
          <cell r="H1771">
            <v>300</v>
          </cell>
          <cell r="I1771">
            <v>41484</v>
          </cell>
          <cell r="J1771">
            <v>0</v>
          </cell>
          <cell r="W1771">
            <v>0</v>
          </cell>
          <cell r="AD1771">
            <v>300</v>
          </cell>
          <cell r="AJ1771">
            <v>300</v>
          </cell>
          <cell r="AW1771">
            <v>0</v>
          </cell>
        </row>
        <row r="1772">
          <cell r="B1772">
            <v>5317</v>
          </cell>
          <cell r="C1772" t="str">
            <v>UP_68_</v>
          </cell>
          <cell r="D1772" t="str">
            <v>Rancho Upácuaro No. 68</v>
          </cell>
          <cell r="E1772" t="str">
            <v>Romero o Lezama</v>
          </cell>
          <cell r="F1772">
            <v>300</v>
          </cell>
          <cell r="G1772">
            <v>1</v>
          </cell>
          <cell r="H1772">
            <v>300</v>
          </cell>
          <cell r="I1772">
            <v>41484</v>
          </cell>
          <cell r="J1772">
            <v>0</v>
          </cell>
          <cell r="W1772">
            <v>0</v>
          </cell>
          <cell r="AB1772">
            <v>300</v>
          </cell>
          <cell r="AJ1772">
            <v>300</v>
          </cell>
          <cell r="AW1772">
            <v>0</v>
          </cell>
        </row>
        <row r="1773">
          <cell r="B1773">
            <v>5318</v>
          </cell>
          <cell r="C1773" t="str">
            <v>CL_43_A</v>
          </cell>
          <cell r="D1773" t="str">
            <v>Rancho La Cuchilla No. 43, A</v>
          </cell>
          <cell r="E1773" t="str">
            <v>De la Rosa</v>
          </cell>
          <cell r="F1773">
            <v>200</v>
          </cell>
          <cell r="G1773">
            <v>4</v>
          </cell>
          <cell r="H1773">
            <v>160</v>
          </cell>
          <cell r="I1773">
            <v>41484</v>
          </cell>
          <cell r="J1773" t="str">
            <v>NO SUMA</v>
          </cell>
          <cell r="W1773">
            <v>0</v>
          </cell>
          <cell r="AJ1773">
            <v>0</v>
          </cell>
          <cell r="AW1773">
            <v>0</v>
          </cell>
        </row>
        <row r="1774">
          <cell r="B1774">
            <v>5319</v>
          </cell>
          <cell r="C1774" t="str">
            <v>RV_175_A</v>
          </cell>
          <cell r="D1774" t="str">
            <v>Rancho Recoveco No. 175, A</v>
          </cell>
          <cell r="E1774" t="str">
            <v>Pérez</v>
          </cell>
          <cell r="F1774">
            <v>300</v>
          </cell>
          <cell r="G1774">
            <v>1</v>
          </cell>
          <cell r="H1774">
            <v>300</v>
          </cell>
          <cell r="I1774">
            <v>41484</v>
          </cell>
          <cell r="J1774">
            <v>0</v>
          </cell>
          <cell r="W1774">
            <v>0</v>
          </cell>
          <cell r="Z1774">
            <v>300</v>
          </cell>
          <cell r="AJ1774">
            <v>300</v>
          </cell>
          <cell r="AW1774">
            <v>0</v>
          </cell>
        </row>
        <row r="1775">
          <cell r="B1775">
            <v>5320</v>
          </cell>
          <cell r="C1775" t="str">
            <v>EZ_75_</v>
          </cell>
          <cell r="D1775" t="str">
            <v>Rancho Estanzuela No. 75</v>
          </cell>
          <cell r="E1775" t="str">
            <v>Candela Pons</v>
          </cell>
          <cell r="F1775">
            <v>150</v>
          </cell>
          <cell r="G1775">
            <v>1</v>
          </cell>
          <cell r="H1775">
            <v>1200</v>
          </cell>
          <cell r="I1775">
            <v>41484</v>
          </cell>
          <cell r="J1775">
            <v>0</v>
          </cell>
          <cell r="W1775">
            <v>0</v>
          </cell>
          <cell r="X1775">
            <v>150</v>
          </cell>
          <cell r="Y1775">
            <v>150</v>
          </cell>
          <cell r="Z1775">
            <v>150</v>
          </cell>
          <cell r="AA1775">
            <v>150</v>
          </cell>
          <cell r="AB1775">
            <v>150</v>
          </cell>
          <cell r="AC1775">
            <v>150</v>
          </cell>
          <cell r="AD1775">
            <v>150</v>
          </cell>
          <cell r="AE1775">
            <v>150</v>
          </cell>
          <cell r="AJ1775">
            <v>1200</v>
          </cell>
          <cell r="AW1775">
            <v>0</v>
          </cell>
        </row>
        <row r="1776">
          <cell r="B1776">
            <v>5321</v>
          </cell>
          <cell r="C1776" t="str">
            <v>CL_20_</v>
          </cell>
          <cell r="D1776" t="str">
            <v>Rancho La Cuchilla No. 20</v>
          </cell>
          <cell r="E1776" t="str">
            <v>Sánchez López</v>
          </cell>
          <cell r="F1776">
            <v>300</v>
          </cell>
          <cell r="G1776">
            <v>1</v>
          </cell>
          <cell r="H1776">
            <v>300</v>
          </cell>
          <cell r="I1776">
            <v>41484</v>
          </cell>
          <cell r="J1776">
            <v>0</v>
          </cell>
          <cell r="W1776">
            <v>0</v>
          </cell>
          <cell r="AE1776">
            <v>300</v>
          </cell>
          <cell r="AJ1776">
            <v>300</v>
          </cell>
          <cell r="AW1776">
            <v>0</v>
          </cell>
        </row>
        <row r="1777">
          <cell r="B1777">
            <v>5322</v>
          </cell>
          <cell r="C1777" t="str">
            <v>CL_55_</v>
          </cell>
          <cell r="D1777" t="str">
            <v>Rancho La Cuchilla No. 55</v>
          </cell>
          <cell r="E1777" t="str">
            <v>López Velázquez</v>
          </cell>
          <cell r="F1777">
            <v>300</v>
          </cell>
          <cell r="G1777">
            <v>1</v>
          </cell>
          <cell r="H1777">
            <v>300</v>
          </cell>
          <cell r="I1777">
            <v>41484</v>
          </cell>
          <cell r="J1777">
            <v>0</v>
          </cell>
          <cell r="W1777">
            <v>0</v>
          </cell>
          <cell r="AD1777">
            <v>300</v>
          </cell>
          <cell r="AJ1777">
            <v>300</v>
          </cell>
          <cell r="AW1777">
            <v>0</v>
          </cell>
        </row>
        <row r="1778">
          <cell r="B1778">
            <v>5323</v>
          </cell>
          <cell r="C1778" t="str">
            <v>EZ_7_A</v>
          </cell>
          <cell r="D1778" t="str">
            <v>Rancho Estanzuela No. 7, A</v>
          </cell>
          <cell r="E1778" t="str">
            <v>Herrera Izquierdo</v>
          </cell>
          <cell r="F1778">
            <v>150</v>
          </cell>
          <cell r="G1778">
            <v>1</v>
          </cell>
          <cell r="H1778">
            <v>150</v>
          </cell>
          <cell r="I1778">
            <v>41484</v>
          </cell>
          <cell r="J1778">
            <v>0</v>
          </cell>
          <cell r="W1778">
            <v>0</v>
          </cell>
          <cell r="AD1778">
            <v>150</v>
          </cell>
          <cell r="AJ1778">
            <v>150</v>
          </cell>
          <cell r="AW1778">
            <v>0</v>
          </cell>
        </row>
        <row r="1779">
          <cell r="B1779">
            <v>5324</v>
          </cell>
          <cell r="C1779" t="str">
            <v>EZ_139_</v>
          </cell>
          <cell r="D1779" t="str">
            <v>Rancho Estanzuela No. 139</v>
          </cell>
          <cell r="E1779" t="str">
            <v>Ortiz</v>
          </cell>
          <cell r="F1779">
            <v>300</v>
          </cell>
          <cell r="G1779">
            <v>1</v>
          </cell>
          <cell r="H1779">
            <v>600</v>
          </cell>
          <cell r="I1779">
            <v>41484</v>
          </cell>
          <cell r="J1779">
            <v>0</v>
          </cell>
          <cell r="W1779">
            <v>0</v>
          </cell>
          <cell r="AD1779">
            <v>300</v>
          </cell>
          <cell r="AE1779">
            <v>300</v>
          </cell>
          <cell r="AJ1779">
            <v>600</v>
          </cell>
          <cell r="AW1779">
            <v>0</v>
          </cell>
        </row>
        <row r="1780">
          <cell r="B1780">
            <v>5325</v>
          </cell>
          <cell r="C1780" t="str">
            <v>CL_139_</v>
          </cell>
          <cell r="D1780" t="str">
            <v>Rancho La Cuchilla No. 139</v>
          </cell>
          <cell r="E1780" t="str">
            <v>Gloria García</v>
          </cell>
          <cell r="F1780">
            <v>200</v>
          </cell>
          <cell r="G1780">
            <v>4</v>
          </cell>
          <cell r="H1780">
            <v>160</v>
          </cell>
          <cell r="I1780">
            <v>41484</v>
          </cell>
          <cell r="J1780" t="str">
            <v>NO SUMA</v>
          </cell>
          <cell r="W1780">
            <v>0</v>
          </cell>
          <cell r="AJ1780">
            <v>0</v>
          </cell>
          <cell r="AW1780">
            <v>0</v>
          </cell>
        </row>
        <row r="1781">
          <cell r="B1781">
            <v>5326</v>
          </cell>
          <cell r="C1781" t="str">
            <v>CL_36_</v>
          </cell>
          <cell r="D1781" t="str">
            <v>Rancho La Cuchilla No. 36</v>
          </cell>
          <cell r="E1781" t="str">
            <v>Castillo</v>
          </cell>
          <cell r="F1781">
            <v>300</v>
          </cell>
          <cell r="G1781">
            <v>1</v>
          </cell>
          <cell r="H1781">
            <v>600</v>
          </cell>
          <cell r="I1781">
            <v>41484</v>
          </cell>
          <cell r="J1781">
            <v>0</v>
          </cell>
          <cell r="W1781">
            <v>0</v>
          </cell>
          <cell r="AD1781">
            <v>300</v>
          </cell>
          <cell r="AE1781">
            <v>300</v>
          </cell>
          <cell r="AJ1781">
            <v>600</v>
          </cell>
          <cell r="AW1781">
            <v>0</v>
          </cell>
        </row>
        <row r="1782">
          <cell r="B1782">
            <v>5327</v>
          </cell>
          <cell r="C1782" t="str">
            <v>CL_45_</v>
          </cell>
          <cell r="D1782" t="str">
            <v>Rancho La Cuchilla No. 45</v>
          </cell>
          <cell r="E1782" t="str">
            <v>Estévez Hernández</v>
          </cell>
          <cell r="F1782">
            <v>300</v>
          </cell>
          <cell r="G1782">
            <v>1</v>
          </cell>
          <cell r="H1782">
            <v>300</v>
          </cell>
          <cell r="I1782">
            <v>41484</v>
          </cell>
          <cell r="J1782">
            <v>0</v>
          </cell>
          <cell r="W1782">
            <v>0</v>
          </cell>
          <cell r="AE1782">
            <v>300</v>
          </cell>
          <cell r="AJ1782">
            <v>300</v>
          </cell>
          <cell r="AW1782">
            <v>0</v>
          </cell>
        </row>
        <row r="1783">
          <cell r="B1783">
            <v>5328</v>
          </cell>
          <cell r="C1783" t="str">
            <v>EZ_65_</v>
          </cell>
          <cell r="D1783" t="str">
            <v>Rancho Estanzuela No. 65</v>
          </cell>
          <cell r="E1783" t="str">
            <v>López Becerril</v>
          </cell>
          <cell r="F1783">
            <v>300</v>
          </cell>
          <cell r="G1783">
            <v>1</v>
          </cell>
          <cell r="H1783">
            <v>600</v>
          </cell>
          <cell r="I1783">
            <v>41484</v>
          </cell>
          <cell r="J1783">
            <v>0</v>
          </cell>
          <cell r="W1783">
            <v>0</v>
          </cell>
          <cell r="AD1783">
            <v>300</v>
          </cell>
          <cell r="AE1783">
            <v>300</v>
          </cell>
          <cell r="AJ1783">
            <v>600</v>
          </cell>
          <cell r="AW1783">
            <v>0</v>
          </cell>
        </row>
        <row r="1784">
          <cell r="B1784">
            <v>5329</v>
          </cell>
          <cell r="C1784" t="str">
            <v>CL_32_</v>
          </cell>
          <cell r="D1784" t="str">
            <v>Rancho La Cuchilla No. 32</v>
          </cell>
          <cell r="E1784" t="str">
            <v>Hernández</v>
          </cell>
          <cell r="F1784">
            <v>300</v>
          </cell>
          <cell r="G1784">
            <v>1</v>
          </cell>
          <cell r="H1784">
            <v>300</v>
          </cell>
          <cell r="I1784">
            <v>41484</v>
          </cell>
          <cell r="J1784">
            <v>0</v>
          </cell>
          <cell r="W1784">
            <v>0</v>
          </cell>
          <cell r="AD1784">
            <v>300</v>
          </cell>
          <cell r="AJ1784">
            <v>300</v>
          </cell>
          <cell r="AW1784">
            <v>0</v>
          </cell>
        </row>
        <row r="1785">
          <cell r="B1785">
            <v>5330</v>
          </cell>
          <cell r="C1785" t="str">
            <v>RV_197_</v>
          </cell>
          <cell r="D1785" t="str">
            <v>Rancho Recoveco No. 197</v>
          </cell>
          <cell r="E1785" t="str">
            <v>Colín González</v>
          </cell>
          <cell r="F1785">
            <v>300</v>
          </cell>
          <cell r="G1785">
            <v>3</v>
          </cell>
          <cell r="H1785">
            <v>150</v>
          </cell>
          <cell r="I1785">
            <v>41484</v>
          </cell>
          <cell r="J1785" t="str">
            <v>NO SUMA</v>
          </cell>
          <cell r="W1785">
            <v>0</v>
          </cell>
          <cell r="AJ1785">
            <v>0</v>
          </cell>
          <cell r="AW1785">
            <v>0</v>
          </cell>
        </row>
        <row r="1786">
          <cell r="B1786">
            <v>5331</v>
          </cell>
          <cell r="D1786" t="str">
            <v/>
          </cell>
          <cell r="E1786" t="str">
            <v/>
          </cell>
          <cell r="F1786" t="str">
            <v/>
          </cell>
          <cell r="G1786">
            <v>8</v>
          </cell>
          <cell r="I1786">
            <v>41484</v>
          </cell>
          <cell r="J1786" t="str">
            <v>NO SUMA</v>
          </cell>
          <cell r="W1786">
            <v>0</v>
          </cell>
          <cell r="AJ1786">
            <v>0</v>
          </cell>
          <cell r="AW1786">
            <v>0</v>
          </cell>
        </row>
        <row r="1787">
          <cell r="B1787">
            <v>5332</v>
          </cell>
          <cell r="C1787" t="str">
            <v>CL_149_</v>
          </cell>
          <cell r="D1787" t="str">
            <v>Rancho La Cuchilla No. 149</v>
          </cell>
          <cell r="E1787" t="str">
            <v>Montes Irineos</v>
          </cell>
          <cell r="F1787">
            <v>300</v>
          </cell>
          <cell r="G1787">
            <v>3</v>
          </cell>
          <cell r="H1787">
            <v>150</v>
          </cell>
          <cell r="I1787">
            <v>41484</v>
          </cell>
          <cell r="J1787" t="str">
            <v>NO SUMA</v>
          </cell>
          <cell r="W1787">
            <v>0</v>
          </cell>
          <cell r="AJ1787">
            <v>0</v>
          </cell>
          <cell r="AW1787">
            <v>0</v>
          </cell>
        </row>
        <row r="1788">
          <cell r="B1788">
            <v>5332</v>
          </cell>
          <cell r="C1788" t="str">
            <v>CL_149_</v>
          </cell>
          <cell r="D1788" t="str">
            <v>Rancho La Cuchilla No. 149</v>
          </cell>
          <cell r="E1788" t="str">
            <v>Montes Irineos</v>
          </cell>
          <cell r="F1788">
            <v>300</v>
          </cell>
          <cell r="G1788">
            <v>4</v>
          </cell>
          <cell r="H1788">
            <v>160</v>
          </cell>
          <cell r="I1788">
            <v>41484</v>
          </cell>
          <cell r="J1788" t="str">
            <v>NO SUMA</v>
          </cell>
          <cell r="W1788">
            <v>0</v>
          </cell>
          <cell r="AJ1788">
            <v>0</v>
          </cell>
          <cell r="AW1788">
            <v>0</v>
          </cell>
        </row>
        <row r="1789">
          <cell r="B1789">
            <v>5333</v>
          </cell>
          <cell r="C1789" t="str">
            <v>ZB_38_</v>
          </cell>
          <cell r="D1789" t="str">
            <v>Rancho Zinamba No. 38</v>
          </cell>
          <cell r="E1789" t="str">
            <v>Ramírez Díaz</v>
          </cell>
          <cell r="F1789">
            <v>300</v>
          </cell>
          <cell r="G1789">
            <v>3</v>
          </cell>
          <cell r="H1789">
            <v>150</v>
          </cell>
          <cell r="I1789">
            <v>41486</v>
          </cell>
          <cell r="J1789" t="str">
            <v>NO SUMA</v>
          </cell>
          <cell r="W1789">
            <v>0</v>
          </cell>
          <cell r="AJ1789">
            <v>0</v>
          </cell>
          <cell r="AW1789">
            <v>0</v>
          </cell>
        </row>
        <row r="1790">
          <cell r="B1790" t="str">
            <v>NÚMERO</v>
          </cell>
          <cell r="C1790" t="str">
            <v>CASA</v>
          </cell>
          <cell r="D1790" t="str">
            <v>DOMICILIO</v>
          </cell>
          <cell r="E1790" t="str">
            <v>FAMILIA</v>
          </cell>
          <cell r="F1790" t="str">
            <v>CUOTA</v>
          </cell>
          <cell r="G1790" t="str">
            <v>C_ING</v>
          </cell>
          <cell r="H1790" t="str">
            <v>IMPORTE</v>
          </cell>
          <cell r="I1790" t="str">
            <v>FECHA</v>
          </cell>
          <cell r="J1790" t="str">
            <v>CHK</v>
          </cell>
          <cell r="K1790" t="str">
            <v>ENE
2012</v>
          </cell>
          <cell r="L1790" t="str">
            <v>FEB
2012</v>
          </cell>
          <cell r="M1790" t="str">
            <v>MAR
2012</v>
          </cell>
          <cell r="N1790" t="str">
            <v>ABR
2012</v>
          </cell>
          <cell r="O1790" t="str">
            <v>MAY
2012</v>
          </cell>
          <cell r="P1790" t="str">
            <v>JUN
2012</v>
          </cell>
          <cell r="Q1790" t="str">
            <v>JUL
2012</v>
          </cell>
          <cell r="R1790" t="str">
            <v>AGO
2012</v>
          </cell>
          <cell r="S1790" t="str">
            <v>SEP
2012</v>
          </cell>
          <cell r="T1790" t="str">
            <v>OCT
2012</v>
          </cell>
          <cell r="U1790" t="str">
            <v>NOV
2012</v>
          </cell>
          <cell r="V1790" t="str">
            <v>DIC
2012</v>
          </cell>
          <cell r="W1790" t="str">
            <v>SUMA
2012</v>
          </cell>
          <cell r="X1790" t="str">
            <v>ENE
2013</v>
          </cell>
          <cell r="Y1790" t="str">
            <v>FEB
2013</v>
          </cell>
          <cell r="Z1790" t="str">
            <v>MAR
2013</v>
          </cell>
          <cell r="AA1790" t="str">
            <v>ABR
2013</v>
          </cell>
          <cell r="AB1790" t="str">
            <v>MAY
2013</v>
          </cell>
          <cell r="AC1790" t="str">
            <v>JUN
2013</v>
          </cell>
          <cell r="AD1790" t="str">
            <v>JUL
2013</v>
          </cell>
          <cell r="AE1790" t="str">
            <v>AGO
2013</v>
          </cell>
          <cell r="AF1790" t="str">
            <v>SEP
2013</v>
          </cell>
          <cell r="AG1790" t="str">
            <v>OCT
2013</v>
          </cell>
          <cell r="AH1790" t="str">
            <v>NOV
2013</v>
          </cell>
          <cell r="AI1790" t="str">
            <v>DIC
2013</v>
          </cell>
          <cell r="AJ1790" t="str">
            <v>SUMA
2013</v>
          </cell>
          <cell r="AK1790" t="str">
            <v>ENE
2014</v>
          </cell>
          <cell r="AL1790" t="str">
            <v>FEB
2014</v>
          </cell>
          <cell r="AM1790" t="str">
            <v>MAR
2014</v>
          </cell>
          <cell r="AN1790" t="str">
            <v>ABR
2014</v>
          </cell>
          <cell r="AO1790" t="str">
            <v>MAY
2014</v>
          </cell>
          <cell r="AP1790" t="str">
            <v>JUN
2014</v>
          </cell>
          <cell r="AQ1790" t="str">
            <v>JUL
2014</v>
          </cell>
          <cell r="AR1790" t="str">
            <v>AGO
2014</v>
          </cell>
          <cell r="AS1790" t="str">
            <v>SEP
2014</v>
          </cell>
          <cell r="AT1790" t="str">
            <v>OCT
2014</v>
          </cell>
          <cell r="AU1790" t="str">
            <v>NOV
2014</v>
          </cell>
          <cell r="AV1790" t="str">
            <v>DIC
2014</v>
          </cell>
          <cell r="AW1790" t="str">
            <v>SUMA
2014</v>
          </cell>
        </row>
        <row r="1791">
          <cell r="B1791">
            <v>5334</v>
          </cell>
          <cell r="C1791" t="str">
            <v>UP_76_</v>
          </cell>
          <cell r="D1791" t="str">
            <v>Rancho Upácuaro No. 76</v>
          </cell>
          <cell r="E1791" t="str">
            <v>Ruiz de San Pedro</v>
          </cell>
          <cell r="F1791">
            <v>300</v>
          </cell>
          <cell r="G1791">
            <v>1</v>
          </cell>
          <cell r="H1791">
            <v>300</v>
          </cell>
          <cell r="I1791">
            <v>41490</v>
          </cell>
          <cell r="J1791">
            <v>0</v>
          </cell>
          <cell r="W1791">
            <v>0</v>
          </cell>
          <cell r="AE1791">
            <v>300</v>
          </cell>
          <cell r="AJ1791">
            <v>300</v>
          </cell>
          <cell r="AW1791">
            <v>0</v>
          </cell>
        </row>
        <row r="1792">
          <cell r="B1792">
            <v>5335</v>
          </cell>
          <cell r="C1792" t="str">
            <v>CL_32_</v>
          </cell>
          <cell r="D1792" t="str">
            <v>Rancho La Cuchilla No. 32</v>
          </cell>
          <cell r="E1792" t="str">
            <v>Hernández</v>
          </cell>
          <cell r="F1792">
            <v>300</v>
          </cell>
          <cell r="G1792">
            <v>1</v>
          </cell>
          <cell r="H1792">
            <v>300</v>
          </cell>
          <cell r="I1792">
            <v>41490</v>
          </cell>
          <cell r="J1792">
            <v>0</v>
          </cell>
          <cell r="W1792">
            <v>0</v>
          </cell>
          <cell r="AE1792">
            <v>300</v>
          </cell>
          <cell r="AJ1792">
            <v>300</v>
          </cell>
          <cell r="AW1792">
            <v>0</v>
          </cell>
        </row>
        <row r="1793">
          <cell r="B1793">
            <v>5336</v>
          </cell>
          <cell r="C1793" t="str">
            <v>RV_1_</v>
          </cell>
          <cell r="D1793" t="str">
            <v>Rancho Recoveco No. 1</v>
          </cell>
          <cell r="E1793" t="str">
            <v>Díaz</v>
          </cell>
          <cell r="F1793">
            <v>300</v>
          </cell>
          <cell r="G1793">
            <v>1</v>
          </cell>
          <cell r="H1793">
            <v>300</v>
          </cell>
          <cell r="I1793">
            <v>41490</v>
          </cell>
          <cell r="J1793">
            <v>0</v>
          </cell>
          <cell r="W1793">
            <v>0</v>
          </cell>
          <cell r="AE1793">
            <v>300</v>
          </cell>
          <cell r="AJ1793">
            <v>300</v>
          </cell>
          <cell r="AW1793">
            <v>0</v>
          </cell>
        </row>
        <row r="1794">
          <cell r="B1794">
            <v>5337</v>
          </cell>
          <cell r="C1794" t="str">
            <v>RV_181_</v>
          </cell>
          <cell r="D1794" t="str">
            <v>Rancho Recoveco No. 181</v>
          </cell>
          <cell r="E1794" t="str">
            <v>Paredes</v>
          </cell>
          <cell r="F1794">
            <v>300</v>
          </cell>
          <cell r="G1794">
            <v>1</v>
          </cell>
          <cell r="H1794">
            <v>300</v>
          </cell>
          <cell r="I1794">
            <v>41490</v>
          </cell>
          <cell r="J1794">
            <v>0</v>
          </cell>
          <cell r="W1794">
            <v>0</v>
          </cell>
          <cell r="AE1794">
            <v>300</v>
          </cell>
          <cell r="AJ1794">
            <v>300</v>
          </cell>
          <cell r="AW1794">
            <v>0</v>
          </cell>
        </row>
        <row r="1795">
          <cell r="B1795">
            <v>5338</v>
          </cell>
          <cell r="C1795" t="str">
            <v>UP_140_</v>
          </cell>
          <cell r="D1795" t="str">
            <v>Rancho Upácuaro No. 140</v>
          </cell>
          <cell r="E1795" t="str">
            <v>Gozain</v>
          </cell>
          <cell r="F1795">
            <v>300</v>
          </cell>
          <cell r="G1795">
            <v>1</v>
          </cell>
          <cell r="H1795">
            <v>300</v>
          </cell>
          <cell r="I1795">
            <v>41490</v>
          </cell>
          <cell r="J1795">
            <v>0</v>
          </cell>
          <cell r="W1795">
            <v>0</v>
          </cell>
          <cell r="AE1795">
            <v>300</v>
          </cell>
          <cell r="AJ1795">
            <v>300</v>
          </cell>
          <cell r="AW1795">
            <v>0</v>
          </cell>
        </row>
        <row r="1796">
          <cell r="B1796">
            <v>5339</v>
          </cell>
          <cell r="C1796" t="str">
            <v>CL_12_</v>
          </cell>
          <cell r="D1796" t="str">
            <v>Rancho La Cuchilla No. 12</v>
          </cell>
          <cell r="E1796" t="str">
            <v>Rivera Flores</v>
          </cell>
          <cell r="F1796">
            <v>300</v>
          </cell>
          <cell r="G1796">
            <v>1</v>
          </cell>
          <cell r="H1796">
            <v>300</v>
          </cell>
          <cell r="I1796">
            <v>41490</v>
          </cell>
          <cell r="J1796">
            <v>0</v>
          </cell>
          <cell r="W1796">
            <v>0</v>
          </cell>
          <cell r="AE1796">
            <v>300</v>
          </cell>
          <cell r="AJ1796">
            <v>300</v>
          </cell>
          <cell r="AW1796">
            <v>0</v>
          </cell>
        </row>
        <row r="1797">
          <cell r="B1797">
            <v>5340</v>
          </cell>
          <cell r="C1797" t="str">
            <v>UP_100_</v>
          </cell>
          <cell r="D1797" t="str">
            <v>Rancho Upácuaro No. 100</v>
          </cell>
          <cell r="E1797" t="str">
            <v>Mancera Rodríguez</v>
          </cell>
          <cell r="F1797">
            <v>300</v>
          </cell>
          <cell r="G1797">
            <v>1</v>
          </cell>
          <cell r="H1797">
            <v>300</v>
          </cell>
          <cell r="I1797">
            <v>41490</v>
          </cell>
          <cell r="J1797">
            <v>0</v>
          </cell>
          <cell r="W1797">
            <v>0</v>
          </cell>
          <cell r="AE1797">
            <v>300</v>
          </cell>
          <cell r="AJ1797">
            <v>300</v>
          </cell>
          <cell r="AW1797">
            <v>0</v>
          </cell>
        </row>
        <row r="1798">
          <cell r="B1798">
            <v>5341</v>
          </cell>
          <cell r="C1798" t="str">
            <v>CL_43_B</v>
          </cell>
          <cell r="D1798" t="str">
            <v>Rancho La Cuchilla No. 43, B</v>
          </cell>
          <cell r="E1798" t="str">
            <v>Luna Albertano</v>
          </cell>
          <cell r="F1798">
            <v>125</v>
          </cell>
          <cell r="G1798">
            <v>1</v>
          </cell>
          <cell r="H1798">
            <v>125</v>
          </cell>
          <cell r="I1798">
            <v>41490</v>
          </cell>
          <cell r="J1798">
            <v>0</v>
          </cell>
          <cell r="W1798">
            <v>0</v>
          </cell>
          <cell r="AE1798">
            <v>125</v>
          </cell>
          <cell r="AJ1798">
            <v>125</v>
          </cell>
          <cell r="AW1798">
            <v>0</v>
          </cell>
        </row>
        <row r="1799">
          <cell r="B1799">
            <v>5342</v>
          </cell>
          <cell r="C1799" t="str">
            <v>EZ_157_1</v>
          </cell>
          <cell r="D1799" t="str">
            <v>Rancho Estanzuela No. 157, 1</v>
          </cell>
          <cell r="E1799" t="str">
            <v>Anzures</v>
          </cell>
          <cell r="F1799">
            <v>450</v>
          </cell>
          <cell r="G1799">
            <v>1</v>
          </cell>
          <cell r="H1799">
            <v>900</v>
          </cell>
          <cell r="I1799">
            <v>41490</v>
          </cell>
          <cell r="J1799">
            <v>0</v>
          </cell>
          <cell r="W1799">
            <v>0</v>
          </cell>
          <cell r="Y1799">
            <v>450</v>
          </cell>
          <cell r="Z1799">
            <v>450</v>
          </cell>
          <cell r="AJ1799">
            <v>900</v>
          </cell>
          <cell r="AW1799">
            <v>0</v>
          </cell>
        </row>
        <row r="1800">
          <cell r="B1800">
            <v>5343</v>
          </cell>
          <cell r="C1800" t="str">
            <v>EZ_157_1</v>
          </cell>
          <cell r="D1800" t="str">
            <v>Rancho Estanzuela No. 157, 1</v>
          </cell>
          <cell r="E1800" t="str">
            <v>Anzures</v>
          </cell>
          <cell r="F1800">
            <v>450</v>
          </cell>
          <cell r="G1800">
            <v>1</v>
          </cell>
          <cell r="H1800">
            <v>900</v>
          </cell>
          <cell r="I1800">
            <v>41490</v>
          </cell>
          <cell r="J1800">
            <v>0</v>
          </cell>
          <cell r="W1800">
            <v>0</v>
          </cell>
          <cell r="AA1800">
            <v>450</v>
          </cell>
          <cell r="AB1800">
            <v>450</v>
          </cell>
          <cell r="AJ1800">
            <v>900</v>
          </cell>
          <cell r="AW1800">
            <v>0</v>
          </cell>
        </row>
        <row r="1801">
          <cell r="B1801">
            <v>5344</v>
          </cell>
          <cell r="C1801" t="str">
            <v>EZ_157_1</v>
          </cell>
          <cell r="D1801" t="str">
            <v>Rancho Estanzuela No. 157, 1</v>
          </cell>
          <cell r="E1801" t="str">
            <v>Anzures</v>
          </cell>
          <cell r="F1801">
            <v>450</v>
          </cell>
          <cell r="G1801">
            <v>1</v>
          </cell>
          <cell r="H1801">
            <v>900</v>
          </cell>
          <cell r="I1801">
            <v>41490</v>
          </cell>
          <cell r="J1801">
            <v>0</v>
          </cell>
          <cell r="W1801">
            <v>0</v>
          </cell>
          <cell r="AC1801">
            <v>450</v>
          </cell>
          <cell r="AD1801">
            <v>450</v>
          </cell>
          <cell r="AJ1801">
            <v>900</v>
          </cell>
          <cell r="AW1801">
            <v>0</v>
          </cell>
        </row>
        <row r="1802">
          <cell r="B1802">
            <v>5345</v>
          </cell>
          <cell r="C1802" t="str">
            <v>CL_139_</v>
          </cell>
          <cell r="D1802" t="str">
            <v>Rancho La Cuchilla No. 139</v>
          </cell>
          <cell r="E1802" t="str">
            <v>Gloria García</v>
          </cell>
          <cell r="F1802">
            <v>200</v>
          </cell>
          <cell r="G1802">
            <v>1</v>
          </cell>
          <cell r="H1802">
            <v>200</v>
          </cell>
          <cell r="I1802">
            <v>41490</v>
          </cell>
          <cell r="J1802">
            <v>0</v>
          </cell>
          <cell r="W1802">
            <v>0</v>
          </cell>
          <cell r="AE1802">
            <v>200</v>
          </cell>
          <cell r="AJ1802">
            <v>200</v>
          </cell>
          <cell r="AW1802">
            <v>0</v>
          </cell>
        </row>
        <row r="1803">
          <cell r="B1803">
            <v>5346</v>
          </cell>
          <cell r="C1803" t="str">
            <v>EZ_31_</v>
          </cell>
          <cell r="D1803" t="str">
            <v>Rancho Estanzuela No. 31</v>
          </cell>
          <cell r="E1803" t="str">
            <v>Chávez Valdés</v>
          </cell>
          <cell r="F1803">
            <v>300</v>
          </cell>
          <cell r="G1803">
            <v>1</v>
          </cell>
          <cell r="H1803">
            <v>300</v>
          </cell>
          <cell r="I1803">
            <v>41490</v>
          </cell>
          <cell r="J1803">
            <v>0</v>
          </cell>
          <cell r="W1803">
            <v>0</v>
          </cell>
          <cell r="AE1803">
            <v>300</v>
          </cell>
          <cell r="AJ1803">
            <v>300</v>
          </cell>
          <cell r="AW1803">
            <v>0</v>
          </cell>
        </row>
        <row r="1804">
          <cell r="B1804">
            <v>5347</v>
          </cell>
          <cell r="C1804" t="str">
            <v>UP_120_</v>
          </cell>
          <cell r="D1804" t="str">
            <v>Rancho Upácuaro No. 120</v>
          </cell>
          <cell r="E1804" t="str">
            <v>Rayas Rivera</v>
          </cell>
          <cell r="F1804">
            <v>300</v>
          </cell>
          <cell r="G1804">
            <v>1</v>
          </cell>
          <cell r="H1804">
            <v>300</v>
          </cell>
          <cell r="I1804">
            <v>41490</v>
          </cell>
          <cell r="J1804">
            <v>0</v>
          </cell>
          <cell r="W1804">
            <v>0</v>
          </cell>
          <cell r="AE1804">
            <v>300</v>
          </cell>
          <cell r="AJ1804">
            <v>300</v>
          </cell>
          <cell r="AW1804">
            <v>0</v>
          </cell>
        </row>
        <row r="1805">
          <cell r="B1805">
            <v>5348</v>
          </cell>
          <cell r="C1805" t="str">
            <v>ZB_24_</v>
          </cell>
          <cell r="D1805" t="str">
            <v>Rancho Zinamba No. 24</v>
          </cell>
          <cell r="E1805" t="str">
            <v>Monroy García</v>
          </cell>
          <cell r="F1805">
            <v>300</v>
          </cell>
          <cell r="G1805">
            <v>1</v>
          </cell>
          <cell r="H1805">
            <v>600</v>
          </cell>
          <cell r="I1805">
            <v>41490</v>
          </cell>
          <cell r="J1805">
            <v>0</v>
          </cell>
          <cell r="W1805">
            <v>0</v>
          </cell>
          <cell r="AD1805">
            <v>300</v>
          </cell>
          <cell r="AE1805">
            <v>300</v>
          </cell>
          <cell r="AJ1805">
            <v>600</v>
          </cell>
          <cell r="AW1805">
            <v>0</v>
          </cell>
        </row>
        <row r="1806">
          <cell r="B1806">
            <v>5349</v>
          </cell>
          <cell r="C1806" t="str">
            <v>EZ_55_</v>
          </cell>
          <cell r="D1806" t="str">
            <v>Rancho Estanzuela No. 55</v>
          </cell>
          <cell r="E1806" t="str">
            <v>Rodríguez Acevedo</v>
          </cell>
          <cell r="F1806">
            <v>300</v>
          </cell>
          <cell r="G1806">
            <v>1</v>
          </cell>
          <cell r="H1806">
            <v>300</v>
          </cell>
          <cell r="I1806">
            <v>41490</v>
          </cell>
          <cell r="J1806">
            <v>0</v>
          </cell>
          <cell r="W1806">
            <v>0</v>
          </cell>
          <cell r="AE1806">
            <v>300</v>
          </cell>
          <cell r="AJ1806">
            <v>300</v>
          </cell>
          <cell r="AW1806">
            <v>0</v>
          </cell>
        </row>
        <row r="1807">
          <cell r="B1807">
            <v>5350</v>
          </cell>
          <cell r="C1807" t="str">
            <v>EZ_61_</v>
          </cell>
          <cell r="D1807" t="str">
            <v>Rancho Estanzuela No. 61</v>
          </cell>
          <cell r="E1807" t="str">
            <v>González Almazán</v>
          </cell>
          <cell r="F1807">
            <v>300</v>
          </cell>
          <cell r="G1807">
            <v>1</v>
          </cell>
          <cell r="H1807">
            <v>300</v>
          </cell>
          <cell r="I1807">
            <v>41490</v>
          </cell>
          <cell r="J1807">
            <v>0</v>
          </cell>
          <cell r="W1807">
            <v>0</v>
          </cell>
          <cell r="AE1807">
            <v>300</v>
          </cell>
          <cell r="AJ1807">
            <v>300</v>
          </cell>
          <cell r="AW1807">
            <v>0</v>
          </cell>
        </row>
        <row r="1808">
          <cell r="B1808">
            <v>5351</v>
          </cell>
          <cell r="C1808" t="str">
            <v>LD_42_</v>
          </cell>
          <cell r="D1808" t="str">
            <v>Rancho Landero No. 42</v>
          </cell>
          <cell r="E1808" t="str">
            <v>Ávila Fidel</v>
          </cell>
          <cell r="F1808">
            <v>300</v>
          </cell>
          <cell r="G1808">
            <v>1</v>
          </cell>
          <cell r="H1808">
            <v>300</v>
          </cell>
          <cell r="I1808">
            <v>41490</v>
          </cell>
          <cell r="J1808">
            <v>0</v>
          </cell>
          <cell r="W1808">
            <v>0</v>
          </cell>
          <cell r="AE1808">
            <v>300</v>
          </cell>
          <cell r="AJ1808">
            <v>300</v>
          </cell>
          <cell r="AW1808">
            <v>0</v>
          </cell>
        </row>
        <row r="1809">
          <cell r="B1809">
            <v>5352</v>
          </cell>
          <cell r="C1809" t="str">
            <v>LD_64_</v>
          </cell>
          <cell r="D1809" t="str">
            <v>Rancho Landero No. 64</v>
          </cell>
          <cell r="E1809" t="str">
            <v>Ocampo Melchor</v>
          </cell>
          <cell r="F1809">
            <v>300</v>
          </cell>
          <cell r="G1809">
            <v>1</v>
          </cell>
          <cell r="H1809">
            <v>600</v>
          </cell>
          <cell r="I1809">
            <v>41490</v>
          </cell>
          <cell r="J1809">
            <v>0</v>
          </cell>
          <cell r="W1809">
            <v>0</v>
          </cell>
          <cell r="Z1809">
            <v>300</v>
          </cell>
          <cell r="AA1809">
            <v>300</v>
          </cell>
          <cell r="AJ1809">
            <v>600</v>
          </cell>
          <cell r="AW1809">
            <v>0</v>
          </cell>
        </row>
        <row r="1810">
          <cell r="B1810">
            <v>5353</v>
          </cell>
          <cell r="C1810" t="str">
            <v>EP_18_</v>
          </cell>
          <cell r="D1810" t="str">
            <v>Rancho Estopila No. 18</v>
          </cell>
          <cell r="E1810" t="str">
            <v>Aguilar Zarmeño</v>
          </cell>
          <cell r="F1810">
            <v>300</v>
          </cell>
          <cell r="G1810">
            <v>1</v>
          </cell>
          <cell r="H1810">
            <v>300</v>
          </cell>
          <cell r="I1810">
            <v>41490</v>
          </cell>
          <cell r="J1810">
            <v>0</v>
          </cell>
          <cell r="W1810">
            <v>0</v>
          </cell>
          <cell r="AE1810">
            <v>300</v>
          </cell>
          <cell r="AJ1810">
            <v>300</v>
          </cell>
          <cell r="AW1810">
            <v>0</v>
          </cell>
        </row>
        <row r="1811">
          <cell r="B1811">
            <v>5354</v>
          </cell>
          <cell r="C1811" t="str">
            <v>EZ_115_</v>
          </cell>
          <cell r="D1811" t="str">
            <v>Rancho Estanzuela No. 115</v>
          </cell>
          <cell r="E1811" t="str">
            <v>Frías Solórzano</v>
          </cell>
          <cell r="F1811">
            <v>200</v>
          </cell>
          <cell r="G1811">
            <v>1</v>
          </cell>
          <cell r="H1811">
            <v>600</v>
          </cell>
          <cell r="I1811">
            <v>41490</v>
          </cell>
          <cell r="J1811">
            <v>0</v>
          </cell>
          <cell r="W1811">
            <v>0</v>
          </cell>
          <cell r="AC1811">
            <v>200</v>
          </cell>
          <cell r="AD1811">
            <v>200</v>
          </cell>
          <cell r="AE1811">
            <v>200</v>
          </cell>
          <cell r="AJ1811">
            <v>600</v>
          </cell>
          <cell r="AW1811">
            <v>0</v>
          </cell>
        </row>
        <row r="1812">
          <cell r="B1812">
            <v>5355</v>
          </cell>
          <cell r="C1812" t="str">
            <v>LD_84_</v>
          </cell>
          <cell r="D1812" t="str">
            <v>Rancho Landero No. 84</v>
          </cell>
          <cell r="E1812" t="str">
            <v>Alcántara</v>
          </cell>
          <cell r="F1812">
            <v>300</v>
          </cell>
          <cell r="G1812">
            <v>1</v>
          </cell>
          <cell r="H1812">
            <v>300</v>
          </cell>
          <cell r="I1812">
            <v>41490</v>
          </cell>
          <cell r="J1812">
            <v>0</v>
          </cell>
          <cell r="W1812">
            <v>0</v>
          </cell>
          <cell r="AE1812">
            <v>300</v>
          </cell>
          <cell r="AJ1812">
            <v>300</v>
          </cell>
          <cell r="AW1812">
            <v>0</v>
          </cell>
        </row>
        <row r="1813">
          <cell r="B1813">
            <v>5356</v>
          </cell>
          <cell r="C1813" t="str">
            <v>LD_83_</v>
          </cell>
          <cell r="D1813" t="str">
            <v>Rancho Landero No. 83</v>
          </cell>
          <cell r="E1813" t="str">
            <v>Aguilar</v>
          </cell>
          <cell r="F1813">
            <v>300</v>
          </cell>
          <cell r="G1813">
            <v>1</v>
          </cell>
          <cell r="H1813">
            <v>300</v>
          </cell>
          <cell r="I1813">
            <v>41490</v>
          </cell>
          <cell r="J1813">
            <v>0</v>
          </cell>
          <cell r="W1813">
            <v>0</v>
          </cell>
          <cell r="AE1813">
            <v>300</v>
          </cell>
          <cell r="AJ1813">
            <v>300</v>
          </cell>
          <cell r="AW1813">
            <v>0</v>
          </cell>
        </row>
        <row r="1814">
          <cell r="B1814">
            <v>5357</v>
          </cell>
          <cell r="C1814" t="str">
            <v>ZB_44_</v>
          </cell>
          <cell r="D1814" t="str">
            <v>Rancho Zinamba No. 44</v>
          </cell>
          <cell r="E1814" t="str">
            <v>Canales</v>
          </cell>
          <cell r="F1814">
            <v>300</v>
          </cell>
          <cell r="G1814">
            <v>1</v>
          </cell>
          <cell r="H1814">
            <v>300</v>
          </cell>
          <cell r="I1814">
            <v>41490</v>
          </cell>
          <cell r="J1814">
            <v>0</v>
          </cell>
          <cell r="W1814">
            <v>0</v>
          </cell>
          <cell r="AE1814">
            <v>300</v>
          </cell>
          <cell r="AJ1814">
            <v>300</v>
          </cell>
          <cell r="AW1814">
            <v>0</v>
          </cell>
        </row>
        <row r="1815">
          <cell r="B1815">
            <v>5358</v>
          </cell>
          <cell r="C1815" t="str">
            <v>LD_89_</v>
          </cell>
          <cell r="D1815" t="str">
            <v>Rancho Landero No. 89</v>
          </cell>
          <cell r="E1815" t="str">
            <v>Del Pozo Solís</v>
          </cell>
          <cell r="F1815">
            <v>300</v>
          </cell>
          <cell r="G1815">
            <v>1</v>
          </cell>
          <cell r="H1815">
            <v>300</v>
          </cell>
          <cell r="I1815">
            <v>41490</v>
          </cell>
          <cell r="J1815">
            <v>0</v>
          </cell>
          <cell r="W1815">
            <v>0</v>
          </cell>
          <cell r="AE1815">
            <v>300</v>
          </cell>
          <cell r="AJ1815">
            <v>300</v>
          </cell>
          <cell r="AW1815">
            <v>0</v>
          </cell>
        </row>
        <row r="1816">
          <cell r="B1816">
            <v>5359</v>
          </cell>
          <cell r="C1816" t="str">
            <v>ZB_20_</v>
          </cell>
          <cell r="D1816" t="str">
            <v>Rancho Zinamba No. 20</v>
          </cell>
          <cell r="E1816" t="str">
            <v>Alegre Retana</v>
          </cell>
          <cell r="F1816">
            <v>300</v>
          </cell>
          <cell r="G1816">
            <v>1</v>
          </cell>
          <cell r="H1816">
            <v>300</v>
          </cell>
          <cell r="I1816">
            <v>41490</v>
          </cell>
          <cell r="J1816">
            <v>0</v>
          </cell>
          <cell r="W1816">
            <v>0</v>
          </cell>
          <cell r="AE1816">
            <v>300</v>
          </cell>
          <cell r="AJ1816">
            <v>300</v>
          </cell>
          <cell r="AW1816">
            <v>0</v>
          </cell>
        </row>
        <row r="1817">
          <cell r="B1817">
            <v>5360</v>
          </cell>
          <cell r="C1817" t="str">
            <v>UP_47_</v>
          </cell>
          <cell r="D1817" t="str">
            <v>Rancho Upácuaro No. 47</v>
          </cell>
          <cell r="E1817" t="str">
            <v>Flores Muñoz</v>
          </cell>
          <cell r="F1817">
            <v>300</v>
          </cell>
          <cell r="G1817">
            <v>1</v>
          </cell>
          <cell r="H1817">
            <v>300</v>
          </cell>
          <cell r="I1817">
            <v>41490</v>
          </cell>
          <cell r="J1817">
            <v>0</v>
          </cell>
          <cell r="W1817">
            <v>0</v>
          </cell>
          <cell r="AE1817">
            <v>300</v>
          </cell>
          <cell r="AJ1817">
            <v>300</v>
          </cell>
          <cell r="AW1817">
            <v>0</v>
          </cell>
        </row>
        <row r="1818">
          <cell r="B1818">
            <v>5361</v>
          </cell>
          <cell r="C1818" t="str">
            <v>UP_110_</v>
          </cell>
          <cell r="D1818" t="str">
            <v>Rancho Upácuaro No. 110</v>
          </cell>
          <cell r="E1818" t="str">
            <v>Ruiz Mijangos</v>
          </cell>
          <cell r="F1818">
            <v>300</v>
          </cell>
          <cell r="G1818">
            <v>1</v>
          </cell>
          <cell r="H1818">
            <v>600</v>
          </cell>
          <cell r="I1818">
            <v>41490</v>
          </cell>
          <cell r="J1818">
            <v>0</v>
          </cell>
          <cell r="W1818">
            <v>0</v>
          </cell>
          <cell r="AD1818">
            <v>300</v>
          </cell>
          <cell r="AE1818">
            <v>300</v>
          </cell>
          <cell r="AJ1818">
            <v>600</v>
          </cell>
          <cell r="AW1818">
            <v>0</v>
          </cell>
        </row>
        <row r="1819">
          <cell r="B1819">
            <v>5362</v>
          </cell>
          <cell r="C1819" t="str">
            <v>LD_76_</v>
          </cell>
          <cell r="D1819" t="str">
            <v>Rancho Landero No. 76</v>
          </cell>
          <cell r="E1819" t="str">
            <v>Ugarte</v>
          </cell>
          <cell r="F1819">
            <v>300</v>
          </cell>
          <cell r="G1819">
            <v>1</v>
          </cell>
          <cell r="H1819">
            <v>300</v>
          </cell>
          <cell r="I1819">
            <v>41490</v>
          </cell>
          <cell r="J1819">
            <v>0</v>
          </cell>
          <cell r="W1819">
            <v>0</v>
          </cell>
          <cell r="AE1819">
            <v>300</v>
          </cell>
          <cell r="AJ1819">
            <v>300</v>
          </cell>
          <cell r="AW1819">
            <v>0</v>
          </cell>
        </row>
        <row r="1820">
          <cell r="B1820">
            <v>5363</v>
          </cell>
          <cell r="C1820" t="str">
            <v>CL_18_</v>
          </cell>
          <cell r="D1820" t="str">
            <v>Rancho La Cuchilla No. 18</v>
          </cell>
          <cell r="E1820" t="str">
            <v>Aldana Sánchez</v>
          </cell>
          <cell r="F1820">
            <v>300</v>
          </cell>
          <cell r="G1820">
            <v>1</v>
          </cell>
          <cell r="H1820">
            <v>300</v>
          </cell>
          <cell r="I1820">
            <v>41490</v>
          </cell>
          <cell r="J1820">
            <v>0</v>
          </cell>
          <cell r="W1820">
            <v>0</v>
          </cell>
          <cell r="AE1820">
            <v>300</v>
          </cell>
          <cell r="AJ1820">
            <v>300</v>
          </cell>
          <cell r="AW1820">
            <v>0</v>
          </cell>
        </row>
        <row r="1821">
          <cell r="B1821">
            <v>5364</v>
          </cell>
          <cell r="C1821" t="str">
            <v>CL_53_</v>
          </cell>
          <cell r="D1821" t="str">
            <v>Rancho La Cuchilla No. 53</v>
          </cell>
          <cell r="E1821" t="str">
            <v>Loyo Ochoa</v>
          </cell>
          <cell r="F1821">
            <v>300</v>
          </cell>
          <cell r="G1821">
            <v>1</v>
          </cell>
          <cell r="H1821">
            <v>1200</v>
          </cell>
          <cell r="I1821">
            <v>41490</v>
          </cell>
          <cell r="J1821">
            <v>0</v>
          </cell>
          <cell r="W1821">
            <v>0</v>
          </cell>
          <cell r="AF1821">
            <v>300</v>
          </cell>
          <cell r="AG1821">
            <v>300</v>
          </cell>
          <cell r="AH1821">
            <v>300</v>
          </cell>
          <cell r="AI1821">
            <v>300</v>
          </cell>
          <cell r="AJ1821">
            <v>1200</v>
          </cell>
          <cell r="AW1821">
            <v>0</v>
          </cell>
        </row>
        <row r="1822">
          <cell r="B1822">
            <v>5365</v>
          </cell>
          <cell r="C1822" t="str">
            <v>UP_60_</v>
          </cell>
          <cell r="D1822" t="str">
            <v>Rancho Upácuaro No. 60</v>
          </cell>
          <cell r="E1822" t="str">
            <v>Zavala</v>
          </cell>
          <cell r="F1822">
            <v>300</v>
          </cell>
          <cell r="G1822">
            <v>1</v>
          </cell>
          <cell r="H1822">
            <v>300</v>
          </cell>
          <cell r="I1822">
            <v>41490</v>
          </cell>
          <cell r="J1822">
            <v>0</v>
          </cell>
          <cell r="W1822">
            <v>0</v>
          </cell>
          <cell r="AE1822">
            <v>300</v>
          </cell>
          <cell r="AJ1822">
            <v>300</v>
          </cell>
          <cell r="AW1822">
            <v>0</v>
          </cell>
        </row>
        <row r="1823">
          <cell r="B1823">
            <v>5366</v>
          </cell>
          <cell r="C1823" t="str">
            <v>EZ_161_1</v>
          </cell>
          <cell r="D1823" t="str">
            <v>Rancho Estanzuela No. 161, 1</v>
          </cell>
          <cell r="E1823" t="str">
            <v>Guevara</v>
          </cell>
          <cell r="F1823">
            <v>150</v>
          </cell>
          <cell r="G1823">
            <v>1</v>
          </cell>
          <cell r="H1823">
            <v>150</v>
          </cell>
          <cell r="I1823">
            <v>41490</v>
          </cell>
          <cell r="J1823">
            <v>0</v>
          </cell>
          <cell r="W1823">
            <v>0</v>
          </cell>
          <cell r="AE1823">
            <v>150</v>
          </cell>
          <cell r="AJ1823">
            <v>150</v>
          </cell>
          <cell r="AW1823">
            <v>0</v>
          </cell>
        </row>
        <row r="1824">
          <cell r="B1824">
            <v>5367</v>
          </cell>
          <cell r="C1824" t="str">
            <v>LD_8_</v>
          </cell>
          <cell r="D1824" t="str">
            <v>Rancho Landero No. 8</v>
          </cell>
          <cell r="E1824" t="str">
            <v>Peña Torres</v>
          </cell>
          <cell r="F1824">
            <v>250</v>
          </cell>
          <cell r="G1824">
            <v>1</v>
          </cell>
          <cell r="H1824">
            <v>750</v>
          </cell>
          <cell r="I1824">
            <v>41490</v>
          </cell>
          <cell r="J1824">
            <v>0</v>
          </cell>
          <cell r="W1824">
            <v>0</v>
          </cell>
          <cell r="AC1824">
            <v>250</v>
          </cell>
          <cell r="AD1824">
            <v>250</v>
          </cell>
          <cell r="AE1824">
            <v>250</v>
          </cell>
          <cell r="AJ1824">
            <v>750</v>
          </cell>
          <cell r="AW1824">
            <v>0</v>
          </cell>
        </row>
        <row r="1825">
          <cell r="B1825">
            <v>5367</v>
          </cell>
          <cell r="C1825" t="str">
            <v>LD_8_</v>
          </cell>
          <cell r="D1825" t="str">
            <v>Rancho Landero No. 8</v>
          </cell>
          <cell r="E1825" t="str">
            <v>Peña Torres</v>
          </cell>
          <cell r="F1825">
            <v>250</v>
          </cell>
          <cell r="G1825">
            <v>4</v>
          </cell>
          <cell r="H1825">
            <v>160</v>
          </cell>
          <cell r="I1825">
            <v>41490</v>
          </cell>
          <cell r="J1825" t="str">
            <v>NO SUMA</v>
          </cell>
          <cell r="W1825">
            <v>0</v>
          </cell>
          <cell r="AJ1825">
            <v>0</v>
          </cell>
          <cell r="AW1825">
            <v>0</v>
          </cell>
        </row>
        <row r="1826">
          <cell r="B1826">
            <v>5368</v>
          </cell>
          <cell r="C1826" t="str">
            <v>UP_116_</v>
          </cell>
          <cell r="D1826" t="str">
            <v>Rancho Upácuaro No. 116</v>
          </cell>
          <cell r="E1826" t="str">
            <v>García Zamudio</v>
          </cell>
          <cell r="F1826">
            <v>300</v>
          </cell>
          <cell r="G1826">
            <v>1</v>
          </cell>
          <cell r="H1826">
            <v>300</v>
          </cell>
          <cell r="I1826">
            <v>41490</v>
          </cell>
          <cell r="J1826">
            <v>0</v>
          </cell>
          <cell r="W1826">
            <v>0</v>
          </cell>
          <cell r="AE1826">
            <v>300</v>
          </cell>
          <cell r="AJ1826">
            <v>300</v>
          </cell>
          <cell r="AW1826">
            <v>0</v>
          </cell>
        </row>
        <row r="1827">
          <cell r="B1827">
            <v>5369</v>
          </cell>
          <cell r="C1827" t="str">
            <v>RV_175_0</v>
          </cell>
          <cell r="D1827" t="str">
            <v>Rancho Recoveco No. 175</v>
          </cell>
          <cell r="E1827" t="str">
            <v>Ramírez</v>
          </cell>
          <cell r="F1827">
            <v>300</v>
          </cell>
          <cell r="G1827">
            <v>1</v>
          </cell>
          <cell r="H1827">
            <v>300</v>
          </cell>
          <cell r="I1827">
            <v>41490</v>
          </cell>
          <cell r="J1827">
            <v>0</v>
          </cell>
          <cell r="W1827">
            <v>0</v>
          </cell>
          <cell r="AE1827">
            <v>300</v>
          </cell>
          <cell r="AJ1827">
            <v>300</v>
          </cell>
          <cell r="AW1827">
            <v>0</v>
          </cell>
        </row>
        <row r="1828">
          <cell r="B1828">
            <v>5370</v>
          </cell>
          <cell r="C1828" t="str">
            <v>CL_19_</v>
          </cell>
          <cell r="D1828" t="str">
            <v>Rancho La Cuchilla No. 19</v>
          </cell>
          <cell r="E1828" t="str">
            <v>Tapia Vázquez</v>
          </cell>
          <cell r="F1828">
            <v>300</v>
          </cell>
          <cell r="G1828">
            <v>1</v>
          </cell>
          <cell r="H1828">
            <v>300</v>
          </cell>
          <cell r="I1828">
            <v>41490</v>
          </cell>
          <cell r="J1828">
            <v>0</v>
          </cell>
          <cell r="W1828">
            <v>0</v>
          </cell>
          <cell r="AE1828">
            <v>300</v>
          </cell>
          <cell r="AJ1828">
            <v>300</v>
          </cell>
          <cell r="AW1828">
            <v>0</v>
          </cell>
        </row>
        <row r="1829">
          <cell r="B1829">
            <v>5371</v>
          </cell>
          <cell r="C1829" t="str">
            <v>UP_136_</v>
          </cell>
          <cell r="D1829" t="str">
            <v>Rancho Upácuaro No. 136</v>
          </cell>
          <cell r="E1829" t="str">
            <v>López Lena</v>
          </cell>
          <cell r="F1829">
            <v>300</v>
          </cell>
          <cell r="G1829">
            <v>1</v>
          </cell>
          <cell r="H1829">
            <v>300</v>
          </cell>
          <cell r="I1829">
            <v>41490</v>
          </cell>
          <cell r="J1829">
            <v>0</v>
          </cell>
          <cell r="W1829">
            <v>0</v>
          </cell>
          <cell r="AE1829">
            <v>300</v>
          </cell>
          <cell r="AJ1829">
            <v>300</v>
          </cell>
          <cell r="AW1829">
            <v>0</v>
          </cell>
        </row>
        <row r="1830">
          <cell r="B1830">
            <v>5372</v>
          </cell>
          <cell r="C1830" t="str">
            <v>EZ_11_A</v>
          </cell>
          <cell r="D1830" t="str">
            <v>Rancho Estanzuela No. 11, A</v>
          </cell>
          <cell r="E1830" t="str">
            <v>Evans González</v>
          </cell>
          <cell r="F1830">
            <v>300</v>
          </cell>
          <cell r="G1830">
            <v>1</v>
          </cell>
          <cell r="H1830">
            <v>600</v>
          </cell>
          <cell r="I1830">
            <v>41490</v>
          </cell>
          <cell r="J1830">
            <v>0</v>
          </cell>
          <cell r="W1830">
            <v>0</v>
          </cell>
          <cell r="AD1830">
            <v>300</v>
          </cell>
          <cell r="AE1830">
            <v>300</v>
          </cell>
          <cell r="AJ1830">
            <v>600</v>
          </cell>
          <cell r="AW1830">
            <v>0</v>
          </cell>
        </row>
        <row r="1831">
          <cell r="B1831">
            <v>5373</v>
          </cell>
          <cell r="C1831" t="str">
            <v>CL_89_</v>
          </cell>
          <cell r="D1831" t="str">
            <v>Rancho La Cuchilla No. 89</v>
          </cell>
          <cell r="E1831" t="str">
            <v>Gálvez</v>
          </cell>
          <cell r="F1831">
            <v>300</v>
          </cell>
          <cell r="G1831">
            <v>1</v>
          </cell>
          <cell r="H1831">
            <v>300</v>
          </cell>
          <cell r="I1831">
            <v>41490</v>
          </cell>
          <cell r="J1831">
            <v>0</v>
          </cell>
          <cell r="W1831">
            <v>0</v>
          </cell>
          <cell r="AE1831">
            <v>300</v>
          </cell>
          <cell r="AJ1831">
            <v>300</v>
          </cell>
          <cell r="AW1831">
            <v>0</v>
          </cell>
        </row>
        <row r="1832">
          <cell r="B1832">
            <v>5374</v>
          </cell>
          <cell r="C1832" t="str">
            <v>LD_80_</v>
          </cell>
          <cell r="D1832" t="str">
            <v>Rancho Landero No. 80</v>
          </cell>
          <cell r="E1832" t="str">
            <v>Villaseñor Sánchez</v>
          </cell>
          <cell r="F1832">
            <v>300</v>
          </cell>
          <cell r="G1832">
            <v>1</v>
          </cell>
          <cell r="H1832">
            <v>300</v>
          </cell>
          <cell r="I1832">
            <v>41490</v>
          </cell>
          <cell r="J1832">
            <v>0</v>
          </cell>
          <cell r="W1832">
            <v>0</v>
          </cell>
          <cell r="AE1832">
            <v>300</v>
          </cell>
          <cell r="AJ1832">
            <v>300</v>
          </cell>
          <cell r="AW1832">
            <v>0</v>
          </cell>
        </row>
        <row r="1833">
          <cell r="B1833">
            <v>5375</v>
          </cell>
          <cell r="C1833" t="str">
            <v>CL_93_</v>
          </cell>
          <cell r="D1833" t="str">
            <v>Rancho La Cuchilla No. 93</v>
          </cell>
          <cell r="E1833" t="str">
            <v>Alcántara Silva</v>
          </cell>
          <cell r="F1833">
            <v>300</v>
          </cell>
          <cell r="G1833">
            <v>1</v>
          </cell>
          <cell r="H1833">
            <v>300</v>
          </cell>
          <cell r="I1833">
            <v>41490</v>
          </cell>
          <cell r="J1833">
            <v>0</v>
          </cell>
          <cell r="W1833">
            <v>0</v>
          </cell>
          <cell r="AD1833">
            <v>300</v>
          </cell>
          <cell r="AJ1833">
            <v>300</v>
          </cell>
          <cell r="AW1833">
            <v>0</v>
          </cell>
        </row>
        <row r="1834">
          <cell r="B1834">
            <v>5376</v>
          </cell>
          <cell r="C1834" t="str">
            <v>CL_120_</v>
          </cell>
          <cell r="D1834" t="str">
            <v>Rancho La Cuchilla No. 120</v>
          </cell>
          <cell r="E1834" t="str">
            <v>Pozos Vilchis</v>
          </cell>
          <cell r="F1834">
            <v>300</v>
          </cell>
          <cell r="G1834">
            <v>1</v>
          </cell>
          <cell r="H1834">
            <v>300</v>
          </cell>
          <cell r="I1834">
            <v>41490</v>
          </cell>
          <cell r="J1834">
            <v>0</v>
          </cell>
          <cell r="W1834">
            <v>0</v>
          </cell>
          <cell r="AE1834">
            <v>300</v>
          </cell>
          <cell r="AJ1834">
            <v>300</v>
          </cell>
          <cell r="AW1834">
            <v>0</v>
          </cell>
        </row>
        <row r="1835">
          <cell r="B1835">
            <v>5377</v>
          </cell>
          <cell r="C1835" t="str">
            <v>CL_40_</v>
          </cell>
          <cell r="D1835" t="str">
            <v>Rancho La Cuchilla No. 40</v>
          </cell>
          <cell r="E1835" t="str">
            <v>López Pico</v>
          </cell>
          <cell r="F1835">
            <v>300</v>
          </cell>
          <cell r="G1835">
            <v>1</v>
          </cell>
          <cell r="H1835">
            <v>300</v>
          </cell>
          <cell r="I1835">
            <v>41490</v>
          </cell>
          <cell r="J1835">
            <v>0</v>
          </cell>
          <cell r="W1835">
            <v>0</v>
          </cell>
          <cell r="AE1835">
            <v>300</v>
          </cell>
          <cell r="AJ1835">
            <v>300</v>
          </cell>
          <cell r="AW1835">
            <v>0</v>
          </cell>
        </row>
        <row r="1836">
          <cell r="B1836">
            <v>5378</v>
          </cell>
          <cell r="C1836" t="str">
            <v>CL_14_</v>
          </cell>
          <cell r="D1836" t="str">
            <v>Rancho La Cuchilla No. 14</v>
          </cell>
          <cell r="E1836" t="str">
            <v>Chávez Lara</v>
          </cell>
          <cell r="F1836">
            <v>300</v>
          </cell>
          <cell r="G1836">
            <v>1</v>
          </cell>
          <cell r="H1836">
            <v>300</v>
          </cell>
          <cell r="I1836">
            <v>41490</v>
          </cell>
          <cell r="J1836">
            <v>0</v>
          </cell>
          <cell r="W1836">
            <v>0</v>
          </cell>
          <cell r="AE1836">
            <v>300</v>
          </cell>
          <cell r="AJ1836">
            <v>300</v>
          </cell>
          <cell r="AW1836">
            <v>0</v>
          </cell>
        </row>
        <row r="1837">
          <cell r="B1837">
            <v>5379</v>
          </cell>
          <cell r="C1837" t="str">
            <v>RV_173_</v>
          </cell>
          <cell r="D1837" t="str">
            <v>Rancho Recoveco No. 173</v>
          </cell>
          <cell r="E1837" t="str">
            <v>Velarde</v>
          </cell>
          <cell r="F1837">
            <v>300</v>
          </cell>
          <cell r="G1837">
            <v>1</v>
          </cell>
          <cell r="H1837">
            <v>300</v>
          </cell>
          <cell r="I1837">
            <v>41490</v>
          </cell>
          <cell r="J1837">
            <v>0</v>
          </cell>
          <cell r="W1837">
            <v>0</v>
          </cell>
          <cell r="AE1837">
            <v>300</v>
          </cell>
          <cell r="AJ1837">
            <v>300</v>
          </cell>
          <cell r="AW1837">
            <v>0</v>
          </cell>
        </row>
        <row r="1838">
          <cell r="B1838">
            <v>5380</v>
          </cell>
          <cell r="C1838" t="str">
            <v>RM_33_</v>
          </cell>
          <cell r="D1838" t="str">
            <v>Rancho Romeral No. 33</v>
          </cell>
          <cell r="E1838" t="str">
            <v>Juárez Alva</v>
          </cell>
          <cell r="F1838">
            <v>300</v>
          </cell>
          <cell r="G1838">
            <v>1</v>
          </cell>
          <cell r="H1838">
            <v>600</v>
          </cell>
          <cell r="I1838">
            <v>41490</v>
          </cell>
          <cell r="J1838">
            <v>0</v>
          </cell>
          <cell r="W1838">
            <v>0</v>
          </cell>
          <cell r="AD1838">
            <v>300</v>
          </cell>
          <cell r="AE1838">
            <v>300</v>
          </cell>
          <cell r="AJ1838">
            <v>600</v>
          </cell>
          <cell r="AW1838">
            <v>0</v>
          </cell>
        </row>
        <row r="1839">
          <cell r="B1839">
            <v>5381</v>
          </cell>
          <cell r="C1839" t="str">
            <v>UP_32_</v>
          </cell>
          <cell r="D1839" t="str">
            <v>Rancho Upácuaro No. 32</v>
          </cell>
          <cell r="E1839" t="str">
            <v>Sairafi Carmen</v>
          </cell>
          <cell r="F1839">
            <v>300</v>
          </cell>
          <cell r="G1839">
            <v>1</v>
          </cell>
          <cell r="H1839">
            <v>300</v>
          </cell>
          <cell r="I1839">
            <v>41490</v>
          </cell>
          <cell r="J1839">
            <v>0</v>
          </cell>
          <cell r="W1839">
            <v>0</v>
          </cell>
          <cell r="AE1839">
            <v>300</v>
          </cell>
          <cell r="AJ1839">
            <v>300</v>
          </cell>
          <cell r="AW1839">
            <v>0</v>
          </cell>
        </row>
        <row r="1840">
          <cell r="B1840">
            <v>5382</v>
          </cell>
          <cell r="C1840" t="str">
            <v>CL_Terreno_</v>
          </cell>
          <cell r="D1840" t="str">
            <v>Rancho La Cuchilla No. terreno</v>
          </cell>
          <cell r="E1840" t="str">
            <v>Martínez Flores</v>
          </cell>
          <cell r="F1840">
            <v>300</v>
          </cell>
          <cell r="G1840">
            <v>1</v>
          </cell>
          <cell r="H1840">
            <v>600</v>
          </cell>
          <cell r="I1840">
            <v>41490</v>
          </cell>
          <cell r="J1840">
            <v>0</v>
          </cell>
          <cell r="W1840">
            <v>0</v>
          </cell>
          <cell r="Z1840">
            <v>300</v>
          </cell>
          <cell r="AA1840">
            <v>300</v>
          </cell>
          <cell r="AJ1840">
            <v>600</v>
          </cell>
          <cell r="AW1840">
            <v>0</v>
          </cell>
        </row>
        <row r="1841">
          <cell r="B1841">
            <v>5383</v>
          </cell>
          <cell r="C1841" t="str">
            <v>UP_73_A</v>
          </cell>
          <cell r="D1841" t="str">
            <v>Rancho Upácuaro No. 73, A</v>
          </cell>
          <cell r="E1841" t="str">
            <v>Ortega</v>
          </cell>
          <cell r="F1841">
            <v>150</v>
          </cell>
          <cell r="G1841">
            <v>1</v>
          </cell>
          <cell r="H1841">
            <v>150</v>
          </cell>
          <cell r="I1841">
            <v>41490</v>
          </cell>
          <cell r="J1841">
            <v>0</v>
          </cell>
          <cell r="W1841">
            <v>0</v>
          </cell>
          <cell r="AE1841">
            <v>150</v>
          </cell>
          <cell r="AJ1841">
            <v>150</v>
          </cell>
          <cell r="AW1841">
            <v>0</v>
          </cell>
        </row>
        <row r="1842">
          <cell r="B1842">
            <v>5384</v>
          </cell>
          <cell r="C1842" t="str">
            <v>LD_99_</v>
          </cell>
          <cell r="D1842" t="str">
            <v>Rancho Landero No. 99</v>
          </cell>
          <cell r="E1842" t="str">
            <v>Rangel</v>
          </cell>
          <cell r="F1842">
            <v>300</v>
          </cell>
          <cell r="G1842">
            <v>1</v>
          </cell>
          <cell r="H1842">
            <v>600</v>
          </cell>
          <cell r="I1842">
            <v>41490</v>
          </cell>
          <cell r="J1842">
            <v>0</v>
          </cell>
          <cell r="W1842">
            <v>0</v>
          </cell>
          <cell r="AB1842">
            <v>300</v>
          </cell>
          <cell r="AC1842">
            <v>300</v>
          </cell>
          <cell r="AJ1842">
            <v>600</v>
          </cell>
          <cell r="AW1842">
            <v>0</v>
          </cell>
        </row>
        <row r="1843">
          <cell r="B1843">
            <v>5385</v>
          </cell>
          <cell r="C1843" t="str">
            <v>CL_110_</v>
          </cell>
          <cell r="D1843" t="str">
            <v>Rancho La Cuchilla No. 110</v>
          </cell>
          <cell r="E1843" t="str">
            <v>Domínguez Canudas</v>
          </cell>
          <cell r="F1843">
            <v>300</v>
          </cell>
          <cell r="G1843">
            <v>1</v>
          </cell>
          <cell r="H1843">
            <v>300</v>
          </cell>
          <cell r="I1843">
            <v>41490</v>
          </cell>
          <cell r="J1843">
            <v>0</v>
          </cell>
          <cell r="W1843">
            <v>0</v>
          </cell>
          <cell r="AE1843">
            <v>300</v>
          </cell>
          <cell r="AJ1843">
            <v>300</v>
          </cell>
          <cell r="AW1843">
            <v>0</v>
          </cell>
        </row>
        <row r="1844">
          <cell r="B1844">
            <v>5386</v>
          </cell>
          <cell r="C1844" t="str">
            <v>CL_87_</v>
          </cell>
          <cell r="D1844" t="str">
            <v>Rancho La Cuchilla No. 87</v>
          </cell>
          <cell r="E1844" t="str">
            <v>Villanueva S.</v>
          </cell>
          <cell r="F1844">
            <v>300</v>
          </cell>
          <cell r="G1844">
            <v>1</v>
          </cell>
          <cell r="H1844">
            <v>300</v>
          </cell>
          <cell r="I1844">
            <v>41490</v>
          </cell>
          <cell r="J1844">
            <v>0</v>
          </cell>
          <cell r="W1844">
            <v>0</v>
          </cell>
          <cell r="AE1844">
            <v>300</v>
          </cell>
          <cell r="AJ1844">
            <v>300</v>
          </cell>
          <cell r="AW1844">
            <v>0</v>
          </cell>
        </row>
        <row r="1845">
          <cell r="B1845">
            <v>5387</v>
          </cell>
          <cell r="C1845" t="str">
            <v>CL_31_</v>
          </cell>
          <cell r="D1845" t="str">
            <v>Rancho La Cuchilla No. 31</v>
          </cell>
          <cell r="E1845" t="str">
            <v>Espinoza Serrano</v>
          </cell>
          <cell r="F1845">
            <v>300</v>
          </cell>
          <cell r="G1845">
            <v>1</v>
          </cell>
          <cell r="H1845">
            <v>1000</v>
          </cell>
          <cell r="I1845">
            <v>41490</v>
          </cell>
          <cell r="J1845">
            <v>0</v>
          </cell>
          <cell r="W1845">
            <v>0</v>
          </cell>
          <cell r="X1845">
            <v>300</v>
          </cell>
          <cell r="Y1845">
            <v>300</v>
          </cell>
          <cell r="Z1845">
            <v>300</v>
          </cell>
          <cell r="AA1845">
            <v>100</v>
          </cell>
          <cell r="AJ1845">
            <v>1000</v>
          </cell>
          <cell r="AW1845">
            <v>0</v>
          </cell>
        </row>
        <row r="1846">
          <cell r="B1846">
            <v>5388</v>
          </cell>
          <cell r="C1846" t="str">
            <v>EZ_37_</v>
          </cell>
          <cell r="D1846" t="str">
            <v>Rancho Estanzuela No. 37</v>
          </cell>
          <cell r="E1846" t="str">
            <v>Cabello Eduardo</v>
          </cell>
          <cell r="F1846">
            <v>300</v>
          </cell>
          <cell r="G1846">
            <v>1</v>
          </cell>
          <cell r="H1846">
            <v>900</v>
          </cell>
          <cell r="I1846">
            <v>41490</v>
          </cell>
          <cell r="J1846">
            <v>0</v>
          </cell>
          <cell r="W1846">
            <v>0</v>
          </cell>
          <cell r="AC1846">
            <v>300</v>
          </cell>
          <cell r="AD1846">
            <v>300</v>
          </cell>
          <cell r="AE1846">
            <v>300</v>
          </cell>
          <cell r="AJ1846">
            <v>900</v>
          </cell>
          <cell r="AW1846">
            <v>0</v>
          </cell>
        </row>
        <row r="1847">
          <cell r="B1847">
            <v>5389</v>
          </cell>
          <cell r="C1847" t="str">
            <v>LD_34_</v>
          </cell>
          <cell r="D1847" t="str">
            <v>Rancho Landero No. 34</v>
          </cell>
          <cell r="E1847" t="str">
            <v>Barro</v>
          </cell>
          <cell r="F1847">
            <v>300</v>
          </cell>
          <cell r="G1847">
            <v>1</v>
          </cell>
          <cell r="H1847">
            <v>300</v>
          </cell>
          <cell r="I1847">
            <v>41490</v>
          </cell>
          <cell r="J1847">
            <v>0</v>
          </cell>
          <cell r="W1847">
            <v>0</v>
          </cell>
          <cell r="AA1847">
            <v>300</v>
          </cell>
          <cell r="AJ1847">
            <v>300</v>
          </cell>
          <cell r="AW1847">
            <v>0</v>
          </cell>
        </row>
        <row r="1848">
          <cell r="B1848">
            <v>5390</v>
          </cell>
          <cell r="C1848" t="str">
            <v>CL_7_202</v>
          </cell>
          <cell r="D1848" t="str">
            <v>Rancho La Cuchilla No. 7, 202</v>
          </cell>
          <cell r="E1848" t="str">
            <v>Carbajal Zayas</v>
          </cell>
          <cell r="F1848">
            <v>100</v>
          </cell>
          <cell r="G1848">
            <v>1</v>
          </cell>
          <cell r="H1848">
            <v>200</v>
          </cell>
          <cell r="I1848">
            <v>41490</v>
          </cell>
          <cell r="J1848">
            <v>0</v>
          </cell>
          <cell r="W1848">
            <v>0</v>
          </cell>
          <cell r="AD1848">
            <v>100</v>
          </cell>
          <cell r="AE1848">
            <v>100</v>
          </cell>
          <cell r="AJ1848">
            <v>200</v>
          </cell>
          <cell r="AW1848">
            <v>0</v>
          </cell>
        </row>
        <row r="1849">
          <cell r="B1849">
            <v>5391</v>
          </cell>
          <cell r="C1849" t="str">
            <v>CL_7_102</v>
          </cell>
          <cell r="D1849" t="str">
            <v>Rancho La Cuchilla No. 7, 102</v>
          </cell>
          <cell r="E1849" t="str">
            <v>García Moreno</v>
          </cell>
          <cell r="F1849">
            <v>100</v>
          </cell>
          <cell r="G1849">
            <v>1</v>
          </cell>
          <cell r="H1849">
            <v>100</v>
          </cell>
          <cell r="I1849">
            <v>41490</v>
          </cell>
          <cell r="J1849">
            <v>0</v>
          </cell>
          <cell r="W1849">
            <v>0</v>
          </cell>
          <cell r="AE1849">
            <v>100</v>
          </cell>
          <cell r="AJ1849">
            <v>100</v>
          </cell>
          <cell r="AW1849">
            <v>0</v>
          </cell>
        </row>
        <row r="1850">
          <cell r="B1850">
            <v>5392</v>
          </cell>
          <cell r="C1850" t="str">
            <v>CL_59_</v>
          </cell>
          <cell r="D1850" t="str">
            <v>Rancho La Cuchilla No. 59</v>
          </cell>
          <cell r="E1850" t="str">
            <v>Ortega Vega</v>
          </cell>
          <cell r="F1850">
            <v>300</v>
          </cell>
          <cell r="G1850">
            <v>1</v>
          </cell>
          <cell r="H1850">
            <v>600</v>
          </cell>
          <cell r="I1850">
            <v>41490</v>
          </cell>
          <cell r="J1850">
            <v>0</v>
          </cell>
          <cell r="W1850">
            <v>0</v>
          </cell>
          <cell r="AC1850">
            <v>300</v>
          </cell>
          <cell r="AD1850">
            <v>300</v>
          </cell>
          <cell r="AJ1850">
            <v>600</v>
          </cell>
          <cell r="AW1850">
            <v>0</v>
          </cell>
        </row>
        <row r="1851">
          <cell r="B1851">
            <v>5393</v>
          </cell>
          <cell r="C1851" t="str">
            <v>LD_73_</v>
          </cell>
          <cell r="D1851" t="str">
            <v>Rancho Landero No. 73</v>
          </cell>
          <cell r="E1851" t="str">
            <v>Islas Palacios</v>
          </cell>
          <cell r="F1851">
            <v>300</v>
          </cell>
          <cell r="G1851">
            <v>1</v>
          </cell>
          <cell r="H1851">
            <v>300</v>
          </cell>
          <cell r="I1851">
            <v>41490</v>
          </cell>
          <cell r="J1851">
            <v>0</v>
          </cell>
          <cell r="W1851">
            <v>0</v>
          </cell>
          <cell r="AE1851">
            <v>300</v>
          </cell>
          <cell r="AJ1851">
            <v>300</v>
          </cell>
          <cell r="AW1851">
            <v>0</v>
          </cell>
        </row>
        <row r="1852">
          <cell r="B1852">
            <v>5394</v>
          </cell>
          <cell r="C1852" t="str">
            <v>EZ_157_1</v>
          </cell>
          <cell r="D1852" t="str">
            <v>Rancho Estanzuela No. 157, 1</v>
          </cell>
          <cell r="E1852" t="str">
            <v>Anzures</v>
          </cell>
          <cell r="F1852">
            <v>450</v>
          </cell>
          <cell r="G1852">
            <v>5</v>
          </cell>
          <cell r="H1852">
            <v>20</v>
          </cell>
          <cell r="I1852">
            <v>41490</v>
          </cell>
          <cell r="J1852" t="str">
            <v>NO SUMA</v>
          </cell>
          <cell r="W1852">
            <v>0</v>
          </cell>
          <cell r="AJ1852">
            <v>0</v>
          </cell>
          <cell r="AW1852">
            <v>0</v>
          </cell>
        </row>
        <row r="1853">
          <cell r="B1853">
            <v>5395</v>
          </cell>
          <cell r="C1853" t="str">
            <v>CL_42_</v>
          </cell>
          <cell r="D1853" t="str">
            <v>Rancho La Cuchilla No. 42</v>
          </cell>
          <cell r="E1853" t="str">
            <v>Mac Kinney</v>
          </cell>
          <cell r="F1853">
            <v>300</v>
          </cell>
          <cell r="G1853">
            <v>1</v>
          </cell>
          <cell r="H1853">
            <v>300</v>
          </cell>
          <cell r="I1853">
            <v>41490</v>
          </cell>
          <cell r="J1853">
            <v>0</v>
          </cell>
          <cell r="W1853">
            <v>0</v>
          </cell>
          <cell r="AE1853">
            <v>300</v>
          </cell>
          <cell r="AJ1853">
            <v>300</v>
          </cell>
          <cell r="AW1853">
            <v>0</v>
          </cell>
        </row>
        <row r="1854">
          <cell r="B1854">
            <v>5395</v>
          </cell>
          <cell r="C1854" t="str">
            <v>CL_42_</v>
          </cell>
          <cell r="D1854" t="str">
            <v>Rancho La Cuchilla No. 42</v>
          </cell>
          <cell r="E1854" t="str">
            <v>Mac Kinney</v>
          </cell>
          <cell r="F1854">
            <v>300</v>
          </cell>
          <cell r="G1854">
            <v>5</v>
          </cell>
          <cell r="H1854">
            <v>80</v>
          </cell>
          <cell r="I1854">
            <v>41490</v>
          </cell>
          <cell r="J1854" t="str">
            <v>NO SUMA</v>
          </cell>
          <cell r="W1854">
            <v>0</v>
          </cell>
          <cell r="AJ1854">
            <v>0</v>
          </cell>
          <cell r="AW1854">
            <v>0</v>
          </cell>
        </row>
        <row r="1855">
          <cell r="B1855">
            <v>5396</v>
          </cell>
          <cell r="C1855" t="str">
            <v>ZB_56_</v>
          </cell>
          <cell r="D1855" t="str">
            <v>Rancho Zinamba No. 56</v>
          </cell>
          <cell r="E1855" t="str">
            <v>Aguado</v>
          </cell>
          <cell r="F1855">
            <v>250</v>
          </cell>
          <cell r="G1855">
            <v>1</v>
          </cell>
          <cell r="H1855">
            <v>250</v>
          </cell>
          <cell r="I1855">
            <v>41490</v>
          </cell>
          <cell r="J1855">
            <v>0</v>
          </cell>
          <cell r="W1855">
            <v>0</v>
          </cell>
          <cell r="AE1855">
            <v>250</v>
          </cell>
          <cell r="AJ1855">
            <v>250</v>
          </cell>
          <cell r="AW1855">
            <v>0</v>
          </cell>
        </row>
        <row r="1856">
          <cell r="B1856">
            <v>5397</v>
          </cell>
          <cell r="C1856" t="str">
            <v>ZB_42_</v>
          </cell>
          <cell r="D1856" t="str">
            <v>Rancho Zinamba No. 42</v>
          </cell>
          <cell r="E1856" t="str">
            <v>López Aldave</v>
          </cell>
          <cell r="F1856">
            <v>250</v>
          </cell>
          <cell r="G1856">
            <v>1</v>
          </cell>
          <cell r="H1856">
            <v>250</v>
          </cell>
          <cell r="I1856">
            <v>41490</v>
          </cell>
          <cell r="J1856">
            <v>0</v>
          </cell>
          <cell r="W1856">
            <v>0</v>
          </cell>
          <cell r="AE1856">
            <v>250</v>
          </cell>
          <cell r="AJ1856">
            <v>250</v>
          </cell>
          <cell r="AW1856">
            <v>0</v>
          </cell>
        </row>
        <row r="1857">
          <cell r="B1857">
            <v>5398</v>
          </cell>
          <cell r="C1857" t="str">
            <v>CL_81_A</v>
          </cell>
          <cell r="D1857" t="str">
            <v>Rancho La Cuchilla No. 81, A</v>
          </cell>
          <cell r="E1857" t="str">
            <v>Barrientos López</v>
          </cell>
          <cell r="F1857">
            <v>300</v>
          </cell>
          <cell r="G1857">
            <v>1</v>
          </cell>
          <cell r="H1857">
            <v>300</v>
          </cell>
          <cell r="I1857">
            <v>41490</v>
          </cell>
          <cell r="J1857">
            <v>0</v>
          </cell>
          <cell r="W1857">
            <v>0</v>
          </cell>
          <cell r="AE1857">
            <v>300</v>
          </cell>
          <cell r="AJ1857">
            <v>300</v>
          </cell>
          <cell r="AW1857">
            <v>0</v>
          </cell>
        </row>
        <row r="1858">
          <cell r="B1858">
            <v>5399</v>
          </cell>
          <cell r="C1858" t="str">
            <v>CL_90_</v>
          </cell>
          <cell r="D1858" t="str">
            <v>Rancho La Cuchilla No. 90</v>
          </cell>
          <cell r="E1858" t="str">
            <v>Porras Fuentes</v>
          </cell>
          <cell r="F1858">
            <v>150</v>
          </cell>
          <cell r="G1858">
            <v>1</v>
          </cell>
          <cell r="H1858">
            <v>150</v>
          </cell>
          <cell r="I1858">
            <v>41493</v>
          </cell>
          <cell r="J1858">
            <v>0</v>
          </cell>
          <cell r="W1858">
            <v>0</v>
          </cell>
          <cell r="AC1858">
            <v>150</v>
          </cell>
          <cell r="AJ1858">
            <v>150</v>
          </cell>
          <cell r="AW1858">
            <v>0</v>
          </cell>
        </row>
        <row r="1859">
          <cell r="B1859">
            <v>5399</v>
          </cell>
          <cell r="C1859" t="str">
            <v>CL_90_</v>
          </cell>
          <cell r="D1859" t="str">
            <v>Rancho La Cuchilla No. 90</v>
          </cell>
          <cell r="E1859" t="str">
            <v>Porras Fuentes</v>
          </cell>
          <cell r="F1859">
            <v>150</v>
          </cell>
          <cell r="G1859">
            <v>4</v>
          </cell>
          <cell r="H1859">
            <v>160</v>
          </cell>
          <cell r="I1859">
            <v>41493</v>
          </cell>
          <cell r="J1859" t="str">
            <v>NO SUMA</v>
          </cell>
          <cell r="W1859">
            <v>0</v>
          </cell>
          <cell r="AJ1859">
            <v>0</v>
          </cell>
          <cell r="AW1859">
            <v>0</v>
          </cell>
        </row>
        <row r="1860">
          <cell r="B1860">
            <v>5400</v>
          </cell>
          <cell r="C1860" t="str">
            <v>CL_86_</v>
          </cell>
          <cell r="D1860" t="str">
            <v>Rancho La Cuchilla No. 86</v>
          </cell>
          <cell r="E1860" t="str">
            <v>Del Villar</v>
          </cell>
          <cell r="F1860">
            <v>300</v>
          </cell>
          <cell r="G1860">
            <v>1</v>
          </cell>
          <cell r="H1860">
            <v>900</v>
          </cell>
          <cell r="I1860">
            <v>41494</v>
          </cell>
          <cell r="J1860">
            <v>0</v>
          </cell>
          <cell r="W1860">
            <v>0</v>
          </cell>
          <cell r="AC1860">
            <v>300</v>
          </cell>
          <cell r="AD1860">
            <v>300</v>
          </cell>
          <cell r="AE1860">
            <v>300</v>
          </cell>
          <cell r="AJ1860">
            <v>900</v>
          </cell>
          <cell r="AW1860">
            <v>0</v>
          </cell>
        </row>
        <row r="1861">
          <cell r="B1861">
            <v>5401</v>
          </cell>
          <cell r="C1861" t="str">
            <v>LD_87_</v>
          </cell>
          <cell r="D1861" t="str">
            <v>Rancho Landero No. 87</v>
          </cell>
          <cell r="E1861" t="str">
            <v>Fey Lafferla</v>
          </cell>
          <cell r="F1861">
            <v>300</v>
          </cell>
          <cell r="G1861">
            <v>1</v>
          </cell>
          <cell r="H1861">
            <v>600</v>
          </cell>
          <cell r="I1861">
            <v>41492</v>
          </cell>
          <cell r="J1861">
            <v>0</v>
          </cell>
          <cell r="W1861">
            <v>0</v>
          </cell>
          <cell r="AD1861">
            <v>300</v>
          </cell>
          <cell r="AE1861">
            <v>300</v>
          </cell>
          <cell r="AJ1861">
            <v>600</v>
          </cell>
          <cell r="AW1861">
            <v>0</v>
          </cell>
        </row>
        <row r="1862">
          <cell r="B1862">
            <v>6106</v>
          </cell>
          <cell r="C1862" t="str">
            <v>UP_46_</v>
          </cell>
          <cell r="D1862" t="str">
            <v>Rancho Upácuaro No. 46</v>
          </cell>
          <cell r="E1862" t="str">
            <v>Fuentes</v>
          </cell>
          <cell r="F1862">
            <v>300</v>
          </cell>
          <cell r="G1862">
            <v>1</v>
          </cell>
          <cell r="H1862">
            <v>300</v>
          </cell>
          <cell r="I1862">
            <v>41492</v>
          </cell>
          <cell r="J1862">
            <v>0</v>
          </cell>
          <cell r="W1862">
            <v>0</v>
          </cell>
          <cell r="AE1862">
            <v>300</v>
          </cell>
          <cell r="AJ1862">
            <v>300</v>
          </cell>
          <cell r="AW1862">
            <v>0</v>
          </cell>
        </row>
        <row r="1863">
          <cell r="B1863">
            <v>5402</v>
          </cell>
          <cell r="C1863" t="str">
            <v>HS_828_</v>
          </cell>
          <cell r="D1863" t="str">
            <v>Calzada del Hueso No. 828</v>
          </cell>
          <cell r="E1863" t="str">
            <v>Cervantes, Miguel</v>
          </cell>
          <cell r="F1863">
            <v>300</v>
          </cell>
          <cell r="G1863">
            <v>1</v>
          </cell>
          <cell r="H1863">
            <v>300</v>
          </cell>
          <cell r="I1863">
            <v>41493</v>
          </cell>
          <cell r="J1863">
            <v>0</v>
          </cell>
          <cell r="W1863">
            <v>0</v>
          </cell>
          <cell r="AE1863">
            <v>300</v>
          </cell>
          <cell r="AJ1863">
            <v>300</v>
          </cell>
          <cell r="AW1863">
            <v>0</v>
          </cell>
        </row>
        <row r="1864">
          <cell r="B1864">
            <v>5403</v>
          </cell>
          <cell r="C1864" t="str">
            <v>LD_1_A</v>
          </cell>
          <cell r="D1864" t="str">
            <v>Calzada del Hueso No. 840</v>
          </cell>
          <cell r="E1864" t="str">
            <v>Pérez Retis</v>
          </cell>
          <cell r="F1864">
            <v>300</v>
          </cell>
          <cell r="G1864">
            <v>3</v>
          </cell>
          <cell r="H1864">
            <v>150</v>
          </cell>
          <cell r="I1864">
            <v>41494</v>
          </cell>
          <cell r="J1864" t="str">
            <v>NO SUMA</v>
          </cell>
          <cell r="W1864">
            <v>0</v>
          </cell>
          <cell r="AJ1864">
            <v>0</v>
          </cell>
          <cell r="AW1864">
            <v>0</v>
          </cell>
        </row>
        <row r="1865">
          <cell r="B1865">
            <v>6107</v>
          </cell>
          <cell r="C1865" t="str">
            <v>CL_29_</v>
          </cell>
          <cell r="D1865" t="str">
            <v>Rancho La Cuchilla No. 29</v>
          </cell>
          <cell r="E1865" t="str">
            <v>Vega Sánchez C.</v>
          </cell>
          <cell r="F1865">
            <v>300</v>
          </cell>
          <cell r="G1865">
            <v>1</v>
          </cell>
          <cell r="H1865">
            <v>300</v>
          </cell>
          <cell r="I1865">
            <v>41494</v>
          </cell>
          <cell r="J1865">
            <v>0</v>
          </cell>
          <cell r="W1865">
            <v>0</v>
          </cell>
          <cell r="AE1865">
            <v>300</v>
          </cell>
          <cell r="AJ1865">
            <v>300</v>
          </cell>
          <cell r="AW1865">
            <v>0</v>
          </cell>
        </row>
        <row r="1866">
          <cell r="B1866">
            <v>5404</v>
          </cell>
          <cell r="C1866" t="str">
            <v>CL_62_</v>
          </cell>
          <cell r="D1866" t="str">
            <v>Rancho La Cuchilla No. 62</v>
          </cell>
          <cell r="E1866" t="str">
            <v>Frías</v>
          </cell>
          <cell r="F1866">
            <v>200</v>
          </cell>
          <cell r="G1866">
            <v>1</v>
          </cell>
          <cell r="H1866">
            <v>1000</v>
          </cell>
          <cell r="I1866">
            <v>41500</v>
          </cell>
          <cell r="J1866">
            <v>0</v>
          </cell>
          <cell r="W1866">
            <v>0</v>
          </cell>
          <cell r="AA1866">
            <v>200</v>
          </cell>
          <cell r="AB1866">
            <v>200</v>
          </cell>
          <cell r="AC1866">
            <v>200</v>
          </cell>
          <cell r="AD1866">
            <v>200</v>
          </cell>
          <cell r="AE1866">
            <v>200</v>
          </cell>
          <cell r="AJ1866">
            <v>1000</v>
          </cell>
          <cell r="AW1866">
            <v>0</v>
          </cell>
        </row>
        <row r="1867">
          <cell r="B1867">
            <v>5405</v>
          </cell>
          <cell r="C1867" t="str">
            <v>ZB_84_</v>
          </cell>
          <cell r="D1867" t="str">
            <v>Rancho Zinamba No. 84</v>
          </cell>
          <cell r="E1867" t="str">
            <v>Lobato</v>
          </cell>
          <cell r="F1867">
            <v>300</v>
          </cell>
          <cell r="G1867">
            <v>1</v>
          </cell>
          <cell r="H1867">
            <v>300</v>
          </cell>
          <cell r="I1867">
            <v>41495</v>
          </cell>
          <cell r="J1867">
            <v>0</v>
          </cell>
          <cell r="W1867">
            <v>0</v>
          </cell>
          <cell r="AD1867">
            <v>300</v>
          </cell>
          <cell r="AJ1867">
            <v>300</v>
          </cell>
          <cell r="AW1867">
            <v>0</v>
          </cell>
        </row>
        <row r="1868">
          <cell r="B1868">
            <v>5406</v>
          </cell>
          <cell r="C1868" t="str">
            <v>CL_73_</v>
          </cell>
          <cell r="D1868" t="str">
            <v>Rancho La Cuchilla No. 73</v>
          </cell>
          <cell r="E1868" t="str">
            <v>Cooper</v>
          </cell>
          <cell r="F1868">
            <v>300</v>
          </cell>
          <cell r="G1868">
            <v>1</v>
          </cell>
          <cell r="H1868">
            <v>900</v>
          </cell>
          <cell r="I1868">
            <v>41497</v>
          </cell>
          <cell r="J1868">
            <v>0</v>
          </cell>
          <cell r="W1868">
            <v>0</v>
          </cell>
          <cell r="AC1868">
            <v>300</v>
          </cell>
          <cell r="AD1868">
            <v>300</v>
          </cell>
          <cell r="AE1868">
            <v>300</v>
          </cell>
          <cell r="AJ1868">
            <v>900</v>
          </cell>
          <cell r="AW1868">
            <v>0</v>
          </cell>
        </row>
        <row r="1869">
          <cell r="B1869">
            <v>5407</v>
          </cell>
          <cell r="C1869" t="str">
            <v>UP_108_</v>
          </cell>
          <cell r="D1869" t="str">
            <v>Rancho Upácuaro No. 108</v>
          </cell>
          <cell r="E1869" t="str">
            <v>Mejía</v>
          </cell>
          <cell r="F1869">
            <v>300</v>
          </cell>
          <cell r="G1869">
            <v>1</v>
          </cell>
          <cell r="H1869">
            <v>300</v>
          </cell>
          <cell r="I1869">
            <v>41497</v>
          </cell>
          <cell r="J1869">
            <v>0</v>
          </cell>
          <cell r="W1869">
            <v>0</v>
          </cell>
          <cell r="AE1869">
            <v>300</v>
          </cell>
          <cell r="AJ1869">
            <v>300</v>
          </cell>
          <cell r="AW1869">
            <v>0</v>
          </cell>
        </row>
        <row r="1870">
          <cell r="B1870">
            <v>5408</v>
          </cell>
          <cell r="C1870" t="str">
            <v>UP_79_</v>
          </cell>
          <cell r="D1870" t="str">
            <v>Rancho Upácuaro No. 79</v>
          </cell>
          <cell r="E1870" t="str">
            <v>Macías</v>
          </cell>
          <cell r="F1870">
            <v>300</v>
          </cell>
          <cell r="G1870">
            <v>1</v>
          </cell>
          <cell r="H1870">
            <v>900</v>
          </cell>
          <cell r="I1870">
            <v>41497</v>
          </cell>
          <cell r="J1870">
            <v>0</v>
          </cell>
          <cell r="W1870">
            <v>0</v>
          </cell>
          <cell r="AE1870">
            <v>300</v>
          </cell>
          <cell r="AF1870">
            <v>300</v>
          </cell>
          <cell r="AG1870">
            <v>300</v>
          </cell>
          <cell r="AJ1870">
            <v>900</v>
          </cell>
          <cell r="AW1870">
            <v>0</v>
          </cell>
        </row>
        <row r="1871">
          <cell r="B1871">
            <v>5409</v>
          </cell>
          <cell r="C1871" t="str">
            <v>ZB_38_</v>
          </cell>
          <cell r="D1871" t="str">
            <v>Rancho Zinamba No. 38</v>
          </cell>
          <cell r="E1871" t="str">
            <v>Ramírez Díaz</v>
          </cell>
          <cell r="F1871">
            <v>300</v>
          </cell>
          <cell r="G1871">
            <v>1</v>
          </cell>
          <cell r="H1871">
            <v>300</v>
          </cell>
          <cell r="I1871">
            <v>41497</v>
          </cell>
          <cell r="J1871">
            <v>0</v>
          </cell>
          <cell r="W1871">
            <v>0</v>
          </cell>
          <cell r="AE1871">
            <v>300</v>
          </cell>
          <cell r="AJ1871">
            <v>300</v>
          </cell>
          <cell r="AW1871">
            <v>0</v>
          </cell>
        </row>
        <row r="1872">
          <cell r="B1872">
            <v>5410</v>
          </cell>
          <cell r="C1872" t="str">
            <v>CL_33_</v>
          </cell>
          <cell r="D1872" t="str">
            <v>Rancho La Cuchilla No. 33</v>
          </cell>
          <cell r="E1872" t="str">
            <v>Tanús</v>
          </cell>
          <cell r="F1872">
            <v>300</v>
          </cell>
          <cell r="G1872">
            <v>1</v>
          </cell>
          <cell r="H1872">
            <v>300</v>
          </cell>
          <cell r="I1872">
            <v>41497</v>
          </cell>
          <cell r="J1872">
            <v>0</v>
          </cell>
          <cell r="W1872">
            <v>0</v>
          </cell>
          <cell r="AE1872">
            <v>300</v>
          </cell>
          <cell r="AJ1872">
            <v>300</v>
          </cell>
          <cell r="AW1872">
            <v>0</v>
          </cell>
        </row>
        <row r="1873">
          <cell r="B1873">
            <v>5411</v>
          </cell>
          <cell r="C1873" t="str">
            <v>CL_72_</v>
          </cell>
          <cell r="D1873" t="str">
            <v>Rancho La Cuchilla No. 72</v>
          </cell>
          <cell r="E1873" t="str">
            <v>Ortiz González</v>
          </cell>
          <cell r="F1873">
            <v>300</v>
          </cell>
          <cell r="G1873">
            <v>1</v>
          </cell>
          <cell r="H1873">
            <v>300</v>
          </cell>
          <cell r="I1873">
            <v>41497</v>
          </cell>
          <cell r="J1873">
            <v>0</v>
          </cell>
          <cell r="W1873">
            <v>0</v>
          </cell>
          <cell r="AE1873">
            <v>300</v>
          </cell>
          <cell r="AJ1873">
            <v>300</v>
          </cell>
          <cell r="AW1873">
            <v>0</v>
          </cell>
        </row>
        <row r="1874">
          <cell r="B1874">
            <v>5412</v>
          </cell>
          <cell r="C1874" t="str">
            <v>RM_9_B</v>
          </cell>
          <cell r="D1874" t="str">
            <v>Rancho Romeral No. 9, B</v>
          </cell>
          <cell r="E1874" t="str">
            <v>Morales Macías</v>
          </cell>
          <cell r="F1874">
            <v>100</v>
          </cell>
          <cell r="G1874">
            <v>1</v>
          </cell>
          <cell r="H1874">
            <v>100</v>
          </cell>
          <cell r="I1874">
            <v>41497</v>
          </cell>
          <cell r="J1874">
            <v>0</v>
          </cell>
          <cell r="W1874">
            <v>0</v>
          </cell>
          <cell r="AE1874">
            <v>100</v>
          </cell>
          <cell r="AJ1874">
            <v>100</v>
          </cell>
          <cell r="AW1874">
            <v>0</v>
          </cell>
        </row>
        <row r="1875">
          <cell r="B1875">
            <v>5413</v>
          </cell>
          <cell r="C1875" t="str">
            <v>CL_111_</v>
          </cell>
          <cell r="D1875" t="str">
            <v>Rancho La Cuchilla No. 111</v>
          </cell>
          <cell r="E1875" t="str">
            <v>García Santos Ofelia</v>
          </cell>
          <cell r="F1875">
            <v>150</v>
          </cell>
          <cell r="G1875">
            <v>1</v>
          </cell>
          <cell r="H1875">
            <v>200</v>
          </cell>
          <cell r="I1875">
            <v>41497</v>
          </cell>
          <cell r="J1875">
            <v>0</v>
          </cell>
          <cell r="W1875">
            <v>0</v>
          </cell>
          <cell r="AE1875">
            <v>200</v>
          </cell>
          <cell r="AJ1875">
            <v>200</v>
          </cell>
          <cell r="AW1875">
            <v>0</v>
          </cell>
        </row>
        <row r="1876">
          <cell r="B1876">
            <v>5414</v>
          </cell>
          <cell r="C1876" t="str">
            <v>LD_20_</v>
          </cell>
          <cell r="D1876" t="str">
            <v>Rancho Landero No. 20</v>
          </cell>
          <cell r="E1876" t="str">
            <v>Velasco</v>
          </cell>
          <cell r="F1876">
            <v>300</v>
          </cell>
          <cell r="G1876">
            <v>1</v>
          </cell>
          <cell r="H1876">
            <v>600</v>
          </cell>
          <cell r="I1876">
            <v>41497</v>
          </cell>
          <cell r="J1876">
            <v>0</v>
          </cell>
          <cell r="W1876">
            <v>0</v>
          </cell>
          <cell r="AD1876">
            <v>300</v>
          </cell>
          <cell r="AE1876">
            <v>300</v>
          </cell>
          <cell r="AJ1876">
            <v>600</v>
          </cell>
          <cell r="AW1876">
            <v>0</v>
          </cell>
        </row>
        <row r="1877">
          <cell r="B1877">
            <v>5415</v>
          </cell>
          <cell r="C1877" t="str">
            <v>LD_18_</v>
          </cell>
          <cell r="D1877" t="str">
            <v>Rancho Landero No. 18</v>
          </cell>
          <cell r="E1877" t="str">
            <v>Rosado</v>
          </cell>
          <cell r="F1877">
            <v>250</v>
          </cell>
          <cell r="G1877">
            <v>1</v>
          </cell>
          <cell r="H1877">
            <v>250</v>
          </cell>
          <cell r="I1877">
            <v>41497</v>
          </cell>
          <cell r="J1877">
            <v>0</v>
          </cell>
          <cell r="W1877">
            <v>0</v>
          </cell>
          <cell r="AE1877">
            <v>250</v>
          </cell>
          <cell r="AJ1877">
            <v>250</v>
          </cell>
          <cell r="AW1877">
            <v>0</v>
          </cell>
        </row>
        <row r="1878">
          <cell r="B1878">
            <v>5416</v>
          </cell>
          <cell r="C1878" t="str">
            <v>EZ_151_</v>
          </cell>
          <cell r="D1878" t="str">
            <v>Rancho Estanzuela No. 151</v>
          </cell>
          <cell r="E1878" t="str">
            <v>Pérez Salazar</v>
          </cell>
          <cell r="F1878">
            <v>300</v>
          </cell>
          <cell r="G1878">
            <v>1</v>
          </cell>
          <cell r="H1878">
            <v>300</v>
          </cell>
          <cell r="I1878">
            <v>41497</v>
          </cell>
          <cell r="J1878">
            <v>0</v>
          </cell>
          <cell r="W1878">
            <v>0</v>
          </cell>
          <cell r="AE1878">
            <v>300</v>
          </cell>
          <cell r="AJ1878">
            <v>300</v>
          </cell>
          <cell r="AW1878">
            <v>0</v>
          </cell>
        </row>
        <row r="1879">
          <cell r="B1879">
            <v>5417</v>
          </cell>
          <cell r="C1879" t="str">
            <v>UP_85_</v>
          </cell>
          <cell r="D1879" t="str">
            <v>Rancho Upácuaro No. 85</v>
          </cell>
          <cell r="E1879" t="str">
            <v>Del Toro Huerta</v>
          </cell>
          <cell r="F1879">
            <v>300</v>
          </cell>
          <cell r="G1879">
            <v>1</v>
          </cell>
          <cell r="H1879">
            <v>300</v>
          </cell>
          <cell r="I1879">
            <v>41497</v>
          </cell>
          <cell r="J1879">
            <v>0</v>
          </cell>
          <cell r="W1879">
            <v>0</v>
          </cell>
          <cell r="AE1879">
            <v>300</v>
          </cell>
          <cell r="AJ1879">
            <v>300</v>
          </cell>
          <cell r="AW1879">
            <v>0</v>
          </cell>
        </row>
        <row r="1880">
          <cell r="B1880">
            <v>5418</v>
          </cell>
          <cell r="C1880" t="str">
            <v>CL_112_PB</v>
          </cell>
          <cell r="D1880" t="str">
            <v>Rancho La Cuchilla No. 112, PB</v>
          </cell>
          <cell r="E1880" t="str">
            <v>Soreque</v>
          </cell>
          <cell r="F1880">
            <v>150</v>
          </cell>
          <cell r="G1880">
            <v>1</v>
          </cell>
          <cell r="H1880">
            <v>150</v>
          </cell>
          <cell r="I1880">
            <v>41497</v>
          </cell>
          <cell r="J1880">
            <v>0</v>
          </cell>
          <cell r="W1880">
            <v>0</v>
          </cell>
          <cell r="AE1880">
            <v>150</v>
          </cell>
          <cell r="AJ1880">
            <v>150</v>
          </cell>
          <cell r="AW1880">
            <v>0</v>
          </cell>
        </row>
        <row r="1881">
          <cell r="B1881">
            <v>5419</v>
          </cell>
          <cell r="C1881" t="str">
            <v>UP_87_</v>
          </cell>
          <cell r="D1881" t="str">
            <v>Rancho Upácuaro No. 87</v>
          </cell>
          <cell r="E1881" t="str">
            <v>Rodríguez Parés</v>
          </cell>
          <cell r="F1881">
            <v>300</v>
          </cell>
          <cell r="G1881">
            <v>1</v>
          </cell>
          <cell r="H1881">
            <v>300</v>
          </cell>
          <cell r="I1881">
            <v>41497</v>
          </cell>
          <cell r="J1881">
            <v>0</v>
          </cell>
          <cell r="W1881">
            <v>0</v>
          </cell>
          <cell r="AE1881">
            <v>300</v>
          </cell>
          <cell r="AJ1881">
            <v>300</v>
          </cell>
          <cell r="AW1881">
            <v>0</v>
          </cell>
        </row>
        <row r="1882">
          <cell r="B1882">
            <v>5420</v>
          </cell>
          <cell r="C1882" t="str">
            <v>UP_18_</v>
          </cell>
          <cell r="D1882" t="str">
            <v>Rancho Upácuaro No. 18</v>
          </cell>
          <cell r="E1882" t="str">
            <v>Guzmán</v>
          </cell>
          <cell r="F1882">
            <v>300</v>
          </cell>
          <cell r="G1882">
            <v>1</v>
          </cell>
          <cell r="H1882">
            <v>300</v>
          </cell>
          <cell r="I1882">
            <v>41497</v>
          </cell>
          <cell r="J1882">
            <v>0</v>
          </cell>
          <cell r="W1882">
            <v>0</v>
          </cell>
          <cell r="AE1882">
            <v>300</v>
          </cell>
          <cell r="AJ1882">
            <v>300</v>
          </cell>
          <cell r="AW1882">
            <v>0</v>
          </cell>
        </row>
        <row r="1883">
          <cell r="B1883">
            <v>5421</v>
          </cell>
          <cell r="C1883" t="str">
            <v>LD_101_</v>
          </cell>
          <cell r="D1883" t="str">
            <v>Rancho Landero No. 101</v>
          </cell>
          <cell r="E1883" t="str">
            <v>Ramírez</v>
          </cell>
          <cell r="F1883">
            <v>300</v>
          </cell>
          <cell r="G1883">
            <v>1</v>
          </cell>
          <cell r="H1883">
            <v>900</v>
          </cell>
          <cell r="I1883">
            <v>41497</v>
          </cell>
          <cell r="J1883">
            <v>0</v>
          </cell>
          <cell r="W1883">
            <v>0</v>
          </cell>
          <cell r="AC1883">
            <v>300</v>
          </cell>
          <cell r="AD1883">
            <v>300</v>
          </cell>
          <cell r="AE1883">
            <v>300</v>
          </cell>
          <cell r="AJ1883">
            <v>900</v>
          </cell>
          <cell r="AW1883">
            <v>0</v>
          </cell>
        </row>
        <row r="1884">
          <cell r="B1884">
            <v>5422</v>
          </cell>
          <cell r="C1884" t="str">
            <v>CL_92_</v>
          </cell>
          <cell r="D1884" t="str">
            <v>Rancho La Cuchilla No. 92</v>
          </cell>
          <cell r="E1884" t="str">
            <v>Cabrera</v>
          </cell>
          <cell r="F1884">
            <v>300</v>
          </cell>
          <cell r="G1884">
            <v>1</v>
          </cell>
          <cell r="H1884">
            <v>300</v>
          </cell>
          <cell r="I1884">
            <v>41497</v>
          </cell>
          <cell r="J1884">
            <v>0</v>
          </cell>
          <cell r="W1884">
            <v>0</v>
          </cell>
          <cell r="AE1884">
            <v>300</v>
          </cell>
          <cell r="AJ1884">
            <v>300</v>
          </cell>
          <cell r="AW1884">
            <v>0</v>
          </cell>
        </row>
        <row r="1885">
          <cell r="B1885">
            <v>5423</v>
          </cell>
          <cell r="D1885" t="str">
            <v/>
          </cell>
          <cell r="E1885" t="str">
            <v/>
          </cell>
          <cell r="F1885" t="str">
            <v/>
          </cell>
          <cell r="G1885">
            <v>8</v>
          </cell>
          <cell r="I1885">
            <v>41497</v>
          </cell>
          <cell r="J1885" t="str">
            <v>NO SUMA</v>
          </cell>
          <cell r="W1885">
            <v>0</v>
          </cell>
          <cell r="AJ1885">
            <v>0</v>
          </cell>
          <cell r="AW1885">
            <v>0</v>
          </cell>
        </row>
        <row r="1886">
          <cell r="B1886">
            <v>5424</v>
          </cell>
          <cell r="C1886" t="str">
            <v>LD_7_</v>
          </cell>
          <cell r="D1886" t="str">
            <v>Rancho Landero No. 7</v>
          </cell>
          <cell r="E1886" t="str">
            <v>Robles</v>
          </cell>
          <cell r="F1886">
            <v>150</v>
          </cell>
          <cell r="G1886">
            <v>1</v>
          </cell>
          <cell r="H1886">
            <v>150</v>
          </cell>
          <cell r="I1886">
            <v>41497</v>
          </cell>
          <cell r="J1886">
            <v>0</v>
          </cell>
          <cell r="W1886">
            <v>0</v>
          </cell>
          <cell r="AE1886">
            <v>150</v>
          </cell>
          <cell r="AJ1886">
            <v>150</v>
          </cell>
          <cell r="AW1886">
            <v>0</v>
          </cell>
        </row>
        <row r="1887">
          <cell r="B1887">
            <v>5425</v>
          </cell>
          <cell r="C1887" t="str">
            <v>UP_71_</v>
          </cell>
          <cell r="D1887" t="str">
            <v>Rancho Upácuaro No. 71</v>
          </cell>
          <cell r="E1887" t="str">
            <v>Trejo Méndez</v>
          </cell>
          <cell r="F1887">
            <v>300</v>
          </cell>
          <cell r="G1887">
            <v>1</v>
          </cell>
          <cell r="H1887">
            <v>300</v>
          </cell>
          <cell r="I1887">
            <v>41497</v>
          </cell>
          <cell r="J1887">
            <v>0</v>
          </cell>
          <cell r="W1887">
            <v>0</v>
          </cell>
          <cell r="AE1887">
            <v>300</v>
          </cell>
          <cell r="AJ1887">
            <v>300</v>
          </cell>
          <cell r="AW1887">
            <v>0</v>
          </cell>
        </row>
        <row r="1888">
          <cell r="B1888">
            <v>5426</v>
          </cell>
          <cell r="C1888" t="str">
            <v>EZ_49_</v>
          </cell>
          <cell r="D1888" t="str">
            <v>Rancho Estanzuela No. 49</v>
          </cell>
          <cell r="E1888" t="str">
            <v>Sánchez Zamora</v>
          </cell>
          <cell r="F1888">
            <v>300</v>
          </cell>
          <cell r="G1888">
            <v>1</v>
          </cell>
          <cell r="H1888">
            <v>600</v>
          </cell>
          <cell r="I1888">
            <v>41497</v>
          </cell>
          <cell r="J1888">
            <v>0</v>
          </cell>
          <cell r="W1888">
            <v>0</v>
          </cell>
          <cell r="AA1888">
            <v>300</v>
          </cell>
          <cell r="AB1888">
            <v>300</v>
          </cell>
          <cell r="AJ1888">
            <v>600</v>
          </cell>
          <cell r="AW1888">
            <v>0</v>
          </cell>
        </row>
        <row r="1889">
          <cell r="B1889">
            <v>5427</v>
          </cell>
          <cell r="C1889" t="str">
            <v>CL_41_</v>
          </cell>
          <cell r="D1889" t="str">
            <v>Rancho La Cuchilla No. 41</v>
          </cell>
          <cell r="E1889" t="str">
            <v>Arriaga Lemus</v>
          </cell>
          <cell r="F1889">
            <v>250</v>
          </cell>
          <cell r="G1889">
            <v>1</v>
          </cell>
          <cell r="H1889">
            <v>300</v>
          </cell>
          <cell r="I1889">
            <v>41497</v>
          </cell>
          <cell r="J1889">
            <v>0</v>
          </cell>
          <cell r="W1889">
            <v>0</v>
          </cell>
          <cell r="AE1889">
            <v>300</v>
          </cell>
          <cell r="AJ1889">
            <v>300</v>
          </cell>
          <cell r="AW1889">
            <v>0</v>
          </cell>
        </row>
        <row r="1890">
          <cell r="B1890">
            <v>5428</v>
          </cell>
          <cell r="C1890" t="str">
            <v>CL_73_</v>
          </cell>
          <cell r="D1890" t="str">
            <v>Rancho La Cuchilla No. 73</v>
          </cell>
          <cell r="E1890" t="str">
            <v>Cooper</v>
          </cell>
          <cell r="F1890">
            <v>300</v>
          </cell>
          <cell r="G1890">
            <v>3</v>
          </cell>
          <cell r="H1890">
            <v>150</v>
          </cell>
          <cell r="I1890">
            <v>41497</v>
          </cell>
          <cell r="J1890" t="str">
            <v>NO SUMA</v>
          </cell>
          <cell r="W1890">
            <v>0</v>
          </cell>
          <cell r="AJ1890">
            <v>0</v>
          </cell>
          <cell r="AW1890">
            <v>0</v>
          </cell>
        </row>
        <row r="1891">
          <cell r="B1891">
            <v>5429</v>
          </cell>
          <cell r="C1891" t="str">
            <v>ZB_50_</v>
          </cell>
          <cell r="D1891" t="str">
            <v>Rancho Zinamba No. 50</v>
          </cell>
          <cell r="E1891" t="str">
            <v>Del Castillo</v>
          </cell>
          <cell r="F1891">
            <v>300</v>
          </cell>
          <cell r="G1891">
            <v>1</v>
          </cell>
          <cell r="H1891">
            <v>300</v>
          </cell>
          <cell r="I1891">
            <v>41497</v>
          </cell>
          <cell r="J1891">
            <v>0</v>
          </cell>
          <cell r="W1891">
            <v>0</v>
          </cell>
          <cell r="AD1891">
            <v>300</v>
          </cell>
          <cell r="AJ1891">
            <v>300</v>
          </cell>
          <cell r="AW1891">
            <v>0</v>
          </cell>
        </row>
        <row r="1892">
          <cell r="B1892">
            <v>5430</v>
          </cell>
          <cell r="C1892" t="str">
            <v>CL_129_</v>
          </cell>
          <cell r="D1892" t="str">
            <v>Rancho La Cuchilla No. 129</v>
          </cell>
          <cell r="E1892" t="str">
            <v>Gamboa Rueda</v>
          </cell>
          <cell r="F1892">
            <v>200</v>
          </cell>
          <cell r="G1892">
            <v>1</v>
          </cell>
          <cell r="H1892">
            <v>200</v>
          </cell>
          <cell r="I1892">
            <v>41497</v>
          </cell>
          <cell r="J1892">
            <v>0</v>
          </cell>
          <cell r="W1892">
            <v>0</v>
          </cell>
          <cell r="AE1892">
            <v>200</v>
          </cell>
          <cell r="AJ1892">
            <v>200</v>
          </cell>
          <cell r="AW1892">
            <v>0</v>
          </cell>
        </row>
        <row r="1893">
          <cell r="B1893">
            <v>5431</v>
          </cell>
          <cell r="C1893" t="str">
            <v>UP_34_</v>
          </cell>
          <cell r="D1893" t="str">
            <v>Rancho Upácuaro No. 34</v>
          </cell>
          <cell r="E1893" t="str">
            <v>Gómez González</v>
          </cell>
          <cell r="F1893">
            <v>300</v>
          </cell>
          <cell r="G1893">
            <v>1</v>
          </cell>
          <cell r="H1893">
            <v>300</v>
          </cell>
          <cell r="I1893">
            <v>41497</v>
          </cell>
          <cell r="J1893">
            <v>0</v>
          </cell>
          <cell r="W1893">
            <v>0</v>
          </cell>
          <cell r="AE1893">
            <v>300</v>
          </cell>
          <cell r="AJ1893">
            <v>300</v>
          </cell>
          <cell r="AW1893">
            <v>0</v>
          </cell>
        </row>
        <row r="1894">
          <cell r="B1894">
            <v>5432</v>
          </cell>
          <cell r="C1894" t="str">
            <v>RV_193_</v>
          </cell>
          <cell r="D1894" t="str">
            <v>Rancho Recoveco No. 193</v>
          </cell>
          <cell r="E1894" t="str">
            <v>Salazar Pérez</v>
          </cell>
          <cell r="F1894">
            <v>300</v>
          </cell>
          <cell r="G1894">
            <v>1</v>
          </cell>
          <cell r="H1894">
            <v>900</v>
          </cell>
          <cell r="I1894">
            <v>41497</v>
          </cell>
          <cell r="J1894">
            <v>0</v>
          </cell>
          <cell r="W1894">
            <v>0</v>
          </cell>
          <cell r="AC1894">
            <v>300</v>
          </cell>
          <cell r="AD1894">
            <v>300</v>
          </cell>
          <cell r="AE1894">
            <v>300</v>
          </cell>
          <cell r="AJ1894">
            <v>900</v>
          </cell>
          <cell r="AW1894">
            <v>0</v>
          </cell>
        </row>
        <row r="1895">
          <cell r="B1895">
            <v>5433</v>
          </cell>
          <cell r="C1895" t="str">
            <v>CL_46_</v>
          </cell>
          <cell r="D1895" t="str">
            <v>Rancho La Cuchilla No. 46</v>
          </cell>
          <cell r="E1895" t="str">
            <v>Cruz López</v>
          </cell>
          <cell r="F1895">
            <v>300</v>
          </cell>
          <cell r="G1895">
            <v>1</v>
          </cell>
          <cell r="H1895">
            <v>300</v>
          </cell>
          <cell r="I1895">
            <v>41497</v>
          </cell>
          <cell r="J1895">
            <v>0</v>
          </cell>
          <cell r="W1895">
            <v>0</v>
          </cell>
          <cell r="AE1895">
            <v>300</v>
          </cell>
          <cell r="AJ1895">
            <v>300</v>
          </cell>
          <cell r="AW1895">
            <v>0</v>
          </cell>
        </row>
        <row r="1896">
          <cell r="B1896">
            <v>5434</v>
          </cell>
          <cell r="C1896" t="str">
            <v>EZ_69_</v>
          </cell>
          <cell r="D1896" t="str">
            <v>Rancho Estanzuela No. 69</v>
          </cell>
          <cell r="E1896" t="str">
            <v>Apaez</v>
          </cell>
          <cell r="F1896">
            <v>300</v>
          </cell>
          <cell r="G1896">
            <v>1</v>
          </cell>
          <cell r="H1896">
            <v>300</v>
          </cell>
          <cell r="I1896">
            <v>41497</v>
          </cell>
          <cell r="J1896">
            <v>0</v>
          </cell>
          <cell r="W1896">
            <v>0</v>
          </cell>
          <cell r="AE1896">
            <v>300</v>
          </cell>
          <cell r="AJ1896">
            <v>300</v>
          </cell>
          <cell r="AW1896">
            <v>0</v>
          </cell>
        </row>
        <row r="1897">
          <cell r="B1897">
            <v>5435</v>
          </cell>
          <cell r="C1897" t="str">
            <v>EZ_21_</v>
          </cell>
          <cell r="D1897" t="str">
            <v>Rancho Estanzuela No. 21</v>
          </cell>
          <cell r="E1897" t="str">
            <v>Chavero Barrera</v>
          </cell>
          <cell r="F1897">
            <v>300</v>
          </cell>
          <cell r="G1897">
            <v>4</v>
          </cell>
          <cell r="H1897">
            <v>160</v>
          </cell>
          <cell r="I1897">
            <v>41497</v>
          </cell>
          <cell r="J1897" t="str">
            <v>NO SUMA</v>
          </cell>
          <cell r="W1897">
            <v>0</v>
          </cell>
          <cell r="AJ1897">
            <v>0</v>
          </cell>
          <cell r="AW1897">
            <v>0</v>
          </cell>
        </row>
        <row r="1898">
          <cell r="B1898">
            <v>5436</v>
          </cell>
          <cell r="C1898" t="str">
            <v>UP_96_</v>
          </cell>
          <cell r="D1898" t="str">
            <v>Rancho Upácuaro No. 96</v>
          </cell>
          <cell r="E1898" t="str">
            <v>Daza Gutiérrez</v>
          </cell>
          <cell r="F1898">
            <v>300</v>
          </cell>
          <cell r="G1898">
            <v>1</v>
          </cell>
          <cell r="H1898">
            <v>300</v>
          </cell>
          <cell r="I1898">
            <v>41497</v>
          </cell>
          <cell r="J1898">
            <v>0</v>
          </cell>
          <cell r="W1898">
            <v>0</v>
          </cell>
          <cell r="AE1898">
            <v>300</v>
          </cell>
          <cell r="AJ1898">
            <v>300</v>
          </cell>
          <cell r="AW1898">
            <v>0</v>
          </cell>
        </row>
        <row r="1899">
          <cell r="B1899">
            <v>5437</v>
          </cell>
          <cell r="C1899" t="str">
            <v>ZB_30_</v>
          </cell>
          <cell r="D1899" t="str">
            <v>Rancho Zinamba No. 30</v>
          </cell>
          <cell r="E1899" t="str">
            <v xml:space="preserve">Arroyo </v>
          </cell>
          <cell r="F1899">
            <v>300</v>
          </cell>
          <cell r="G1899">
            <v>1</v>
          </cell>
          <cell r="H1899">
            <v>1200</v>
          </cell>
          <cell r="I1899">
            <v>41497</v>
          </cell>
          <cell r="J1899">
            <v>0</v>
          </cell>
          <cell r="W1899">
            <v>0</v>
          </cell>
          <cell r="AD1899">
            <v>300</v>
          </cell>
          <cell r="AE1899">
            <v>300</v>
          </cell>
          <cell r="AF1899">
            <v>300</v>
          </cell>
          <cell r="AG1899">
            <v>300</v>
          </cell>
          <cell r="AJ1899">
            <v>1200</v>
          </cell>
          <cell r="AW1899">
            <v>0</v>
          </cell>
        </row>
        <row r="1900">
          <cell r="B1900">
            <v>5438</v>
          </cell>
          <cell r="C1900" t="str">
            <v>CL_130_</v>
          </cell>
          <cell r="D1900" t="str">
            <v>Rancho La Cuchilla No. 130</v>
          </cell>
          <cell r="E1900" t="str">
            <v>De la Huerta</v>
          </cell>
          <cell r="F1900">
            <v>300</v>
          </cell>
          <cell r="G1900">
            <v>1</v>
          </cell>
          <cell r="H1900">
            <v>300</v>
          </cell>
          <cell r="I1900">
            <v>41498</v>
          </cell>
          <cell r="J1900">
            <v>0</v>
          </cell>
          <cell r="W1900">
            <v>0</v>
          </cell>
          <cell r="AE1900">
            <v>300</v>
          </cell>
          <cell r="AJ1900">
            <v>300</v>
          </cell>
          <cell r="AW1900">
            <v>0</v>
          </cell>
        </row>
        <row r="1901">
          <cell r="B1901">
            <v>5439</v>
          </cell>
          <cell r="C1901" t="str">
            <v>LD_85_</v>
          </cell>
          <cell r="D1901" t="str">
            <v>Rancho Landero No. 85</v>
          </cell>
          <cell r="E1901" t="str">
            <v>Martínez Olague</v>
          </cell>
          <cell r="F1901">
            <v>300</v>
          </cell>
          <cell r="G1901">
            <v>1</v>
          </cell>
          <cell r="H1901">
            <v>300</v>
          </cell>
          <cell r="I1901">
            <v>41499</v>
          </cell>
          <cell r="J1901">
            <v>0</v>
          </cell>
          <cell r="W1901">
            <v>0</v>
          </cell>
          <cell r="AE1901">
            <v>300</v>
          </cell>
          <cell r="AJ1901">
            <v>300</v>
          </cell>
          <cell r="AW1901">
            <v>0</v>
          </cell>
        </row>
        <row r="1902">
          <cell r="B1902">
            <v>5440</v>
          </cell>
          <cell r="C1902" t="str">
            <v>UP_64_</v>
          </cell>
          <cell r="D1902" t="str">
            <v>Rancho Upácuaro No. 64</v>
          </cell>
          <cell r="E1902" t="str">
            <v>Méndez Oliva</v>
          </cell>
          <cell r="F1902">
            <v>300</v>
          </cell>
          <cell r="G1902">
            <v>1</v>
          </cell>
          <cell r="H1902">
            <v>300</v>
          </cell>
          <cell r="I1902">
            <v>41500</v>
          </cell>
          <cell r="J1902">
            <v>0</v>
          </cell>
          <cell r="W1902">
            <v>0</v>
          </cell>
          <cell r="AE1902">
            <v>300</v>
          </cell>
          <cell r="AJ1902">
            <v>300</v>
          </cell>
          <cell r="AW1902">
            <v>0</v>
          </cell>
        </row>
        <row r="1903">
          <cell r="B1903">
            <v>5441</v>
          </cell>
          <cell r="C1903" t="str">
            <v>ZB_36_</v>
          </cell>
          <cell r="D1903" t="str">
            <v>Rancho Zinamba No. 36</v>
          </cell>
          <cell r="E1903" t="str">
            <v>Rodríguez Ortiz</v>
          </cell>
          <cell r="F1903">
            <v>300</v>
          </cell>
          <cell r="G1903">
            <v>1</v>
          </cell>
          <cell r="H1903">
            <v>300</v>
          </cell>
          <cell r="I1903">
            <v>41499</v>
          </cell>
          <cell r="J1903">
            <v>0</v>
          </cell>
          <cell r="W1903">
            <v>0</v>
          </cell>
          <cell r="AE1903">
            <v>300</v>
          </cell>
          <cell r="AJ1903">
            <v>300</v>
          </cell>
          <cell r="AW1903">
            <v>0</v>
          </cell>
        </row>
        <row r="1904">
          <cell r="B1904">
            <v>5442</v>
          </cell>
          <cell r="D1904" t="str">
            <v/>
          </cell>
          <cell r="E1904" t="str">
            <v/>
          </cell>
          <cell r="F1904" t="str">
            <v/>
          </cell>
          <cell r="G1904">
            <v>8</v>
          </cell>
          <cell r="I1904">
            <v>41504</v>
          </cell>
          <cell r="J1904" t="str">
            <v>NO SUMA</v>
          </cell>
          <cell r="W1904">
            <v>0</v>
          </cell>
          <cell r="AJ1904">
            <v>0</v>
          </cell>
          <cell r="AW1904">
            <v>0</v>
          </cell>
        </row>
        <row r="1905">
          <cell r="B1905">
            <v>5443</v>
          </cell>
          <cell r="C1905" t="str">
            <v>UP_88_</v>
          </cell>
          <cell r="D1905" t="str">
            <v>Rancho Upácuaro No. 88</v>
          </cell>
          <cell r="E1905" t="str">
            <v>Millán Núñez</v>
          </cell>
          <cell r="F1905">
            <v>300</v>
          </cell>
          <cell r="G1905">
            <v>1</v>
          </cell>
          <cell r="H1905">
            <v>300</v>
          </cell>
          <cell r="I1905">
            <v>41504</v>
          </cell>
          <cell r="J1905">
            <v>0</v>
          </cell>
          <cell r="W1905">
            <v>0</v>
          </cell>
          <cell r="AE1905">
            <v>300</v>
          </cell>
          <cell r="AJ1905">
            <v>300</v>
          </cell>
          <cell r="AW1905">
            <v>0</v>
          </cell>
        </row>
        <row r="1906">
          <cell r="B1906">
            <v>5444</v>
          </cell>
          <cell r="C1906" t="str">
            <v>UP_88_</v>
          </cell>
          <cell r="D1906" t="str">
            <v>Rancho Upácuaro No. 88</v>
          </cell>
          <cell r="E1906" t="str">
            <v>Millán Núñez</v>
          </cell>
          <cell r="F1906">
            <v>300</v>
          </cell>
          <cell r="G1906">
            <v>3</v>
          </cell>
          <cell r="H1906">
            <v>150</v>
          </cell>
          <cell r="I1906">
            <v>41504</v>
          </cell>
          <cell r="J1906" t="str">
            <v>NO SUMA</v>
          </cell>
          <cell r="W1906">
            <v>0</v>
          </cell>
          <cell r="AJ1906">
            <v>0</v>
          </cell>
          <cell r="AW1906">
            <v>0</v>
          </cell>
        </row>
        <row r="1907">
          <cell r="B1907">
            <v>5445</v>
          </cell>
          <cell r="C1907" t="str">
            <v>RV_3_</v>
          </cell>
          <cell r="D1907" t="str">
            <v>Rancho Recoveco No. 3</v>
          </cell>
          <cell r="E1907" t="str">
            <v>Garduño</v>
          </cell>
          <cell r="F1907">
            <v>300</v>
          </cell>
          <cell r="G1907">
            <v>1</v>
          </cell>
          <cell r="H1907">
            <v>300</v>
          </cell>
          <cell r="I1907">
            <v>41504</v>
          </cell>
          <cell r="J1907">
            <v>0</v>
          </cell>
          <cell r="W1907">
            <v>0</v>
          </cell>
          <cell r="AE1907">
            <v>300</v>
          </cell>
          <cell r="AJ1907">
            <v>300</v>
          </cell>
          <cell r="AW1907">
            <v>0</v>
          </cell>
        </row>
        <row r="1908">
          <cell r="B1908">
            <v>5445</v>
          </cell>
          <cell r="C1908" t="str">
            <v>RV_3_</v>
          </cell>
          <cell r="D1908" t="str">
            <v>Rancho Recoveco No. 3</v>
          </cell>
          <cell r="E1908" t="str">
            <v>Garduño</v>
          </cell>
          <cell r="F1908">
            <v>300</v>
          </cell>
          <cell r="G1908">
            <v>3</v>
          </cell>
          <cell r="H1908">
            <v>150</v>
          </cell>
          <cell r="I1908">
            <v>41504</v>
          </cell>
          <cell r="J1908" t="str">
            <v>NO SUMA</v>
          </cell>
          <cell r="W1908">
            <v>0</v>
          </cell>
          <cell r="AJ1908">
            <v>0</v>
          </cell>
          <cell r="AW1908">
            <v>0</v>
          </cell>
        </row>
        <row r="1909">
          <cell r="B1909">
            <v>5446</v>
          </cell>
          <cell r="C1909" t="str">
            <v>LD_58_</v>
          </cell>
          <cell r="D1909" t="str">
            <v>Rancho Landero No. 58</v>
          </cell>
          <cell r="E1909" t="str">
            <v>Valero</v>
          </cell>
          <cell r="F1909">
            <v>300</v>
          </cell>
          <cell r="G1909">
            <v>4</v>
          </cell>
          <cell r="H1909">
            <v>160</v>
          </cell>
          <cell r="I1909">
            <v>41504</v>
          </cell>
          <cell r="J1909" t="str">
            <v>NO SUMA</v>
          </cell>
          <cell r="W1909">
            <v>0</v>
          </cell>
          <cell r="AJ1909">
            <v>0</v>
          </cell>
          <cell r="AW1909">
            <v>0</v>
          </cell>
        </row>
        <row r="1910">
          <cell r="B1910">
            <v>5447</v>
          </cell>
          <cell r="C1910" t="str">
            <v>LD_71_</v>
          </cell>
          <cell r="D1910" t="str">
            <v>Rancho Landero No. 71</v>
          </cell>
          <cell r="E1910" t="str">
            <v>Cabrera Balcázar</v>
          </cell>
          <cell r="F1910">
            <v>300</v>
          </cell>
          <cell r="G1910">
            <v>1</v>
          </cell>
          <cell r="H1910">
            <v>300</v>
          </cell>
          <cell r="I1910">
            <v>41504</v>
          </cell>
          <cell r="J1910">
            <v>0</v>
          </cell>
          <cell r="W1910">
            <v>0</v>
          </cell>
          <cell r="AE1910">
            <v>300</v>
          </cell>
          <cell r="AJ1910">
            <v>300</v>
          </cell>
          <cell r="AW1910">
            <v>0</v>
          </cell>
        </row>
        <row r="1911">
          <cell r="B1911">
            <v>5448</v>
          </cell>
          <cell r="C1911" t="str">
            <v>CL_107_</v>
          </cell>
          <cell r="D1911" t="str">
            <v>Rancho La Cuchilla No. 107</v>
          </cell>
          <cell r="E1911" t="str">
            <v>Olivares Rivera</v>
          </cell>
          <cell r="F1911">
            <v>300</v>
          </cell>
          <cell r="G1911">
            <v>1</v>
          </cell>
          <cell r="H1911">
            <v>300</v>
          </cell>
          <cell r="I1911">
            <v>41504</v>
          </cell>
          <cell r="J1911">
            <v>0</v>
          </cell>
          <cell r="W1911">
            <v>0</v>
          </cell>
          <cell r="AE1911">
            <v>300</v>
          </cell>
          <cell r="AJ1911">
            <v>300</v>
          </cell>
          <cell r="AW1911">
            <v>0</v>
          </cell>
        </row>
        <row r="1912">
          <cell r="B1912">
            <v>5449</v>
          </cell>
          <cell r="C1912" t="str">
            <v>EZ_91_</v>
          </cell>
          <cell r="D1912" t="str">
            <v>Rancho Estanzuela No. 91</v>
          </cell>
          <cell r="E1912" t="str">
            <v>Lobato Torres</v>
          </cell>
          <cell r="F1912">
            <v>300</v>
          </cell>
          <cell r="G1912">
            <v>1</v>
          </cell>
          <cell r="H1912">
            <v>300</v>
          </cell>
          <cell r="I1912">
            <v>41504</v>
          </cell>
          <cell r="J1912">
            <v>0</v>
          </cell>
          <cell r="W1912">
            <v>0</v>
          </cell>
          <cell r="AE1912">
            <v>300</v>
          </cell>
          <cell r="AJ1912">
            <v>300</v>
          </cell>
          <cell r="AW1912">
            <v>0</v>
          </cell>
        </row>
        <row r="1913">
          <cell r="B1913">
            <v>5450</v>
          </cell>
          <cell r="C1913" t="str">
            <v>UP_114_</v>
          </cell>
          <cell r="D1913" t="str">
            <v>Rancho Upácuaro No. 114</v>
          </cell>
          <cell r="E1913" t="str">
            <v>Hernández Cornejo</v>
          </cell>
          <cell r="F1913">
            <v>300</v>
          </cell>
          <cell r="G1913">
            <v>1</v>
          </cell>
          <cell r="H1913">
            <v>300</v>
          </cell>
          <cell r="I1913">
            <v>41504</v>
          </cell>
          <cell r="J1913">
            <v>0</v>
          </cell>
          <cell r="W1913">
            <v>0</v>
          </cell>
          <cell r="AE1913">
            <v>300</v>
          </cell>
          <cell r="AJ1913">
            <v>300</v>
          </cell>
          <cell r="AW1913">
            <v>0</v>
          </cell>
        </row>
        <row r="1914">
          <cell r="B1914">
            <v>5450</v>
          </cell>
          <cell r="C1914" t="str">
            <v>UP_114_</v>
          </cell>
          <cell r="D1914" t="str">
            <v>Rancho Upácuaro No. 114</v>
          </cell>
          <cell r="E1914" t="str">
            <v>Hernández Cornejo</v>
          </cell>
          <cell r="F1914">
            <v>300</v>
          </cell>
          <cell r="G1914">
            <v>4</v>
          </cell>
          <cell r="H1914">
            <v>160</v>
          </cell>
          <cell r="I1914">
            <v>41504</v>
          </cell>
          <cell r="J1914" t="str">
            <v>NO SUMA</v>
          </cell>
          <cell r="W1914">
            <v>0</v>
          </cell>
          <cell r="AJ1914">
            <v>0</v>
          </cell>
          <cell r="AW1914">
            <v>0</v>
          </cell>
        </row>
        <row r="1915">
          <cell r="B1915">
            <v>5451</v>
          </cell>
          <cell r="C1915" t="str">
            <v>RV_179_</v>
          </cell>
          <cell r="D1915" t="str">
            <v>Rancho Recoveco No. 179</v>
          </cell>
          <cell r="E1915" t="str">
            <v>Flores Delgado</v>
          </cell>
          <cell r="F1915">
            <v>300</v>
          </cell>
          <cell r="G1915">
            <v>1</v>
          </cell>
          <cell r="H1915">
            <v>300</v>
          </cell>
          <cell r="I1915">
            <v>41504</v>
          </cell>
          <cell r="J1915">
            <v>0</v>
          </cell>
          <cell r="W1915">
            <v>0</v>
          </cell>
          <cell r="AE1915">
            <v>300</v>
          </cell>
          <cell r="AJ1915">
            <v>300</v>
          </cell>
          <cell r="AW1915">
            <v>0</v>
          </cell>
        </row>
        <row r="1916">
          <cell r="B1916">
            <v>5452</v>
          </cell>
          <cell r="C1916" t="str">
            <v>EZ_9_B</v>
          </cell>
          <cell r="D1916" t="str">
            <v>Rancho Estanzuela No. 9, B</v>
          </cell>
          <cell r="E1916" t="str">
            <v>Velasco Rojas</v>
          </cell>
          <cell r="F1916">
            <v>200</v>
          </cell>
          <cell r="G1916">
            <v>1</v>
          </cell>
          <cell r="H1916">
            <v>400</v>
          </cell>
          <cell r="I1916">
            <v>41504</v>
          </cell>
          <cell r="J1916">
            <v>0</v>
          </cell>
          <cell r="W1916">
            <v>0</v>
          </cell>
          <cell r="AD1916">
            <v>200</v>
          </cell>
          <cell r="AE1916">
            <v>200</v>
          </cell>
          <cell r="AJ1916">
            <v>400</v>
          </cell>
          <cell r="AW1916">
            <v>0</v>
          </cell>
        </row>
        <row r="1917">
          <cell r="B1917">
            <v>5453</v>
          </cell>
          <cell r="C1917" t="str">
            <v>RV_175_B</v>
          </cell>
          <cell r="D1917" t="str">
            <v>Rancho Recoveco No. 175, B</v>
          </cell>
          <cell r="E1917" t="str">
            <v>García Calderón</v>
          </cell>
          <cell r="F1917">
            <v>150</v>
          </cell>
          <cell r="G1917">
            <v>1</v>
          </cell>
          <cell r="H1917">
            <v>150</v>
          </cell>
          <cell r="I1917">
            <v>41504</v>
          </cell>
          <cell r="J1917">
            <v>0</v>
          </cell>
          <cell r="W1917">
            <v>0</v>
          </cell>
          <cell r="AE1917">
            <v>150</v>
          </cell>
          <cell r="AJ1917">
            <v>150</v>
          </cell>
          <cell r="AW1917">
            <v>0</v>
          </cell>
        </row>
        <row r="1918">
          <cell r="B1918">
            <v>5454</v>
          </cell>
          <cell r="C1918" t="str">
            <v>CL_107_</v>
          </cell>
          <cell r="D1918" t="str">
            <v>Rancho La Cuchilla No. 107</v>
          </cell>
          <cell r="E1918" t="str">
            <v>Olivares Rivera</v>
          </cell>
          <cell r="F1918">
            <v>300</v>
          </cell>
          <cell r="G1918">
            <v>1</v>
          </cell>
          <cell r="H1918">
            <v>300</v>
          </cell>
          <cell r="I1918">
            <v>41504</v>
          </cell>
          <cell r="J1918">
            <v>0</v>
          </cell>
          <cell r="W1918">
            <v>0</v>
          </cell>
          <cell r="AD1918">
            <v>300</v>
          </cell>
          <cell r="AJ1918">
            <v>300</v>
          </cell>
          <cell r="AW1918">
            <v>0</v>
          </cell>
        </row>
        <row r="1919">
          <cell r="B1919">
            <v>5455</v>
          </cell>
          <cell r="C1919" t="str">
            <v>EZ_77_</v>
          </cell>
          <cell r="D1919" t="str">
            <v>Rancho Estanzuela No. 77</v>
          </cell>
          <cell r="E1919" t="str">
            <v>De la Rosa Rico</v>
          </cell>
          <cell r="F1919">
            <v>300</v>
          </cell>
          <cell r="G1919">
            <v>1</v>
          </cell>
          <cell r="H1919">
            <v>600</v>
          </cell>
          <cell r="I1919">
            <v>41504</v>
          </cell>
          <cell r="J1919">
            <v>0</v>
          </cell>
          <cell r="W1919">
            <v>0</v>
          </cell>
          <cell r="AB1919">
            <v>300</v>
          </cell>
          <cell r="AC1919">
            <v>300</v>
          </cell>
          <cell r="AJ1919">
            <v>600</v>
          </cell>
          <cell r="AW1919">
            <v>0</v>
          </cell>
        </row>
        <row r="1920">
          <cell r="B1920">
            <v>5456</v>
          </cell>
          <cell r="C1920" t="str">
            <v>RV_195_</v>
          </cell>
          <cell r="D1920" t="str">
            <v>Rancho Recoveco No. 195</v>
          </cell>
          <cell r="E1920" t="str">
            <v>Sandoval</v>
          </cell>
          <cell r="F1920">
            <v>300</v>
          </cell>
          <cell r="G1920">
            <v>1</v>
          </cell>
          <cell r="H1920">
            <v>600</v>
          </cell>
          <cell r="I1920">
            <v>41504</v>
          </cell>
          <cell r="J1920">
            <v>0</v>
          </cell>
          <cell r="W1920">
            <v>0</v>
          </cell>
          <cell r="AD1920">
            <v>300</v>
          </cell>
          <cell r="AE1920">
            <v>300</v>
          </cell>
          <cell r="AJ1920">
            <v>600</v>
          </cell>
          <cell r="AW1920">
            <v>0</v>
          </cell>
        </row>
        <row r="1921">
          <cell r="B1921">
            <v>5457</v>
          </cell>
          <cell r="D1921" t="str">
            <v/>
          </cell>
          <cell r="E1921" t="str">
            <v/>
          </cell>
          <cell r="F1921" t="str">
            <v/>
          </cell>
          <cell r="G1921">
            <v>8</v>
          </cell>
          <cell r="I1921">
            <v>41504</v>
          </cell>
          <cell r="J1921" t="str">
            <v>NO SUMA</v>
          </cell>
          <cell r="W1921">
            <v>0</v>
          </cell>
          <cell r="AJ1921">
            <v>0</v>
          </cell>
          <cell r="AW1921">
            <v>0</v>
          </cell>
        </row>
        <row r="1922">
          <cell r="B1922">
            <v>5458</v>
          </cell>
          <cell r="C1922" t="str">
            <v>CL_43_A</v>
          </cell>
          <cell r="D1922" t="str">
            <v>Rancho La Cuchilla No. 43, A</v>
          </cell>
          <cell r="E1922" t="str">
            <v>De la Rosa</v>
          </cell>
          <cell r="F1922">
            <v>200</v>
          </cell>
          <cell r="G1922">
            <v>1</v>
          </cell>
          <cell r="H1922">
            <v>200</v>
          </cell>
          <cell r="I1922">
            <v>41504</v>
          </cell>
          <cell r="J1922">
            <v>0</v>
          </cell>
          <cell r="W1922">
            <v>0</v>
          </cell>
          <cell r="AE1922">
            <v>200</v>
          </cell>
          <cell r="AJ1922">
            <v>200</v>
          </cell>
          <cell r="AW1922">
            <v>0</v>
          </cell>
        </row>
        <row r="1923">
          <cell r="B1923">
            <v>5459</v>
          </cell>
          <cell r="C1923" t="str">
            <v>LD_45_</v>
          </cell>
          <cell r="D1923" t="str">
            <v>Rancho Landero No. 45</v>
          </cell>
          <cell r="E1923" t="str">
            <v>Almazán</v>
          </cell>
          <cell r="F1923">
            <v>250</v>
          </cell>
          <cell r="G1923">
            <v>1</v>
          </cell>
          <cell r="H1923">
            <v>300</v>
          </cell>
          <cell r="I1923">
            <v>41504</v>
          </cell>
          <cell r="J1923">
            <v>0</v>
          </cell>
          <cell r="W1923">
            <v>0</v>
          </cell>
          <cell r="AE1923">
            <v>300</v>
          </cell>
          <cell r="AJ1923">
            <v>300</v>
          </cell>
          <cell r="AW1923">
            <v>0</v>
          </cell>
        </row>
        <row r="1924">
          <cell r="B1924">
            <v>5460</v>
          </cell>
          <cell r="C1924" t="str">
            <v>LD_45_</v>
          </cell>
          <cell r="D1924" t="str">
            <v>Rancho Landero No. 45</v>
          </cell>
          <cell r="E1924" t="str">
            <v>Almazán</v>
          </cell>
          <cell r="F1924">
            <v>250</v>
          </cell>
          <cell r="G1924">
            <v>4</v>
          </cell>
          <cell r="H1924">
            <v>160</v>
          </cell>
          <cell r="I1924">
            <v>41504</v>
          </cell>
          <cell r="J1924" t="str">
            <v>NO SUMA</v>
          </cell>
          <cell r="W1924">
            <v>0</v>
          </cell>
          <cell r="AJ1924">
            <v>0</v>
          </cell>
          <cell r="AW1924">
            <v>0</v>
          </cell>
        </row>
        <row r="1925">
          <cell r="B1925">
            <v>5461</v>
          </cell>
          <cell r="C1925" t="str">
            <v>CL_132_</v>
          </cell>
          <cell r="D1925" t="str">
            <v>Rancho La Cuchilla No. 132</v>
          </cell>
          <cell r="E1925" t="str">
            <v>Téllez Girón</v>
          </cell>
          <cell r="F1925">
            <v>300</v>
          </cell>
          <cell r="G1925">
            <v>1</v>
          </cell>
          <cell r="H1925">
            <v>300</v>
          </cell>
          <cell r="I1925">
            <v>41504</v>
          </cell>
          <cell r="J1925">
            <v>0</v>
          </cell>
          <cell r="W1925">
            <v>0</v>
          </cell>
          <cell r="AE1925">
            <v>300</v>
          </cell>
          <cell r="AJ1925">
            <v>300</v>
          </cell>
          <cell r="AW1925">
            <v>0</v>
          </cell>
        </row>
        <row r="1926">
          <cell r="B1926">
            <v>5462</v>
          </cell>
          <cell r="C1926" t="str">
            <v>EZ_99_</v>
          </cell>
          <cell r="D1926" t="str">
            <v>Rancho Estanzuela No. 99</v>
          </cell>
          <cell r="E1926" t="str">
            <v>García López</v>
          </cell>
          <cell r="F1926">
            <v>300</v>
          </cell>
          <cell r="G1926">
            <v>1</v>
          </cell>
          <cell r="H1926">
            <v>300</v>
          </cell>
          <cell r="I1926">
            <v>41504</v>
          </cell>
          <cell r="J1926">
            <v>0</v>
          </cell>
          <cell r="W1926">
            <v>0</v>
          </cell>
          <cell r="AE1926">
            <v>300</v>
          </cell>
          <cell r="AJ1926">
            <v>300</v>
          </cell>
          <cell r="AW1926">
            <v>0</v>
          </cell>
        </row>
        <row r="1927">
          <cell r="B1927">
            <v>5463</v>
          </cell>
          <cell r="C1927" t="str">
            <v>CL_66_</v>
          </cell>
          <cell r="D1927" t="str">
            <v>Rancho La Cuchilla No. 66</v>
          </cell>
          <cell r="E1927" t="str">
            <v>Prieto</v>
          </cell>
          <cell r="F1927">
            <v>300</v>
          </cell>
          <cell r="G1927">
            <v>1</v>
          </cell>
          <cell r="H1927">
            <v>300</v>
          </cell>
          <cell r="I1927">
            <v>41504</v>
          </cell>
          <cell r="J1927">
            <v>0</v>
          </cell>
          <cell r="W1927">
            <v>0</v>
          </cell>
          <cell r="AE1927">
            <v>300</v>
          </cell>
          <cell r="AJ1927">
            <v>300</v>
          </cell>
          <cell r="AW1927">
            <v>0</v>
          </cell>
        </row>
        <row r="1928">
          <cell r="B1928">
            <v>5464</v>
          </cell>
          <cell r="C1928" t="str">
            <v>CL_95_</v>
          </cell>
          <cell r="D1928" t="str">
            <v>Rancho La Cuchilla No. 95</v>
          </cell>
          <cell r="E1928" t="str">
            <v>Gutiérrez Sánchez</v>
          </cell>
          <cell r="F1928">
            <v>300</v>
          </cell>
          <cell r="G1928">
            <v>1</v>
          </cell>
          <cell r="H1928">
            <v>900</v>
          </cell>
          <cell r="I1928">
            <v>41504</v>
          </cell>
          <cell r="J1928">
            <v>0</v>
          </cell>
          <cell r="W1928">
            <v>0</v>
          </cell>
          <cell r="AE1928">
            <v>300</v>
          </cell>
          <cell r="AF1928">
            <v>300</v>
          </cell>
          <cell r="AG1928">
            <v>300</v>
          </cell>
          <cell r="AJ1928">
            <v>900</v>
          </cell>
          <cell r="AW1928">
            <v>0</v>
          </cell>
        </row>
        <row r="1929">
          <cell r="B1929">
            <v>5465</v>
          </cell>
          <cell r="C1929" t="str">
            <v>UP_130_</v>
          </cell>
          <cell r="D1929" t="str">
            <v>Rancho Upácuaro No. 130</v>
          </cell>
          <cell r="E1929" t="str">
            <v>Rodríguez Álvarez</v>
          </cell>
          <cell r="F1929">
            <v>150</v>
          </cell>
          <cell r="G1929">
            <v>1</v>
          </cell>
          <cell r="H1929">
            <v>300</v>
          </cell>
          <cell r="I1929">
            <v>41504</v>
          </cell>
          <cell r="J1929">
            <v>0</v>
          </cell>
          <cell r="W1929">
            <v>0</v>
          </cell>
          <cell r="AD1929">
            <v>150</v>
          </cell>
          <cell r="AE1929">
            <v>150</v>
          </cell>
          <cell r="AJ1929">
            <v>300</v>
          </cell>
          <cell r="AW1929">
            <v>0</v>
          </cell>
        </row>
        <row r="1930">
          <cell r="B1930">
            <v>5466</v>
          </cell>
          <cell r="C1930" t="str">
            <v>CL_97_</v>
          </cell>
          <cell r="D1930" t="str">
            <v>Rancho La Cuchilla No. 97</v>
          </cell>
          <cell r="E1930" t="str">
            <v>López Ruiz</v>
          </cell>
          <cell r="F1930">
            <v>300</v>
          </cell>
          <cell r="G1930">
            <v>1</v>
          </cell>
          <cell r="H1930">
            <v>300</v>
          </cell>
          <cell r="I1930">
            <v>41504</v>
          </cell>
          <cell r="J1930">
            <v>0</v>
          </cell>
          <cell r="W1930">
            <v>0</v>
          </cell>
          <cell r="AE1930">
            <v>300</v>
          </cell>
          <cell r="AJ1930">
            <v>300</v>
          </cell>
          <cell r="AW1930">
            <v>0</v>
          </cell>
        </row>
        <row r="1931">
          <cell r="B1931">
            <v>5467</v>
          </cell>
          <cell r="C1931" t="str">
            <v>LD_33_</v>
          </cell>
          <cell r="D1931" t="str">
            <v>Rancho Landero No. 33</v>
          </cell>
          <cell r="E1931" t="str">
            <v>González Uribe</v>
          </cell>
          <cell r="F1931">
            <v>300</v>
          </cell>
          <cell r="G1931">
            <v>1</v>
          </cell>
          <cell r="H1931">
            <v>600</v>
          </cell>
          <cell r="I1931">
            <v>41504</v>
          </cell>
          <cell r="J1931">
            <v>0</v>
          </cell>
          <cell r="W1931">
            <v>0</v>
          </cell>
          <cell r="AC1931">
            <v>300</v>
          </cell>
          <cell r="AD1931">
            <v>300</v>
          </cell>
          <cell r="AJ1931">
            <v>600</v>
          </cell>
          <cell r="AW1931">
            <v>0</v>
          </cell>
        </row>
        <row r="1932">
          <cell r="B1932">
            <v>5468</v>
          </cell>
          <cell r="C1932" t="str">
            <v>LD_51_</v>
          </cell>
          <cell r="D1932" t="str">
            <v>Rancho Landero No. 51</v>
          </cell>
          <cell r="E1932" t="str">
            <v>H. Robles Tamayo</v>
          </cell>
          <cell r="F1932">
            <v>300</v>
          </cell>
          <cell r="G1932">
            <v>1</v>
          </cell>
          <cell r="H1932">
            <v>300</v>
          </cell>
          <cell r="I1932">
            <v>41504</v>
          </cell>
          <cell r="J1932">
            <v>0</v>
          </cell>
          <cell r="W1932">
            <v>0</v>
          </cell>
          <cell r="AE1932">
            <v>300</v>
          </cell>
          <cell r="AJ1932">
            <v>300</v>
          </cell>
          <cell r="AW1932">
            <v>0</v>
          </cell>
        </row>
        <row r="1933">
          <cell r="B1933">
            <v>5469</v>
          </cell>
          <cell r="C1933" t="str">
            <v>UP_80_</v>
          </cell>
          <cell r="D1933" t="str">
            <v>Rancho Upácuaro No. 80</v>
          </cell>
          <cell r="E1933" t="str">
            <v>De los Ríos</v>
          </cell>
          <cell r="F1933">
            <v>300</v>
          </cell>
          <cell r="G1933">
            <v>1</v>
          </cell>
          <cell r="H1933">
            <v>300</v>
          </cell>
          <cell r="I1933">
            <v>41504</v>
          </cell>
          <cell r="J1933">
            <v>0</v>
          </cell>
          <cell r="W1933">
            <v>0</v>
          </cell>
          <cell r="AE1933">
            <v>300</v>
          </cell>
          <cell r="AJ1933">
            <v>300</v>
          </cell>
          <cell r="AW1933">
            <v>0</v>
          </cell>
        </row>
        <row r="1934">
          <cell r="B1934">
            <v>5470</v>
          </cell>
          <cell r="C1934" t="str">
            <v>UP_19_</v>
          </cell>
          <cell r="D1934" t="str">
            <v>Rancho Upácuaro No. 19</v>
          </cell>
          <cell r="E1934" t="str">
            <v>Peña Inclán</v>
          </cell>
          <cell r="F1934">
            <v>200</v>
          </cell>
          <cell r="G1934">
            <v>1</v>
          </cell>
          <cell r="H1934">
            <v>200</v>
          </cell>
          <cell r="I1934">
            <v>41504</v>
          </cell>
          <cell r="J1934">
            <v>0</v>
          </cell>
          <cell r="W1934">
            <v>0</v>
          </cell>
          <cell r="AE1934">
            <v>200</v>
          </cell>
          <cell r="AJ1934">
            <v>200</v>
          </cell>
          <cell r="AW1934">
            <v>0</v>
          </cell>
        </row>
        <row r="1935">
          <cell r="B1935">
            <v>5471</v>
          </cell>
          <cell r="C1935" t="str">
            <v>ZB_26_</v>
          </cell>
          <cell r="D1935" t="str">
            <v>Rancho Zinamba No. 26</v>
          </cell>
          <cell r="E1935" t="str">
            <v>Ayala</v>
          </cell>
          <cell r="F1935">
            <v>300</v>
          </cell>
          <cell r="G1935">
            <v>1</v>
          </cell>
          <cell r="H1935">
            <v>300</v>
          </cell>
          <cell r="I1935">
            <v>41504</v>
          </cell>
          <cell r="J1935">
            <v>0</v>
          </cell>
          <cell r="W1935">
            <v>0</v>
          </cell>
          <cell r="AD1935">
            <v>300</v>
          </cell>
          <cell r="AJ1935">
            <v>300</v>
          </cell>
          <cell r="AW1935">
            <v>0</v>
          </cell>
        </row>
        <row r="1936">
          <cell r="B1936">
            <v>5472</v>
          </cell>
          <cell r="C1936" t="str">
            <v>CL_59_</v>
          </cell>
          <cell r="D1936" t="str">
            <v>Rancho La Cuchilla No. 59</v>
          </cell>
          <cell r="E1936" t="str">
            <v>Ortega Vega</v>
          </cell>
          <cell r="F1936">
            <v>300</v>
          </cell>
          <cell r="G1936">
            <v>1</v>
          </cell>
          <cell r="H1936">
            <v>300</v>
          </cell>
          <cell r="I1936">
            <v>41504</v>
          </cell>
          <cell r="J1936">
            <v>0</v>
          </cell>
          <cell r="W1936">
            <v>0</v>
          </cell>
          <cell r="AE1936">
            <v>300</v>
          </cell>
          <cell r="AJ1936">
            <v>300</v>
          </cell>
          <cell r="AW1936">
            <v>0</v>
          </cell>
        </row>
        <row r="1937">
          <cell r="B1937">
            <v>5473</v>
          </cell>
          <cell r="C1937" t="str">
            <v>LD_70_</v>
          </cell>
          <cell r="D1937" t="str">
            <v>Rancho Landero No. 70</v>
          </cell>
          <cell r="E1937" t="str">
            <v>Olguín</v>
          </cell>
          <cell r="F1937">
            <v>100</v>
          </cell>
          <cell r="G1937">
            <v>1</v>
          </cell>
          <cell r="H1937">
            <v>100</v>
          </cell>
          <cell r="I1937">
            <v>41504</v>
          </cell>
          <cell r="J1937">
            <v>0</v>
          </cell>
          <cell r="W1937">
            <v>0</v>
          </cell>
          <cell r="AE1937">
            <v>100</v>
          </cell>
          <cell r="AJ1937">
            <v>100</v>
          </cell>
          <cell r="AW1937">
            <v>0</v>
          </cell>
        </row>
        <row r="1938">
          <cell r="B1938">
            <v>5474</v>
          </cell>
          <cell r="C1938" t="str">
            <v>ZB_12_</v>
          </cell>
          <cell r="D1938" t="str">
            <v>Rancho Zinamba No. 12</v>
          </cell>
          <cell r="E1938" t="str">
            <v>Rodríguez</v>
          </cell>
          <cell r="F1938">
            <v>400</v>
          </cell>
          <cell r="G1938">
            <v>1</v>
          </cell>
          <cell r="H1938">
            <v>400</v>
          </cell>
          <cell r="I1938">
            <v>41506</v>
          </cell>
          <cell r="J1938">
            <v>0</v>
          </cell>
          <cell r="W1938">
            <v>0</v>
          </cell>
          <cell r="AE1938">
            <v>400</v>
          </cell>
          <cell r="AJ1938">
            <v>400</v>
          </cell>
          <cell r="AW1938">
            <v>0</v>
          </cell>
        </row>
        <row r="1939">
          <cell r="B1939">
            <v>51</v>
          </cell>
          <cell r="C1939" t="str">
            <v>HS_B_</v>
          </cell>
          <cell r="D1939" t="str">
            <v>Calzada del Hueso No. B</v>
          </cell>
          <cell r="E1939" t="str">
            <v>KB TEL Telecomunicaciones</v>
          </cell>
          <cell r="F1939">
            <v>1000</v>
          </cell>
          <cell r="G1939">
            <v>1</v>
          </cell>
          <cell r="H1939">
            <v>1000</v>
          </cell>
          <cell r="I1939">
            <v>41509</v>
          </cell>
          <cell r="J1939">
            <v>0</v>
          </cell>
          <cell r="W1939">
            <v>0</v>
          </cell>
          <cell r="AE1939">
            <v>1000</v>
          </cell>
          <cell r="AJ1939">
            <v>1000</v>
          </cell>
          <cell r="AW1939">
            <v>0</v>
          </cell>
        </row>
        <row r="1940">
          <cell r="B1940">
            <v>49</v>
          </cell>
          <cell r="C1940" t="str">
            <v>CM_130_A</v>
          </cell>
          <cell r="D1940" t="str">
            <v>Rancho Estanzuela No. 130, A</v>
          </cell>
          <cell r="E1940" t="str">
            <v>Colegio Carmel</v>
          </cell>
          <cell r="F1940">
            <v>10000</v>
          </cell>
          <cell r="G1940">
            <v>1</v>
          </cell>
          <cell r="H1940">
            <v>10000</v>
          </cell>
          <cell r="I1940">
            <v>41509</v>
          </cell>
          <cell r="J1940">
            <v>0</v>
          </cell>
          <cell r="W1940">
            <v>0</v>
          </cell>
          <cell r="AE1940">
            <v>10000</v>
          </cell>
          <cell r="AJ1940">
            <v>10000</v>
          </cell>
          <cell r="AW1940">
            <v>0</v>
          </cell>
        </row>
        <row r="1941">
          <cell r="B1941">
            <v>5475</v>
          </cell>
          <cell r="C1941" t="str">
            <v>CL_71_</v>
          </cell>
          <cell r="D1941" t="str">
            <v>Rancho La Cuchilla No. 71</v>
          </cell>
          <cell r="E1941" t="str">
            <v>Pulido</v>
          </cell>
          <cell r="F1941">
            <v>300</v>
          </cell>
          <cell r="G1941">
            <v>1</v>
          </cell>
          <cell r="H1941">
            <v>300</v>
          </cell>
          <cell r="I1941">
            <v>41511</v>
          </cell>
          <cell r="J1941">
            <v>0</v>
          </cell>
          <cell r="W1941">
            <v>0</v>
          </cell>
          <cell r="AE1941">
            <v>300</v>
          </cell>
          <cell r="AJ1941">
            <v>300</v>
          </cell>
          <cell r="AW1941">
            <v>0</v>
          </cell>
        </row>
        <row r="1942">
          <cell r="B1942">
            <v>5476</v>
          </cell>
          <cell r="C1942" t="str">
            <v>ZB_34_</v>
          </cell>
          <cell r="D1942" t="str">
            <v>Rancho Zinamba No. 34</v>
          </cell>
          <cell r="E1942" t="str">
            <v>Torres Zavala</v>
          </cell>
          <cell r="F1942">
            <v>300</v>
          </cell>
          <cell r="G1942">
            <v>1</v>
          </cell>
          <cell r="H1942">
            <v>300</v>
          </cell>
          <cell r="I1942">
            <v>41511</v>
          </cell>
          <cell r="J1942">
            <v>0</v>
          </cell>
          <cell r="W1942">
            <v>0</v>
          </cell>
          <cell r="AE1942">
            <v>300</v>
          </cell>
          <cell r="AJ1942">
            <v>300</v>
          </cell>
          <cell r="AW1942">
            <v>0</v>
          </cell>
        </row>
        <row r="1943">
          <cell r="B1943">
            <v>5477</v>
          </cell>
          <cell r="C1943" t="str">
            <v>UP_46_</v>
          </cell>
          <cell r="D1943" t="str">
            <v>Rancho Upácuaro No. 46</v>
          </cell>
          <cell r="E1943" t="str">
            <v>Fuentes</v>
          </cell>
          <cell r="F1943">
            <v>300</v>
          </cell>
          <cell r="G1943">
            <v>3</v>
          </cell>
          <cell r="H1943">
            <v>160</v>
          </cell>
          <cell r="I1943">
            <v>41511</v>
          </cell>
          <cell r="J1943" t="str">
            <v>NO SUMA</v>
          </cell>
          <cell r="W1943">
            <v>0</v>
          </cell>
          <cell r="AJ1943">
            <v>0</v>
          </cell>
          <cell r="AW1943">
            <v>0</v>
          </cell>
        </row>
        <row r="1944">
          <cell r="B1944">
            <v>5478</v>
          </cell>
          <cell r="C1944" t="str">
            <v>CL_29_</v>
          </cell>
          <cell r="D1944" t="str">
            <v>Rancho La Cuchilla No. 29</v>
          </cell>
          <cell r="E1944" t="str">
            <v>Vega Sánchez C.</v>
          </cell>
          <cell r="F1944">
            <v>300</v>
          </cell>
          <cell r="G1944">
            <v>3</v>
          </cell>
          <cell r="H1944">
            <v>160</v>
          </cell>
          <cell r="I1944">
            <v>41511</v>
          </cell>
          <cell r="J1944" t="str">
            <v>NO SUMA</v>
          </cell>
          <cell r="W1944">
            <v>0</v>
          </cell>
          <cell r="AJ1944">
            <v>0</v>
          </cell>
          <cell r="AW1944">
            <v>0</v>
          </cell>
        </row>
        <row r="1945">
          <cell r="B1945">
            <v>5479</v>
          </cell>
          <cell r="C1945" t="str">
            <v>LD_47_</v>
          </cell>
          <cell r="D1945" t="str">
            <v>Rancho Landero No. 47</v>
          </cell>
          <cell r="E1945" t="str">
            <v>García González</v>
          </cell>
          <cell r="F1945">
            <v>300</v>
          </cell>
          <cell r="G1945">
            <v>1</v>
          </cell>
          <cell r="H1945">
            <v>300</v>
          </cell>
          <cell r="I1945">
            <v>41511</v>
          </cell>
          <cell r="J1945">
            <v>0</v>
          </cell>
          <cell r="W1945">
            <v>0</v>
          </cell>
          <cell r="AE1945">
            <v>300</v>
          </cell>
          <cell r="AJ1945">
            <v>300</v>
          </cell>
          <cell r="AW1945">
            <v>0</v>
          </cell>
        </row>
        <row r="1946">
          <cell r="B1946">
            <v>5480</v>
          </cell>
          <cell r="C1946" t="str">
            <v>ZB_14_</v>
          </cell>
          <cell r="D1946" t="str">
            <v>Rancho Zinamba No. 14</v>
          </cell>
          <cell r="E1946" t="str">
            <v>Gutiérrez García</v>
          </cell>
          <cell r="F1946">
            <v>300</v>
          </cell>
          <cell r="G1946">
            <v>1</v>
          </cell>
          <cell r="H1946">
            <v>300</v>
          </cell>
          <cell r="I1946">
            <v>41511</v>
          </cell>
          <cell r="J1946">
            <v>0</v>
          </cell>
          <cell r="W1946">
            <v>0</v>
          </cell>
          <cell r="AE1946">
            <v>300</v>
          </cell>
          <cell r="AJ1946">
            <v>300</v>
          </cell>
          <cell r="AW1946">
            <v>0</v>
          </cell>
        </row>
        <row r="1947">
          <cell r="B1947">
            <v>5480</v>
          </cell>
          <cell r="C1947" t="str">
            <v>ZB_14_</v>
          </cell>
          <cell r="D1947" t="str">
            <v>Rancho Zinamba No. 14</v>
          </cell>
          <cell r="E1947" t="str">
            <v>Gutiérrez García</v>
          </cell>
          <cell r="F1947">
            <v>300</v>
          </cell>
          <cell r="G1947">
            <v>3</v>
          </cell>
          <cell r="H1947">
            <v>160</v>
          </cell>
          <cell r="I1947">
            <v>41511</v>
          </cell>
          <cell r="J1947" t="str">
            <v>NO SUMA</v>
          </cell>
          <cell r="W1947">
            <v>0</v>
          </cell>
          <cell r="AJ1947">
            <v>0</v>
          </cell>
          <cell r="AW1947">
            <v>0</v>
          </cell>
        </row>
        <row r="1948">
          <cell r="B1948">
            <v>5481</v>
          </cell>
          <cell r="C1948" t="str">
            <v>CL_75_</v>
          </cell>
          <cell r="D1948" t="str">
            <v>Rancho La Cuchilla No. 75</v>
          </cell>
          <cell r="E1948" t="str">
            <v>Sosa Lucio</v>
          </cell>
          <cell r="F1948">
            <v>300</v>
          </cell>
          <cell r="G1948">
            <v>1</v>
          </cell>
          <cell r="H1948">
            <v>300</v>
          </cell>
          <cell r="I1948">
            <v>41511</v>
          </cell>
          <cell r="J1948">
            <v>0</v>
          </cell>
          <cell r="W1948">
            <v>0</v>
          </cell>
          <cell r="AE1948">
            <v>300</v>
          </cell>
          <cell r="AJ1948">
            <v>300</v>
          </cell>
          <cell r="AW1948">
            <v>0</v>
          </cell>
        </row>
        <row r="1949">
          <cell r="B1949">
            <v>5482</v>
          </cell>
          <cell r="C1949" t="str">
            <v>LD_90_</v>
          </cell>
          <cell r="D1949" t="str">
            <v>Rancho Landero No. 90</v>
          </cell>
          <cell r="E1949" t="str">
            <v>Córdova Reséndiz</v>
          </cell>
          <cell r="F1949">
            <v>300</v>
          </cell>
          <cell r="G1949">
            <v>1</v>
          </cell>
          <cell r="H1949">
            <v>600</v>
          </cell>
          <cell r="I1949">
            <v>41511</v>
          </cell>
          <cell r="J1949">
            <v>0</v>
          </cell>
          <cell r="W1949">
            <v>0</v>
          </cell>
          <cell r="AE1949">
            <v>300</v>
          </cell>
          <cell r="AF1949">
            <v>300</v>
          </cell>
          <cell r="AJ1949">
            <v>600</v>
          </cell>
          <cell r="AW1949">
            <v>0</v>
          </cell>
        </row>
        <row r="1950">
          <cell r="B1950">
            <v>5483</v>
          </cell>
          <cell r="C1950" t="str">
            <v>EP_22_A</v>
          </cell>
          <cell r="D1950" t="str">
            <v>Rancho Estopila No. 22, A</v>
          </cell>
          <cell r="E1950" t="str">
            <v>Ayala Carranza</v>
          </cell>
          <cell r="F1950">
            <v>150</v>
          </cell>
          <cell r="G1950">
            <v>1</v>
          </cell>
          <cell r="H1950">
            <v>150</v>
          </cell>
          <cell r="I1950">
            <v>41511</v>
          </cell>
          <cell r="J1950">
            <v>0</v>
          </cell>
          <cell r="W1950">
            <v>0</v>
          </cell>
          <cell r="AE1950">
            <v>150</v>
          </cell>
          <cell r="AJ1950">
            <v>150</v>
          </cell>
          <cell r="AW1950">
            <v>0</v>
          </cell>
        </row>
        <row r="1951">
          <cell r="B1951">
            <v>5484</v>
          </cell>
          <cell r="C1951" t="str">
            <v>ZB_8_</v>
          </cell>
          <cell r="D1951" t="str">
            <v>Rancho Zinamba No. 8</v>
          </cell>
          <cell r="E1951" t="str">
            <v>Florido</v>
          </cell>
          <cell r="F1951">
            <v>300</v>
          </cell>
          <cell r="G1951">
            <v>1</v>
          </cell>
          <cell r="H1951">
            <v>300</v>
          </cell>
          <cell r="I1951">
            <v>41511</v>
          </cell>
          <cell r="J1951">
            <v>0</v>
          </cell>
          <cell r="W1951">
            <v>0</v>
          </cell>
          <cell r="AE1951">
            <v>300</v>
          </cell>
          <cell r="AJ1951">
            <v>300</v>
          </cell>
          <cell r="AW1951">
            <v>0</v>
          </cell>
        </row>
        <row r="1952">
          <cell r="B1952">
            <v>5485</v>
          </cell>
          <cell r="C1952" t="str">
            <v>RV_175_A</v>
          </cell>
          <cell r="D1952" t="str">
            <v>Rancho Recoveco No. 175, A</v>
          </cell>
          <cell r="E1952" t="str">
            <v>Pérez</v>
          </cell>
          <cell r="F1952">
            <v>300</v>
          </cell>
          <cell r="G1952">
            <v>1</v>
          </cell>
          <cell r="H1952">
            <v>300</v>
          </cell>
          <cell r="I1952">
            <v>41511</v>
          </cell>
          <cell r="J1952">
            <v>0</v>
          </cell>
          <cell r="W1952">
            <v>0</v>
          </cell>
          <cell r="AE1952">
            <v>300</v>
          </cell>
          <cell r="AJ1952">
            <v>300</v>
          </cell>
          <cell r="AW1952">
            <v>0</v>
          </cell>
        </row>
        <row r="1953">
          <cell r="B1953">
            <v>5486</v>
          </cell>
          <cell r="C1953" t="str">
            <v>RV_175_A</v>
          </cell>
          <cell r="D1953" t="str">
            <v>Rancho Recoveco No. 175, A</v>
          </cell>
          <cell r="E1953" t="str">
            <v>Pérez</v>
          </cell>
          <cell r="F1953">
            <v>300</v>
          </cell>
          <cell r="G1953">
            <v>4</v>
          </cell>
          <cell r="H1953">
            <v>160</v>
          </cell>
          <cell r="I1953">
            <v>41511</v>
          </cell>
          <cell r="J1953" t="str">
            <v>NO SUMA</v>
          </cell>
          <cell r="W1953">
            <v>0</v>
          </cell>
          <cell r="AJ1953">
            <v>0</v>
          </cell>
          <cell r="AW1953">
            <v>0</v>
          </cell>
        </row>
        <row r="1954">
          <cell r="B1954">
            <v>5487</v>
          </cell>
          <cell r="C1954" t="str">
            <v>RV_175_A</v>
          </cell>
          <cell r="D1954" t="str">
            <v>Rancho Recoveco No. 175, A</v>
          </cell>
          <cell r="E1954" t="str">
            <v>Pérez</v>
          </cell>
          <cell r="F1954">
            <v>300</v>
          </cell>
          <cell r="G1954">
            <v>4</v>
          </cell>
          <cell r="H1954">
            <v>160</v>
          </cell>
          <cell r="I1954">
            <v>41511</v>
          </cell>
          <cell r="J1954" t="str">
            <v>NO SUMA</v>
          </cell>
          <cell r="W1954">
            <v>0</v>
          </cell>
          <cell r="AJ1954">
            <v>0</v>
          </cell>
          <cell r="AW1954">
            <v>0</v>
          </cell>
        </row>
        <row r="1955">
          <cell r="B1955">
            <v>5488</v>
          </cell>
          <cell r="C1955" t="str">
            <v>ZB_34_</v>
          </cell>
          <cell r="D1955" t="str">
            <v>Rancho Zinamba No. 34</v>
          </cell>
          <cell r="E1955" t="str">
            <v>Torres Zavala</v>
          </cell>
          <cell r="F1955">
            <v>300</v>
          </cell>
          <cell r="G1955">
            <v>4</v>
          </cell>
          <cell r="H1955">
            <v>160</v>
          </cell>
          <cell r="I1955">
            <v>41511</v>
          </cell>
          <cell r="J1955" t="str">
            <v>NO SUMA</v>
          </cell>
          <cell r="W1955">
            <v>0</v>
          </cell>
          <cell r="AJ1955">
            <v>0</v>
          </cell>
          <cell r="AW1955">
            <v>0</v>
          </cell>
        </row>
        <row r="1956">
          <cell r="B1956">
            <v>5489</v>
          </cell>
          <cell r="D1956" t="str">
            <v/>
          </cell>
          <cell r="E1956" t="str">
            <v/>
          </cell>
          <cell r="F1956" t="str">
            <v/>
          </cell>
          <cell r="G1956">
            <v>8</v>
          </cell>
          <cell r="I1956">
            <v>41511</v>
          </cell>
          <cell r="J1956" t="str">
            <v>NO SUMA</v>
          </cell>
          <cell r="W1956">
            <v>0</v>
          </cell>
          <cell r="AJ1956">
            <v>0</v>
          </cell>
          <cell r="AW1956">
            <v>0</v>
          </cell>
        </row>
        <row r="1957">
          <cell r="B1957">
            <v>5490</v>
          </cell>
          <cell r="C1957" t="str">
            <v>LD_37_</v>
          </cell>
          <cell r="D1957" t="str">
            <v>Rancho Landero No. 37</v>
          </cell>
          <cell r="E1957" t="str">
            <v>Hernández</v>
          </cell>
          <cell r="F1957">
            <v>300</v>
          </cell>
          <cell r="G1957">
            <v>1</v>
          </cell>
          <cell r="H1957">
            <v>1500</v>
          </cell>
          <cell r="I1957">
            <v>41511</v>
          </cell>
          <cell r="J1957">
            <v>0</v>
          </cell>
          <cell r="W1957">
            <v>0</v>
          </cell>
          <cell r="AB1957">
            <v>300</v>
          </cell>
          <cell r="AC1957">
            <v>300</v>
          </cell>
          <cell r="AD1957">
            <v>300</v>
          </cell>
          <cell r="AE1957">
            <v>300</v>
          </cell>
          <cell r="AF1957">
            <v>300</v>
          </cell>
          <cell r="AJ1957">
            <v>1500</v>
          </cell>
          <cell r="AW1957">
            <v>0</v>
          </cell>
        </row>
        <row r="1958">
          <cell r="B1958">
            <v>5491</v>
          </cell>
          <cell r="C1958" t="str">
            <v>ZB_68_</v>
          </cell>
          <cell r="D1958" t="str">
            <v>Rancho Zinamba No. 68</v>
          </cell>
          <cell r="E1958" t="str">
            <v>Rivera Villicaña</v>
          </cell>
          <cell r="F1958">
            <v>300</v>
          </cell>
          <cell r="G1958">
            <v>1</v>
          </cell>
          <cell r="H1958">
            <v>300</v>
          </cell>
          <cell r="I1958">
            <v>41511</v>
          </cell>
          <cell r="J1958">
            <v>0</v>
          </cell>
          <cell r="W1958">
            <v>0</v>
          </cell>
          <cell r="AE1958">
            <v>300</v>
          </cell>
          <cell r="AJ1958">
            <v>300</v>
          </cell>
          <cell r="AW1958">
            <v>0</v>
          </cell>
        </row>
        <row r="1959">
          <cell r="B1959">
            <v>5492</v>
          </cell>
          <cell r="C1959" t="str">
            <v>EZ_100_</v>
          </cell>
          <cell r="D1959" t="str">
            <v>Rancho Estanzuela No. 100</v>
          </cell>
          <cell r="E1959" t="str">
            <v>Arias Monter</v>
          </cell>
          <cell r="F1959">
            <v>300</v>
          </cell>
          <cell r="G1959">
            <v>1</v>
          </cell>
          <cell r="H1959">
            <v>900</v>
          </cell>
          <cell r="I1959">
            <v>41511</v>
          </cell>
          <cell r="J1959">
            <v>0</v>
          </cell>
          <cell r="W1959">
            <v>0</v>
          </cell>
          <cell r="AC1959">
            <v>300</v>
          </cell>
          <cell r="AD1959">
            <v>300</v>
          </cell>
          <cell r="AE1959">
            <v>300</v>
          </cell>
          <cell r="AJ1959">
            <v>900</v>
          </cell>
          <cell r="AW1959">
            <v>0</v>
          </cell>
        </row>
        <row r="1960">
          <cell r="B1960">
            <v>5493</v>
          </cell>
          <cell r="C1960" t="str">
            <v>EZ_25_</v>
          </cell>
          <cell r="D1960" t="str">
            <v>Rancho Estanzuela No. 25</v>
          </cell>
          <cell r="E1960" t="str">
            <v>Contreras Figueroa</v>
          </cell>
          <cell r="F1960">
            <v>300</v>
          </cell>
          <cell r="G1960">
            <v>1</v>
          </cell>
          <cell r="H1960">
            <v>300</v>
          </cell>
          <cell r="I1960">
            <v>41511</v>
          </cell>
          <cell r="J1960">
            <v>0</v>
          </cell>
          <cell r="W1960">
            <v>0</v>
          </cell>
          <cell r="AE1960">
            <v>300</v>
          </cell>
          <cell r="AJ1960">
            <v>300</v>
          </cell>
          <cell r="AW1960">
            <v>0</v>
          </cell>
        </row>
        <row r="1961">
          <cell r="B1961">
            <v>5494</v>
          </cell>
          <cell r="C1961" t="str">
            <v>RV_183_</v>
          </cell>
          <cell r="D1961" t="str">
            <v>Rancho Recoveco No. 183</v>
          </cell>
          <cell r="E1961" t="str">
            <v>Atilano Limón</v>
          </cell>
          <cell r="F1961">
            <v>300</v>
          </cell>
          <cell r="G1961">
            <v>2</v>
          </cell>
          <cell r="H1961">
            <v>3360.71</v>
          </cell>
          <cell r="I1961">
            <v>41512</v>
          </cell>
          <cell r="J1961" t="str">
            <v>NO SUMA</v>
          </cell>
          <cell r="W1961">
            <v>0</v>
          </cell>
          <cell r="AJ1961">
            <v>0</v>
          </cell>
          <cell r="AW1961">
            <v>0</v>
          </cell>
        </row>
        <row r="1962">
          <cell r="B1962">
            <v>5495</v>
          </cell>
          <cell r="C1962" t="str">
            <v>EZ_111_</v>
          </cell>
          <cell r="D1962" t="str">
            <v>Rancho Estanzuela No. 111</v>
          </cell>
          <cell r="E1962" t="str">
            <v>Flores Pérez</v>
          </cell>
          <cell r="F1962">
            <v>300</v>
          </cell>
          <cell r="G1962">
            <v>1</v>
          </cell>
          <cell r="H1962">
            <v>300</v>
          </cell>
          <cell r="I1962">
            <v>41515</v>
          </cell>
          <cell r="J1962">
            <v>0</v>
          </cell>
          <cell r="W1962">
            <v>0</v>
          </cell>
          <cell r="AE1962">
            <v>300</v>
          </cell>
          <cell r="AJ1962">
            <v>300</v>
          </cell>
          <cell r="AW1962">
            <v>0</v>
          </cell>
        </row>
        <row r="1963">
          <cell r="B1963">
            <v>5496</v>
          </cell>
          <cell r="C1963" t="str">
            <v>RV_187_</v>
          </cell>
          <cell r="D1963" t="str">
            <v>Rancho Recoveco No. 187</v>
          </cell>
          <cell r="E1963" t="str">
            <v>Moreno</v>
          </cell>
          <cell r="F1963">
            <v>300</v>
          </cell>
          <cell r="G1963">
            <v>1</v>
          </cell>
          <cell r="H1963">
            <v>600</v>
          </cell>
          <cell r="I1963">
            <v>41517</v>
          </cell>
          <cell r="J1963">
            <v>0</v>
          </cell>
          <cell r="W1963">
            <v>0</v>
          </cell>
          <cell r="AD1963">
            <v>300</v>
          </cell>
          <cell r="AE1963">
            <v>300</v>
          </cell>
          <cell r="AJ1963">
            <v>600</v>
          </cell>
          <cell r="AW1963">
            <v>0</v>
          </cell>
        </row>
        <row r="1964">
          <cell r="B1964" t="str">
            <v>NÚMERO</v>
          </cell>
          <cell r="C1964" t="str">
            <v>CASA</v>
          </cell>
          <cell r="D1964" t="str">
            <v>DOMICILIO</v>
          </cell>
          <cell r="E1964" t="str">
            <v>FAMILIA</v>
          </cell>
          <cell r="F1964" t="str">
            <v>CUOTA</v>
          </cell>
          <cell r="G1964" t="str">
            <v>C_ING</v>
          </cell>
          <cell r="H1964" t="str">
            <v>IMPORTE</v>
          </cell>
          <cell r="I1964" t="str">
            <v>FECHA</v>
          </cell>
          <cell r="J1964" t="str">
            <v>CHK</v>
          </cell>
          <cell r="K1964" t="str">
            <v>ENE
2012</v>
          </cell>
          <cell r="L1964" t="str">
            <v>FEB
2012</v>
          </cell>
          <cell r="M1964" t="str">
            <v>MAR
2012</v>
          </cell>
          <cell r="N1964" t="str">
            <v>ABR
2012</v>
          </cell>
          <cell r="O1964" t="str">
            <v>MAY
2012</v>
          </cell>
          <cell r="P1964" t="str">
            <v>JUN
2012</v>
          </cell>
          <cell r="Q1964" t="str">
            <v>JUL
2012</v>
          </cell>
          <cell r="R1964" t="str">
            <v>AGO
2012</v>
          </cell>
          <cell r="S1964" t="str">
            <v>SEP
2012</v>
          </cell>
          <cell r="T1964" t="str">
            <v>OCT
2012</v>
          </cell>
          <cell r="U1964" t="str">
            <v>NOV
2012</v>
          </cell>
          <cell r="V1964" t="str">
            <v>DIC
2012</v>
          </cell>
          <cell r="W1964" t="str">
            <v>SUMA
2012</v>
          </cell>
          <cell r="X1964" t="str">
            <v>ENE
2013</v>
          </cell>
          <cell r="Y1964" t="str">
            <v>FEB
2013</v>
          </cell>
          <cell r="Z1964" t="str">
            <v>MAR
2013</v>
          </cell>
          <cell r="AA1964" t="str">
            <v>ABR
2013</v>
          </cell>
          <cell r="AB1964" t="str">
            <v>MAY
2013</v>
          </cell>
          <cell r="AC1964" t="str">
            <v>JUN
2013</v>
          </cell>
          <cell r="AD1964" t="str">
            <v>JUL
2013</v>
          </cell>
          <cell r="AE1964" t="str">
            <v>AGO
2013</v>
          </cell>
          <cell r="AF1964" t="str">
            <v>SEP
2013</v>
          </cell>
          <cell r="AG1964" t="str">
            <v>OCT
2013</v>
          </cell>
          <cell r="AH1964" t="str">
            <v>NOV
2013</v>
          </cell>
          <cell r="AI1964" t="str">
            <v>DIC
2013</v>
          </cell>
          <cell r="AJ1964" t="str">
            <v>SUMA
2013</v>
          </cell>
          <cell r="AK1964" t="str">
            <v>ENE
2014</v>
          </cell>
          <cell r="AL1964" t="str">
            <v>FEB
2014</v>
          </cell>
          <cell r="AM1964" t="str">
            <v>MAR
2014</v>
          </cell>
          <cell r="AN1964" t="str">
            <v>ABR
2014</v>
          </cell>
          <cell r="AO1964" t="str">
            <v>MAY
2014</v>
          </cell>
          <cell r="AP1964" t="str">
            <v>JUN
2014</v>
          </cell>
          <cell r="AQ1964" t="str">
            <v>JUL
2014</v>
          </cell>
          <cell r="AR1964" t="str">
            <v>AGO
2014</v>
          </cell>
          <cell r="AS1964" t="str">
            <v>SEP
2014</v>
          </cell>
          <cell r="AT1964" t="str">
            <v>OCT
2014</v>
          </cell>
          <cell r="AU1964" t="str">
            <v>NOV
2014</v>
          </cell>
          <cell r="AV1964" t="str">
            <v>DIC
2014</v>
          </cell>
          <cell r="AW1964" t="str">
            <v>SUMA
2014</v>
          </cell>
        </row>
        <row r="1965">
          <cell r="B1965">
            <v>5497</v>
          </cell>
          <cell r="C1965" t="str">
            <v>RM_10_B</v>
          </cell>
          <cell r="D1965" t="str">
            <v>Rancho Romeral No. 10, B</v>
          </cell>
          <cell r="E1965" t="str">
            <v>López Castellano</v>
          </cell>
          <cell r="F1965">
            <v>300</v>
          </cell>
          <cell r="G1965">
            <v>1</v>
          </cell>
          <cell r="H1965">
            <v>1200</v>
          </cell>
          <cell r="I1965">
            <v>41518</v>
          </cell>
          <cell r="J1965">
            <v>0</v>
          </cell>
          <cell r="W1965">
            <v>0</v>
          </cell>
          <cell r="AC1965">
            <v>300</v>
          </cell>
          <cell r="AD1965">
            <v>300</v>
          </cell>
          <cell r="AE1965">
            <v>300</v>
          </cell>
          <cell r="AF1965">
            <v>300</v>
          </cell>
          <cell r="AJ1965">
            <v>1200</v>
          </cell>
          <cell r="AW1965">
            <v>0</v>
          </cell>
        </row>
        <row r="1966">
          <cell r="B1966">
            <v>5498</v>
          </cell>
          <cell r="C1966" t="str">
            <v>CL_43_B</v>
          </cell>
          <cell r="D1966" t="str">
            <v>Rancho La Cuchilla No. 43, B</v>
          </cell>
          <cell r="E1966" t="str">
            <v>Luna Albertano</v>
          </cell>
          <cell r="F1966">
            <v>125</v>
          </cell>
          <cell r="G1966">
            <v>1</v>
          </cell>
          <cell r="H1966">
            <v>125</v>
          </cell>
          <cell r="I1966">
            <v>41518</v>
          </cell>
          <cell r="J1966">
            <v>0</v>
          </cell>
          <cell r="W1966">
            <v>0</v>
          </cell>
          <cell r="AF1966">
            <v>125</v>
          </cell>
          <cell r="AJ1966">
            <v>125</v>
          </cell>
          <cell r="AW1966">
            <v>0</v>
          </cell>
        </row>
        <row r="1967">
          <cell r="B1967">
            <v>5499</v>
          </cell>
          <cell r="C1967" t="str">
            <v>CL_89_</v>
          </cell>
          <cell r="D1967" t="str">
            <v>Rancho La Cuchilla No. 89</v>
          </cell>
          <cell r="E1967" t="str">
            <v>Gálvez</v>
          </cell>
          <cell r="F1967">
            <v>300</v>
          </cell>
          <cell r="G1967">
            <v>1</v>
          </cell>
          <cell r="H1967">
            <v>300</v>
          </cell>
          <cell r="I1967">
            <v>41518</v>
          </cell>
          <cell r="J1967">
            <v>0</v>
          </cell>
          <cell r="W1967">
            <v>0</v>
          </cell>
          <cell r="AF1967">
            <v>300</v>
          </cell>
          <cell r="AJ1967">
            <v>300</v>
          </cell>
          <cell r="AW1967">
            <v>0</v>
          </cell>
        </row>
        <row r="1968">
          <cell r="B1968">
            <v>5500</v>
          </cell>
          <cell r="C1968" t="str">
            <v>LD_35_</v>
          </cell>
          <cell r="D1968" t="str">
            <v>Rancho Landero No. 35</v>
          </cell>
          <cell r="E1968" t="str">
            <v>Loperena</v>
          </cell>
          <cell r="F1968">
            <v>300</v>
          </cell>
          <cell r="G1968">
            <v>1</v>
          </cell>
          <cell r="H1968">
            <v>600</v>
          </cell>
          <cell r="I1968">
            <v>41518</v>
          </cell>
          <cell r="J1968">
            <v>0</v>
          </cell>
          <cell r="W1968">
            <v>0</v>
          </cell>
          <cell r="Z1968">
            <v>300</v>
          </cell>
          <cell r="AA1968">
            <v>300</v>
          </cell>
          <cell r="AJ1968">
            <v>600</v>
          </cell>
          <cell r="AW1968">
            <v>0</v>
          </cell>
        </row>
        <row r="1969">
          <cell r="B1969">
            <v>5501</v>
          </cell>
          <cell r="C1969" t="str">
            <v>LD_35_</v>
          </cell>
          <cell r="D1969" t="str">
            <v>Rancho Landero No. 35</v>
          </cell>
          <cell r="E1969" t="str">
            <v>Loperena</v>
          </cell>
          <cell r="F1969">
            <v>300</v>
          </cell>
          <cell r="G1969">
            <v>4</v>
          </cell>
          <cell r="H1969">
            <v>160</v>
          </cell>
          <cell r="I1969">
            <v>41518</v>
          </cell>
          <cell r="J1969" t="str">
            <v>NO SUMA</v>
          </cell>
          <cell r="W1969">
            <v>0</v>
          </cell>
          <cell r="AJ1969">
            <v>0</v>
          </cell>
          <cell r="AW1969">
            <v>0</v>
          </cell>
        </row>
        <row r="1970">
          <cell r="B1970">
            <v>5502</v>
          </cell>
          <cell r="C1970" t="str">
            <v>EZ_161_1</v>
          </cell>
          <cell r="D1970" t="str">
            <v>Rancho Estanzuela No. 161, 1</v>
          </cell>
          <cell r="E1970" t="str">
            <v>Guevara</v>
          </cell>
          <cell r="F1970">
            <v>150</v>
          </cell>
          <cell r="G1970">
            <v>1</v>
          </cell>
          <cell r="H1970">
            <v>150</v>
          </cell>
          <cell r="I1970">
            <v>41518</v>
          </cell>
          <cell r="J1970">
            <v>0</v>
          </cell>
          <cell r="W1970">
            <v>0</v>
          </cell>
          <cell r="AF1970">
            <v>150</v>
          </cell>
          <cell r="AJ1970">
            <v>150</v>
          </cell>
          <cell r="AW1970">
            <v>0</v>
          </cell>
        </row>
        <row r="1971">
          <cell r="B1971">
            <v>5503</v>
          </cell>
          <cell r="C1971" t="str">
            <v>LD_22_</v>
          </cell>
          <cell r="D1971" t="str">
            <v>Rancho Landero No. 22</v>
          </cell>
          <cell r="E1971" t="str">
            <v>Reyes</v>
          </cell>
          <cell r="F1971">
            <v>150</v>
          </cell>
          <cell r="G1971">
            <v>1</v>
          </cell>
          <cell r="H1971">
            <v>300</v>
          </cell>
          <cell r="I1971">
            <v>41518</v>
          </cell>
          <cell r="J1971">
            <v>0</v>
          </cell>
          <cell r="W1971">
            <v>0</v>
          </cell>
          <cell r="AD1971">
            <v>150</v>
          </cell>
          <cell r="AE1971">
            <v>150</v>
          </cell>
          <cell r="AJ1971">
            <v>300</v>
          </cell>
          <cell r="AW1971">
            <v>0</v>
          </cell>
        </row>
        <row r="1972">
          <cell r="B1972">
            <v>5504</v>
          </cell>
          <cell r="C1972" t="str">
            <v>LD_22_</v>
          </cell>
          <cell r="D1972" t="str">
            <v>Rancho Landero No. 22</v>
          </cell>
          <cell r="E1972" t="str">
            <v>Reyes</v>
          </cell>
          <cell r="F1972">
            <v>150</v>
          </cell>
          <cell r="G1972">
            <v>3</v>
          </cell>
          <cell r="H1972">
            <v>160</v>
          </cell>
          <cell r="I1972">
            <v>41518</v>
          </cell>
          <cell r="J1972" t="str">
            <v>NO SUMA</v>
          </cell>
          <cell r="W1972">
            <v>0</v>
          </cell>
          <cell r="AJ1972">
            <v>0</v>
          </cell>
          <cell r="AW1972">
            <v>0</v>
          </cell>
        </row>
        <row r="1973">
          <cell r="B1973">
            <v>5505</v>
          </cell>
          <cell r="C1973" t="str">
            <v>ZB_68_</v>
          </cell>
          <cell r="D1973" t="str">
            <v>Rancho Zinamba No. 68</v>
          </cell>
          <cell r="E1973" t="str">
            <v>Rivera Villicaña</v>
          </cell>
          <cell r="F1973">
            <v>300</v>
          </cell>
          <cell r="G1973">
            <v>1</v>
          </cell>
          <cell r="H1973">
            <v>600</v>
          </cell>
          <cell r="I1973">
            <v>41518</v>
          </cell>
          <cell r="J1973">
            <v>0</v>
          </cell>
          <cell r="W1973">
            <v>0</v>
          </cell>
          <cell r="AF1973">
            <v>300</v>
          </cell>
          <cell r="AG1973">
            <v>300</v>
          </cell>
          <cell r="AJ1973">
            <v>600</v>
          </cell>
          <cell r="AW1973">
            <v>0</v>
          </cell>
        </row>
        <row r="1974">
          <cell r="B1974">
            <v>5506</v>
          </cell>
          <cell r="C1974" t="str">
            <v>LD_22_</v>
          </cell>
          <cell r="D1974" t="str">
            <v>Rancho Landero No. 22</v>
          </cell>
          <cell r="E1974" t="str">
            <v>Reyes</v>
          </cell>
          <cell r="F1974">
            <v>150</v>
          </cell>
          <cell r="G1974">
            <v>1</v>
          </cell>
          <cell r="H1974">
            <v>150</v>
          </cell>
          <cell r="I1974">
            <v>41518</v>
          </cell>
          <cell r="J1974">
            <v>0</v>
          </cell>
          <cell r="W1974">
            <v>0</v>
          </cell>
          <cell r="AF1974">
            <v>150</v>
          </cell>
          <cell r="AJ1974">
            <v>150</v>
          </cell>
          <cell r="AW1974">
            <v>0</v>
          </cell>
        </row>
        <row r="1975">
          <cell r="B1975">
            <v>5507</v>
          </cell>
          <cell r="C1975" t="str">
            <v>LD_51_</v>
          </cell>
          <cell r="D1975" t="str">
            <v>Rancho Landero No. 51</v>
          </cell>
          <cell r="E1975" t="str">
            <v>H. Robles Tamayo</v>
          </cell>
          <cell r="F1975">
            <v>300</v>
          </cell>
          <cell r="G1975">
            <v>1</v>
          </cell>
          <cell r="H1975">
            <v>300</v>
          </cell>
          <cell r="I1975">
            <v>41518</v>
          </cell>
          <cell r="J1975">
            <v>0</v>
          </cell>
          <cell r="W1975">
            <v>0</v>
          </cell>
          <cell r="AF1975">
            <v>300</v>
          </cell>
          <cell r="AJ1975">
            <v>300</v>
          </cell>
          <cell r="AW1975">
            <v>0</v>
          </cell>
        </row>
        <row r="1976">
          <cell r="B1976">
            <v>5508</v>
          </cell>
          <cell r="C1976" t="str">
            <v>ZB_44_</v>
          </cell>
          <cell r="D1976" t="str">
            <v>Rancho Zinamba No. 44</v>
          </cell>
          <cell r="E1976" t="str">
            <v>Canales</v>
          </cell>
          <cell r="F1976">
            <v>300</v>
          </cell>
          <cell r="G1976">
            <v>1</v>
          </cell>
          <cell r="H1976">
            <v>300</v>
          </cell>
          <cell r="I1976">
            <v>41518</v>
          </cell>
          <cell r="J1976">
            <v>0</v>
          </cell>
          <cell r="W1976">
            <v>0</v>
          </cell>
          <cell r="AF1976">
            <v>300</v>
          </cell>
          <cell r="AJ1976">
            <v>300</v>
          </cell>
          <cell r="AW1976">
            <v>0</v>
          </cell>
        </row>
        <row r="1977">
          <cell r="B1977">
            <v>5509</v>
          </cell>
          <cell r="C1977" t="str">
            <v>UP_100_</v>
          </cell>
          <cell r="D1977" t="str">
            <v>Rancho Upácuaro No. 100</v>
          </cell>
          <cell r="E1977" t="str">
            <v>Mancera Rodríguez</v>
          </cell>
          <cell r="F1977">
            <v>300</v>
          </cell>
          <cell r="G1977">
            <v>1</v>
          </cell>
          <cell r="H1977">
            <v>300</v>
          </cell>
          <cell r="I1977">
            <v>41518</v>
          </cell>
          <cell r="J1977">
            <v>0</v>
          </cell>
          <cell r="W1977">
            <v>0</v>
          </cell>
          <cell r="AF1977">
            <v>300</v>
          </cell>
          <cell r="AJ1977">
            <v>300</v>
          </cell>
          <cell r="AW1977">
            <v>0</v>
          </cell>
        </row>
        <row r="1978">
          <cell r="B1978">
            <v>5510</v>
          </cell>
          <cell r="C1978" t="str">
            <v>UP_65_</v>
          </cell>
          <cell r="D1978" t="str">
            <v>Rancho Upácuaro No. 65</v>
          </cell>
          <cell r="E1978" t="str">
            <v>Olguín</v>
          </cell>
          <cell r="F1978">
            <v>300</v>
          </cell>
          <cell r="G1978">
            <v>1</v>
          </cell>
          <cell r="H1978">
            <v>300</v>
          </cell>
          <cell r="I1978">
            <v>41518</v>
          </cell>
          <cell r="J1978">
            <v>0</v>
          </cell>
          <cell r="W1978">
            <v>0</v>
          </cell>
          <cell r="AE1978">
            <v>300</v>
          </cell>
          <cell r="AJ1978">
            <v>300</v>
          </cell>
          <cell r="AW1978">
            <v>0</v>
          </cell>
        </row>
        <row r="1979">
          <cell r="B1979">
            <v>5511</v>
          </cell>
          <cell r="C1979" t="str">
            <v>RM_10_A</v>
          </cell>
          <cell r="D1979" t="str">
            <v>Rancho Romeral No. 10, A</v>
          </cell>
          <cell r="E1979" t="str">
            <v>Casillas Álvarez</v>
          </cell>
          <cell r="F1979">
            <v>150</v>
          </cell>
          <cell r="G1979">
            <v>1</v>
          </cell>
          <cell r="H1979">
            <v>150</v>
          </cell>
          <cell r="I1979">
            <v>41518</v>
          </cell>
          <cell r="J1979">
            <v>0</v>
          </cell>
          <cell r="W1979">
            <v>0</v>
          </cell>
          <cell r="AF1979">
            <v>150</v>
          </cell>
          <cell r="AJ1979">
            <v>150</v>
          </cell>
          <cell r="AW1979">
            <v>0</v>
          </cell>
        </row>
        <row r="1980">
          <cell r="B1980">
            <v>5512</v>
          </cell>
          <cell r="C1980" t="str">
            <v>LD_75_</v>
          </cell>
          <cell r="D1980" t="str">
            <v>Rancho Landero No. 75</v>
          </cell>
          <cell r="E1980" t="str">
            <v>Villaseñor Hernández</v>
          </cell>
          <cell r="F1980">
            <v>300</v>
          </cell>
          <cell r="G1980">
            <v>1</v>
          </cell>
          <cell r="H1980">
            <v>600</v>
          </cell>
          <cell r="I1980">
            <v>41518</v>
          </cell>
          <cell r="J1980">
            <v>0</v>
          </cell>
          <cell r="W1980">
            <v>0</v>
          </cell>
          <cell r="AE1980">
            <v>300</v>
          </cell>
          <cell r="AF1980">
            <v>300</v>
          </cell>
          <cell r="AJ1980">
            <v>600</v>
          </cell>
          <cell r="AW1980">
            <v>0</v>
          </cell>
        </row>
        <row r="1981">
          <cell r="B1981">
            <v>5513</v>
          </cell>
          <cell r="C1981" t="str">
            <v>UP_42_</v>
          </cell>
          <cell r="D1981" t="str">
            <v>Rancho Upácuaro No. 42</v>
          </cell>
          <cell r="E1981" t="str">
            <v>García Ramírez</v>
          </cell>
          <cell r="F1981">
            <v>300</v>
          </cell>
          <cell r="G1981">
            <v>1</v>
          </cell>
          <cell r="H1981">
            <v>600</v>
          </cell>
          <cell r="I1981">
            <v>41518</v>
          </cell>
          <cell r="J1981">
            <v>0</v>
          </cell>
          <cell r="W1981">
            <v>0</v>
          </cell>
          <cell r="AD1981">
            <v>300</v>
          </cell>
          <cell r="AE1981">
            <v>300</v>
          </cell>
          <cell r="AJ1981">
            <v>600</v>
          </cell>
          <cell r="AW1981">
            <v>0</v>
          </cell>
        </row>
        <row r="1982">
          <cell r="B1982">
            <v>5514</v>
          </cell>
          <cell r="C1982" t="str">
            <v>UP_120_</v>
          </cell>
          <cell r="D1982" t="str">
            <v>Rancho Upácuaro No. 120</v>
          </cell>
          <cell r="E1982" t="str">
            <v>Rayas Rivera</v>
          </cell>
          <cell r="F1982">
            <v>300</v>
          </cell>
          <cell r="G1982">
            <v>1</v>
          </cell>
          <cell r="H1982">
            <v>300</v>
          </cell>
          <cell r="I1982">
            <v>41518</v>
          </cell>
          <cell r="J1982">
            <v>0</v>
          </cell>
          <cell r="W1982">
            <v>0</v>
          </cell>
          <cell r="AF1982">
            <v>300</v>
          </cell>
          <cell r="AJ1982">
            <v>300</v>
          </cell>
          <cell r="AW1982">
            <v>0</v>
          </cell>
        </row>
        <row r="1983">
          <cell r="B1983">
            <v>5515</v>
          </cell>
          <cell r="C1983" t="str">
            <v>UP_101_</v>
          </cell>
          <cell r="D1983" t="str">
            <v>Rancho Upácuaro No. 101</v>
          </cell>
          <cell r="E1983" t="str">
            <v>Chávez, Arturo</v>
          </cell>
          <cell r="F1983">
            <v>300</v>
          </cell>
          <cell r="G1983">
            <v>1</v>
          </cell>
          <cell r="H1983">
            <v>600</v>
          </cell>
          <cell r="I1983">
            <v>41518</v>
          </cell>
          <cell r="J1983">
            <v>0</v>
          </cell>
          <cell r="W1983">
            <v>0</v>
          </cell>
          <cell r="AF1983">
            <v>300</v>
          </cell>
          <cell r="AG1983">
            <v>300</v>
          </cell>
          <cell r="AJ1983">
            <v>600</v>
          </cell>
          <cell r="AW1983">
            <v>0</v>
          </cell>
        </row>
        <row r="1984">
          <cell r="B1984">
            <v>5516</v>
          </cell>
          <cell r="C1984" t="str">
            <v>UP_146_</v>
          </cell>
          <cell r="D1984" t="str">
            <v>Rancho Upácuaro No. 146</v>
          </cell>
          <cell r="E1984" t="str">
            <v>Islas</v>
          </cell>
          <cell r="F1984">
            <v>300</v>
          </cell>
          <cell r="G1984">
            <v>1</v>
          </cell>
          <cell r="H1984">
            <v>600</v>
          </cell>
          <cell r="I1984">
            <v>41518</v>
          </cell>
          <cell r="J1984">
            <v>0</v>
          </cell>
          <cell r="W1984">
            <v>0</v>
          </cell>
          <cell r="AD1984">
            <v>300</v>
          </cell>
          <cell r="AE1984">
            <v>300</v>
          </cell>
          <cell r="AJ1984">
            <v>600</v>
          </cell>
          <cell r="AW1984">
            <v>0</v>
          </cell>
        </row>
        <row r="1985">
          <cell r="B1985">
            <v>5517</v>
          </cell>
          <cell r="C1985" t="str">
            <v>ZB_88_</v>
          </cell>
          <cell r="D1985" t="str">
            <v>Rancho Zinamba No. 88</v>
          </cell>
          <cell r="E1985" t="str">
            <v>Martínez</v>
          </cell>
          <cell r="F1985">
            <v>250</v>
          </cell>
          <cell r="G1985">
            <v>1</v>
          </cell>
          <cell r="H1985">
            <v>250</v>
          </cell>
          <cell r="I1985">
            <v>41518</v>
          </cell>
          <cell r="J1985">
            <v>0</v>
          </cell>
          <cell r="W1985">
            <v>0</v>
          </cell>
          <cell r="AE1985">
            <v>250</v>
          </cell>
          <cell r="AJ1985">
            <v>250</v>
          </cell>
          <cell r="AW1985">
            <v>0</v>
          </cell>
        </row>
        <row r="1986">
          <cell r="B1986">
            <v>5518</v>
          </cell>
          <cell r="C1986" t="str">
            <v>LD_58_</v>
          </cell>
          <cell r="D1986" t="str">
            <v>Rancho Landero No. 58</v>
          </cell>
          <cell r="E1986" t="str">
            <v>Valero</v>
          </cell>
          <cell r="F1986">
            <v>300</v>
          </cell>
          <cell r="G1986">
            <v>1</v>
          </cell>
          <cell r="H1986">
            <v>300</v>
          </cell>
          <cell r="I1986">
            <v>41518</v>
          </cell>
          <cell r="J1986">
            <v>0</v>
          </cell>
          <cell r="W1986">
            <v>0</v>
          </cell>
          <cell r="AF1986">
            <v>300</v>
          </cell>
          <cell r="AJ1986">
            <v>300</v>
          </cell>
          <cell r="AW1986">
            <v>0</v>
          </cell>
        </row>
        <row r="1987">
          <cell r="B1987">
            <v>5519</v>
          </cell>
          <cell r="C1987" t="str">
            <v>UP_21_</v>
          </cell>
          <cell r="D1987" t="str">
            <v>Rancho Upácuaro No. 21</v>
          </cell>
          <cell r="E1987" t="str">
            <v>Fierro Betancourt</v>
          </cell>
          <cell r="F1987">
            <v>150</v>
          </cell>
          <cell r="G1987">
            <v>1</v>
          </cell>
          <cell r="H1987">
            <v>150</v>
          </cell>
          <cell r="I1987">
            <v>41518</v>
          </cell>
          <cell r="J1987">
            <v>0</v>
          </cell>
          <cell r="W1987">
            <v>0</v>
          </cell>
          <cell r="AE1987">
            <v>150</v>
          </cell>
          <cell r="AJ1987">
            <v>150</v>
          </cell>
          <cell r="AW1987">
            <v>0</v>
          </cell>
        </row>
        <row r="1988">
          <cell r="B1988">
            <v>5520</v>
          </cell>
          <cell r="C1988" t="str">
            <v>LD_80_</v>
          </cell>
          <cell r="D1988" t="str">
            <v>Rancho Landero No. 80</v>
          </cell>
          <cell r="E1988" t="str">
            <v>Villaseñor Sánchez</v>
          </cell>
          <cell r="F1988">
            <v>300</v>
          </cell>
          <cell r="G1988">
            <v>1</v>
          </cell>
          <cell r="H1988">
            <v>300</v>
          </cell>
          <cell r="I1988">
            <v>41518</v>
          </cell>
          <cell r="J1988">
            <v>0</v>
          </cell>
          <cell r="W1988">
            <v>0</v>
          </cell>
          <cell r="AF1988">
            <v>300</v>
          </cell>
          <cell r="AJ1988">
            <v>300</v>
          </cell>
          <cell r="AW1988">
            <v>0</v>
          </cell>
        </row>
        <row r="1989">
          <cell r="B1989">
            <v>5521</v>
          </cell>
          <cell r="C1989" t="str">
            <v>CL_55_</v>
          </cell>
          <cell r="D1989" t="str">
            <v>Rancho La Cuchilla No. 55</v>
          </cell>
          <cell r="E1989" t="str">
            <v>López Velázquez</v>
          </cell>
          <cell r="F1989">
            <v>300</v>
          </cell>
          <cell r="G1989">
            <v>1</v>
          </cell>
          <cell r="H1989">
            <v>300</v>
          </cell>
          <cell r="I1989">
            <v>41518</v>
          </cell>
          <cell r="J1989">
            <v>0</v>
          </cell>
          <cell r="W1989">
            <v>0</v>
          </cell>
          <cell r="AE1989">
            <v>300</v>
          </cell>
          <cell r="AJ1989">
            <v>300</v>
          </cell>
          <cell r="AW1989">
            <v>0</v>
          </cell>
        </row>
        <row r="1990">
          <cell r="B1990">
            <v>5522</v>
          </cell>
          <cell r="C1990" t="str">
            <v>CL_42_</v>
          </cell>
          <cell r="D1990" t="str">
            <v>Rancho La Cuchilla No. 42</v>
          </cell>
          <cell r="E1990" t="str">
            <v>Mac Kinney</v>
          </cell>
          <cell r="F1990">
            <v>300</v>
          </cell>
          <cell r="G1990">
            <v>1</v>
          </cell>
          <cell r="H1990">
            <v>300</v>
          </cell>
          <cell r="I1990">
            <v>41518</v>
          </cell>
          <cell r="J1990">
            <v>0</v>
          </cell>
          <cell r="W1990">
            <v>0</v>
          </cell>
          <cell r="AF1990">
            <v>300</v>
          </cell>
          <cell r="AJ1990">
            <v>300</v>
          </cell>
          <cell r="AW1990">
            <v>0</v>
          </cell>
        </row>
        <row r="1991">
          <cell r="B1991">
            <v>5523</v>
          </cell>
          <cell r="C1991" t="str">
            <v>LD_42_</v>
          </cell>
          <cell r="D1991" t="str">
            <v>Rancho Landero No. 42</v>
          </cell>
          <cell r="E1991" t="str">
            <v>Ávila Fidel</v>
          </cell>
          <cell r="F1991">
            <v>300</v>
          </cell>
          <cell r="G1991">
            <v>1</v>
          </cell>
          <cell r="H1991">
            <v>300</v>
          </cell>
          <cell r="I1991">
            <v>41518</v>
          </cell>
          <cell r="J1991">
            <v>0</v>
          </cell>
          <cell r="W1991">
            <v>0</v>
          </cell>
          <cell r="AF1991">
            <v>300</v>
          </cell>
          <cell r="AJ1991">
            <v>300</v>
          </cell>
          <cell r="AW1991">
            <v>0</v>
          </cell>
        </row>
        <row r="1992">
          <cell r="B1992">
            <v>5524</v>
          </cell>
          <cell r="C1992" t="str">
            <v>EZ_31_</v>
          </cell>
          <cell r="D1992" t="str">
            <v>Rancho Estanzuela No. 31</v>
          </cell>
          <cell r="E1992" t="str">
            <v>Chávez Valdés</v>
          </cell>
          <cell r="F1992">
            <v>300</v>
          </cell>
          <cell r="G1992">
            <v>1</v>
          </cell>
          <cell r="H1992">
            <v>300</v>
          </cell>
          <cell r="I1992">
            <v>41518</v>
          </cell>
          <cell r="J1992">
            <v>0</v>
          </cell>
          <cell r="W1992">
            <v>0</v>
          </cell>
          <cell r="AF1992">
            <v>300</v>
          </cell>
          <cell r="AJ1992">
            <v>300</v>
          </cell>
          <cell r="AW1992">
            <v>0</v>
          </cell>
        </row>
        <row r="1993">
          <cell r="B1993">
            <v>5525</v>
          </cell>
          <cell r="C1993" t="str">
            <v>EZ_159_</v>
          </cell>
          <cell r="D1993" t="str">
            <v>Rancho Estanzuela No. 159</v>
          </cell>
          <cell r="E1993" t="str">
            <v>Reyes Núñez</v>
          </cell>
          <cell r="F1993">
            <v>250</v>
          </cell>
          <cell r="G1993">
            <v>1</v>
          </cell>
          <cell r="H1993">
            <v>500</v>
          </cell>
          <cell r="I1993">
            <v>41518</v>
          </cell>
          <cell r="J1993">
            <v>0</v>
          </cell>
          <cell r="W1993">
            <v>0</v>
          </cell>
          <cell r="AE1993">
            <v>250</v>
          </cell>
          <cell r="AF1993">
            <v>250</v>
          </cell>
          <cell r="AJ1993">
            <v>500</v>
          </cell>
          <cell r="AW1993">
            <v>0</v>
          </cell>
        </row>
        <row r="1994">
          <cell r="B1994">
            <v>5526</v>
          </cell>
          <cell r="C1994" t="str">
            <v>ZB_62_</v>
          </cell>
          <cell r="D1994" t="str">
            <v>Rancho Zinamba No. 62</v>
          </cell>
          <cell r="E1994" t="str">
            <v>Martínez León</v>
          </cell>
          <cell r="F1994">
            <v>250</v>
          </cell>
          <cell r="G1994">
            <v>1</v>
          </cell>
          <cell r="H1994">
            <v>1000</v>
          </cell>
          <cell r="I1994">
            <v>41518</v>
          </cell>
          <cell r="J1994">
            <v>0</v>
          </cell>
          <cell r="W1994">
            <v>0</v>
          </cell>
          <cell r="X1994">
            <v>250</v>
          </cell>
          <cell r="Y1994">
            <v>250</v>
          </cell>
          <cell r="Z1994">
            <v>250</v>
          </cell>
          <cell r="AA1994">
            <v>250</v>
          </cell>
          <cell r="AJ1994">
            <v>1000</v>
          </cell>
          <cell r="AW1994">
            <v>0</v>
          </cell>
        </row>
        <row r="1995">
          <cell r="B1995">
            <v>5527</v>
          </cell>
          <cell r="C1995" t="str">
            <v>UP_93_</v>
          </cell>
          <cell r="D1995" t="str">
            <v>Rancho Upácuaro No. 93</v>
          </cell>
          <cell r="E1995" t="str">
            <v>Valdés</v>
          </cell>
          <cell r="F1995">
            <v>300</v>
          </cell>
          <cell r="G1995">
            <v>1</v>
          </cell>
          <cell r="H1995">
            <v>300</v>
          </cell>
          <cell r="I1995">
            <v>41518</v>
          </cell>
          <cell r="J1995">
            <v>0</v>
          </cell>
          <cell r="W1995">
            <v>0</v>
          </cell>
          <cell r="AF1995">
            <v>300</v>
          </cell>
          <cell r="AJ1995">
            <v>300</v>
          </cell>
          <cell r="AW1995">
            <v>0</v>
          </cell>
        </row>
        <row r="1996">
          <cell r="B1996">
            <v>5528</v>
          </cell>
          <cell r="C1996" t="str">
            <v>RV_1_</v>
          </cell>
          <cell r="D1996" t="str">
            <v>Rancho Recoveco No. 1</v>
          </cell>
          <cell r="E1996" t="str">
            <v>Díaz</v>
          </cell>
          <cell r="F1996">
            <v>300</v>
          </cell>
          <cell r="G1996">
            <v>1</v>
          </cell>
          <cell r="H1996">
            <v>300</v>
          </cell>
          <cell r="I1996">
            <v>41518</v>
          </cell>
          <cell r="J1996">
            <v>0</v>
          </cell>
          <cell r="W1996">
            <v>0</v>
          </cell>
          <cell r="AF1996">
            <v>300</v>
          </cell>
          <cell r="AJ1996">
            <v>300</v>
          </cell>
          <cell r="AW1996">
            <v>0</v>
          </cell>
        </row>
        <row r="1997">
          <cell r="B1997">
            <v>5529</v>
          </cell>
          <cell r="C1997" t="str">
            <v>UP_106_</v>
          </cell>
          <cell r="D1997" t="str">
            <v>Rancho Upácuaro No. 106</v>
          </cell>
          <cell r="E1997" t="str">
            <v>Hernández Sánchez</v>
          </cell>
          <cell r="F1997">
            <v>300</v>
          </cell>
          <cell r="G1997">
            <v>1</v>
          </cell>
          <cell r="H1997">
            <v>900</v>
          </cell>
          <cell r="I1997">
            <v>41518</v>
          </cell>
          <cell r="J1997">
            <v>0</v>
          </cell>
          <cell r="W1997">
            <v>0</v>
          </cell>
          <cell r="AA1997">
            <v>300</v>
          </cell>
          <cell r="AB1997">
            <v>300</v>
          </cell>
          <cell r="AC1997">
            <v>300</v>
          </cell>
          <cell r="AJ1997">
            <v>900</v>
          </cell>
          <cell r="AW1997">
            <v>0</v>
          </cell>
        </row>
        <row r="1998">
          <cell r="B1998">
            <v>5530</v>
          </cell>
          <cell r="C1998" t="str">
            <v>UP_32_</v>
          </cell>
          <cell r="D1998" t="str">
            <v>Rancho Upácuaro No. 32</v>
          </cell>
          <cell r="E1998" t="str">
            <v>Sairafi Carmen</v>
          </cell>
          <cell r="F1998">
            <v>300</v>
          </cell>
          <cell r="G1998">
            <v>1</v>
          </cell>
          <cell r="H1998">
            <v>300</v>
          </cell>
          <cell r="I1998">
            <v>41518</v>
          </cell>
          <cell r="J1998">
            <v>0</v>
          </cell>
          <cell r="W1998">
            <v>0</v>
          </cell>
          <cell r="AF1998">
            <v>300</v>
          </cell>
          <cell r="AJ1998">
            <v>300</v>
          </cell>
          <cell r="AW1998">
            <v>0</v>
          </cell>
        </row>
        <row r="1999">
          <cell r="B1999">
            <v>5531</v>
          </cell>
          <cell r="C1999" t="str">
            <v>RV_179_</v>
          </cell>
          <cell r="D1999" t="str">
            <v>Rancho Recoveco No. 179</v>
          </cell>
          <cell r="E1999" t="str">
            <v>Flores Delgado</v>
          </cell>
          <cell r="F1999">
            <v>300</v>
          </cell>
          <cell r="G1999">
            <v>1</v>
          </cell>
          <cell r="H1999">
            <v>300</v>
          </cell>
          <cell r="I1999">
            <v>41518</v>
          </cell>
          <cell r="J1999">
            <v>0</v>
          </cell>
          <cell r="W1999">
            <v>0</v>
          </cell>
          <cell r="AF1999">
            <v>300</v>
          </cell>
          <cell r="AJ1999">
            <v>300</v>
          </cell>
          <cell r="AW1999">
            <v>0</v>
          </cell>
        </row>
        <row r="2000">
          <cell r="B2000">
            <v>5532</v>
          </cell>
          <cell r="C2000" t="str">
            <v>RV_179_</v>
          </cell>
          <cell r="D2000" t="str">
            <v>Rancho Recoveco No. 179</v>
          </cell>
          <cell r="E2000" t="str">
            <v>Flores Delgado</v>
          </cell>
          <cell r="F2000">
            <v>300</v>
          </cell>
          <cell r="G2000">
            <v>3</v>
          </cell>
          <cell r="H2000">
            <v>160</v>
          </cell>
          <cell r="I2000">
            <v>41518</v>
          </cell>
          <cell r="J2000" t="str">
            <v>NO SUMA</v>
          </cell>
          <cell r="W2000">
            <v>0</v>
          </cell>
          <cell r="AJ2000">
            <v>0</v>
          </cell>
          <cell r="AW2000">
            <v>0</v>
          </cell>
        </row>
        <row r="2001">
          <cell r="B2001">
            <v>5533</v>
          </cell>
          <cell r="C2001" t="str">
            <v>CL_33_</v>
          </cell>
          <cell r="D2001" t="str">
            <v>Rancho La Cuchilla No. 33</v>
          </cell>
          <cell r="E2001" t="str">
            <v>Tanús</v>
          </cell>
          <cell r="F2001">
            <v>300</v>
          </cell>
          <cell r="G2001">
            <v>1</v>
          </cell>
          <cell r="H2001">
            <v>300</v>
          </cell>
          <cell r="I2001">
            <v>41518</v>
          </cell>
          <cell r="J2001">
            <v>0</v>
          </cell>
          <cell r="W2001">
            <v>0</v>
          </cell>
          <cell r="AF2001">
            <v>300</v>
          </cell>
          <cell r="AJ2001">
            <v>300</v>
          </cell>
          <cell r="AW2001">
            <v>0</v>
          </cell>
        </row>
        <row r="2002">
          <cell r="B2002">
            <v>5534</v>
          </cell>
          <cell r="C2002" t="str">
            <v>EZ_57_</v>
          </cell>
          <cell r="D2002" t="str">
            <v>Rancho Estanzuela No. 57</v>
          </cell>
          <cell r="E2002" t="str">
            <v>Olivares</v>
          </cell>
          <cell r="F2002">
            <v>300</v>
          </cell>
          <cell r="G2002">
            <v>1</v>
          </cell>
          <cell r="H2002">
            <v>300</v>
          </cell>
          <cell r="I2002">
            <v>41518</v>
          </cell>
          <cell r="J2002">
            <v>0</v>
          </cell>
          <cell r="W2002">
            <v>0</v>
          </cell>
          <cell r="AD2002">
            <v>300</v>
          </cell>
          <cell r="AJ2002">
            <v>300</v>
          </cell>
          <cell r="AW2002">
            <v>0</v>
          </cell>
        </row>
        <row r="2003">
          <cell r="B2003">
            <v>5535</v>
          </cell>
          <cell r="C2003" t="str">
            <v>CL_20_</v>
          </cell>
          <cell r="D2003" t="str">
            <v>Rancho La Cuchilla No. 20</v>
          </cell>
          <cell r="E2003" t="str">
            <v>Sánchez López</v>
          </cell>
          <cell r="F2003">
            <v>300</v>
          </cell>
          <cell r="G2003">
            <v>1</v>
          </cell>
          <cell r="H2003">
            <v>300</v>
          </cell>
          <cell r="I2003">
            <v>41518</v>
          </cell>
          <cell r="J2003">
            <v>0</v>
          </cell>
          <cell r="W2003">
            <v>0</v>
          </cell>
          <cell r="AF2003">
            <v>300</v>
          </cell>
          <cell r="AJ2003">
            <v>300</v>
          </cell>
          <cell r="AW2003">
            <v>0</v>
          </cell>
        </row>
        <row r="2004">
          <cell r="B2004">
            <v>5536</v>
          </cell>
          <cell r="C2004" t="str">
            <v>CL_45_</v>
          </cell>
          <cell r="D2004" t="str">
            <v>Rancho La Cuchilla No. 45</v>
          </cell>
          <cell r="E2004" t="str">
            <v>Estévez Hernández</v>
          </cell>
          <cell r="F2004">
            <v>300</v>
          </cell>
          <cell r="G2004">
            <v>1</v>
          </cell>
          <cell r="H2004">
            <v>300</v>
          </cell>
          <cell r="I2004">
            <v>41518</v>
          </cell>
          <cell r="J2004">
            <v>0</v>
          </cell>
          <cell r="W2004">
            <v>0</v>
          </cell>
          <cell r="AF2004">
            <v>300</v>
          </cell>
          <cell r="AJ2004">
            <v>300</v>
          </cell>
          <cell r="AW2004">
            <v>0</v>
          </cell>
        </row>
        <row r="2005">
          <cell r="B2005">
            <v>5537</v>
          </cell>
          <cell r="C2005" t="str">
            <v>RM_10_B</v>
          </cell>
          <cell r="D2005" t="str">
            <v>Rancho Romeral No. 10, B</v>
          </cell>
          <cell r="E2005" t="str">
            <v>López Castellano</v>
          </cell>
          <cell r="F2005">
            <v>300</v>
          </cell>
          <cell r="G2005">
            <v>1</v>
          </cell>
          <cell r="H2005">
            <v>300</v>
          </cell>
          <cell r="I2005">
            <v>41518</v>
          </cell>
          <cell r="J2005">
            <v>0</v>
          </cell>
          <cell r="W2005">
            <v>0</v>
          </cell>
          <cell r="AB2005">
            <v>300</v>
          </cell>
          <cell r="AJ2005">
            <v>300</v>
          </cell>
          <cell r="AW2005">
            <v>0</v>
          </cell>
        </row>
        <row r="2006">
          <cell r="B2006">
            <v>5538</v>
          </cell>
          <cell r="C2006" t="str">
            <v>CL_94_</v>
          </cell>
          <cell r="D2006" t="str">
            <v>Rancho La Cuchilla No. 94</v>
          </cell>
          <cell r="E2006" t="str">
            <v>Sánchez Márquez</v>
          </cell>
          <cell r="F2006">
            <v>300</v>
          </cell>
          <cell r="G2006">
            <v>1</v>
          </cell>
          <cell r="H2006">
            <v>300</v>
          </cell>
          <cell r="I2006">
            <v>41518</v>
          </cell>
          <cell r="J2006">
            <v>0</v>
          </cell>
          <cell r="W2006">
            <v>0</v>
          </cell>
          <cell r="AF2006">
            <v>300</v>
          </cell>
          <cell r="AJ2006">
            <v>300</v>
          </cell>
          <cell r="AW2006">
            <v>0</v>
          </cell>
        </row>
        <row r="2007">
          <cell r="B2007">
            <v>5539</v>
          </cell>
          <cell r="C2007" t="str">
            <v>LD_45_</v>
          </cell>
          <cell r="D2007" t="str">
            <v>Rancho Landero No. 45</v>
          </cell>
          <cell r="E2007" t="str">
            <v>Almazán</v>
          </cell>
          <cell r="F2007">
            <v>250</v>
          </cell>
          <cell r="G2007">
            <v>1</v>
          </cell>
          <cell r="H2007">
            <v>300</v>
          </cell>
          <cell r="I2007">
            <v>41518</v>
          </cell>
          <cell r="J2007">
            <v>0</v>
          </cell>
          <cell r="W2007">
            <v>0</v>
          </cell>
          <cell r="AF2007">
            <v>300</v>
          </cell>
          <cell r="AJ2007">
            <v>300</v>
          </cell>
          <cell r="AW2007">
            <v>0</v>
          </cell>
        </row>
        <row r="2008">
          <cell r="B2008">
            <v>5539</v>
          </cell>
          <cell r="C2008" t="str">
            <v>LD_45_</v>
          </cell>
          <cell r="D2008" t="str">
            <v>Rancho Landero No. 45</v>
          </cell>
          <cell r="E2008" t="str">
            <v>Almazán</v>
          </cell>
          <cell r="F2008">
            <v>250</v>
          </cell>
          <cell r="G2008">
            <v>4</v>
          </cell>
          <cell r="H2008">
            <v>160</v>
          </cell>
          <cell r="I2008">
            <v>41518</v>
          </cell>
          <cell r="J2008" t="str">
            <v>NO SUMA</v>
          </cell>
          <cell r="W2008">
            <v>0</v>
          </cell>
          <cell r="AJ2008">
            <v>0</v>
          </cell>
          <cell r="AW2008">
            <v>0</v>
          </cell>
        </row>
        <row r="2009">
          <cell r="B2009">
            <v>5540</v>
          </cell>
          <cell r="C2009" t="str">
            <v>EZ_147_1</v>
          </cell>
          <cell r="D2009" t="str">
            <v>Rancho Estanzuela No. 147, 1</v>
          </cell>
          <cell r="E2009" t="str">
            <v>De la Rosa Enrique</v>
          </cell>
          <cell r="F2009">
            <v>100</v>
          </cell>
          <cell r="G2009">
            <v>1</v>
          </cell>
          <cell r="H2009">
            <v>300</v>
          </cell>
          <cell r="I2009">
            <v>41518</v>
          </cell>
          <cell r="J2009">
            <v>0</v>
          </cell>
          <cell r="W2009">
            <v>0</v>
          </cell>
          <cell r="X2009">
            <v>100</v>
          </cell>
          <cell r="Y2009">
            <v>100</v>
          </cell>
          <cell r="Z2009">
            <v>100</v>
          </cell>
          <cell r="AJ2009">
            <v>300</v>
          </cell>
          <cell r="AW2009">
            <v>0</v>
          </cell>
        </row>
        <row r="2010">
          <cell r="B2010">
            <v>5540</v>
          </cell>
          <cell r="C2010" t="str">
            <v>EZ_147_1</v>
          </cell>
          <cell r="D2010" t="str">
            <v>Rancho Estanzuela No. 147, 1</v>
          </cell>
          <cell r="E2010" t="str">
            <v>De la Rosa Enrique</v>
          </cell>
          <cell r="F2010">
            <v>100</v>
          </cell>
          <cell r="G2010">
            <v>4</v>
          </cell>
          <cell r="H2010">
            <v>160</v>
          </cell>
          <cell r="I2010">
            <v>41518</v>
          </cell>
          <cell r="J2010" t="str">
            <v>NO SUMA</v>
          </cell>
          <cell r="W2010">
            <v>0</v>
          </cell>
          <cell r="AJ2010">
            <v>0</v>
          </cell>
          <cell r="AW2010">
            <v>0</v>
          </cell>
        </row>
        <row r="2011">
          <cell r="B2011">
            <v>5540</v>
          </cell>
          <cell r="C2011" t="str">
            <v>EZ_147_1</v>
          </cell>
          <cell r="D2011" t="str">
            <v>Rancho Estanzuela No. 147, 1</v>
          </cell>
          <cell r="E2011" t="str">
            <v>De la Rosa Enrique</v>
          </cell>
          <cell r="F2011">
            <v>100</v>
          </cell>
          <cell r="G2011">
            <v>5</v>
          </cell>
          <cell r="H2011">
            <v>60</v>
          </cell>
          <cell r="I2011">
            <v>41518</v>
          </cell>
          <cell r="J2011" t="str">
            <v>NO SUMA</v>
          </cell>
          <cell r="W2011">
            <v>0</v>
          </cell>
          <cell r="AJ2011">
            <v>0</v>
          </cell>
          <cell r="AW2011">
            <v>0</v>
          </cell>
        </row>
        <row r="2012">
          <cell r="B2012">
            <v>5541</v>
          </cell>
          <cell r="C2012" t="str">
            <v>CL_87_</v>
          </cell>
          <cell r="D2012" t="str">
            <v>Rancho La Cuchilla No. 87</v>
          </cell>
          <cell r="E2012" t="str">
            <v>Villanueva S.</v>
          </cell>
          <cell r="F2012">
            <v>300</v>
          </cell>
          <cell r="G2012">
            <v>1</v>
          </cell>
          <cell r="H2012">
            <v>300</v>
          </cell>
          <cell r="I2012">
            <v>41518</v>
          </cell>
          <cell r="J2012">
            <v>0</v>
          </cell>
          <cell r="W2012">
            <v>0</v>
          </cell>
          <cell r="AF2012">
            <v>300</v>
          </cell>
          <cell r="AJ2012">
            <v>300</v>
          </cell>
          <cell r="AW2012">
            <v>0</v>
          </cell>
        </row>
        <row r="2013">
          <cell r="B2013">
            <v>5542</v>
          </cell>
          <cell r="C2013" t="str">
            <v>RV_181_</v>
          </cell>
          <cell r="D2013" t="str">
            <v>Rancho Recoveco No. 181</v>
          </cell>
          <cell r="E2013" t="str">
            <v>Paredes</v>
          </cell>
          <cell r="F2013">
            <v>300</v>
          </cell>
          <cell r="G2013">
            <v>1</v>
          </cell>
          <cell r="H2013">
            <v>300</v>
          </cell>
          <cell r="I2013">
            <v>41518</v>
          </cell>
          <cell r="J2013">
            <v>0</v>
          </cell>
          <cell r="W2013">
            <v>0</v>
          </cell>
          <cell r="AF2013">
            <v>300</v>
          </cell>
          <cell r="AJ2013">
            <v>300</v>
          </cell>
          <cell r="AW2013">
            <v>0</v>
          </cell>
        </row>
        <row r="2014">
          <cell r="B2014">
            <v>5543</v>
          </cell>
          <cell r="C2014" t="str">
            <v>EZ_19_</v>
          </cell>
          <cell r="D2014" t="str">
            <v>Rancho Estanzuela No. 19</v>
          </cell>
          <cell r="E2014" t="str">
            <v>Robles</v>
          </cell>
          <cell r="F2014">
            <v>300</v>
          </cell>
          <cell r="G2014">
            <v>1</v>
          </cell>
          <cell r="H2014">
            <v>300</v>
          </cell>
          <cell r="I2014">
            <v>41518</v>
          </cell>
          <cell r="J2014">
            <v>0</v>
          </cell>
          <cell r="W2014">
            <v>0</v>
          </cell>
          <cell r="AF2014">
            <v>300</v>
          </cell>
          <cell r="AJ2014">
            <v>300</v>
          </cell>
          <cell r="AW2014">
            <v>0</v>
          </cell>
        </row>
        <row r="2015">
          <cell r="B2015">
            <v>5544</v>
          </cell>
          <cell r="C2015" t="str">
            <v>ZB_26_</v>
          </cell>
          <cell r="D2015" t="str">
            <v>Rancho Zinamba No. 26</v>
          </cell>
          <cell r="E2015" t="str">
            <v>Ayala</v>
          </cell>
          <cell r="F2015">
            <v>300</v>
          </cell>
          <cell r="G2015">
            <v>1</v>
          </cell>
          <cell r="H2015">
            <v>300</v>
          </cell>
          <cell r="I2015">
            <v>41518</v>
          </cell>
          <cell r="J2015">
            <v>0</v>
          </cell>
          <cell r="W2015">
            <v>0</v>
          </cell>
          <cell r="AE2015">
            <v>300</v>
          </cell>
          <cell r="AJ2015">
            <v>300</v>
          </cell>
          <cell r="AW2015">
            <v>0</v>
          </cell>
        </row>
        <row r="2016">
          <cell r="B2016">
            <v>5545</v>
          </cell>
          <cell r="C2016" t="str">
            <v>EZ_157_2</v>
          </cell>
          <cell r="D2016" t="str">
            <v>Rancho Estanzuela No. 157, 2</v>
          </cell>
          <cell r="E2016" t="str">
            <v>Arias</v>
          </cell>
          <cell r="F2016">
            <v>0</v>
          </cell>
          <cell r="G2016">
            <v>3</v>
          </cell>
          <cell r="H2016">
            <v>160</v>
          </cell>
          <cell r="I2016">
            <v>41518</v>
          </cell>
          <cell r="J2016" t="str">
            <v>NO SUMA</v>
          </cell>
          <cell r="W2016">
            <v>0</v>
          </cell>
          <cell r="AJ2016">
            <v>0</v>
          </cell>
          <cell r="AW2016">
            <v>0</v>
          </cell>
        </row>
        <row r="2017">
          <cell r="B2017">
            <v>5546</v>
          </cell>
          <cell r="C2017" t="str">
            <v>EZ_157_1</v>
          </cell>
          <cell r="D2017" t="str">
            <v>Rancho Estanzuela No. 157, 1</v>
          </cell>
          <cell r="E2017" t="str">
            <v>Anzures</v>
          </cell>
          <cell r="F2017">
            <v>450</v>
          </cell>
          <cell r="G2017">
            <v>3</v>
          </cell>
          <cell r="H2017">
            <v>160</v>
          </cell>
          <cell r="I2017">
            <v>41518</v>
          </cell>
          <cell r="J2017" t="str">
            <v>NO SUMA</v>
          </cell>
          <cell r="W2017">
            <v>0</v>
          </cell>
          <cell r="AJ2017">
            <v>0</v>
          </cell>
          <cell r="AW2017">
            <v>0</v>
          </cell>
        </row>
        <row r="2018">
          <cell r="B2018">
            <v>5547</v>
          </cell>
          <cell r="C2018" t="str">
            <v>UP_86_</v>
          </cell>
          <cell r="D2018" t="str">
            <v>Rancho Upácuaro No. 86</v>
          </cell>
          <cell r="E2018" t="str">
            <v>López Canseco</v>
          </cell>
          <cell r="F2018">
            <v>300</v>
          </cell>
          <cell r="G2018">
            <v>3</v>
          </cell>
          <cell r="H2018">
            <v>160</v>
          </cell>
          <cell r="I2018">
            <v>41518</v>
          </cell>
          <cell r="J2018" t="str">
            <v>NO SUMA</v>
          </cell>
          <cell r="W2018">
            <v>0</v>
          </cell>
          <cell r="AJ2018">
            <v>0</v>
          </cell>
          <cell r="AW2018">
            <v>0</v>
          </cell>
        </row>
        <row r="2019">
          <cell r="B2019">
            <v>5548</v>
          </cell>
          <cell r="C2019" t="str">
            <v>CL_40_</v>
          </cell>
          <cell r="D2019" t="str">
            <v>Rancho La Cuchilla No. 40</v>
          </cell>
          <cell r="E2019" t="str">
            <v>López Pico</v>
          </cell>
          <cell r="F2019">
            <v>300</v>
          </cell>
          <cell r="G2019">
            <v>1</v>
          </cell>
          <cell r="H2019">
            <v>300</v>
          </cell>
          <cell r="I2019">
            <v>41518</v>
          </cell>
          <cell r="J2019">
            <v>0</v>
          </cell>
          <cell r="W2019">
            <v>0</v>
          </cell>
          <cell r="AF2019">
            <v>300</v>
          </cell>
          <cell r="AJ2019">
            <v>300</v>
          </cell>
          <cell r="AW2019">
            <v>0</v>
          </cell>
        </row>
        <row r="2020">
          <cell r="B2020">
            <v>5549</v>
          </cell>
          <cell r="C2020" t="str">
            <v>RM_9_A</v>
          </cell>
          <cell r="D2020" t="str">
            <v>Rancho Romeral No. 9, A</v>
          </cell>
          <cell r="E2020" t="str">
            <v>Quiñones Hernández</v>
          </cell>
          <cell r="F2020">
            <v>300</v>
          </cell>
          <cell r="G2020">
            <v>1</v>
          </cell>
          <cell r="H2020">
            <v>600</v>
          </cell>
          <cell r="I2020">
            <v>41518</v>
          </cell>
          <cell r="J2020">
            <v>0</v>
          </cell>
          <cell r="W2020">
            <v>0</v>
          </cell>
          <cell r="AE2020">
            <v>300</v>
          </cell>
          <cell r="AF2020">
            <v>300</v>
          </cell>
          <cell r="AJ2020">
            <v>600</v>
          </cell>
          <cell r="AW2020">
            <v>0</v>
          </cell>
        </row>
        <row r="2021">
          <cell r="B2021">
            <v>5550</v>
          </cell>
          <cell r="D2021" t="str">
            <v/>
          </cell>
          <cell r="E2021" t="str">
            <v/>
          </cell>
          <cell r="F2021" t="str">
            <v/>
          </cell>
          <cell r="G2021">
            <v>8</v>
          </cell>
          <cell r="I2021">
            <v>41518</v>
          </cell>
          <cell r="J2021" t="str">
            <v>NO SUMA</v>
          </cell>
          <cell r="W2021">
            <v>0</v>
          </cell>
          <cell r="AJ2021">
            <v>0</v>
          </cell>
          <cell r="AW2021">
            <v>0</v>
          </cell>
        </row>
        <row r="2022">
          <cell r="B2022">
            <v>5551</v>
          </cell>
          <cell r="C2022" t="str">
            <v>LD_7_</v>
          </cell>
          <cell r="D2022" t="str">
            <v>Rancho Landero No. 7</v>
          </cell>
          <cell r="E2022" t="str">
            <v>Robles</v>
          </cell>
          <cell r="F2022">
            <v>150</v>
          </cell>
          <cell r="G2022">
            <v>1</v>
          </cell>
          <cell r="H2022">
            <v>150</v>
          </cell>
          <cell r="I2022">
            <v>41518</v>
          </cell>
          <cell r="J2022">
            <v>0</v>
          </cell>
          <cell r="W2022">
            <v>0</v>
          </cell>
          <cell r="AF2022">
            <v>150</v>
          </cell>
          <cell r="AJ2022">
            <v>150</v>
          </cell>
          <cell r="AW2022">
            <v>0</v>
          </cell>
        </row>
        <row r="2023">
          <cell r="B2023">
            <v>5552</v>
          </cell>
          <cell r="C2023" t="str">
            <v>CL_92_</v>
          </cell>
          <cell r="D2023" t="str">
            <v>Rancho La Cuchilla No. 92</v>
          </cell>
          <cell r="E2023" t="str">
            <v>Cabrera</v>
          </cell>
          <cell r="F2023">
            <v>300</v>
          </cell>
          <cell r="G2023">
            <v>1</v>
          </cell>
          <cell r="H2023">
            <v>300</v>
          </cell>
          <cell r="I2023">
            <v>41518</v>
          </cell>
          <cell r="J2023">
            <v>0</v>
          </cell>
          <cell r="W2023">
            <v>0</v>
          </cell>
          <cell r="AF2023">
            <v>300</v>
          </cell>
          <cell r="AJ2023">
            <v>300</v>
          </cell>
          <cell r="AW2023">
            <v>0</v>
          </cell>
        </row>
        <row r="2024">
          <cell r="B2024">
            <v>5553</v>
          </cell>
          <cell r="C2024" t="str">
            <v>ZB_50_</v>
          </cell>
          <cell r="D2024" t="str">
            <v>Rancho Zinamba No. 50</v>
          </cell>
          <cell r="E2024" t="str">
            <v>Del Castillo</v>
          </cell>
          <cell r="F2024">
            <v>300</v>
          </cell>
          <cell r="G2024">
            <v>1</v>
          </cell>
          <cell r="H2024">
            <v>300</v>
          </cell>
          <cell r="I2024">
            <v>41518</v>
          </cell>
          <cell r="J2024">
            <v>0</v>
          </cell>
          <cell r="W2024">
            <v>0</v>
          </cell>
          <cell r="AE2024">
            <v>300</v>
          </cell>
          <cell r="AJ2024">
            <v>300</v>
          </cell>
          <cell r="AW2024">
            <v>0</v>
          </cell>
        </row>
        <row r="2025">
          <cell r="B2025">
            <v>5554</v>
          </cell>
          <cell r="C2025" t="str">
            <v>UP_114_</v>
          </cell>
          <cell r="D2025" t="str">
            <v>Rancho Upácuaro No. 114</v>
          </cell>
          <cell r="E2025" t="str">
            <v>Hernández Cornejo</v>
          </cell>
          <cell r="F2025">
            <v>300</v>
          </cell>
          <cell r="G2025">
            <v>1</v>
          </cell>
          <cell r="H2025">
            <v>300</v>
          </cell>
          <cell r="I2025">
            <v>41518</v>
          </cell>
          <cell r="J2025">
            <v>0</v>
          </cell>
          <cell r="W2025">
            <v>0</v>
          </cell>
          <cell r="AF2025">
            <v>300</v>
          </cell>
          <cell r="AJ2025">
            <v>300</v>
          </cell>
          <cell r="AW2025">
            <v>0</v>
          </cell>
        </row>
        <row r="2026">
          <cell r="B2026">
            <v>5555</v>
          </cell>
          <cell r="C2026" t="str">
            <v>CL_19_</v>
          </cell>
          <cell r="D2026" t="str">
            <v>Rancho La Cuchilla No. 19</v>
          </cell>
          <cell r="E2026" t="str">
            <v>Tapia Vázquez</v>
          </cell>
          <cell r="F2026">
            <v>300</v>
          </cell>
          <cell r="G2026">
            <v>1</v>
          </cell>
          <cell r="H2026">
            <v>300</v>
          </cell>
          <cell r="I2026">
            <v>41518</v>
          </cell>
          <cell r="J2026">
            <v>0</v>
          </cell>
          <cell r="W2026">
            <v>0</v>
          </cell>
          <cell r="AF2026">
            <v>300</v>
          </cell>
          <cell r="AJ2026">
            <v>300</v>
          </cell>
          <cell r="AW2026">
            <v>0</v>
          </cell>
        </row>
        <row r="2027">
          <cell r="B2027">
            <v>5556</v>
          </cell>
          <cell r="C2027" t="str">
            <v>ZB_76_</v>
          </cell>
          <cell r="D2027" t="str">
            <v>Rancho Zinamba No. 76</v>
          </cell>
          <cell r="E2027" t="str">
            <v>Márquez</v>
          </cell>
          <cell r="F2027">
            <v>300</v>
          </cell>
          <cell r="G2027">
            <v>3</v>
          </cell>
          <cell r="H2027">
            <v>160</v>
          </cell>
          <cell r="I2027">
            <v>41518</v>
          </cell>
          <cell r="J2027" t="str">
            <v>NO SUMA</v>
          </cell>
          <cell r="W2027">
            <v>0</v>
          </cell>
          <cell r="AJ2027">
            <v>0</v>
          </cell>
          <cell r="AW2027">
            <v>0</v>
          </cell>
        </row>
        <row r="2028">
          <cell r="B2028">
            <v>5557</v>
          </cell>
          <cell r="C2028" t="str">
            <v>LD_20_</v>
          </cell>
          <cell r="D2028" t="str">
            <v>Rancho Landero No. 20</v>
          </cell>
          <cell r="E2028" t="str">
            <v>Velasco</v>
          </cell>
          <cell r="F2028">
            <v>300</v>
          </cell>
          <cell r="G2028">
            <v>1</v>
          </cell>
          <cell r="H2028">
            <v>300</v>
          </cell>
          <cell r="I2028">
            <v>41518</v>
          </cell>
          <cell r="J2028">
            <v>0</v>
          </cell>
          <cell r="W2028">
            <v>0</v>
          </cell>
          <cell r="AF2028">
            <v>300</v>
          </cell>
          <cell r="AJ2028">
            <v>300</v>
          </cell>
          <cell r="AW2028">
            <v>0</v>
          </cell>
        </row>
        <row r="2029">
          <cell r="B2029">
            <v>5558</v>
          </cell>
          <cell r="C2029" t="str">
            <v>UP_23_</v>
          </cell>
          <cell r="D2029" t="str">
            <v>Rancho Upácuaro No. 23</v>
          </cell>
          <cell r="E2029" t="str">
            <v>Arredondo</v>
          </cell>
          <cell r="F2029">
            <v>300</v>
          </cell>
          <cell r="G2029">
            <v>1</v>
          </cell>
          <cell r="H2029">
            <v>300</v>
          </cell>
          <cell r="I2029">
            <v>41518</v>
          </cell>
          <cell r="J2029">
            <v>0</v>
          </cell>
          <cell r="W2029">
            <v>0</v>
          </cell>
          <cell r="AF2029">
            <v>300</v>
          </cell>
          <cell r="AJ2029">
            <v>300</v>
          </cell>
          <cell r="AW2029">
            <v>0</v>
          </cell>
        </row>
        <row r="2030">
          <cell r="B2030">
            <v>5559</v>
          </cell>
          <cell r="C2030" t="str">
            <v>CL_7_102</v>
          </cell>
          <cell r="D2030" t="str">
            <v>Rancho La Cuchilla No. 7, 102</v>
          </cell>
          <cell r="E2030" t="str">
            <v>García Moreno</v>
          </cell>
          <cell r="F2030">
            <v>100</v>
          </cell>
          <cell r="G2030">
            <v>1</v>
          </cell>
          <cell r="H2030">
            <v>100</v>
          </cell>
          <cell r="I2030">
            <v>41518</v>
          </cell>
          <cell r="J2030">
            <v>0</v>
          </cell>
          <cell r="W2030">
            <v>0</v>
          </cell>
          <cell r="AF2030">
            <v>100</v>
          </cell>
          <cell r="AJ2030">
            <v>100</v>
          </cell>
          <cell r="AW2030">
            <v>0</v>
          </cell>
        </row>
        <row r="2031">
          <cell r="B2031">
            <v>5560</v>
          </cell>
          <cell r="C2031" t="str">
            <v>CL_93_</v>
          </cell>
          <cell r="D2031" t="str">
            <v>Rancho La Cuchilla No. 93</v>
          </cell>
          <cell r="E2031" t="str">
            <v>Alcántara Silva</v>
          </cell>
          <cell r="F2031">
            <v>300</v>
          </cell>
          <cell r="G2031">
            <v>1</v>
          </cell>
          <cell r="H2031">
            <v>600</v>
          </cell>
          <cell r="I2031">
            <v>41518</v>
          </cell>
          <cell r="J2031">
            <v>0</v>
          </cell>
          <cell r="W2031">
            <v>0</v>
          </cell>
          <cell r="AE2031">
            <v>300</v>
          </cell>
          <cell r="AF2031">
            <v>300</v>
          </cell>
          <cell r="AJ2031">
            <v>600</v>
          </cell>
          <cell r="AW2031">
            <v>0</v>
          </cell>
        </row>
        <row r="2032">
          <cell r="B2032">
            <v>5561</v>
          </cell>
          <cell r="C2032" t="str">
            <v>ZB_42_</v>
          </cell>
          <cell r="D2032" t="str">
            <v>Rancho Zinamba No. 42</v>
          </cell>
          <cell r="E2032" t="str">
            <v>López Aldave</v>
          </cell>
          <cell r="F2032">
            <v>250</v>
          </cell>
          <cell r="G2032">
            <v>1</v>
          </cell>
          <cell r="H2032">
            <v>250</v>
          </cell>
          <cell r="I2032">
            <v>41518</v>
          </cell>
          <cell r="J2032">
            <v>0</v>
          </cell>
          <cell r="W2032">
            <v>0</v>
          </cell>
          <cell r="AF2032">
            <v>250</v>
          </cell>
          <cell r="AJ2032">
            <v>250</v>
          </cell>
          <cell r="AW2032">
            <v>0</v>
          </cell>
        </row>
        <row r="2033">
          <cell r="B2033">
            <v>5562</v>
          </cell>
          <cell r="C2033" t="str">
            <v>RM_30_</v>
          </cell>
          <cell r="D2033" t="str">
            <v>Rancho Romeral No. 30</v>
          </cell>
          <cell r="E2033" t="str">
            <v>Osorio</v>
          </cell>
          <cell r="F2033">
            <v>200</v>
          </cell>
          <cell r="G2033">
            <v>1</v>
          </cell>
          <cell r="H2033">
            <v>400</v>
          </cell>
          <cell r="I2033">
            <v>41518</v>
          </cell>
          <cell r="J2033">
            <v>0</v>
          </cell>
          <cell r="W2033">
            <v>0</v>
          </cell>
          <cell r="AD2033">
            <v>200</v>
          </cell>
          <cell r="AE2033">
            <v>200</v>
          </cell>
          <cell r="AJ2033">
            <v>400</v>
          </cell>
          <cell r="AW2033">
            <v>0</v>
          </cell>
        </row>
        <row r="2034">
          <cell r="B2034">
            <v>5563</v>
          </cell>
          <cell r="C2034" t="str">
            <v>UP_33_</v>
          </cell>
          <cell r="D2034" t="str">
            <v>Rancho Upácuaro No. 33</v>
          </cell>
          <cell r="E2034" t="str">
            <v>Ulloa Miranda</v>
          </cell>
          <cell r="F2034">
            <v>300</v>
          </cell>
          <cell r="G2034">
            <v>1</v>
          </cell>
          <cell r="H2034">
            <v>600</v>
          </cell>
          <cell r="I2034">
            <v>41518</v>
          </cell>
          <cell r="J2034">
            <v>0</v>
          </cell>
          <cell r="W2034">
            <v>0</v>
          </cell>
          <cell r="AF2034">
            <v>300</v>
          </cell>
          <cell r="AG2034">
            <v>300</v>
          </cell>
          <cell r="AJ2034">
            <v>600</v>
          </cell>
          <cell r="AW2034">
            <v>0</v>
          </cell>
        </row>
        <row r="2035">
          <cell r="B2035">
            <v>5564</v>
          </cell>
          <cell r="C2035" t="str">
            <v>UP_87_</v>
          </cell>
          <cell r="D2035" t="str">
            <v>Rancho Upácuaro No. 87</v>
          </cell>
          <cell r="E2035" t="str">
            <v>Rodríguez Parés</v>
          </cell>
          <cell r="F2035">
            <v>300</v>
          </cell>
          <cell r="G2035">
            <v>1</v>
          </cell>
          <cell r="H2035">
            <v>300</v>
          </cell>
          <cell r="I2035">
            <v>41518</v>
          </cell>
          <cell r="J2035">
            <v>0</v>
          </cell>
          <cell r="W2035">
            <v>0</v>
          </cell>
          <cell r="AF2035">
            <v>300</v>
          </cell>
          <cell r="AJ2035">
            <v>300</v>
          </cell>
          <cell r="AW2035">
            <v>0</v>
          </cell>
        </row>
        <row r="2036">
          <cell r="B2036">
            <v>6108</v>
          </cell>
          <cell r="C2036" t="str">
            <v>UP_46_</v>
          </cell>
          <cell r="D2036" t="str">
            <v>Rancho Upácuaro No. 46</v>
          </cell>
          <cell r="E2036" t="str">
            <v>Fuentes</v>
          </cell>
          <cell r="F2036">
            <v>300</v>
          </cell>
          <cell r="G2036">
            <v>1</v>
          </cell>
          <cell r="H2036">
            <v>300</v>
          </cell>
          <cell r="I2036">
            <v>41522</v>
          </cell>
          <cell r="J2036">
            <v>0</v>
          </cell>
          <cell r="W2036">
            <v>0</v>
          </cell>
          <cell r="AF2036">
            <v>300</v>
          </cell>
          <cell r="AJ2036">
            <v>300</v>
          </cell>
          <cell r="AW2036">
            <v>0</v>
          </cell>
        </row>
        <row r="2037">
          <cell r="B2037">
            <v>5565</v>
          </cell>
          <cell r="C2037" t="str">
            <v>UP_118_</v>
          </cell>
          <cell r="D2037" t="str">
            <v>Rancho Upácuaro No. 118</v>
          </cell>
          <cell r="E2037" t="str">
            <v>Siegrist</v>
          </cell>
          <cell r="F2037">
            <v>300</v>
          </cell>
          <cell r="G2037">
            <v>1</v>
          </cell>
          <cell r="H2037">
            <v>300</v>
          </cell>
          <cell r="I2037">
            <v>41523</v>
          </cell>
          <cell r="J2037">
            <v>0</v>
          </cell>
          <cell r="W2037">
            <v>0</v>
          </cell>
          <cell r="AF2037">
            <v>300</v>
          </cell>
          <cell r="AJ2037">
            <v>300</v>
          </cell>
          <cell r="AW2037">
            <v>0</v>
          </cell>
        </row>
        <row r="2038">
          <cell r="B2038">
            <v>5566</v>
          </cell>
          <cell r="C2038" t="str">
            <v>LD_71_</v>
          </cell>
          <cell r="D2038" t="str">
            <v>Rancho Landero No. 71</v>
          </cell>
          <cell r="E2038" t="str">
            <v>Cabrera Balcázar</v>
          </cell>
          <cell r="F2038">
            <v>300</v>
          </cell>
          <cell r="G2038">
            <v>1</v>
          </cell>
          <cell r="H2038">
            <v>300</v>
          </cell>
          <cell r="I2038">
            <v>41525</v>
          </cell>
          <cell r="J2038">
            <v>0</v>
          </cell>
          <cell r="W2038">
            <v>0</v>
          </cell>
          <cell r="AF2038">
            <v>300</v>
          </cell>
          <cell r="AJ2038">
            <v>300</v>
          </cell>
          <cell r="AW2038">
            <v>0</v>
          </cell>
        </row>
        <row r="2039">
          <cell r="B2039">
            <v>5567</v>
          </cell>
          <cell r="C2039" t="str">
            <v>EZ_139_</v>
          </cell>
          <cell r="D2039" t="str">
            <v>Rancho Estanzuela No. 139</v>
          </cell>
          <cell r="E2039" t="str">
            <v>Ortiz</v>
          </cell>
          <cell r="F2039">
            <v>300</v>
          </cell>
          <cell r="G2039">
            <v>1</v>
          </cell>
          <cell r="H2039">
            <v>300</v>
          </cell>
          <cell r="I2039">
            <v>41525</v>
          </cell>
          <cell r="J2039">
            <v>0</v>
          </cell>
          <cell r="W2039">
            <v>0</v>
          </cell>
          <cell r="AF2039">
            <v>300</v>
          </cell>
          <cell r="AJ2039">
            <v>300</v>
          </cell>
          <cell r="AW2039">
            <v>0</v>
          </cell>
        </row>
        <row r="2040">
          <cell r="B2040">
            <v>5568</v>
          </cell>
          <cell r="C2040" t="str">
            <v>EZ_115_</v>
          </cell>
          <cell r="D2040" t="str">
            <v>Rancho Estanzuela No. 115</v>
          </cell>
          <cell r="E2040" t="str">
            <v>Frías Solórzano</v>
          </cell>
          <cell r="F2040">
            <v>200</v>
          </cell>
          <cell r="G2040">
            <v>1</v>
          </cell>
          <cell r="H2040">
            <v>200</v>
          </cell>
          <cell r="I2040">
            <v>41525</v>
          </cell>
          <cell r="J2040">
            <v>0</v>
          </cell>
          <cell r="W2040">
            <v>0</v>
          </cell>
          <cell r="AF2040">
            <v>200</v>
          </cell>
          <cell r="AJ2040">
            <v>200</v>
          </cell>
          <cell r="AW2040">
            <v>0</v>
          </cell>
        </row>
        <row r="2041">
          <cell r="B2041">
            <v>5569</v>
          </cell>
          <cell r="C2041" t="str">
            <v>UP_47_</v>
          </cell>
          <cell r="D2041" t="str">
            <v>Rancho Upácuaro No. 47</v>
          </cell>
          <cell r="E2041" t="str">
            <v>Flores Muñoz</v>
          </cell>
          <cell r="F2041">
            <v>300</v>
          </cell>
          <cell r="G2041">
            <v>1</v>
          </cell>
          <cell r="H2041">
            <v>300</v>
          </cell>
          <cell r="I2041">
            <v>41525</v>
          </cell>
          <cell r="J2041">
            <v>0</v>
          </cell>
          <cell r="W2041">
            <v>0</v>
          </cell>
          <cell r="AF2041">
            <v>300</v>
          </cell>
          <cell r="AJ2041">
            <v>300</v>
          </cell>
          <cell r="AW2041">
            <v>0</v>
          </cell>
        </row>
        <row r="2042">
          <cell r="B2042">
            <v>5570</v>
          </cell>
          <cell r="C2042" t="str">
            <v>ZB_18_</v>
          </cell>
          <cell r="D2042" t="str">
            <v>Rancho Zinamba No. 18</v>
          </cell>
          <cell r="E2042" t="str">
            <v>Hernández Castro</v>
          </cell>
          <cell r="F2042">
            <v>300</v>
          </cell>
          <cell r="G2042">
            <v>1</v>
          </cell>
          <cell r="H2042">
            <v>300</v>
          </cell>
          <cell r="I2042">
            <v>41525</v>
          </cell>
          <cell r="J2042">
            <v>0</v>
          </cell>
          <cell r="W2042">
            <v>0</v>
          </cell>
          <cell r="AF2042">
            <v>300</v>
          </cell>
          <cell r="AJ2042">
            <v>300</v>
          </cell>
          <cell r="AW2042">
            <v>0</v>
          </cell>
        </row>
        <row r="2043">
          <cell r="B2043">
            <v>5571</v>
          </cell>
          <cell r="C2043" t="str">
            <v>CL_120_</v>
          </cell>
          <cell r="D2043" t="str">
            <v>Rancho La Cuchilla No. 120</v>
          </cell>
          <cell r="E2043" t="str">
            <v>Pozos Vilchis</v>
          </cell>
          <cell r="F2043">
            <v>300</v>
          </cell>
          <cell r="G2043">
            <v>1</v>
          </cell>
          <cell r="H2043">
            <v>300</v>
          </cell>
          <cell r="I2043">
            <v>41525</v>
          </cell>
          <cell r="J2043">
            <v>0</v>
          </cell>
          <cell r="W2043">
            <v>0</v>
          </cell>
          <cell r="AF2043">
            <v>300</v>
          </cell>
          <cell r="AJ2043">
            <v>300</v>
          </cell>
          <cell r="AW2043">
            <v>0</v>
          </cell>
        </row>
        <row r="2044">
          <cell r="B2044">
            <v>5572</v>
          </cell>
          <cell r="C2044" t="str">
            <v>LD_31_</v>
          </cell>
          <cell r="D2044" t="str">
            <v>Rancho Landero No. 31</v>
          </cell>
          <cell r="E2044" t="str">
            <v>Díaz Hernández</v>
          </cell>
          <cell r="F2044">
            <v>200</v>
          </cell>
          <cell r="G2044">
            <v>1</v>
          </cell>
          <cell r="H2044">
            <v>200</v>
          </cell>
          <cell r="I2044">
            <v>41525</v>
          </cell>
          <cell r="J2044">
            <v>0</v>
          </cell>
          <cell r="W2044">
            <v>0</v>
          </cell>
          <cell r="AF2044">
            <v>200</v>
          </cell>
          <cell r="AJ2044">
            <v>200</v>
          </cell>
          <cell r="AW2044">
            <v>0</v>
          </cell>
        </row>
        <row r="2045">
          <cell r="B2045">
            <v>5573</v>
          </cell>
          <cell r="D2045" t="str">
            <v/>
          </cell>
          <cell r="E2045" t="str">
            <v/>
          </cell>
          <cell r="F2045" t="str">
            <v/>
          </cell>
          <cell r="G2045">
            <v>8</v>
          </cell>
          <cell r="I2045">
            <v>41525</v>
          </cell>
          <cell r="J2045" t="str">
            <v>NO SUMA</v>
          </cell>
          <cell r="W2045">
            <v>0</v>
          </cell>
          <cell r="AJ2045">
            <v>0</v>
          </cell>
          <cell r="AW2045">
            <v>0</v>
          </cell>
        </row>
        <row r="2046">
          <cell r="B2046">
            <v>5574</v>
          </cell>
          <cell r="C2046" t="str">
            <v>RV_173_</v>
          </cell>
          <cell r="D2046" t="str">
            <v>Rancho Recoveco No. 173</v>
          </cell>
          <cell r="E2046" t="str">
            <v>Velarde</v>
          </cell>
          <cell r="F2046">
            <v>300</v>
          </cell>
          <cell r="G2046">
            <v>1</v>
          </cell>
          <cell r="H2046">
            <v>300</v>
          </cell>
          <cell r="I2046">
            <v>41525</v>
          </cell>
          <cell r="J2046">
            <v>0</v>
          </cell>
          <cell r="W2046">
            <v>0</v>
          </cell>
          <cell r="AF2046">
            <v>300</v>
          </cell>
          <cell r="AJ2046">
            <v>300</v>
          </cell>
          <cell r="AW2046">
            <v>0</v>
          </cell>
        </row>
        <row r="2047">
          <cell r="B2047">
            <v>5575</v>
          </cell>
          <cell r="C2047" t="str">
            <v>EZ_35_</v>
          </cell>
          <cell r="D2047" t="str">
            <v>Rancho Estanzuela No. 35</v>
          </cell>
          <cell r="E2047" t="str">
            <v>Rodríguez</v>
          </cell>
          <cell r="F2047">
            <v>300</v>
          </cell>
          <cell r="G2047">
            <v>1</v>
          </cell>
          <cell r="H2047">
            <v>900</v>
          </cell>
          <cell r="I2047">
            <v>41525</v>
          </cell>
          <cell r="J2047">
            <v>0</v>
          </cell>
          <cell r="W2047">
            <v>0</v>
          </cell>
          <cell r="AE2047">
            <v>300</v>
          </cell>
          <cell r="AF2047">
            <v>300</v>
          </cell>
          <cell r="AG2047">
            <v>300</v>
          </cell>
          <cell r="AJ2047">
            <v>900</v>
          </cell>
          <cell r="AW2047">
            <v>0</v>
          </cell>
        </row>
        <row r="2048">
          <cell r="B2048">
            <v>5576</v>
          </cell>
          <cell r="C2048" t="str">
            <v>CL_59_</v>
          </cell>
          <cell r="D2048" t="str">
            <v>Rancho La Cuchilla No. 59</v>
          </cell>
          <cell r="E2048" t="str">
            <v>Ortega Vega</v>
          </cell>
          <cell r="F2048">
            <v>300</v>
          </cell>
          <cell r="G2048">
            <v>1</v>
          </cell>
          <cell r="H2048">
            <v>300</v>
          </cell>
          <cell r="I2048">
            <v>41525</v>
          </cell>
          <cell r="J2048">
            <v>0</v>
          </cell>
          <cell r="W2048">
            <v>0</v>
          </cell>
          <cell r="AF2048">
            <v>300</v>
          </cell>
          <cell r="AJ2048">
            <v>300</v>
          </cell>
          <cell r="AW2048">
            <v>0</v>
          </cell>
        </row>
        <row r="2049">
          <cell r="B2049">
            <v>5577</v>
          </cell>
          <cell r="C2049" t="str">
            <v>UP_76_</v>
          </cell>
          <cell r="D2049" t="str">
            <v>Rancho Upácuaro No. 76</v>
          </cell>
          <cell r="E2049" t="str">
            <v>Ruiz de San Pedro</v>
          </cell>
          <cell r="F2049">
            <v>300</v>
          </cell>
          <cell r="G2049">
            <v>1</v>
          </cell>
          <cell r="H2049">
            <v>300</v>
          </cell>
          <cell r="I2049">
            <v>41525</v>
          </cell>
          <cell r="J2049">
            <v>0</v>
          </cell>
          <cell r="W2049">
            <v>0</v>
          </cell>
          <cell r="AF2049">
            <v>300</v>
          </cell>
          <cell r="AJ2049">
            <v>300</v>
          </cell>
          <cell r="AW2049">
            <v>0</v>
          </cell>
        </row>
        <row r="2050">
          <cell r="B2050">
            <v>5578</v>
          </cell>
          <cell r="C2050" t="str">
            <v>UP_140_</v>
          </cell>
          <cell r="D2050" t="str">
            <v>Rancho Upácuaro No. 140</v>
          </cell>
          <cell r="E2050" t="str">
            <v>Gozain</v>
          </cell>
          <cell r="F2050">
            <v>300</v>
          </cell>
          <cell r="G2050">
            <v>1</v>
          </cell>
          <cell r="H2050">
            <v>300</v>
          </cell>
          <cell r="I2050">
            <v>41525</v>
          </cell>
          <cell r="J2050">
            <v>0</v>
          </cell>
          <cell r="W2050">
            <v>0</v>
          </cell>
          <cell r="AF2050">
            <v>300</v>
          </cell>
          <cell r="AJ2050">
            <v>300</v>
          </cell>
          <cell r="AW2050">
            <v>0</v>
          </cell>
        </row>
        <row r="2051">
          <cell r="B2051">
            <v>5579</v>
          </cell>
          <cell r="C2051" t="str">
            <v>UP_136_</v>
          </cell>
          <cell r="D2051" t="str">
            <v>Rancho Upácuaro No. 136</v>
          </cell>
          <cell r="E2051" t="str">
            <v>López Lena</v>
          </cell>
          <cell r="F2051">
            <v>300</v>
          </cell>
          <cell r="G2051">
            <v>1</v>
          </cell>
          <cell r="H2051">
            <v>300</v>
          </cell>
          <cell r="I2051">
            <v>41525</v>
          </cell>
          <cell r="J2051">
            <v>0</v>
          </cell>
          <cell r="W2051">
            <v>0</v>
          </cell>
          <cell r="AF2051">
            <v>300</v>
          </cell>
          <cell r="AJ2051">
            <v>300</v>
          </cell>
          <cell r="AW2051">
            <v>0</v>
          </cell>
        </row>
        <row r="2052">
          <cell r="B2052">
            <v>5580</v>
          </cell>
          <cell r="C2052" t="str">
            <v>CL_131_</v>
          </cell>
          <cell r="D2052" t="str">
            <v>Rancho La Cuchilla No. 131</v>
          </cell>
          <cell r="E2052" t="str">
            <v>Cabrera Escudero</v>
          </cell>
          <cell r="F2052">
            <v>300</v>
          </cell>
          <cell r="G2052">
            <v>1</v>
          </cell>
          <cell r="H2052">
            <v>600</v>
          </cell>
          <cell r="I2052">
            <v>41525</v>
          </cell>
          <cell r="J2052">
            <v>0</v>
          </cell>
          <cell r="W2052">
            <v>0</v>
          </cell>
          <cell r="AF2052">
            <v>300</v>
          </cell>
          <cell r="AG2052">
            <v>300</v>
          </cell>
          <cell r="AJ2052">
            <v>600</v>
          </cell>
          <cell r="AW2052">
            <v>0</v>
          </cell>
        </row>
        <row r="2053">
          <cell r="B2053">
            <v>5581</v>
          </cell>
          <cell r="C2053" t="str">
            <v>EZ_151_</v>
          </cell>
          <cell r="D2053" t="str">
            <v>Rancho Estanzuela No. 151</v>
          </cell>
          <cell r="E2053" t="str">
            <v>Pérez Salazar</v>
          </cell>
          <cell r="F2053">
            <v>300</v>
          </cell>
          <cell r="G2053">
            <v>1</v>
          </cell>
          <cell r="H2053">
            <v>300</v>
          </cell>
          <cell r="I2053">
            <v>41525</v>
          </cell>
          <cell r="J2053">
            <v>0</v>
          </cell>
          <cell r="W2053">
            <v>0</v>
          </cell>
          <cell r="AF2053">
            <v>300</v>
          </cell>
          <cell r="AJ2053">
            <v>300</v>
          </cell>
          <cell r="AW2053">
            <v>0</v>
          </cell>
        </row>
        <row r="2054">
          <cell r="B2054">
            <v>5582</v>
          </cell>
          <cell r="C2054" t="str">
            <v>CL_72_</v>
          </cell>
          <cell r="D2054" t="str">
            <v>Rancho La Cuchilla No. 72</v>
          </cell>
          <cell r="E2054" t="str">
            <v>Ortiz González</v>
          </cell>
          <cell r="F2054">
            <v>300</v>
          </cell>
          <cell r="G2054">
            <v>1</v>
          </cell>
          <cell r="H2054">
            <v>300</v>
          </cell>
          <cell r="I2054">
            <v>41525</v>
          </cell>
          <cell r="J2054">
            <v>0</v>
          </cell>
          <cell r="W2054">
            <v>0</v>
          </cell>
          <cell r="AF2054">
            <v>300</v>
          </cell>
          <cell r="AJ2054">
            <v>300</v>
          </cell>
          <cell r="AW2054">
            <v>0</v>
          </cell>
        </row>
        <row r="2055">
          <cell r="B2055">
            <v>5583</v>
          </cell>
          <cell r="C2055" t="str">
            <v>RV_197_</v>
          </cell>
          <cell r="D2055" t="str">
            <v>Rancho Recoveco No. 197</v>
          </cell>
          <cell r="E2055" t="str">
            <v>Colín González</v>
          </cell>
          <cell r="F2055">
            <v>300</v>
          </cell>
          <cell r="G2055">
            <v>1</v>
          </cell>
          <cell r="H2055">
            <v>300</v>
          </cell>
          <cell r="I2055">
            <v>41525</v>
          </cell>
          <cell r="J2055">
            <v>0</v>
          </cell>
          <cell r="W2055">
            <v>0</v>
          </cell>
          <cell r="AF2055">
            <v>300</v>
          </cell>
          <cell r="AJ2055">
            <v>300</v>
          </cell>
          <cell r="AW2055">
            <v>0</v>
          </cell>
        </row>
        <row r="2056">
          <cell r="B2056">
            <v>5584</v>
          </cell>
          <cell r="C2056" t="str">
            <v>LD_18_</v>
          </cell>
          <cell r="D2056" t="str">
            <v>Rancho Landero No. 18</v>
          </cell>
          <cell r="E2056" t="str">
            <v>Rosado</v>
          </cell>
          <cell r="F2056">
            <v>250</v>
          </cell>
          <cell r="G2056">
            <v>1</v>
          </cell>
          <cell r="H2056">
            <v>250</v>
          </cell>
          <cell r="I2056">
            <v>41525</v>
          </cell>
          <cell r="J2056">
            <v>0</v>
          </cell>
          <cell r="W2056">
            <v>0</v>
          </cell>
          <cell r="AF2056">
            <v>250</v>
          </cell>
          <cell r="AJ2056">
            <v>250</v>
          </cell>
          <cell r="AW2056">
            <v>0</v>
          </cell>
        </row>
        <row r="2057">
          <cell r="B2057">
            <v>5585</v>
          </cell>
          <cell r="C2057" t="str">
            <v>LD_30_</v>
          </cell>
          <cell r="D2057" t="str">
            <v>Rancho Landero No. 30</v>
          </cell>
          <cell r="E2057" t="str">
            <v>Torres Guzmán</v>
          </cell>
          <cell r="F2057">
            <v>300</v>
          </cell>
          <cell r="G2057">
            <v>1</v>
          </cell>
          <cell r="H2057">
            <v>600</v>
          </cell>
          <cell r="I2057">
            <v>41525</v>
          </cell>
          <cell r="J2057">
            <v>0</v>
          </cell>
          <cell r="W2057">
            <v>0</v>
          </cell>
          <cell r="AF2057">
            <v>300</v>
          </cell>
          <cell r="AG2057">
            <v>300</v>
          </cell>
          <cell r="AJ2057">
            <v>600</v>
          </cell>
          <cell r="AW2057">
            <v>0</v>
          </cell>
        </row>
        <row r="2058">
          <cell r="B2058">
            <v>5586</v>
          </cell>
          <cell r="C2058" t="str">
            <v>ZB_38_</v>
          </cell>
          <cell r="D2058" t="str">
            <v>Rancho Zinamba No. 38</v>
          </cell>
          <cell r="E2058" t="str">
            <v>Ramírez Díaz</v>
          </cell>
          <cell r="F2058">
            <v>300</v>
          </cell>
          <cell r="G2058">
            <v>1</v>
          </cell>
          <cell r="H2058">
            <v>300</v>
          </cell>
          <cell r="I2058">
            <v>41525</v>
          </cell>
          <cell r="J2058">
            <v>0</v>
          </cell>
          <cell r="W2058">
            <v>0</v>
          </cell>
          <cell r="AF2058">
            <v>300</v>
          </cell>
          <cell r="AJ2058">
            <v>300</v>
          </cell>
          <cell r="AW2058">
            <v>0</v>
          </cell>
        </row>
        <row r="2059">
          <cell r="B2059">
            <v>5587</v>
          </cell>
          <cell r="C2059" t="str">
            <v>UP_37_</v>
          </cell>
          <cell r="D2059" t="str">
            <v>Rancho Upácuaro No. 37</v>
          </cell>
          <cell r="E2059" t="str">
            <v>García Valdés</v>
          </cell>
          <cell r="F2059">
            <v>300</v>
          </cell>
          <cell r="G2059">
            <v>1</v>
          </cell>
          <cell r="H2059">
            <v>900</v>
          </cell>
          <cell r="I2059">
            <v>41525</v>
          </cell>
          <cell r="J2059">
            <v>0</v>
          </cell>
          <cell r="W2059">
            <v>0</v>
          </cell>
          <cell r="AD2059">
            <v>300</v>
          </cell>
          <cell r="AE2059">
            <v>300</v>
          </cell>
          <cell r="AF2059">
            <v>300</v>
          </cell>
          <cell r="AJ2059">
            <v>900</v>
          </cell>
          <cell r="AW2059">
            <v>0</v>
          </cell>
        </row>
        <row r="2060">
          <cell r="B2060">
            <v>5588</v>
          </cell>
          <cell r="C2060" t="str">
            <v>UP_138_</v>
          </cell>
          <cell r="D2060" t="str">
            <v>Rancho Upácuaro No. 138</v>
          </cell>
          <cell r="E2060" t="str">
            <v>Ramírez Valencia</v>
          </cell>
          <cell r="F2060">
            <v>300</v>
          </cell>
          <cell r="G2060">
            <v>1</v>
          </cell>
          <cell r="H2060">
            <v>900</v>
          </cell>
          <cell r="I2060">
            <v>41525</v>
          </cell>
          <cell r="J2060">
            <v>0</v>
          </cell>
          <cell r="W2060">
            <v>0</v>
          </cell>
          <cell r="AD2060">
            <v>300</v>
          </cell>
          <cell r="AE2060">
            <v>300</v>
          </cell>
          <cell r="AF2060">
            <v>300</v>
          </cell>
          <cell r="AJ2060">
            <v>900</v>
          </cell>
          <cell r="AW2060">
            <v>0</v>
          </cell>
        </row>
        <row r="2061">
          <cell r="B2061">
            <v>5589</v>
          </cell>
          <cell r="C2061" t="str">
            <v>CL_12_</v>
          </cell>
          <cell r="D2061" t="str">
            <v>Rancho La Cuchilla No. 12</v>
          </cell>
          <cell r="E2061" t="str">
            <v>Rivera Flores</v>
          </cell>
          <cell r="F2061">
            <v>300</v>
          </cell>
          <cell r="G2061">
            <v>1</v>
          </cell>
          <cell r="H2061">
            <v>300</v>
          </cell>
          <cell r="I2061">
            <v>41525</v>
          </cell>
          <cell r="J2061">
            <v>0</v>
          </cell>
          <cell r="W2061">
            <v>0</v>
          </cell>
          <cell r="AF2061">
            <v>300</v>
          </cell>
          <cell r="AJ2061">
            <v>300</v>
          </cell>
          <cell r="AW2061">
            <v>0</v>
          </cell>
        </row>
        <row r="2062">
          <cell r="B2062">
            <v>5590</v>
          </cell>
          <cell r="C2062" t="str">
            <v>CL_82_</v>
          </cell>
          <cell r="D2062" t="str">
            <v>Rancho La Cuchilla No. 82</v>
          </cell>
          <cell r="E2062" t="str">
            <v>Cruz</v>
          </cell>
          <cell r="F2062">
            <v>300</v>
          </cell>
          <cell r="G2062">
            <v>1</v>
          </cell>
          <cell r="H2062">
            <v>600</v>
          </cell>
          <cell r="I2062">
            <v>41525</v>
          </cell>
          <cell r="J2062">
            <v>0</v>
          </cell>
          <cell r="W2062">
            <v>0</v>
          </cell>
          <cell r="AE2062">
            <v>300</v>
          </cell>
          <cell r="AF2062">
            <v>300</v>
          </cell>
          <cell r="AJ2062">
            <v>600</v>
          </cell>
          <cell r="AW2062">
            <v>0</v>
          </cell>
        </row>
        <row r="2063">
          <cell r="B2063">
            <v>5591</v>
          </cell>
          <cell r="C2063" t="str">
            <v>UP_18_</v>
          </cell>
          <cell r="D2063" t="str">
            <v>Rancho Upácuaro No. 18</v>
          </cell>
          <cell r="E2063" t="str">
            <v>Guzmán</v>
          </cell>
          <cell r="F2063">
            <v>300</v>
          </cell>
          <cell r="G2063">
            <v>1</v>
          </cell>
          <cell r="H2063">
            <v>300</v>
          </cell>
          <cell r="I2063">
            <v>41525</v>
          </cell>
          <cell r="J2063">
            <v>0</v>
          </cell>
          <cell r="W2063">
            <v>0</v>
          </cell>
          <cell r="AF2063">
            <v>300</v>
          </cell>
          <cell r="AJ2063">
            <v>300</v>
          </cell>
          <cell r="AW2063">
            <v>0</v>
          </cell>
        </row>
        <row r="2064">
          <cell r="B2064">
            <v>5592</v>
          </cell>
          <cell r="C2064" t="str">
            <v>LD_38_</v>
          </cell>
          <cell r="D2064" t="str">
            <v>Rancho Landero No. 38</v>
          </cell>
          <cell r="E2064" t="str">
            <v>Sánchez Peña</v>
          </cell>
          <cell r="F2064">
            <v>300</v>
          </cell>
          <cell r="G2064">
            <v>1</v>
          </cell>
          <cell r="H2064">
            <v>600</v>
          </cell>
          <cell r="I2064">
            <v>41525</v>
          </cell>
          <cell r="J2064">
            <v>0</v>
          </cell>
          <cell r="W2064">
            <v>0</v>
          </cell>
          <cell r="AF2064">
            <v>300</v>
          </cell>
          <cell r="AG2064">
            <v>300</v>
          </cell>
          <cell r="AJ2064">
            <v>600</v>
          </cell>
          <cell r="AW2064">
            <v>0</v>
          </cell>
        </row>
        <row r="2065">
          <cell r="B2065">
            <v>5593</v>
          </cell>
          <cell r="C2065" t="str">
            <v>EZ_133_</v>
          </cell>
          <cell r="D2065" t="str">
            <v>Rancho Estanzuela No. 133</v>
          </cell>
          <cell r="E2065" t="str">
            <v>Hernández Salazar</v>
          </cell>
          <cell r="F2065">
            <v>250</v>
          </cell>
          <cell r="G2065">
            <v>1</v>
          </cell>
          <cell r="H2065">
            <v>500</v>
          </cell>
          <cell r="I2065">
            <v>41525</v>
          </cell>
          <cell r="J2065">
            <v>0</v>
          </cell>
          <cell r="W2065">
            <v>0</v>
          </cell>
          <cell r="AE2065">
            <v>250</v>
          </cell>
          <cell r="AF2065">
            <v>250</v>
          </cell>
          <cell r="AJ2065">
            <v>500</v>
          </cell>
          <cell r="AW2065">
            <v>0</v>
          </cell>
        </row>
        <row r="2066">
          <cell r="B2066">
            <v>5593</v>
          </cell>
          <cell r="C2066" t="str">
            <v>EZ_133_</v>
          </cell>
          <cell r="D2066" t="str">
            <v>Rancho Estanzuela No. 133</v>
          </cell>
          <cell r="E2066" t="str">
            <v>Hernández Salazar</v>
          </cell>
          <cell r="F2066">
            <v>250</v>
          </cell>
          <cell r="G2066">
            <v>4</v>
          </cell>
          <cell r="H2066">
            <v>160</v>
          </cell>
          <cell r="I2066">
            <v>41525</v>
          </cell>
          <cell r="J2066" t="str">
            <v>NO SUMA</v>
          </cell>
          <cell r="W2066">
            <v>0</v>
          </cell>
          <cell r="AJ2066">
            <v>0</v>
          </cell>
          <cell r="AW2066">
            <v>0</v>
          </cell>
        </row>
        <row r="2067">
          <cell r="B2067">
            <v>5594</v>
          </cell>
          <cell r="C2067" t="str">
            <v>CL_139_</v>
          </cell>
          <cell r="D2067" t="str">
            <v>Rancho La Cuchilla No. 139</v>
          </cell>
          <cell r="E2067" t="str">
            <v>Gloria García</v>
          </cell>
          <cell r="F2067">
            <v>200</v>
          </cell>
          <cell r="G2067">
            <v>1</v>
          </cell>
          <cell r="H2067">
            <v>200</v>
          </cell>
          <cell r="I2067">
            <v>41525</v>
          </cell>
          <cell r="J2067">
            <v>0</v>
          </cell>
          <cell r="W2067">
            <v>0</v>
          </cell>
          <cell r="AF2067">
            <v>200</v>
          </cell>
          <cell r="AJ2067">
            <v>200</v>
          </cell>
          <cell r="AW2067">
            <v>0</v>
          </cell>
        </row>
        <row r="2068">
          <cell r="B2068">
            <v>5595</v>
          </cell>
          <cell r="C2068" t="str">
            <v>EZ_77_</v>
          </cell>
          <cell r="D2068" t="str">
            <v>Rancho Estanzuela No. 77</v>
          </cell>
          <cell r="E2068" t="str">
            <v>De la Rosa Rico</v>
          </cell>
          <cell r="F2068">
            <v>300</v>
          </cell>
          <cell r="G2068">
            <v>1</v>
          </cell>
          <cell r="H2068">
            <v>600</v>
          </cell>
          <cell r="I2068">
            <v>41525</v>
          </cell>
          <cell r="J2068">
            <v>0</v>
          </cell>
          <cell r="W2068">
            <v>0</v>
          </cell>
          <cell r="AB2068">
            <v>300</v>
          </cell>
          <cell r="AC2068">
            <v>300</v>
          </cell>
          <cell r="AJ2068">
            <v>600</v>
          </cell>
          <cell r="AW2068">
            <v>0</v>
          </cell>
        </row>
        <row r="2069">
          <cell r="B2069">
            <v>5596</v>
          </cell>
          <cell r="D2069" t="str">
            <v/>
          </cell>
          <cell r="E2069" t="str">
            <v/>
          </cell>
          <cell r="F2069" t="str">
            <v/>
          </cell>
          <cell r="G2069">
            <v>8</v>
          </cell>
          <cell r="I2069">
            <v>41525</v>
          </cell>
          <cell r="J2069" t="str">
            <v>NO SUMA</v>
          </cell>
          <cell r="W2069">
            <v>0</v>
          </cell>
          <cell r="AJ2069">
            <v>0</v>
          </cell>
          <cell r="AW2069">
            <v>0</v>
          </cell>
        </row>
        <row r="2070">
          <cell r="B2070">
            <v>5597</v>
          </cell>
          <cell r="C2070" t="str">
            <v>LD_83_</v>
          </cell>
          <cell r="D2070" t="str">
            <v>Rancho Landero No. 83</v>
          </cell>
          <cell r="E2070" t="str">
            <v>Aguilar</v>
          </cell>
          <cell r="F2070">
            <v>300</v>
          </cell>
          <cell r="G2070">
            <v>1</v>
          </cell>
          <cell r="H2070">
            <v>300</v>
          </cell>
          <cell r="I2070">
            <v>41525</v>
          </cell>
          <cell r="J2070">
            <v>0</v>
          </cell>
          <cell r="W2070">
            <v>0</v>
          </cell>
          <cell r="AF2070">
            <v>300</v>
          </cell>
          <cell r="AJ2070">
            <v>300</v>
          </cell>
          <cell r="AW2070">
            <v>0</v>
          </cell>
        </row>
        <row r="2071">
          <cell r="B2071">
            <v>5598</v>
          </cell>
          <cell r="C2071" t="str">
            <v>UP_85_</v>
          </cell>
          <cell r="D2071" t="str">
            <v>Rancho Upácuaro No. 85</v>
          </cell>
          <cell r="E2071" t="str">
            <v>Del Toro Huerta</v>
          </cell>
          <cell r="F2071">
            <v>300</v>
          </cell>
          <cell r="G2071">
            <v>1</v>
          </cell>
          <cell r="H2071">
            <v>300</v>
          </cell>
          <cell r="I2071">
            <v>41525</v>
          </cell>
          <cell r="J2071">
            <v>0</v>
          </cell>
          <cell r="W2071">
            <v>0</v>
          </cell>
          <cell r="AF2071">
            <v>300</v>
          </cell>
          <cell r="AJ2071">
            <v>300</v>
          </cell>
          <cell r="AW2071">
            <v>0</v>
          </cell>
        </row>
        <row r="2072">
          <cell r="B2072">
            <v>5599</v>
          </cell>
          <cell r="C2072" t="str">
            <v>UP_73_A</v>
          </cell>
          <cell r="D2072" t="str">
            <v>Rancho Upácuaro No. 73, A</v>
          </cell>
          <cell r="E2072" t="str">
            <v>Ortega</v>
          </cell>
          <cell r="F2072">
            <v>150</v>
          </cell>
          <cell r="G2072">
            <v>1</v>
          </cell>
          <cell r="H2072">
            <v>150</v>
          </cell>
          <cell r="I2072">
            <v>41525</v>
          </cell>
          <cell r="J2072">
            <v>0</v>
          </cell>
          <cell r="W2072">
            <v>0</v>
          </cell>
          <cell r="AF2072">
            <v>150</v>
          </cell>
          <cell r="AJ2072">
            <v>150</v>
          </cell>
          <cell r="AW2072">
            <v>0</v>
          </cell>
        </row>
        <row r="2073">
          <cell r="B2073">
            <v>5600</v>
          </cell>
          <cell r="C2073" t="str">
            <v>EZ_7_A</v>
          </cell>
          <cell r="D2073" t="str">
            <v>Rancho Estanzuela No. 7, A</v>
          </cell>
          <cell r="E2073" t="str">
            <v>Herrera Izquierdo</v>
          </cell>
          <cell r="F2073">
            <v>150</v>
          </cell>
          <cell r="G2073">
            <v>1</v>
          </cell>
          <cell r="H2073">
            <v>300</v>
          </cell>
          <cell r="I2073">
            <v>41525</v>
          </cell>
          <cell r="J2073">
            <v>0</v>
          </cell>
          <cell r="W2073">
            <v>0</v>
          </cell>
          <cell r="AE2073">
            <v>150</v>
          </cell>
          <cell r="AF2073">
            <v>150</v>
          </cell>
          <cell r="AJ2073">
            <v>300</v>
          </cell>
          <cell r="AW2073">
            <v>0</v>
          </cell>
        </row>
        <row r="2074">
          <cell r="B2074">
            <v>5601</v>
          </cell>
          <cell r="C2074" t="str">
            <v>CL_81_A</v>
          </cell>
          <cell r="D2074" t="str">
            <v>Rancho La Cuchilla No. 81, A</v>
          </cell>
          <cell r="E2074" t="str">
            <v>Barrientos López</v>
          </cell>
          <cell r="F2074">
            <v>300</v>
          </cell>
          <cell r="G2074">
            <v>1</v>
          </cell>
          <cell r="H2074">
            <v>300</v>
          </cell>
          <cell r="I2074">
            <v>41525</v>
          </cell>
          <cell r="J2074">
            <v>0</v>
          </cell>
          <cell r="W2074">
            <v>0</v>
          </cell>
          <cell r="AF2074">
            <v>300</v>
          </cell>
          <cell r="AJ2074">
            <v>300</v>
          </cell>
          <cell r="AW2074">
            <v>0</v>
          </cell>
        </row>
        <row r="2075">
          <cell r="B2075">
            <v>5602</v>
          </cell>
          <cell r="C2075" t="str">
            <v>LD_89_</v>
          </cell>
          <cell r="D2075" t="str">
            <v>Rancho Landero No. 89</v>
          </cell>
          <cell r="E2075" t="str">
            <v>Del Pozo Solís</v>
          </cell>
          <cell r="F2075">
            <v>300</v>
          </cell>
          <cell r="G2075">
            <v>1</v>
          </cell>
          <cell r="H2075">
            <v>300</v>
          </cell>
          <cell r="I2075">
            <v>41525</v>
          </cell>
          <cell r="J2075">
            <v>0</v>
          </cell>
          <cell r="W2075">
            <v>0</v>
          </cell>
          <cell r="AF2075">
            <v>300</v>
          </cell>
          <cell r="AJ2075">
            <v>300</v>
          </cell>
          <cell r="AW2075">
            <v>0</v>
          </cell>
        </row>
        <row r="2076">
          <cell r="B2076">
            <v>5603</v>
          </cell>
          <cell r="C2076" t="str">
            <v>UP_86_</v>
          </cell>
          <cell r="D2076" t="str">
            <v>Rancho Upácuaro No. 86</v>
          </cell>
          <cell r="E2076" t="str">
            <v>López Canseco</v>
          </cell>
          <cell r="F2076">
            <v>300</v>
          </cell>
          <cell r="G2076">
            <v>1</v>
          </cell>
          <cell r="H2076">
            <v>1200</v>
          </cell>
          <cell r="I2076">
            <v>41525</v>
          </cell>
          <cell r="J2076">
            <v>0</v>
          </cell>
          <cell r="W2076">
            <v>0</v>
          </cell>
          <cell r="AF2076">
            <v>300</v>
          </cell>
          <cell r="AG2076">
            <v>300</v>
          </cell>
          <cell r="AH2076">
            <v>300</v>
          </cell>
          <cell r="AI2076">
            <v>300</v>
          </cell>
          <cell r="AJ2076">
            <v>1200</v>
          </cell>
          <cell r="AW2076">
            <v>0</v>
          </cell>
        </row>
        <row r="2077">
          <cell r="B2077">
            <v>5604</v>
          </cell>
          <cell r="C2077" t="str">
            <v>EZ_91_</v>
          </cell>
          <cell r="D2077" t="str">
            <v>Rancho Estanzuela No. 91</v>
          </cell>
          <cell r="E2077" t="str">
            <v>Lobato Torres</v>
          </cell>
          <cell r="F2077">
            <v>300</v>
          </cell>
          <cell r="G2077">
            <v>1</v>
          </cell>
          <cell r="H2077">
            <v>300</v>
          </cell>
          <cell r="I2077">
            <v>41525</v>
          </cell>
          <cell r="J2077">
            <v>0</v>
          </cell>
          <cell r="W2077">
            <v>0</v>
          </cell>
          <cell r="AF2077">
            <v>300</v>
          </cell>
          <cell r="AJ2077">
            <v>300</v>
          </cell>
          <cell r="AW2077">
            <v>0</v>
          </cell>
        </row>
        <row r="2078">
          <cell r="B2078">
            <v>5605</v>
          </cell>
          <cell r="C2078" t="str">
            <v>UP_34_</v>
          </cell>
          <cell r="D2078" t="str">
            <v>Rancho Upácuaro No. 34</v>
          </cell>
          <cell r="E2078" t="str">
            <v>Gómez González</v>
          </cell>
          <cell r="F2078">
            <v>300</v>
          </cell>
          <cell r="G2078">
            <v>1</v>
          </cell>
          <cell r="H2078">
            <v>300</v>
          </cell>
          <cell r="I2078">
            <v>41525</v>
          </cell>
          <cell r="J2078">
            <v>0</v>
          </cell>
          <cell r="W2078">
            <v>0</v>
          </cell>
          <cell r="AF2078">
            <v>300</v>
          </cell>
          <cell r="AJ2078">
            <v>300</v>
          </cell>
          <cell r="AW2078">
            <v>0</v>
          </cell>
        </row>
        <row r="2079">
          <cell r="B2079">
            <v>5606</v>
          </cell>
          <cell r="C2079" t="str">
            <v>RV_175_0</v>
          </cell>
          <cell r="D2079" t="str">
            <v>Rancho Recoveco No. 175</v>
          </cell>
          <cell r="E2079" t="str">
            <v>Ramírez</v>
          </cell>
          <cell r="F2079">
            <v>300</v>
          </cell>
          <cell r="G2079">
            <v>5</v>
          </cell>
          <cell r="H2079">
            <v>20</v>
          </cell>
          <cell r="I2079">
            <v>41525</v>
          </cell>
          <cell r="J2079" t="str">
            <v>NO SUMA</v>
          </cell>
          <cell r="W2079">
            <v>0</v>
          </cell>
          <cell r="AJ2079">
            <v>0</v>
          </cell>
          <cell r="AW2079">
            <v>0</v>
          </cell>
        </row>
        <row r="2080">
          <cell r="B2080">
            <v>5607</v>
          </cell>
          <cell r="C2080" t="str">
            <v>RM_9_B</v>
          </cell>
          <cell r="D2080" t="str">
            <v>Rancho Romeral No. 9, B</v>
          </cell>
          <cell r="E2080" t="str">
            <v>Morales Macías</v>
          </cell>
          <cell r="F2080">
            <v>100</v>
          </cell>
          <cell r="G2080">
            <v>1</v>
          </cell>
          <cell r="H2080">
            <v>100</v>
          </cell>
          <cell r="I2080">
            <v>41525</v>
          </cell>
          <cell r="J2080">
            <v>0</v>
          </cell>
          <cell r="W2080">
            <v>0</v>
          </cell>
          <cell r="AF2080">
            <v>100</v>
          </cell>
          <cell r="AJ2080">
            <v>100</v>
          </cell>
          <cell r="AW2080">
            <v>0</v>
          </cell>
        </row>
        <row r="2081">
          <cell r="B2081">
            <v>5608</v>
          </cell>
          <cell r="C2081" t="str">
            <v>LD_101_</v>
          </cell>
          <cell r="D2081" t="str">
            <v>Rancho Landero No. 101</v>
          </cell>
          <cell r="E2081" t="str">
            <v>Ramírez</v>
          </cell>
          <cell r="F2081">
            <v>300</v>
          </cell>
          <cell r="G2081">
            <v>1</v>
          </cell>
          <cell r="H2081">
            <v>300</v>
          </cell>
          <cell r="I2081">
            <v>41525</v>
          </cell>
          <cell r="J2081">
            <v>0</v>
          </cell>
          <cell r="W2081">
            <v>0</v>
          </cell>
          <cell r="AF2081">
            <v>300</v>
          </cell>
          <cell r="AJ2081">
            <v>300</v>
          </cell>
          <cell r="AW2081">
            <v>0</v>
          </cell>
        </row>
        <row r="2082">
          <cell r="B2082">
            <v>5609</v>
          </cell>
          <cell r="C2082" t="str">
            <v>UP_23_</v>
          </cell>
          <cell r="D2082" t="str">
            <v>Rancho Upácuaro No. 23</v>
          </cell>
          <cell r="E2082" t="str">
            <v>Arredondo</v>
          </cell>
          <cell r="F2082">
            <v>300</v>
          </cell>
          <cell r="G2082">
            <v>3</v>
          </cell>
          <cell r="H2082">
            <v>160</v>
          </cell>
          <cell r="I2082">
            <v>41525</v>
          </cell>
          <cell r="J2082" t="str">
            <v>NO SUMA</v>
          </cell>
          <cell r="W2082">
            <v>0</v>
          </cell>
          <cell r="AJ2082">
            <v>0</v>
          </cell>
          <cell r="AW2082">
            <v>0</v>
          </cell>
        </row>
        <row r="2083">
          <cell r="B2083">
            <v>5610</v>
          </cell>
          <cell r="C2083" t="str">
            <v>ZB_80_</v>
          </cell>
          <cell r="D2083" t="str">
            <v>Rancho Zinamba No. 80</v>
          </cell>
          <cell r="E2083" t="str">
            <v>Vázquez</v>
          </cell>
          <cell r="F2083">
            <v>250</v>
          </cell>
          <cell r="G2083">
            <v>1</v>
          </cell>
          <cell r="H2083">
            <v>500</v>
          </cell>
          <cell r="I2083">
            <v>41525</v>
          </cell>
          <cell r="J2083">
            <v>0</v>
          </cell>
          <cell r="W2083">
            <v>0</v>
          </cell>
          <cell r="AE2083">
            <v>250</v>
          </cell>
          <cell r="AF2083">
            <v>250</v>
          </cell>
          <cell r="AJ2083">
            <v>500</v>
          </cell>
          <cell r="AW2083">
            <v>0</v>
          </cell>
        </row>
        <row r="2084">
          <cell r="B2084">
            <v>5611</v>
          </cell>
          <cell r="C2084" t="str">
            <v>UP_104_</v>
          </cell>
          <cell r="D2084" t="str">
            <v>Rancho Upácuaro No. 104</v>
          </cell>
          <cell r="E2084" t="str">
            <v>Jiménez Almazo</v>
          </cell>
          <cell r="F2084">
            <v>300</v>
          </cell>
          <cell r="G2084">
            <v>1</v>
          </cell>
          <cell r="H2084">
            <v>600</v>
          </cell>
          <cell r="I2084">
            <v>41525</v>
          </cell>
          <cell r="J2084">
            <v>0</v>
          </cell>
          <cell r="W2084">
            <v>0</v>
          </cell>
          <cell r="AE2084">
            <v>300</v>
          </cell>
          <cell r="AF2084">
            <v>300</v>
          </cell>
          <cell r="AJ2084">
            <v>600</v>
          </cell>
          <cell r="AW2084">
            <v>0</v>
          </cell>
        </row>
        <row r="2085">
          <cell r="B2085">
            <v>5612</v>
          </cell>
          <cell r="C2085" t="str">
            <v>UP_68_</v>
          </cell>
          <cell r="D2085" t="str">
            <v>Rancho Upácuaro No. 68</v>
          </cell>
          <cell r="E2085" t="str">
            <v>Romero o Lezama</v>
          </cell>
          <cell r="F2085">
            <v>300</v>
          </cell>
          <cell r="G2085">
            <v>1</v>
          </cell>
          <cell r="H2085">
            <v>900</v>
          </cell>
          <cell r="I2085">
            <v>41525</v>
          </cell>
          <cell r="J2085">
            <v>0</v>
          </cell>
          <cell r="W2085">
            <v>0</v>
          </cell>
          <cell r="AC2085">
            <v>300</v>
          </cell>
          <cell r="AD2085">
            <v>300</v>
          </cell>
          <cell r="AE2085">
            <v>300</v>
          </cell>
          <cell r="AJ2085">
            <v>900</v>
          </cell>
          <cell r="AW2085">
            <v>0</v>
          </cell>
        </row>
        <row r="2086">
          <cell r="B2086">
            <v>6109</v>
          </cell>
          <cell r="C2086" t="str">
            <v>CL_29_</v>
          </cell>
          <cell r="D2086" t="str">
            <v>Rancho La Cuchilla No. 29</v>
          </cell>
          <cell r="E2086" t="str">
            <v>Vega Sánchez C.</v>
          </cell>
          <cell r="F2086">
            <v>300</v>
          </cell>
          <cell r="G2086">
            <v>1</v>
          </cell>
          <cell r="H2086">
            <v>300</v>
          </cell>
          <cell r="I2086">
            <v>41526</v>
          </cell>
          <cell r="J2086">
            <v>0</v>
          </cell>
          <cell r="W2086">
            <v>0</v>
          </cell>
          <cell r="AF2086">
            <v>300</v>
          </cell>
          <cell r="AJ2086">
            <v>300</v>
          </cell>
          <cell r="AW2086">
            <v>0</v>
          </cell>
        </row>
        <row r="2087">
          <cell r="B2087">
            <v>5613</v>
          </cell>
          <cell r="C2087" t="str">
            <v>CL_86_</v>
          </cell>
          <cell r="D2087" t="str">
            <v>Rancho La Cuchilla No. 86</v>
          </cell>
          <cell r="E2087" t="str">
            <v>Del Villar</v>
          </cell>
          <cell r="F2087">
            <v>300</v>
          </cell>
          <cell r="G2087">
            <v>1</v>
          </cell>
          <cell r="H2087">
            <v>300</v>
          </cell>
          <cell r="I2087">
            <v>41529</v>
          </cell>
          <cell r="J2087">
            <v>0</v>
          </cell>
          <cell r="W2087">
            <v>0</v>
          </cell>
          <cell r="AF2087">
            <v>300</v>
          </cell>
          <cell r="AJ2087">
            <v>300</v>
          </cell>
          <cell r="AW2087">
            <v>0</v>
          </cell>
        </row>
        <row r="2088">
          <cell r="B2088">
            <v>5614</v>
          </cell>
          <cell r="C2088" t="str">
            <v>CL_62_</v>
          </cell>
          <cell r="D2088" t="str">
            <v>Rancho La Cuchilla No. 62</v>
          </cell>
          <cell r="E2088" t="str">
            <v>Frías</v>
          </cell>
          <cell r="F2088">
            <v>200</v>
          </cell>
          <cell r="G2088">
            <v>1</v>
          </cell>
          <cell r="H2088">
            <v>200</v>
          </cell>
          <cell r="I2088">
            <v>41529</v>
          </cell>
          <cell r="J2088">
            <v>0</v>
          </cell>
          <cell r="W2088">
            <v>0</v>
          </cell>
          <cell r="AF2088">
            <v>200</v>
          </cell>
          <cell r="AJ2088">
            <v>200</v>
          </cell>
          <cell r="AW2088">
            <v>0</v>
          </cell>
        </row>
        <row r="2089">
          <cell r="B2089">
            <v>5615</v>
          </cell>
          <cell r="C2089" t="str">
            <v>CL_90_</v>
          </cell>
          <cell r="D2089" t="str">
            <v>Rancho La Cuchilla No. 90</v>
          </cell>
          <cell r="E2089" t="str">
            <v>Porras Fuentes</v>
          </cell>
          <cell r="F2089">
            <v>150</v>
          </cell>
          <cell r="G2089">
            <v>1</v>
          </cell>
          <cell r="H2089">
            <v>300</v>
          </cell>
          <cell r="I2089">
            <v>41529</v>
          </cell>
          <cell r="J2089">
            <v>0</v>
          </cell>
          <cell r="W2089">
            <v>0</v>
          </cell>
          <cell r="AD2089">
            <v>150</v>
          </cell>
          <cell r="AE2089">
            <v>150</v>
          </cell>
          <cell r="AJ2089">
            <v>300</v>
          </cell>
          <cell r="AW2089">
            <v>0</v>
          </cell>
        </row>
        <row r="2090">
          <cell r="B2090">
            <v>5616</v>
          </cell>
          <cell r="C2090" t="str">
            <v>CM_130_A</v>
          </cell>
          <cell r="D2090" t="str">
            <v>Rancho Estanzuela No. 130, A</v>
          </cell>
          <cell r="E2090" t="str">
            <v>Colegio Carmel</v>
          </cell>
          <cell r="F2090">
            <v>10000</v>
          </cell>
          <cell r="G2090">
            <v>3</v>
          </cell>
          <cell r="H2090">
            <v>800</v>
          </cell>
          <cell r="I2090">
            <v>41529</v>
          </cell>
          <cell r="J2090" t="str">
            <v>NO SUMA</v>
          </cell>
          <cell r="W2090">
            <v>0</v>
          </cell>
          <cell r="AJ2090">
            <v>0</v>
          </cell>
          <cell r="AW2090">
            <v>0</v>
          </cell>
        </row>
        <row r="2091">
          <cell r="B2091">
            <v>5617</v>
          </cell>
          <cell r="C2091" t="str">
            <v>LD_1_A</v>
          </cell>
          <cell r="D2091" t="str">
            <v>Calzada del Hueso No. 840</v>
          </cell>
          <cell r="E2091" t="str">
            <v>Pérez Retis</v>
          </cell>
          <cell r="F2091">
            <v>300</v>
          </cell>
          <cell r="G2091">
            <v>4</v>
          </cell>
          <cell r="H2091">
            <v>480</v>
          </cell>
          <cell r="I2091">
            <v>41529</v>
          </cell>
          <cell r="J2091" t="str">
            <v>NO SUMA</v>
          </cell>
          <cell r="W2091">
            <v>0</v>
          </cell>
          <cell r="AJ2091">
            <v>0</v>
          </cell>
          <cell r="AW2091">
            <v>0</v>
          </cell>
        </row>
        <row r="2092">
          <cell r="B2092">
            <v>5618</v>
          </cell>
          <cell r="C2092" t="str">
            <v>LD_1_A</v>
          </cell>
          <cell r="D2092" t="str">
            <v>Calzada del Hueso No. 840</v>
          </cell>
          <cell r="E2092" t="str">
            <v>Pérez Retis</v>
          </cell>
          <cell r="F2092">
            <v>300</v>
          </cell>
          <cell r="G2092">
            <v>1</v>
          </cell>
          <cell r="H2092">
            <v>300</v>
          </cell>
          <cell r="I2092">
            <v>41530</v>
          </cell>
          <cell r="J2092">
            <v>0</v>
          </cell>
          <cell r="W2092">
            <v>0</v>
          </cell>
          <cell r="AF2092">
            <v>300</v>
          </cell>
          <cell r="AJ2092">
            <v>300</v>
          </cell>
          <cell r="AW2092">
            <v>0</v>
          </cell>
        </row>
        <row r="2093">
          <cell r="B2093">
            <v>5619</v>
          </cell>
          <cell r="C2093" t="str">
            <v>LD_85_</v>
          </cell>
          <cell r="D2093" t="str">
            <v>Rancho Landero No. 85</v>
          </cell>
          <cell r="E2093" t="str">
            <v>Martínez Olague</v>
          </cell>
          <cell r="F2093">
            <v>300</v>
          </cell>
          <cell r="G2093">
            <v>1</v>
          </cell>
          <cell r="H2093">
            <v>300</v>
          </cell>
          <cell r="I2093">
            <v>41530</v>
          </cell>
          <cell r="J2093">
            <v>0</v>
          </cell>
          <cell r="W2093">
            <v>0</v>
          </cell>
          <cell r="AF2093">
            <v>300</v>
          </cell>
          <cell r="AJ2093">
            <v>300</v>
          </cell>
          <cell r="AW2093">
            <v>0</v>
          </cell>
        </row>
        <row r="2094">
          <cell r="B2094">
            <v>5620</v>
          </cell>
          <cell r="C2094" t="str">
            <v>CL_112_PB</v>
          </cell>
          <cell r="D2094" t="str">
            <v>Rancho La Cuchilla No. 112, PB</v>
          </cell>
          <cell r="E2094" t="str">
            <v>Soreque</v>
          </cell>
          <cell r="F2094">
            <v>150</v>
          </cell>
          <cell r="G2094">
            <v>1</v>
          </cell>
          <cell r="H2094">
            <v>150</v>
          </cell>
          <cell r="I2094">
            <v>41532</v>
          </cell>
          <cell r="J2094">
            <v>0</v>
          </cell>
          <cell r="W2094">
            <v>0</v>
          </cell>
          <cell r="AF2094">
            <v>150</v>
          </cell>
          <cell r="AJ2094">
            <v>150</v>
          </cell>
          <cell r="AW2094">
            <v>0</v>
          </cell>
        </row>
        <row r="2095">
          <cell r="B2095">
            <v>5621</v>
          </cell>
          <cell r="C2095" t="str">
            <v>UP_99_</v>
          </cell>
          <cell r="D2095" t="str">
            <v>Rancho Upácuaro No. 99</v>
          </cell>
          <cell r="E2095" t="str">
            <v>Frías</v>
          </cell>
          <cell r="F2095">
            <v>300</v>
          </cell>
          <cell r="G2095">
            <v>1</v>
          </cell>
          <cell r="H2095">
            <v>1200</v>
          </cell>
          <cell r="I2095">
            <v>41532</v>
          </cell>
          <cell r="J2095">
            <v>0</v>
          </cell>
          <cell r="W2095">
            <v>0</v>
          </cell>
          <cell r="AF2095">
            <v>300</v>
          </cell>
          <cell r="AG2095">
            <v>300</v>
          </cell>
          <cell r="AH2095">
            <v>300</v>
          </cell>
          <cell r="AI2095">
            <v>300</v>
          </cell>
          <cell r="AJ2095">
            <v>1200</v>
          </cell>
          <cell r="AW2095">
            <v>0</v>
          </cell>
        </row>
        <row r="2096">
          <cell r="B2096">
            <v>5622</v>
          </cell>
          <cell r="C2096" t="str">
            <v>EZ_55_</v>
          </cell>
          <cell r="D2096" t="str">
            <v>Rancho Estanzuela No. 55</v>
          </cell>
          <cell r="E2096" t="str">
            <v>Rodríguez Acevedo</v>
          </cell>
          <cell r="F2096">
            <v>300</v>
          </cell>
          <cell r="G2096">
            <v>1</v>
          </cell>
          <cell r="H2096">
            <v>300</v>
          </cell>
          <cell r="I2096">
            <v>41532</v>
          </cell>
          <cell r="J2096">
            <v>0</v>
          </cell>
          <cell r="W2096">
            <v>0</v>
          </cell>
          <cell r="AF2096">
            <v>300</v>
          </cell>
          <cell r="AJ2096">
            <v>300</v>
          </cell>
          <cell r="AW2096">
            <v>0</v>
          </cell>
        </row>
        <row r="2097">
          <cell r="B2097">
            <v>5622</v>
          </cell>
          <cell r="C2097" t="str">
            <v>EZ_55_</v>
          </cell>
          <cell r="D2097" t="str">
            <v>Rancho Estanzuela No. 55</v>
          </cell>
          <cell r="E2097" t="str">
            <v>Rodríguez Acevedo</v>
          </cell>
          <cell r="F2097">
            <v>300</v>
          </cell>
          <cell r="G2097">
            <v>4</v>
          </cell>
          <cell r="H2097">
            <v>160</v>
          </cell>
          <cell r="I2097">
            <v>41532</v>
          </cell>
          <cell r="J2097" t="str">
            <v>NO SUMA</v>
          </cell>
          <cell r="W2097">
            <v>0</v>
          </cell>
          <cell r="AJ2097">
            <v>0</v>
          </cell>
          <cell r="AW2097">
            <v>0</v>
          </cell>
        </row>
        <row r="2098">
          <cell r="B2098">
            <v>5623</v>
          </cell>
          <cell r="C2098" t="str">
            <v>LD_52_</v>
          </cell>
          <cell r="D2098" t="str">
            <v>Rancho Landero No. 52</v>
          </cell>
          <cell r="E2098" t="str">
            <v>Zavala</v>
          </cell>
          <cell r="F2098">
            <v>300</v>
          </cell>
          <cell r="G2098">
            <v>3</v>
          </cell>
          <cell r="H2098">
            <v>160</v>
          </cell>
          <cell r="I2098">
            <v>41532</v>
          </cell>
          <cell r="J2098" t="str">
            <v>NO SUMA</v>
          </cell>
          <cell r="W2098">
            <v>0</v>
          </cell>
          <cell r="AJ2098">
            <v>0</v>
          </cell>
          <cell r="AW2098">
            <v>0</v>
          </cell>
        </row>
        <row r="2099">
          <cell r="B2099">
            <v>5624</v>
          </cell>
          <cell r="C2099" t="str">
            <v>EZ_119_1</v>
          </cell>
          <cell r="D2099" t="str">
            <v>Rancho Estanzuela No. 119</v>
          </cell>
          <cell r="E2099" t="str">
            <v>López Tovar</v>
          </cell>
          <cell r="F2099">
            <v>300</v>
          </cell>
          <cell r="G2099">
            <v>4</v>
          </cell>
          <cell r="H2099">
            <v>160</v>
          </cell>
          <cell r="I2099">
            <v>41532</v>
          </cell>
          <cell r="J2099" t="str">
            <v>NO SUMA</v>
          </cell>
          <cell r="W2099">
            <v>0</v>
          </cell>
          <cell r="AJ2099">
            <v>0</v>
          </cell>
          <cell r="AW2099">
            <v>0</v>
          </cell>
        </row>
        <row r="2100">
          <cell r="B2100">
            <v>5625</v>
          </cell>
          <cell r="C2100" t="str">
            <v>LD_91_</v>
          </cell>
          <cell r="D2100" t="str">
            <v>Rancho Landero No. 91</v>
          </cell>
          <cell r="E2100" t="str">
            <v>Llaca</v>
          </cell>
          <cell r="F2100">
            <v>300</v>
          </cell>
          <cell r="G2100">
            <v>1</v>
          </cell>
          <cell r="H2100">
            <v>600</v>
          </cell>
          <cell r="I2100">
            <v>41532</v>
          </cell>
          <cell r="J2100">
            <v>0</v>
          </cell>
          <cell r="W2100">
            <v>0</v>
          </cell>
          <cell r="AF2100">
            <v>300</v>
          </cell>
          <cell r="AG2100">
            <v>300</v>
          </cell>
          <cell r="AJ2100">
            <v>600</v>
          </cell>
          <cell r="AW2100">
            <v>0</v>
          </cell>
        </row>
        <row r="2101">
          <cell r="B2101">
            <v>5626</v>
          </cell>
          <cell r="C2101" t="str">
            <v>CL_107_</v>
          </cell>
          <cell r="D2101" t="str">
            <v>Rancho La Cuchilla No. 107</v>
          </cell>
          <cell r="E2101" t="str">
            <v>Olivares Rivera</v>
          </cell>
          <cell r="F2101">
            <v>300</v>
          </cell>
          <cell r="G2101">
            <v>1</v>
          </cell>
          <cell r="H2101">
            <v>300</v>
          </cell>
          <cell r="I2101">
            <v>41532</v>
          </cell>
          <cell r="J2101">
            <v>0</v>
          </cell>
          <cell r="W2101">
            <v>0</v>
          </cell>
          <cell r="AF2101">
            <v>300</v>
          </cell>
          <cell r="AJ2101">
            <v>300</v>
          </cell>
          <cell r="AW2101">
            <v>0</v>
          </cell>
        </row>
        <row r="2102">
          <cell r="B2102">
            <v>5627</v>
          </cell>
          <cell r="C2102" t="str">
            <v>CL_77_</v>
          </cell>
          <cell r="D2102" t="str">
            <v>Rancho La Cuchilla No. 77</v>
          </cell>
          <cell r="E2102" t="str">
            <v>Loperena</v>
          </cell>
          <cell r="F2102">
            <v>300</v>
          </cell>
          <cell r="G2102">
            <v>1</v>
          </cell>
          <cell r="H2102">
            <v>900</v>
          </cell>
          <cell r="I2102">
            <v>41532</v>
          </cell>
          <cell r="J2102">
            <v>0</v>
          </cell>
          <cell r="W2102">
            <v>0</v>
          </cell>
          <cell r="AC2102">
            <v>300</v>
          </cell>
          <cell r="AD2102">
            <v>300</v>
          </cell>
          <cell r="AE2102">
            <v>300</v>
          </cell>
          <cell r="AJ2102">
            <v>900</v>
          </cell>
          <cell r="AW2102">
            <v>0</v>
          </cell>
        </row>
        <row r="2103">
          <cell r="B2103">
            <v>5628</v>
          </cell>
          <cell r="C2103" t="str">
            <v>CL_18_</v>
          </cell>
          <cell r="D2103" t="str">
            <v>Rancho La Cuchilla No. 18</v>
          </cell>
          <cell r="E2103" t="str">
            <v>Aldana Sánchez</v>
          </cell>
          <cell r="F2103">
            <v>300</v>
          </cell>
          <cell r="G2103">
            <v>1</v>
          </cell>
          <cell r="H2103">
            <v>300</v>
          </cell>
          <cell r="I2103">
            <v>41532</v>
          </cell>
          <cell r="J2103">
            <v>0</v>
          </cell>
          <cell r="W2103">
            <v>0</v>
          </cell>
          <cell r="AF2103">
            <v>300</v>
          </cell>
          <cell r="AJ2103">
            <v>300</v>
          </cell>
          <cell r="AW2103">
            <v>0</v>
          </cell>
        </row>
        <row r="2104">
          <cell r="B2104">
            <v>5629</v>
          </cell>
          <cell r="C2104" t="str">
            <v>CL_115_</v>
          </cell>
          <cell r="D2104" t="str">
            <v>Rancho La Cuchilla No. 115</v>
          </cell>
          <cell r="E2104" t="str">
            <v>Alfaro</v>
          </cell>
          <cell r="F2104">
            <v>300</v>
          </cell>
          <cell r="G2104">
            <v>1</v>
          </cell>
          <cell r="H2104">
            <v>900</v>
          </cell>
          <cell r="I2104">
            <v>41532</v>
          </cell>
          <cell r="J2104">
            <v>0</v>
          </cell>
          <cell r="W2104">
            <v>0</v>
          </cell>
          <cell r="AD2104">
            <v>300</v>
          </cell>
          <cell r="AE2104">
            <v>300</v>
          </cell>
          <cell r="AF2104">
            <v>300</v>
          </cell>
          <cell r="AJ2104">
            <v>900</v>
          </cell>
          <cell r="AW2104">
            <v>0</v>
          </cell>
        </row>
        <row r="2105">
          <cell r="B2105">
            <v>57</v>
          </cell>
          <cell r="C2105" t="str">
            <v>CM_130_A</v>
          </cell>
          <cell r="D2105" t="str">
            <v>Rancho Estanzuela No. 130, A</v>
          </cell>
          <cell r="E2105" t="str">
            <v>Colegio Carmel</v>
          </cell>
          <cell r="F2105">
            <v>10000</v>
          </cell>
          <cell r="G2105">
            <v>1</v>
          </cell>
          <cell r="H2105">
            <v>10000</v>
          </cell>
          <cell r="I2105">
            <v>41540</v>
          </cell>
          <cell r="J2105">
            <v>0</v>
          </cell>
          <cell r="W2105">
            <v>0</v>
          </cell>
          <cell r="AF2105">
            <v>10000</v>
          </cell>
          <cell r="AJ2105">
            <v>10000</v>
          </cell>
          <cell r="AW2105">
            <v>0</v>
          </cell>
        </row>
        <row r="2106">
          <cell r="B2106">
            <v>5630</v>
          </cell>
          <cell r="C2106" t="str">
            <v>UP_124_</v>
          </cell>
          <cell r="D2106" t="str">
            <v>Rancho Upácuaro No. 124</v>
          </cell>
          <cell r="E2106" t="str">
            <v>Reyes Nicandro</v>
          </cell>
          <cell r="F2106">
            <v>300</v>
          </cell>
          <cell r="G2106">
            <v>1</v>
          </cell>
          <cell r="H2106">
            <v>300</v>
          </cell>
          <cell r="I2106">
            <v>41537</v>
          </cell>
          <cell r="J2106">
            <v>0</v>
          </cell>
          <cell r="W2106">
            <v>0</v>
          </cell>
          <cell r="AE2106">
            <v>300</v>
          </cell>
          <cell r="AJ2106">
            <v>300</v>
          </cell>
          <cell r="AW2106">
            <v>0</v>
          </cell>
        </row>
        <row r="2107">
          <cell r="B2107">
            <v>5631</v>
          </cell>
          <cell r="C2107" t="str">
            <v>CL_63_</v>
          </cell>
          <cell r="D2107" t="str">
            <v>Rancho La Cuchilla No. 63</v>
          </cell>
          <cell r="E2107" t="str">
            <v>Díaz de la Rosa</v>
          </cell>
          <cell r="F2107">
            <v>300</v>
          </cell>
          <cell r="G2107">
            <v>3</v>
          </cell>
          <cell r="H2107">
            <v>160</v>
          </cell>
          <cell r="I2107">
            <v>41537</v>
          </cell>
          <cell r="J2107" t="str">
            <v>NO SUMA</v>
          </cell>
          <cell r="W2107">
            <v>0</v>
          </cell>
          <cell r="AJ2107">
            <v>0</v>
          </cell>
          <cell r="AW2107">
            <v>0</v>
          </cell>
        </row>
        <row r="2108">
          <cell r="B2108">
            <v>5632</v>
          </cell>
          <cell r="C2108" t="str">
            <v>UP_94_</v>
          </cell>
          <cell r="D2108" t="str">
            <v>Rancho Upácuaro No. 94</v>
          </cell>
          <cell r="E2108" t="str">
            <v>Juárez Patiño</v>
          </cell>
          <cell r="F2108">
            <v>300</v>
          </cell>
          <cell r="G2108">
            <v>1</v>
          </cell>
          <cell r="H2108">
            <v>900</v>
          </cell>
          <cell r="I2108">
            <v>41539</v>
          </cell>
          <cell r="J2108">
            <v>0</v>
          </cell>
          <cell r="W2108">
            <v>0</v>
          </cell>
          <cell r="AG2108">
            <v>300</v>
          </cell>
          <cell r="AH2108">
            <v>300</v>
          </cell>
          <cell r="AI2108">
            <v>300</v>
          </cell>
          <cell r="AJ2108">
            <v>900</v>
          </cell>
          <cell r="AW2108">
            <v>0</v>
          </cell>
        </row>
        <row r="2109">
          <cell r="B2109">
            <v>5633</v>
          </cell>
          <cell r="C2109" t="str">
            <v>UP_19_</v>
          </cell>
          <cell r="D2109" t="str">
            <v>Rancho Upácuaro No. 19</v>
          </cell>
          <cell r="E2109" t="str">
            <v>Peña Inclán</v>
          </cell>
          <cell r="F2109">
            <v>200</v>
          </cell>
          <cell r="G2109">
            <v>1</v>
          </cell>
          <cell r="H2109">
            <v>400</v>
          </cell>
          <cell r="I2109">
            <v>41539</v>
          </cell>
          <cell r="J2109">
            <v>0</v>
          </cell>
          <cell r="W2109">
            <v>0</v>
          </cell>
          <cell r="AE2109">
            <v>200</v>
          </cell>
          <cell r="AF2109">
            <v>200</v>
          </cell>
          <cell r="AJ2109">
            <v>400</v>
          </cell>
          <cell r="AW2109">
            <v>0</v>
          </cell>
        </row>
        <row r="2110">
          <cell r="B2110">
            <v>5634</v>
          </cell>
          <cell r="C2110" t="str">
            <v>LD_21_</v>
          </cell>
          <cell r="D2110" t="str">
            <v>Rancho Landero No. 21</v>
          </cell>
          <cell r="E2110" t="str">
            <v>Meza</v>
          </cell>
          <cell r="F2110">
            <v>300</v>
          </cell>
          <cell r="G2110">
            <v>1</v>
          </cell>
          <cell r="H2110">
            <v>600</v>
          </cell>
          <cell r="I2110">
            <v>41539</v>
          </cell>
          <cell r="J2110">
            <v>0</v>
          </cell>
          <cell r="W2110">
            <v>0</v>
          </cell>
          <cell r="AE2110">
            <v>300</v>
          </cell>
          <cell r="AF2110">
            <v>300</v>
          </cell>
          <cell r="AJ2110">
            <v>600</v>
          </cell>
          <cell r="AW2110">
            <v>0</v>
          </cell>
        </row>
        <row r="2111">
          <cell r="B2111">
            <v>5635</v>
          </cell>
          <cell r="C2111" t="str">
            <v>UP_88_</v>
          </cell>
          <cell r="D2111" t="str">
            <v>Rancho Upácuaro No. 88</v>
          </cell>
          <cell r="E2111" t="str">
            <v>Millán Núñez</v>
          </cell>
          <cell r="F2111">
            <v>300</v>
          </cell>
          <cell r="G2111">
            <v>1</v>
          </cell>
          <cell r="H2111">
            <v>300</v>
          </cell>
          <cell r="I2111">
            <v>41539</v>
          </cell>
          <cell r="J2111">
            <v>0</v>
          </cell>
          <cell r="W2111">
            <v>0</v>
          </cell>
          <cell r="AG2111">
            <v>300</v>
          </cell>
          <cell r="AJ2111">
            <v>300</v>
          </cell>
          <cell r="AW2111">
            <v>0</v>
          </cell>
        </row>
        <row r="2112">
          <cell r="B2112">
            <v>5636</v>
          </cell>
          <cell r="C2112" t="str">
            <v>UP_88_</v>
          </cell>
          <cell r="D2112" t="str">
            <v>Rancho Upácuaro No. 88</v>
          </cell>
          <cell r="E2112" t="str">
            <v>Millán Núñez</v>
          </cell>
          <cell r="F2112">
            <v>300</v>
          </cell>
          <cell r="G2112">
            <v>4</v>
          </cell>
          <cell r="H2112">
            <v>160</v>
          </cell>
          <cell r="I2112">
            <v>41539</v>
          </cell>
          <cell r="J2112" t="str">
            <v>NO SUMA</v>
          </cell>
          <cell r="W2112">
            <v>0</v>
          </cell>
          <cell r="AJ2112">
            <v>0</v>
          </cell>
          <cell r="AW2112">
            <v>0</v>
          </cell>
        </row>
        <row r="2113">
          <cell r="B2113">
            <v>5637</v>
          </cell>
          <cell r="C2113" t="str">
            <v>EP_22_A</v>
          </cell>
          <cell r="D2113" t="str">
            <v>Rancho Estopila No. 22, A</v>
          </cell>
          <cell r="E2113" t="str">
            <v>Ayala Carranza</v>
          </cell>
          <cell r="F2113">
            <v>150</v>
          </cell>
          <cell r="G2113">
            <v>1</v>
          </cell>
          <cell r="H2113">
            <v>150</v>
          </cell>
          <cell r="I2113">
            <v>41539</v>
          </cell>
          <cell r="J2113">
            <v>0</v>
          </cell>
          <cell r="W2113">
            <v>0</v>
          </cell>
          <cell r="AF2113">
            <v>150</v>
          </cell>
          <cell r="AJ2113">
            <v>150</v>
          </cell>
          <cell r="AW2113">
            <v>0</v>
          </cell>
        </row>
        <row r="2114">
          <cell r="B2114">
            <v>5638</v>
          </cell>
          <cell r="C2114" t="str">
            <v>RM_30_</v>
          </cell>
          <cell r="D2114" t="str">
            <v>Rancho Romeral No. 30</v>
          </cell>
          <cell r="E2114" t="str">
            <v>Osorio</v>
          </cell>
          <cell r="F2114">
            <v>200</v>
          </cell>
          <cell r="G2114">
            <v>1</v>
          </cell>
          <cell r="H2114">
            <v>200</v>
          </cell>
          <cell r="I2114">
            <v>41539</v>
          </cell>
          <cell r="J2114">
            <v>0</v>
          </cell>
          <cell r="W2114">
            <v>0</v>
          </cell>
          <cell r="AF2114">
            <v>200</v>
          </cell>
          <cell r="AJ2114">
            <v>200</v>
          </cell>
          <cell r="AW2114">
            <v>0</v>
          </cell>
        </row>
        <row r="2115">
          <cell r="B2115">
            <v>5639</v>
          </cell>
          <cell r="C2115" t="str">
            <v>LD_24_</v>
          </cell>
          <cell r="D2115" t="str">
            <v>Rancho Landero No. 24</v>
          </cell>
          <cell r="E2115" t="str">
            <v>Vázquez Peralta</v>
          </cell>
          <cell r="F2115">
            <v>300</v>
          </cell>
          <cell r="G2115">
            <v>1</v>
          </cell>
          <cell r="H2115">
            <v>600</v>
          </cell>
          <cell r="I2115">
            <v>41539</v>
          </cell>
          <cell r="J2115">
            <v>0</v>
          </cell>
          <cell r="W2115">
            <v>0</v>
          </cell>
          <cell r="AE2115">
            <v>300</v>
          </cell>
          <cell r="AF2115">
            <v>300</v>
          </cell>
          <cell r="AJ2115">
            <v>600</v>
          </cell>
          <cell r="AW2115">
            <v>0</v>
          </cell>
        </row>
        <row r="2116">
          <cell r="B2116">
            <v>5640</v>
          </cell>
          <cell r="C2116" t="str">
            <v>CL_66_</v>
          </cell>
          <cell r="D2116" t="str">
            <v>Rancho La Cuchilla No. 66</v>
          </cell>
          <cell r="E2116" t="str">
            <v>Prieto</v>
          </cell>
          <cell r="F2116">
            <v>300</v>
          </cell>
          <cell r="G2116">
            <v>1</v>
          </cell>
          <cell r="H2116">
            <v>300</v>
          </cell>
          <cell r="I2116">
            <v>41539</v>
          </cell>
          <cell r="J2116">
            <v>0</v>
          </cell>
          <cell r="W2116">
            <v>0</v>
          </cell>
          <cell r="AF2116">
            <v>300</v>
          </cell>
          <cell r="AJ2116">
            <v>300</v>
          </cell>
          <cell r="AW2116">
            <v>0</v>
          </cell>
        </row>
        <row r="2117">
          <cell r="B2117">
            <v>5641</v>
          </cell>
          <cell r="C2117" t="str">
            <v>EZ_63_</v>
          </cell>
          <cell r="D2117" t="str">
            <v>Rancho Estanzuela No. 63</v>
          </cell>
          <cell r="E2117" t="str">
            <v>Mendoza Q.</v>
          </cell>
          <cell r="F2117">
            <v>200</v>
          </cell>
          <cell r="G2117">
            <v>1</v>
          </cell>
          <cell r="H2117">
            <v>1200</v>
          </cell>
          <cell r="I2117">
            <v>41539</v>
          </cell>
          <cell r="J2117">
            <v>0</v>
          </cell>
          <cell r="W2117">
            <v>0</v>
          </cell>
          <cell r="AD2117">
            <v>200</v>
          </cell>
          <cell r="AE2117">
            <v>200</v>
          </cell>
          <cell r="AF2117">
            <v>200</v>
          </cell>
          <cell r="AG2117">
            <v>200</v>
          </cell>
          <cell r="AH2117">
            <v>200</v>
          </cell>
          <cell r="AI2117">
            <v>200</v>
          </cell>
          <cell r="AJ2117">
            <v>1200</v>
          </cell>
          <cell r="AW2117">
            <v>0</v>
          </cell>
        </row>
        <row r="2118">
          <cell r="B2118">
            <v>5642</v>
          </cell>
          <cell r="C2118" t="str">
            <v>EZ_139_</v>
          </cell>
          <cell r="D2118" t="str">
            <v>Rancho Estanzuela No. 139</v>
          </cell>
          <cell r="E2118" t="str">
            <v>Ortiz</v>
          </cell>
          <cell r="F2118">
            <v>300</v>
          </cell>
          <cell r="G2118">
            <v>1</v>
          </cell>
          <cell r="H2118">
            <v>300</v>
          </cell>
          <cell r="I2118">
            <v>41539</v>
          </cell>
          <cell r="J2118">
            <v>0</v>
          </cell>
          <cell r="W2118">
            <v>0</v>
          </cell>
          <cell r="AG2118">
            <v>300</v>
          </cell>
          <cell r="AJ2118">
            <v>300</v>
          </cell>
          <cell r="AW2118">
            <v>0</v>
          </cell>
        </row>
        <row r="2119">
          <cell r="B2119">
            <v>5643</v>
          </cell>
          <cell r="C2119" t="str">
            <v>LD_73_</v>
          </cell>
          <cell r="D2119" t="str">
            <v>Rancho Landero No. 73</v>
          </cell>
          <cell r="E2119" t="str">
            <v>Islas Palacios</v>
          </cell>
          <cell r="F2119">
            <v>300</v>
          </cell>
          <cell r="G2119">
            <v>1</v>
          </cell>
          <cell r="H2119">
            <v>300</v>
          </cell>
          <cell r="I2119">
            <v>41539</v>
          </cell>
          <cell r="J2119">
            <v>0</v>
          </cell>
          <cell r="W2119">
            <v>0</v>
          </cell>
          <cell r="AF2119">
            <v>300</v>
          </cell>
          <cell r="AJ2119">
            <v>300</v>
          </cell>
          <cell r="AW2119">
            <v>0</v>
          </cell>
        </row>
        <row r="2120">
          <cell r="B2120">
            <v>5644</v>
          </cell>
          <cell r="C2120" t="str">
            <v>CL_97_</v>
          </cell>
          <cell r="D2120" t="str">
            <v>Rancho La Cuchilla No. 97</v>
          </cell>
          <cell r="E2120" t="str">
            <v>López Ruiz</v>
          </cell>
          <cell r="F2120">
            <v>300</v>
          </cell>
          <cell r="G2120">
            <v>1</v>
          </cell>
          <cell r="H2120">
            <v>300</v>
          </cell>
          <cell r="I2120">
            <v>41539</v>
          </cell>
          <cell r="J2120">
            <v>0</v>
          </cell>
          <cell r="W2120">
            <v>0</v>
          </cell>
          <cell r="AF2120">
            <v>300</v>
          </cell>
          <cell r="AJ2120">
            <v>300</v>
          </cell>
          <cell r="AW2120">
            <v>0</v>
          </cell>
        </row>
        <row r="2121">
          <cell r="B2121">
            <v>5645</v>
          </cell>
          <cell r="C2121" t="str">
            <v>UP_54_</v>
          </cell>
          <cell r="D2121" t="str">
            <v>Rancho Upácuaro No. 54</v>
          </cell>
          <cell r="E2121" t="str">
            <v>García Rueda</v>
          </cell>
          <cell r="F2121">
            <v>200</v>
          </cell>
          <cell r="G2121">
            <v>1</v>
          </cell>
          <cell r="H2121">
            <v>400</v>
          </cell>
          <cell r="I2121">
            <v>41539</v>
          </cell>
          <cell r="J2121">
            <v>0</v>
          </cell>
          <cell r="W2121">
            <v>0</v>
          </cell>
          <cell r="AE2121">
            <v>200</v>
          </cell>
          <cell r="AF2121">
            <v>200</v>
          </cell>
          <cell r="AJ2121">
            <v>400</v>
          </cell>
          <cell r="AW2121">
            <v>0</v>
          </cell>
        </row>
        <row r="2122">
          <cell r="B2122">
            <v>5646</v>
          </cell>
          <cell r="C2122" t="str">
            <v>RV_193_</v>
          </cell>
          <cell r="D2122" t="str">
            <v>Rancho Recoveco No. 193</v>
          </cell>
          <cell r="E2122" t="str">
            <v>Salazar Pérez</v>
          </cell>
          <cell r="F2122">
            <v>300</v>
          </cell>
          <cell r="G2122">
            <v>1</v>
          </cell>
          <cell r="H2122">
            <v>300</v>
          </cell>
          <cell r="I2122">
            <v>41539</v>
          </cell>
          <cell r="J2122">
            <v>0</v>
          </cell>
          <cell r="W2122">
            <v>0</v>
          </cell>
          <cell r="AF2122">
            <v>300</v>
          </cell>
          <cell r="AJ2122">
            <v>300</v>
          </cell>
          <cell r="AW2122">
            <v>0</v>
          </cell>
        </row>
        <row r="2123">
          <cell r="B2123">
            <v>5647</v>
          </cell>
          <cell r="C2123" t="str">
            <v>CL_7_101</v>
          </cell>
          <cell r="D2123" t="str">
            <v>Rancho La Cuchilla No. 7, 101</v>
          </cell>
          <cell r="E2123" t="str">
            <v>Olivares</v>
          </cell>
          <cell r="F2123">
            <v>100</v>
          </cell>
          <cell r="G2123">
            <v>1</v>
          </cell>
          <cell r="H2123">
            <v>500</v>
          </cell>
          <cell r="I2123">
            <v>41539</v>
          </cell>
          <cell r="J2123">
            <v>0</v>
          </cell>
          <cell r="W2123">
            <v>0</v>
          </cell>
          <cell r="AB2123">
            <v>100</v>
          </cell>
          <cell r="AC2123">
            <v>100</v>
          </cell>
          <cell r="AD2123">
            <v>100</v>
          </cell>
          <cell r="AE2123">
            <v>100</v>
          </cell>
          <cell r="AF2123">
            <v>100</v>
          </cell>
          <cell r="AJ2123">
            <v>500</v>
          </cell>
          <cell r="AW2123">
            <v>0</v>
          </cell>
        </row>
        <row r="2124">
          <cell r="B2124">
            <v>5648</v>
          </cell>
          <cell r="C2124" t="str">
            <v>LD_69_</v>
          </cell>
          <cell r="D2124" t="str">
            <v>Rancho Landero No. 69</v>
          </cell>
          <cell r="E2124" t="str">
            <v>Gómez Ayala</v>
          </cell>
          <cell r="F2124">
            <v>300</v>
          </cell>
          <cell r="G2124">
            <v>1</v>
          </cell>
          <cell r="H2124">
            <v>600</v>
          </cell>
          <cell r="I2124">
            <v>41539</v>
          </cell>
          <cell r="J2124">
            <v>0</v>
          </cell>
          <cell r="W2124">
            <v>0</v>
          </cell>
          <cell r="AE2124">
            <v>300</v>
          </cell>
          <cell r="AF2124">
            <v>300</v>
          </cell>
          <cell r="AJ2124">
            <v>600</v>
          </cell>
          <cell r="AW2124">
            <v>0</v>
          </cell>
        </row>
        <row r="2125">
          <cell r="B2125">
            <v>5649</v>
          </cell>
          <cell r="C2125" t="str">
            <v>EZ_79_</v>
          </cell>
          <cell r="D2125" t="str">
            <v>Rancho Estanzuela No. 79</v>
          </cell>
          <cell r="E2125" t="str">
            <v>Mendoza</v>
          </cell>
          <cell r="F2125">
            <v>300</v>
          </cell>
          <cell r="G2125">
            <v>1</v>
          </cell>
          <cell r="H2125">
            <v>600</v>
          </cell>
          <cell r="I2125">
            <v>41539</v>
          </cell>
          <cell r="J2125">
            <v>0</v>
          </cell>
          <cell r="W2125">
            <v>0</v>
          </cell>
          <cell r="AD2125">
            <v>300</v>
          </cell>
          <cell r="AE2125">
            <v>300</v>
          </cell>
          <cell r="AJ2125">
            <v>600</v>
          </cell>
          <cell r="AW2125">
            <v>0</v>
          </cell>
        </row>
        <row r="2126">
          <cell r="B2126">
            <v>5650</v>
          </cell>
          <cell r="C2126" t="str">
            <v>LD_62_</v>
          </cell>
          <cell r="D2126" t="str">
            <v>Rancho Landero No. 62</v>
          </cell>
          <cell r="E2126" t="str">
            <v>Narvaez Sara</v>
          </cell>
          <cell r="F2126">
            <v>300</v>
          </cell>
          <cell r="G2126">
            <v>1</v>
          </cell>
          <cell r="H2126">
            <v>600</v>
          </cell>
          <cell r="I2126">
            <v>41539</v>
          </cell>
          <cell r="J2126">
            <v>0</v>
          </cell>
          <cell r="W2126">
            <v>0</v>
          </cell>
          <cell r="AE2126">
            <v>300</v>
          </cell>
          <cell r="AF2126">
            <v>300</v>
          </cell>
          <cell r="AJ2126">
            <v>600</v>
          </cell>
          <cell r="AW2126">
            <v>0</v>
          </cell>
        </row>
        <row r="2127">
          <cell r="B2127">
            <v>5651</v>
          </cell>
          <cell r="C2127" t="str">
            <v>RV_175_A</v>
          </cell>
          <cell r="D2127" t="str">
            <v>Rancho Recoveco No. 175, A</v>
          </cell>
          <cell r="E2127" t="str">
            <v>Pérez</v>
          </cell>
          <cell r="F2127">
            <v>300</v>
          </cell>
          <cell r="G2127">
            <v>1</v>
          </cell>
          <cell r="H2127">
            <v>300</v>
          </cell>
          <cell r="I2127">
            <v>41539</v>
          </cell>
          <cell r="J2127">
            <v>0</v>
          </cell>
          <cell r="W2127">
            <v>0</v>
          </cell>
          <cell r="AF2127">
            <v>300</v>
          </cell>
          <cell r="AJ2127">
            <v>300</v>
          </cell>
          <cell r="AW2127">
            <v>0</v>
          </cell>
        </row>
        <row r="2128">
          <cell r="B2128">
            <v>5652</v>
          </cell>
          <cell r="C2128" t="str">
            <v>UP_48_</v>
          </cell>
          <cell r="D2128" t="str">
            <v>Rancho Upácuaro No. 48</v>
          </cell>
          <cell r="E2128" t="str">
            <v>Bernal</v>
          </cell>
          <cell r="F2128">
            <v>200</v>
          </cell>
          <cell r="G2128">
            <v>1</v>
          </cell>
          <cell r="H2128">
            <v>200</v>
          </cell>
          <cell r="I2128">
            <v>41539</v>
          </cell>
          <cell r="J2128">
            <v>0</v>
          </cell>
          <cell r="W2128">
            <v>0</v>
          </cell>
          <cell r="AC2128">
            <v>200</v>
          </cell>
          <cell r="AJ2128">
            <v>200</v>
          </cell>
          <cell r="AW2128">
            <v>0</v>
          </cell>
        </row>
        <row r="2129">
          <cell r="B2129">
            <v>5653</v>
          </cell>
          <cell r="C2129" t="str">
            <v>CL_127_</v>
          </cell>
          <cell r="D2129" t="str">
            <v>Rancho La Cuchilla No. 127</v>
          </cell>
          <cell r="E2129" t="str">
            <v>Quiñones</v>
          </cell>
          <cell r="F2129">
            <v>300</v>
          </cell>
          <cell r="G2129">
            <v>1</v>
          </cell>
          <cell r="H2129">
            <v>900</v>
          </cell>
          <cell r="I2129">
            <v>41539</v>
          </cell>
          <cell r="J2129">
            <v>0</v>
          </cell>
          <cell r="W2129">
            <v>0</v>
          </cell>
          <cell r="AE2129">
            <v>300</v>
          </cell>
          <cell r="AF2129">
            <v>300</v>
          </cell>
          <cell r="AG2129">
            <v>300</v>
          </cell>
          <cell r="AJ2129">
            <v>900</v>
          </cell>
          <cell r="AW2129">
            <v>0</v>
          </cell>
        </row>
        <row r="2130">
          <cell r="B2130">
            <v>5654</v>
          </cell>
          <cell r="C2130" t="str">
            <v>EZ_11_B</v>
          </cell>
          <cell r="D2130" t="str">
            <v>Rancho Estanzuela No. 11, B</v>
          </cell>
          <cell r="E2130" t="str">
            <v>Gómez Miguel</v>
          </cell>
          <cell r="F2130">
            <v>200</v>
          </cell>
          <cell r="G2130">
            <v>1</v>
          </cell>
          <cell r="H2130">
            <v>200</v>
          </cell>
          <cell r="I2130">
            <v>41539</v>
          </cell>
          <cell r="J2130">
            <v>0</v>
          </cell>
          <cell r="W2130">
            <v>0</v>
          </cell>
          <cell r="AE2130">
            <v>200</v>
          </cell>
          <cell r="AJ2130">
            <v>200</v>
          </cell>
          <cell r="AW2130">
            <v>0</v>
          </cell>
        </row>
        <row r="2131">
          <cell r="B2131">
            <v>5655</v>
          </cell>
          <cell r="C2131" t="str">
            <v>UP_63_</v>
          </cell>
          <cell r="D2131" t="str">
            <v>Rancho Upácuaro No. 63</v>
          </cell>
          <cell r="E2131" t="str">
            <v>González Benavides</v>
          </cell>
          <cell r="F2131">
            <v>300</v>
          </cell>
          <cell r="G2131">
            <v>1</v>
          </cell>
          <cell r="H2131">
            <v>300</v>
          </cell>
          <cell r="I2131">
            <v>41539</v>
          </cell>
          <cell r="J2131">
            <v>0</v>
          </cell>
          <cell r="W2131">
            <v>0</v>
          </cell>
          <cell r="AG2131">
            <v>300</v>
          </cell>
          <cell r="AJ2131">
            <v>300</v>
          </cell>
          <cell r="AW2131">
            <v>0</v>
          </cell>
        </row>
        <row r="2132">
          <cell r="B2132">
            <v>5656</v>
          </cell>
          <cell r="C2132" t="str">
            <v>LD_84_</v>
          </cell>
          <cell r="D2132" t="str">
            <v>Rancho Landero No. 84</v>
          </cell>
          <cell r="E2132" t="str">
            <v>Alcántara</v>
          </cell>
          <cell r="F2132">
            <v>300</v>
          </cell>
          <cell r="G2132">
            <v>1</v>
          </cell>
          <cell r="H2132">
            <v>300</v>
          </cell>
          <cell r="I2132">
            <v>41539</v>
          </cell>
          <cell r="J2132">
            <v>0</v>
          </cell>
          <cell r="W2132">
            <v>0</v>
          </cell>
          <cell r="AF2132">
            <v>300</v>
          </cell>
          <cell r="AJ2132">
            <v>300</v>
          </cell>
          <cell r="AW2132">
            <v>0</v>
          </cell>
        </row>
        <row r="2133">
          <cell r="B2133">
            <v>5657</v>
          </cell>
          <cell r="C2133" t="str">
            <v>LD_68_</v>
          </cell>
          <cell r="D2133" t="str">
            <v>Rancho Landero No. 68</v>
          </cell>
          <cell r="E2133" t="str">
            <v>Moreno</v>
          </cell>
          <cell r="F2133">
            <v>300</v>
          </cell>
          <cell r="G2133">
            <v>1</v>
          </cell>
          <cell r="H2133">
            <v>600</v>
          </cell>
          <cell r="I2133">
            <v>41539</v>
          </cell>
          <cell r="J2133">
            <v>0</v>
          </cell>
          <cell r="W2133">
            <v>0</v>
          </cell>
          <cell r="AD2133">
            <v>300</v>
          </cell>
          <cell r="AE2133">
            <v>300</v>
          </cell>
          <cell r="AJ2133">
            <v>600</v>
          </cell>
          <cell r="AW2133">
            <v>0</v>
          </cell>
        </row>
        <row r="2134">
          <cell r="B2134">
            <v>5658</v>
          </cell>
          <cell r="C2134" t="str">
            <v>UP_65_</v>
          </cell>
          <cell r="D2134" t="str">
            <v>Rancho Upácuaro No. 65</v>
          </cell>
          <cell r="E2134" t="str">
            <v>Olguín</v>
          </cell>
          <cell r="F2134">
            <v>300</v>
          </cell>
          <cell r="G2134">
            <v>1</v>
          </cell>
          <cell r="H2134">
            <v>300</v>
          </cell>
          <cell r="I2134">
            <v>41539</v>
          </cell>
          <cell r="J2134">
            <v>0</v>
          </cell>
          <cell r="W2134">
            <v>0</v>
          </cell>
          <cell r="AF2134">
            <v>300</v>
          </cell>
          <cell r="AJ2134">
            <v>300</v>
          </cell>
          <cell r="AW2134">
            <v>0</v>
          </cell>
        </row>
        <row r="2135">
          <cell r="B2135">
            <v>5659</v>
          </cell>
          <cell r="C2135" t="str">
            <v>EZ_65_</v>
          </cell>
          <cell r="D2135" t="str">
            <v>Rancho Estanzuela No. 65</v>
          </cell>
          <cell r="E2135" t="str">
            <v>López Becerril</v>
          </cell>
          <cell r="F2135">
            <v>300</v>
          </cell>
          <cell r="G2135">
            <v>1</v>
          </cell>
          <cell r="H2135">
            <v>600</v>
          </cell>
          <cell r="I2135">
            <v>41539</v>
          </cell>
          <cell r="J2135">
            <v>0</v>
          </cell>
          <cell r="W2135">
            <v>0</v>
          </cell>
          <cell r="AF2135">
            <v>300</v>
          </cell>
          <cell r="AG2135">
            <v>300</v>
          </cell>
          <cell r="AJ2135">
            <v>600</v>
          </cell>
          <cell r="AW2135">
            <v>0</v>
          </cell>
        </row>
        <row r="2136">
          <cell r="B2136">
            <v>5660</v>
          </cell>
          <cell r="C2136" t="str">
            <v>CL_71_</v>
          </cell>
          <cell r="D2136" t="str">
            <v>Rancho La Cuchilla No. 71</v>
          </cell>
          <cell r="E2136" t="str">
            <v>Pulido</v>
          </cell>
          <cell r="F2136">
            <v>300</v>
          </cell>
          <cell r="G2136">
            <v>1</v>
          </cell>
          <cell r="H2136">
            <v>300</v>
          </cell>
          <cell r="I2136">
            <v>41539</v>
          </cell>
          <cell r="J2136">
            <v>0</v>
          </cell>
          <cell r="W2136">
            <v>0</v>
          </cell>
          <cell r="AF2136">
            <v>300</v>
          </cell>
          <cell r="AJ2136">
            <v>300</v>
          </cell>
          <cell r="AW2136">
            <v>0</v>
          </cell>
        </row>
        <row r="2137">
          <cell r="B2137">
            <v>5661</v>
          </cell>
          <cell r="C2137" t="str">
            <v>CL_110_</v>
          </cell>
          <cell r="D2137" t="str">
            <v>Rancho La Cuchilla No. 110</v>
          </cell>
          <cell r="E2137" t="str">
            <v>Domínguez Canudas</v>
          </cell>
          <cell r="F2137">
            <v>300</v>
          </cell>
          <cell r="G2137">
            <v>1</v>
          </cell>
          <cell r="H2137">
            <v>300</v>
          </cell>
          <cell r="I2137">
            <v>41539</v>
          </cell>
          <cell r="J2137">
            <v>0</v>
          </cell>
          <cell r="W2137">
            <v>0</v>
          </cell>
          <cell r="AF2137">
            <v>300</v>
          </cell>
          <cell r="AJ2137">
            <v>300</v>
          </cell>
          <cell r="AW2137">
            <v>0</v>
          </cell>
        </row>
        <row r="2138">
          <cell r="B2138">
            <v>5662</v>
          </cell>
          <cell r="D2138" t="str">
            <v/>
          </cell>
          <cell r="E2138" t="str">
            <v/>
          </cell>
          <cell r="F2138" t="str">
            <v/>
          </cell>
          <cell r="G2138">
            <v>8</v>
          </cell>
          <cell r="I2138">
            <v>41539</v>
          </cell>
          <cell r="J2138" t="str">
            <v>NO SUMA</v>
          </cell>
          <cell r="W2138">
            <v>0</v>
          </cell>
          <cell r="AJ2138">
            <v>0</v>
          </cell>
          <cell r="AW2138">
            <v>0</v>
          </cell>
        </row>
        <row r="2139">
          <cell r="B2139">
            <v>5663</v>
          </cell>
          <cell r="C2139" t="str">
            <v>RV_175_B</v>
          </cell>
          <cell r="D2139" t="str">
            <v>Rancho Recoveco No. 175, B</v>
          </cell>
          <cell r="E2139" t="str">
            <v>García Calderón</v>
          </cell>
          <cell r="F2139">
            <v>150</v>
          </cell>
          <cell r="G2139">
            <v>1</v>
          </cell>
          <cell r="H2139">
            <v>200</v>
          </cell>
          <cell r="I2139">
            <v>41539</v>
          </cell>
          <cell r="J2139">
            <v>0</v>
          </cell>
          <cell r="W2139">
            <v>0</v>
          </cell>
          <cell r="AF2139">
            <v>200</v>
          </cell>
          <cell r="AJ2139">
            <v>200</v>
          </cell>
          <cell r="AW2139">
            <v>0</v>
          </cell>
        </row>
        <row r="2140">
          <cell r="B2140">
            <v>5664</v>
          </cell>
          <cell r="C2140" t="str">
            <v>CL_129_</v>
          </cell>
          <cell r="D2140" t="str">
            <v>Rancho La Cuchilla No. 129</v>
          </cell>
          <cell r="E2140" t="str">
            <v>Gamboa Rueda</v>
          </cell>
          <cell r="F2140">
            <v>200</v>
          </cell>
          <cell r="G2140">
            <v>1</v>
          </cell>
          <cell r="H2140">
            <v>400</v>
          </cell>
          <cell r="I2140">
            <v>41539</v>
          </cell>
          <cell r="J2140">
            <v>0</v>
          </cell>
          <cell r="W2140">
            <v>0</v>
          </cell>
          <cell r="AF2140">
            <v>200</v>
          </cell>
          <cell r="AG2140">
            <v>200</v>
          </cell>
          <cell r="AJ2140">
            <v>400</v>
          </cell>
          <cell r="AW2140">
            <v>0</v>
          </cell>
        </row>
        <row r="2141">
          <cell r="B2141">
            <v>5665</v>
          </cell>
          <cell r="C2141" t="str">
            <v>EZ_55_</v>
          </cell>
          <cell r="D2141" t="str">
            <v>Rancho Estanzuela No. 55</v>
          </cell>
          <cell r="E2141" t="str">
            <v>Rodríguez Acevedo</v>
          </cell>
          <cell r="F2141">
            <v>300</v>
          </cell>
          <cell r="G2141">
            <v>4</v>
          </cell>
          <cell r="H2141">
            <v>160</v>
          </cell>
          <cell r="I2141">
            <v>41539</v>
          </cell>
          <cell r="J2141" t="str">
            <v>NO SUMA</v>
          </cell>
          <cell r="W2141">
            <v>0</v>
          </cell>
          <cell r="AJ2141">
            <v>0</v>
          </cell>
          <cell r="AW2141">
            <v>0</v>
          </cell>
        </row>
        <row r="2142">
          <cell r="B2142">
            <v>5666</v>
          </cell>
          <cell r="C2142" t="str">
            <v>EZ_69_</v>
          </cell>
          <cell r="D2142" t="str">
            <v>Rancho Estanzuela No. 69</v>
          </cell>
          <cell r="E2142" t="str">
            <v>Apaez</v>
          </cell>
          <cell r="F2142">
            <v>300</v>
          </cell>
          <cell r="G2142">
            <v>1</v>
          </cell>
          <cell r="H2142">
            <v>300</v>
          </cell>
          <cell r="I2142">
            <v>41539</v>
          </cell>
          <cell r="J2142">
            <v>0</v>
          </cell>
          <cell r="W2142">
            <v>0</v>
          </cell>
          <cell r="AF2142">
            <v>300</v>
          </cell>
          <cell r="AJ2142">
            <v>300</v>
          </cell>
          <cell r="AW2142">
            <v>0</v>
          </cell>
        </row>
        <row r="2143">
          <cell r="B2143">
            <v>5667</v>
          </cell>
          <cell r="C2143" t="str">
            <v>LD_33_</v>
          </cell>
          <cell r="D2143" t="str">
            <v>Rancho Landero No. 33</v>
          </cell>
          <cell r="E2143" t="str">
            <v>González Uribe</v>
          </cell>
          <cell r="F2143">
            <v>300</v>
          </cell>
          <cell r="G2143">
            <v>1</v>
          </cell>
          <cell r="H2143">
            <v>600</v>
          </cell>
          <cell r="I2143">
            <v>41539</v>
          </cell>
          <cell r="J2143">
            <v>0</v>
          </cell>
          <cell r="W2143">
            <v>0</v>
          </cell>
          <cell r="AE2143">
            <v>300</v>
          </cell>
          <cell r="AF2143">
            <v>300</v>
          </cell>
          <cell r="AJ2143">
            <v>600</v>
          </cell>
          <cell r="AW2143">
            <v>0</v>
          </cell>
        </row>
        <row r="2144">
          <cell r="B2144">
            <v>5668</v>
          </cell>
          <cell r="C2144" t="str">
            <v>ZB_24_</v>
          </cell>
          <cell r="D2144" t="str">
            <v>Rancho Zinamba No. 24</v>
          </cell>
          <cell r="E2144" t="str">
            <v>Monroy García</v>
          </cell>
          <cell r="F2144">
            <v>300</v>
          </cell>
          <cell r="G2144">
            <v>1</v>
          </cell>
          <cell r="H2144">
            <v>300</v>
          </cell>
          <cell r="I2144">
            <v>41539</v>
          </cell>
          <cell r="J2144">
            <v>0</v>
          </cell>
          <cell r="W2144">
            <v>0</v>
          </cell>
          <cell r="AF2144">
            <v>300</v>
          </cell>
          <cell r="AJ2144">
            <v>300</v>
          </cell>
          <cell r="AW2144">
            <v>0</v>
          </cell>
        </row>
        <row r="2145">
          <cell r="B2145">
            <v>5669</v>
          </cell>
          <cell r="C2145" t="str">
            <v>CL_43_A</v>
          </cell>
          <cell r="D2145" t="str">
            <v>Rancho La Cuchilla No. 43, A</v>
          </cell>
          <cell r="E2145" t="str">
            <v>De la Rosa</v>
          </cell>
          <cell r="F2145">
            <v>200</v>
          </cell>
          <cell r="G2145">
            <v>1</v>
          </cell>
          <cell r="H2145">
            <v>200</v>
          </cell>
          <cell r="I2145">
            <v>41539</v>
          </cell>
          <cell r="J2145">
            <v>0</v>
          </cell>
          <cell r="W2145">
            <v>0</v>
          </cell>
          <cell r="AE2145">
            <v>200</v>
          </cell>
          <cell r="AJ2145">
            <v>200</v>
          </cell>
          <cell r="AW2145">
            <v>0</v>
          </cell>
        </row>
        <row r="2146">
          <cell r="B2146">
            <v>5670</v>
          </cell>
          <cell r="C2146" t="str">
            <v>RV_175_0</v>
          </cell>
          <cell r="D2146" t="str">
            <v>Rancho Recoveco No. 175</v>
          </cell>
          <cell r="E2146" t="str">
            <v>Ramírez</v>
          </cell>
          <cell r="F2146">
            <v>300</v>
          </cell>
          <cell r="G2146">
            <v>1</v>
          </cell>
          <cell r="H2146">
            <v>600</v>
          </cell>
          <cell r="I2146">
            <v>41539</v>
          </cell>
          <cell r="J2146">
            <v>0</v>
          </cell>
          <cell r="W2146">
            <v>0</v>
          </cell>
          <cell r="AF2146">
            <v>300</v>
          </cell>
          <cell r="AG2146">
            <v>300</v>
          </cell>
          <cell r="AJ2146">
            <v>600</v>
          </cell>
          <cell r="AW2146">
            <v>0</v>
          </cell>
        </row>
        <row r="2147">
          <cell r="B2147">
            <v>5671</v>
          </cell>
          <cell r="C2147" t="str">
            <v>UP_96_</v>
          </cell>
          <cell r="D2147" t="str">
            <v>Rancho Upácuaro No. 96</v>
          </cell>
          <cell r="E2147" t="str">
            <v>Daza Gutiérrez</v>
          </cell>
          <cell r="F2147">
            <v>300</v>
          </cell>
          <cell r="G2147">
            <v>1</v>
          </cell>
          <cell r="H2147">
            <v>300</v>
          </cell>
          <cell r="I2147">
            <v>41539</v>
          </cell>
          <cell r="J2147">
            <v>0</v>
          </cell>
          <cell r="W2147">
            <v>0</v>
          </cell>
          <cell r="AF2147">
            <v>300</v>
          </cell>
          <cell r="AJ2147">
            <v>300</v>
          </cell>
          <cell r="AW2147">
            <v>0</v>
          </cell>
        </row>
        <row r="2148">
          <cell r="B2148">
            <v>5672</v>
          </cell>
          <cell r="C2148" t="str">
            <v>CL_46_</v>
          </cell>
          <cell r="D2148" t="str">
            <v>Rancho La Cuchilla No. 46</v>
          </cell>
          <cell r="E2148" t="str">
            <v>Cruz López</v>
          </cell>
          <cell r="F2148">
            <v>300</v>
          </cell>
          <cell r="G2148">
            <v>1</v>
          </cell>
          <cell r="H2148">
            <v>600</v>
          </cell>
          <cell r="I2148">
            <v>41539</v>
          </cell>
          <cell r="J2148">
            <v>0</v>
          </cell>
          <cell r="W2148">
            <v>0</v>
          </cell>
          <cell r="AF2148">
            <v>300</v>
          </cell>
          <cell r="AG2148">
            <v>300</v>
          </cell>
          <cell r="AJ2148">
            <v>600</v>
          </cell>
          <cell r="AW2148">
            <v>0</v>
          </cell>
        </row>
        <row r="2149">
          <cell r="B2149">
            <v>5673</v>
          </cell>
          <cell r="C2149" t="str">
            <v>RV_3_</v>
          </cell>
          <cell r="D2149" t="str">
            <v>Rancho Recoveco No. 3</v>
          </cell>
          <cell r="E2149" t="str">
            <v>Garduño</v>
          </cell>
          <cell r="F2149">
            <v>300</v>
          </cell>
          <cell r="G2149">
            <v>1</v>
          </cell>
          <cell r="H2149">
            <v>300</v>
          </cell>
          <cell r="I2149">
            <v>41539</v>
          </cell>
          <cell r="J2149">
            <v>0</v>
          </cell>
          <cell r="W2149">
            <v>0</v>
          </cell>
          <cell r="AF2149">
            <v>300</v>
          </cell>
          <cell r="AJ2149">
            <v>300</v>
          </cell>
          <cell r="AW2149">
            <v>0</v>
          </cell>
        </row>
        <row r="2150">
          <cell r="B2150">
            <v>5674</v>
          </cell>
          <cell r="C2150" t="str">
            <v>UP_80_</v>
          </cell>
          <cell r="D2150" t="str">
            <v>Rancho Upácuaro No. 80</v>
          </cell>
          <cell r="E2150" t="str">
            <v>De los Ríos</v>
          </cell>
          <cell r="F2150">
            <v>300</v>
          </cell>
          <cell r="G2150">
            <v>1</v>
          </cell>
          <cell r="H2150">
            <v>600</v>
          </cell>
          <cell r="I2150">
            <v>41539</v>
          </cell>
          <cell r="J2150">
            <v>0</v>
          </cell>
          <cell r="W2150">
            <v>0</v>
          </cell>
          <cell r="AF2150">
            <v>300</v>
          </cell>
          <cell r="AG2150">
            <v>300</v>
          </cell>
          <cell r="AJ2150">
            <v>600</v>
          </cell>
          <cell r="AW2150">
            <v>0</v>
          </cell>
        </row>
        <row r="2151">
          <cell r="B2151">
            <v>5674</v>
          </cell>
          <cell r="C2151" t="str">
            <v>UP_80_</v>
          </cell>
          <cell r="D2151" t="str">
            <v>Rancho Upácuaro No. 80</v>
          </cell>
          <cell r="E2151" t="str">
            <v>De los Ríos</v>
          </cell>
          <cell r="F2151">
            <v>300</v>
          </cell>
          <cell r="G2151">
            <v>3</v>
          </cell>
          <cell r="H2151">
            <v>160</v>
          </cell>
          <cell r="I2151">
            <v>41539</v>
          </cell>
          <cell r="J2151" t="str">
            <v>NO SUMA</v>
          </cell>
          <cell r="W2151">
            <v>0</v>
          </cell>
          <cell r="AJ2151">
            <v>0</v>
          </cell>
          <cell r="AW2151">
            <v>0</v>
          </cell>
        </row>
        <row r="2152">
          <cell r="B2152">
            <v>5674</v>
          </cell>
          <cell r="C2152" t="str">
            <v>UP_80_</v>
          </cell>
          <cell r="D2152" t="str">
            <v>Rancho Upácuaro No. 80</v>
          </cell>
          <cell r="E2152" t="str">
            <v>De los Ríos</v>
          </cell>
          <cell r="F2152">
            <v>300</v>
          </cell>
          <cell r="G2152">
            <v>4</v>
          </cell>
          <cell r="H2152">
            <v>160</v>
          </cell>
          <cell r="I2152">
            <v>41539</v>
          </cell>
          <cell r="J2152" t="str">
            <v>NO SUMA</v>
          </cell>
          <cell r="W2152">
            <v>0</v>
          </cell>
          <cell r="AJ2152">
            <v>0</v>
          </cell>
          <cell r="AW2152">
            <v>0</v>
          </cell>
        </row>
        <row r="2153">
          <cell r="B2153">
            <v>5675</v>
          </cell>
          <cell r="C2153" t="str">
            <v>CL_111_</v>
          </cell>
          <cell r="D2153" t="str">
            <v>Rancho La Cuchilla No. 111</v>
          </cell>
          <cell r="E2153" t="str">
            <v>García Santos Ofelia</v>
          </cell>
          <cell r="F2153">
            <v>150</v>
          </cell>
          <cell r="G2153">
            <v>1</v>
          </cell>
          <cell r="H2153">
            <v>200</v>
          </cell>
          <cell r="I2153">
            <v>41539</v>
          </cell>
          <cell r="J2153">
            <v>0</v>
          </cell>
          <cell r="W2153">
            <v>0</v>
          </cell>
          <cell r="AF2153">
            <v>200</v>
          </cell>
          <cell r="AJ2153">
            <v>200</v>
          </cell>
          <cell r="AW2153">
            <v>0</v>
          </cell>
        </row>
        <row r="2154">
          <cell r="B2154">
            <v>5676</v>
          </cell>
          <cell r="C2154" t="str">
            <v>UP_71_</v>
          </cell>
          <cell r="D2154" t="str">
            <v>Rancho Upácuaro No. 71</v>
          </cell>
          <cell r="E2154" t="str">
            <v>Trejo Méndez</v>
          </cell>
          <cell r="F2154">
            <v>300</v>
          </cell>
          <cell r="G2154">
            <v>1</v>
          </cell>
          <cell r="H2154">
            <v>300</v>
          </cell>
          <cell r="I2154">
            <v>41539</v>
          </cell>
          <cell r="J2154">
            <v>0</v>
          </cell>
          <cell r="W2154">
            <v>0</v>
          </cell>
          <cell r="AF2154">
            <v>300</v>
          </cell>
          <cell r="AJ2154">
            <v>300</v>
          </cell>
          <cell r="AW2154">
            <v>0</v>
          </cell>
        </row>
        <row r="2155">
          <cell r="B2155">
            <v>5677</v>
          </cell>
          <cell r="C2155" t="str">
            <v>UP_80_</v>
          </cell>
          <cell r="D2155" t="str">
            <v>Rancho Upácuaro No. 80</v>
          </cell>
          <cell r="E2155" t="str">
            <v>De los Ríos</v>
          </cell>
          <cell r="F2155">
            <v>300</v>
          </cell>
          <cell r="G2155">
            <v>5</v>
          </cell>
          <cell r="H2155">
            <v>20</v>
          </cell>
          <cell r="I2155">
            <v>41539</v>
          </cell>
          <cell r="J2155" t="str">
            <v>NO SUMA</v>
          </cell>
          <cell r="W2155">
            <v>0</v>
          </cell>
          <cell r="AJ2155">
            <v>0</v>
          </cell>
          <cell r="AW2155">
            <v>0</v>
          </cell>
        </row>
        <row r="2156">
          <cell r="B2156">
            <v>5678</v>
          </cell>
          <cell r="C2156" t="str">
            <v>ZB_12_</v>
          </cell>
          <cell r="D2156" t="str">
            <v>Rancho Zinamba No. 12</v>
          </cell>
          <cell r="E2156" t="str">
            <v>Rodríguez</v>
          </cell>
          <cell r="F2156">
            <v>400</v>
          </cell>
          <cell r="G2156">
            <v>1</v>
          </cell>
          <cell r="H2156">
            <v>400</v>
          </cell>
          <cell r="I2156">
            <v>41540</v>
          </cell>
          <cell r="J2156">
            <v>0</v>
          </cell>
          <cell r="W2156">
            <v>0</v>
          </cell>
          <cell r="AF2156">
            <v>400</v>
          </cell>
          <cell r="AJ2156">
            <v>400</v>
          </cell>
          <cell r="AW2156">
            <v>0</v>
          </cell>
        </row>
        <row r="2157">
          <cell r="B2157">
            <v>5679</v>
          </cell>
          <cell r="C2157" t="str">
            <v>EZ_111_</v>
          </cell>
          <cell r="D2157" t="str">
            <v>Rancho Estanzuela No. 111</v>
          </cell>
          <cell r="E2157" t="str">
            <v>Flores Pérez</v>
          </cell>
          <cell r="F2157">
            <v>300</v>
          </cell>
          <cell r="G2157">
            <v>1</v>
          </cell>
          <cell r="H2157">
            <v>300</v>
          </cell>
          <cell r="I2157">
            <v>41540</v>
          </cell>
          <cell r="J2157">
            <v>0</v>
          </cell>
          <cell r="W2157">
            <v>0</v>
          </cell>
          <cell r="AF2157">
            <v>300</v>
          </cell>
          <cell r="AJ2157">
            <v>300</v>
          </cell>
          <cell r="AW2157">
            <v>0</v>
          </cell>
        </row>
        <row r="2158">
          <cell r="B2158">
            <v>5680</v>
          </cell>
          <cell r="D2158" t="str">
            <v/>
          </cell>
          <cell r="E2158" t="str">
            <v/>
          </cell>
          <cell r="F2158" t="str">
            <v/>
          </cell>
          <cell r="I2158">
            <v>41540</v>
          </cell>
          <cell r="J2158" t="str">
            <v>NO SUMA</v>
          </cell>
          <cell r="W2158">
            <v>0</v>
          </cell>
          <cell r="AJ2158">
            <v>0</v>
          </cell>
          <cell r="AW2158">
            <v>0</v>
          </cell>
        </row>
        <row r="2159">
          <cell r="B2159">
            <v>5681</v>
          </cell>
          <cell r="C2159" t="str">
            <v>LD_54_2</v>
          </cell>
          <cell r="D2159" t="str">
            <v>Rancho Landero No. 54, 2</v>
          </cell>
          <cell r="E2159" t="str">
            <v>Montemayor Santana</v>
          </cell>
          <cell r="F2159">
            <v>300</v>
          </cell>
          <cell r="G2159">
            <v>1</v>
          </cell>
          <cell r="H2159">
            <v>300</v>
          </cell>
          <cell r="I2159">
            <v>41540</v>
          </cell>
          <cell r="J2159">
            <v>0</v>
          </cell>
          <cell r="W2159">
            <v>0</v>
          </cell>
          <cell r="AE2159">
            <v>150</v>
          </cell>
          <cell r="AF2159">
            <v>150</v>
          </cell>
          <cell r="AJ2159">
            <v>300</v>
          </cell>
          <cell r="AW2159">
            <v>0</v>
          </cell>
        </row>
        <row r="2160">
          <cell r="B2160">
            <v>5682</v>
          </cell>
          <cell r="C2160" t="str">
            <v>UP_64_</v>
          </cell>
          <cell r="D2160" t="str">
            <v>Rancho Upácuaro No. 64</v>
          </cell>
          <cell r="E2160" t="str">
            <v>Méndez Oliva</v>
          </cell>
          <cell r="F2160">
            <v>300</v>
          </cell>
          <cell r="G2160">
            <v>1</v>
          </cell>
          <cell r="H2160">
            <v>300</v>
          </cell>
          <cell r="I2160">
            <v>41542</v>
          </cell>
          <cell r="J2160">
            <v>0</v>
          </cell>
          <cell r="W2160">
            <v>0</v>
          </cell>
          <cell r="AF2160">
            <v>300</v>
          </cell>
          <cell r="AJ2160">
            <v>300</v>
          </cell>
          <cell r="AW2160">
            <v>0</v>
          </cell>
        </row>
        <row r="2161">
          <cell r="B2161">
            <v>5683</v>
          </cell>
          <cell r="C2161" t="str">
            <v>UP_73_B</v>
          </cell>
          <cell r="D2161" t="str">
            <v>Rancho Upácuaro No. 73, B</v>
          </cell>
          <cell r="E2161" t="str">
            <v>Chávez</v>
          </cell>
          <cell r="F2161">
            <v>200</v>
          </cell>
          <cell r="G2161">
            <v>1</v>
          </cell>
          <cell r="H2161">
            <v>600</v>
          </cell>
          <cell r="I2161">
            <v>41542</v>
          </cell>
          <cell r="J2161">
            <v>0</v>
          </cell>
          <cell r="W2161">
            <v>0</v>
          </cell>
          <cell r="AD2161">
            <v>200</v>
          </cell>
          <cell r="AE2161">
            <v>200</v>
          </cell>
          <cell r="AF2161">
            <v>200</v>
          </cell>
          <cell r="AJ2161">
            <v>600</v>
          </cell>
          <cell r="AW2161">
            <v>0</v>
          </cell>
        </row>
        <row r="2162">
          <cell r="B2162">
            <v>6110</v>
          </cell>
          <cell r="C2162" t="str">
            <v>EZ_15_A</v>
          </cell>
          <cell r="D2162" t="str">
            <v>Rancho Estanzuela No. 15, A</v>
          </cell>
          <cell r="E2162" t="str">
            <v>González</v>
          </cell>
          <cell r="F2162">
            <v>150</v>
          </cell>
          <cell r="G2162">
            <v>1</v>
          </cell>
          <cell r="H2162">
            <v>150</v>
          </cell>
          <cell r="I2162">
            <v>41544</v>
          </cell>
          <cell r="J2162">
            <v>0</v>
          </cell>
          <cell r="W2162">
            <v>0</v>
          </cell>
          <cell r="AF2162">
            <v>150</v>
          </cell>
          <cell r="AJ2162">
            <v>150</v>
          </cell>
          <cell r="AW2162">
            <v>0</v>
          </cell>
        </row>
        <row r="2163">
          <cell r="B2163">
            <v>5684</v>
          </cell>
          <cell r="C2163" t="str">
            <v>UP_106_</v>
          </cell>
          <cell r="D2163" t="str">
            <v>Rancho Upácuaro No. 106</v>
          </cell>
          <cell r="E2163" t="str">
            <v>Hernández Sánchez</v>
          </cell>
          <cell r="F2163">
            <v>300</v>
          </cell>
          <cell r="G2163">
            <v>1</v>
          </cell>
          <cell r="H2163">
            <v>900</v>
          </cell>
          <cell r="I2163">
            <v>41546</v>
          </cell>
          <cell r="J2163">
            <v>0</v>
          </cell>
          <cell r="W2163">
            <v>0</v>
          </cell>
          <cell r="AD2163">
            <v>300</v>
          </cell>
          <cell r="AE2163">
            <v>300</v>
          </cell>
          <cell r="AF2163">
            <v>300</v>
          </cell>
          <cell r="AJ2163">
            <v>900</v>
          </cell>
          <cell r="AW2163">
            <v>0</v>
          </cell>
        </row>
        <row r="2164">
          <cell r="B2164">
            <v>5685</v>
          </cell>
          <cell r="C2164" t="str">
            <v>LD_94_</v>
          </cell>
          <cell r="D2164" t="str">
            <v>Rancho Landero No. 94</v>
          </cell>
          <cell r="E2164" t="str">
            <v>Medina</v>
          </cell>
          <cell r="F2164">
            <v>150</v>
          </cell>
          <cell r="G2164">
            <v>1</v>
          </cell>
          <cell r="H2164">
            <v>600</v>
          </cell>
          <cell r="I2164">
            <v>41546</v>
          </cell>
          <cell r="J2164">
            <v>0</v>
          </cell>
          <cell r="W2164">
            <v>0</v>
          </cell>
          <cell r="AC2164">
            <v>150</v>
          </cell>
          <cell r="AD2164">
            <v>150</v>
          </cell>
          <cell r="AE2164">
            <v>150</v>
          </cell>
          <cell r="AF2164">
            <v>150</v>
          </cell>
          <cell r="AJ2164">
            <v>600</v>
          </cell>
          <cell r="AW2164">
            <v>0</v>
          </cell>
        </row>
        <row r="2165">
          <cell r="B2165">
            <v>5686</v>
          </cell>
          <cell r="C2165" t="str">
            <v>EZ_31_</v>
          </cell>
          <cell r="D2165" t="str">
            <v>Rancho Estanzuela No. 31</v>
          </cell>
          <cell r="E2165" t="str">
            <v>Chávez Valdés</v>
          </cell>
          <cell r="F2165">
            <v>300</v>
          </cell>
          <cell r="G2165">
            <v>1</v>
          </cell>
          <cell r="H2165">
            <v>300</v>
          </cell>
          <cell r="I2165">
            <v>41546</v>
          </cell>
          <cell r="J2165">
            <v>0</v>
          </cell>
          <cell r="W2165">
            <v>0</v>
          </cell>
          <cell r="AG2165">
            <v>300</v>
          </cell>
          <cell r="AJ2165">
            <v>300</v>
          </cell>
          <cell r="AW2165">
            <v>0</v>
          </cell>
        </row>
        <row r="2166">
          <cell r="B2166">
            <v>5687</v>
          </cell>
          <cell r="C2166" t="str">
            <v>LD_63_</v>
          </cell>
          <cell r="D2166" t="str">
            <v>Rancho Landero No. 63</v>
          </cell>
          <cell r="E2166" t="str">
            <v>Hernández Chávez</v>
          </cell>
          <cell r="F2166">
            <v>300</v>
          </cell>
          <cell r="G2166">
            <v>1</v>
          </cell>
          <cell r="H2166">
            <v>900</v>
          </cell>
          <cell r="I2166">
            <v>41546</v>
          </cell>
          <cell r="J2166">
            <v>0</v>
          </cell>
          <cell r="W2166">
            <v>0</v>
          </cell>
          <cell r="AD2166">
            <v>300</v>
          </cell>
          <cell r="AE2166">
            <v>300</v>
          </cell>
          <cell r="AF2166">
            <v>300</v>
          </cell>
          <cell r="AJ2166">
            <v>900</v>
          </cell>
          <cell r="AW2166">
            <v>0</v>
          </cell>
        </row>
        <row r="2167">
          <cell r="B2167">
            <v>5688</v>
          </cell>
          <cell r="C2167" t="str">
            <v>ZB_34_</v>
          </cell>
          <cell r="D2167" t="str">
            <v>Rancho Zinamba No. 34</v>
          </cell>
          <cell r="E2167" t="str">
            <v>Torres Zavala</v>
          </cell>
          <cell r="F2167">
            <v>300</v>
          </cell>
          <cell r="G2167">
            <v>1</v>
          </cell>
          <cell r="H2167">
            <v>300</v>
          </cell>
          <cell r="I2167">
            <v>41546</v>
          </cell>
          <cell r="J2167">
            <v>0</v>
          </cell>
          <cell r="W2167">
            <v>0</v>
          </cell>
          <cell r="AF2167">
            <v>300</v>
          </cell>
          <cell r="AJ2167">
            <v>300</v>
          </cell>
          <cell r="AW2167">
            <v>0</v>
          </cell>
        </row>
        <row r="2168">
          <cell r="B2168">
            <v>5689</v>
          </cell>
          <cell r="C2168" t="str">
            <v>UP_110_</v>
          </cell>
          <cell r="D2168" t="str">
            <v>Rancho Upácuaro No. 110</v>
          </cell>
          <cell r="E2168" t="str">
            <v>Ruiz Mijangos</v>
          </cell>
          <cell r="F2168">
            <v>300</v>
          </cell>
          <cell r="G2168">
            <v>1</v>
          </cell>
          <cell r="H2168">
            <v>300</v>
          </cell>
          <cell r="I2168">
            <v>41546</v>
          </cell>
          <cell r="J2168">
            <v>0</v>
          </cell>
          <cell r="W2168">
            <v>0</v>
          </cell>
          <cell r="AF2168">
            <v>300</v>
          </cell>
          <cell r="AJ2168">
            <v>300</v>
          </cell>
          <cell r="AW2168">
            <v>0</v>
          </cell>
        </row>
        <row r="2169">
          <cell r="B2169">
            <v>5690</v>
          </cell>
          <cell r="C2169" t="str">
            <v>UP_140_</v>
          </cell>
          <cell r="D2169" t="str">
            <v>Rancho Upácuaro No. 140</v>
          </cell>
          <cell r="E2169" t="str">
            <v>Gozain</v>
          </cell>
          <cell r="F2169">
            <v>300</v>
          </cell>
          <cell r="G2169">
            <v>1</v>
          </cell>
          <cell r="H2169">
            <v>300</v>
          </cell>
          <cell r="I2169">
            <v>41546</v>
          </cell>
          <cell r="J2169">
            <v>0</v>
          </cell>
          <cell r="W2169">
            <v>0</v>
          </cell>
          <cell r="AG2169">
            <v>300</v>
          </cell>
          <cell r="AJ2169">
            <v>300</v>
          </cell>
          <cell r="AW2169">
            <v>0</v>
          </cell>
        </row>
        <row r="2170">
          <cell r="B2170">
            <v>5691</v>
          </cell>
          <cell r="C2170" t="str">
            <v>EZ_9_B</v>
          </cell>
          <cell r="D2170" t="str">
            <v>Rancho Estanzuela No. 9, B</v>
          </cell>
          <cell r="E2170" t="str">
            <v>Velasco Rojas</v>
          </cell>
          <cell r="F2170">
            <v>200</v>
          </cell>
          <cell r="G2170">
            <v>1</v>
          </cell>
          <cell r="H2170">
            <v>400</v>
          </cell>
          <cell r="I2170">
            <v>41546</v>
          </cell>
          <cell r="J2170">
            <v>0</v>
          </cell>
          <cell r="W2170">
            <v>0</v>
          </cell>
          <cell r="AF2170">
            <v>200</v>
          </cell>
          <cell r="AG2170">
            <v>200</v>
          </cell>
          <cell r="AJ2170">
            <v>400</v>
          </cell>
          <cell r="AW2170">
            <v>0</v>
          </cell>
        </row>
        <row r="2171">
          <cell r="B2171">
            <v>5692</v>
          </cell>
          <cell r="C2171" t="str">
            <v>ZB_38_</v>
          </cell>
          <cell r="D2171" t="str">
            <v>Rancho Zinamba No. 38</v>
          </cell>
          <cell r="E2171" t="str">
            <v>Ramírez Díaz</v>
          </cell>
          <cell r="F2171">
            <v>300</v>
          </cell>
          <cell r="G2171">
            <v>1</v>
          </cell>
          <cell r="H2171">
            <v>400</v>
          </cell>
          <cell r="I2171">
            <v>41546</v>
          </cell>
          <cell r="J2171">
            <v>0</v>
          </cell>
          <cell r="W2171">
            <v>0</v>
          </cell>
          <cell r="AG2171">
            <v>400</v>
          </cell>
          <cell r="AJ2171">
            <v>400</v>
          </cell>
          <cell r="AW2171">
            <v>0</v>
          </cell>
        </row>
        <row r="2172">
          <cell r="B2172">
            <v>5693</v>
          </cell>
          <cell r="C2172" t="str">
            <v>EZ_95_</v>
          </cell>
          <cell r="D2172" t="str">
            <v>Rancho Estanzuela No. 95</v>
          </cell>
          <cell r="E2172" t="str">
            <v>Castro Puente</v>
          </cell>
          <cell r="F2172">
            <v>300</v>
          </cell>
          <cell r="G2172">
            <v>1</v>
          </cell>
          <cell r="H2172">
            <v>600</v>
          </cell>
          <cell r="I2172">
            <v>41546</v>
          </cell>
          <cell r="J2172">
            <v>0</v>
          </cell>
          <cell r="W2172">
            <v>0</v>
          </cell>
          <cell r="AG2172">
            <v>300</v>
          </cell>
          <cell r="AH2172">
            <v>300</v>
          </cell>
          <cell r="AJ2172">
            <v>600</v>
          </cell>
          <cell r="AW2172">
            <v>0</v>
          </cell>
        </row>
        <row r="2173">
          <cell r="B2173">
            <v>5694</v>
          </cell>
          <cell r="C2173" t="str">
            <v>UP_95_</v>
          </cell>
          <cell r="D2173" t="str">
            <v>Rancho Upácuaro No. 95</v>
          </cell>
          <cell r="E2173" t="str">
            <v>Flores</v>
          </cell>
          <cell r="F2173">
            <v>300</v>
          </cell>
          <cell r="G2173">
            <v>1</v>
          </cell>
          <cell r="H2173">
            <v>300</v>
          </cell>
          <cell r="I2173">
            <v>41546</v>
          </cell>
          <cell r="J2173">
            <v>0</v>
          </cell>
          <cell r="W2173">
            <v>0</v>
          </cell>
          <cell r="AF2173">
            <v>300</v>
          </cell>
          <cell r="AJ2173">
            <v>300</v>
          </cell>
          <cell r="AW2173">
            <v>0</v>
          </cell>
        </row>
        <row r="2174">
          <cell r="B2174">
            <v>5695</v>
          </cell>
          <cell r="C2174" t="str">
            <v>EZ_101_</v>
          </cell>
          <cell r="D2174" t="str">
            <v>Rancho Estanzuela No. 101</v>
          </cell>
          <cell r="E2174" t="str">
            <v>Calderón Celis</v>
          </cell>
          <cell r="F2174">
            <v>300</v>
          </cell>
          <cell r="G2174">
            <v>1</v>
          </cell>
          <cell r="H2174">
            <v>900</v>
          </cell>
          <cell r="I2174">
            <v>41546</v>
          </cell>
          <cell r="J2174">
            <v>0</v>
          </cell>
          <cell r="W2174">
            <v>0</v>
          </cell>
          <cell r="AD2174">
            <v>300</v>
          </cell>
          <cell r="AE2174">
            <v>300</v>
          </cell>
          <cell r="AF2174">
            <v>300</v>
          </cell>
          <cell r="AJ2174">
            <v>900</v>
          </cell>
          <cell r="AW2174">
            <v>0</v>
          </cell>
        </row>
        <row r="2175">
          <cell r="B2175">
            <v>5696</v>
          </cell>
          <cell r="C2175" t="str">
            <v>CL_74_</v>
          </cell>
          <cell r="D2175" t="str">
            <v>Rancho La Cuchilla No. 74</v>
          </cell>
          <cell r="E2175" t="str">
            <v>Gil</v>
          </cell>
          <cell r="F2175">
            <v>300</v>
          </cell>
          <cell r="G2175">
            <v>1</v>
          </cell>
          <cell r="H2175">
            <v>600</v>
          </cell>
          <cell r="I2175">
            <v>41546</v>
          </cell>
          <cell r="J2175">
            <v>0</v>
          </cell>
          <cell r="W2175">
            <v>0</v>
          </cell>
          <cell r="AA2175">
            <v>300</v>
          </cell>
          <cell r="AB2175">
            <v>300</v>
          </cell>
          <cell r="AJ2175">
            <v>600</v>
          </cell>
          <cell r="AW2175">
            <v>0</v>
          </cell>
        </row>
        <row r="2176">
          <cell r="B2176">
            <v>5697</v>
          </cell>
          <cell r="C2176" t="str">
            <v>EZ_25_</v>
          </cell>
          <cell r="D2176" t="str">
            <v>Rancho Estanzuela No. 25</v>
          </cell>
          <cell r="E2176" t="str">
            <v>Contreras Figueroa</v>
          </cell>
          <cell r="F2176">
            <v>300</v>
          </cell>
          <cell r="G2176">
            <v>1</v>
          </cell>
          <cell r="H2176">
            <v>300</v>
          </cell>
          <cell r="I2176">
            <v>41546</v>
          </cell>
          <cell r="J2176">
            <v>0</v>
          </cell>
          <cell r="W2176">
            <v>0</v>
          </cell>
          <cell r="AF2176">
            <v>300</v>
          </cell>
          <cell r="AJ2176">
            <v>300</v>
          </cell>
          <cell r="AW2176">
            <v>0</v>
          </cell>
        </row>
        <row r="2177">
          <cell r="B2177">
            <v>5698</v>
          </cell>
          <cell r="C2177" t="str">
            <v>RM_10_A</v>
          </cell>
          <cell r="D2177" t="str">
            <v>Rancho Romeral No. 10, A</v>
          </cell>
          <cell r="E2177" t="str">
            <v>Casillas Álvarez</v>
          </cell>
          <cell r="F2177">
            <v>150</v>
          </cell>
          <cell r="G2177">
            <v>1</v>
          </cell>
          <cell r="H2177">
            <v>200</v>
          </cell>
          <cell r="I2177">
            <v>41546</v>
          </cell>
          <cell r="J2177">
            <v>0</v>
          </cell>
          <cell r="W2177">
            <v>0</v>
          </cell>
          <cell r="AG2177">
            <v>200</v>
          </cell>
          <cell r="AJ2177">
            <v>200</v>
          </cell>
          <cell r="AW2177">
            <v>0</v>
          </cell>
        </row>
        <row r="2178">
          <cell r="B2178">
            <v>5699</v>
          </cell>
          <cell r="C2178" t="str">
            <v>LD_25_</v>
          </cell>
          <cell r="D2178" t="str">
            <v>Rancho Landero No. 25</v>
          </cell>
          <cell r="E2178" t="str">
            <v>Escamilla Martínez</v>
          </cell>
          <cell r="F2178">
            <v>300</v>
          </cell>
          <cell r="G2178">
            <v>1</v>
          </cell>
          <cell r="H2178">
            <v>300</v>
          </cell>
          <cell r="I2178">
            <v>41546</v>
          </cell>
          <cell r="J2178">
            <v>0</v>
          </cell>
          <cell r="W2178">
            <v>0</v>
          </cell>
          <cell r="AE2178">
            <v>300</v>
          </cell>
          <cell r="AJ2178">
            <v>300</v>
          </cell>
          <cell r="AW2178">
            <v>0</v>
          </cell>
        </row>
        <row r="2179">
          <cell r="B2179">
            <v>5700</v>
          </cell>
          <cell r="C2179" t="str">
            <v>LD_99_</v>
          </cell>
          <cell r="D2179" t="str">
            <v>Rancho Landero No. 99</v>
          </cell>
          <cell r="E2179" t="str">
            <v>Rangel</v>
          </cell>
          <cell r="F2179">
            <v>300</v>
          </cell>
          <cell r="G2179">
            <v>1</v>
          </cell>
          <cell r="H2179">
            <v>300</v>
          </cell>
          <cell r="I2179">
            <v>41546</v>
          </cell>
          <cell r="J2179">
            <v>0</v>
          </cell>
          <cell r="W2179">
            <v>0</v>
          </cell>
          <cell r="AE2179">
            <v>300</v>
          </cell>
          <cell r="AJ2179">
            <v>300</v>
          </cell>
          <cell r="AW2179">
            <v>0</v>
          </cell>
        </row>
        <row r="2180">
          <cell r="B2180">
            <v>5701</v>
          </cell>
          <cell r="C2180" t="str">
            <v>RV_179_</v>
          </cell>
          <cell r="D2180" t="str">
            <v>Rancho Recoveco No. 179</v>
          </cell>
          <cell r="E2180" t="str">
            <v>Flores Delgado</v>
          </cell>
          <cell r="F2180">
            <v>300</v>
          </cell>
          <cell r="G2180">
            <v>1</v>
          </cell>
          <cell r="H2180">
            <v>400</v>
          </cell>
          <cell r="I2180">
            <v>41546</v>
          </cell>
          <cell r="J2180">
            <v>0</v>
          </cell>
          <cell r="W2180">
            <v>0</v>
          </cell>
          <cell r="AG2180">
            <v>400</v>
          </cell>
          <cell r="AJ2180">
            <v>400</v>
          </cell>
          <cell r="AW2180">
            <v>0</v>
          </cell>
        </row>
        <row r="2181">
          <cell r="B2181">
            <v>5702</v>
          </cell>
          <cell r="C2181" t="str">
            <v>EZ_61_</v>
          </cell>
          <cell r="D2181" t="str">
            <v>Rancho Estanzuela No. 61</v>
          </cell>
          <cell r="E2181" t="str">
            <v>González Almazán</v>
          </cell>
          <cell r="F2181">
            <v>300</v>
          </cell>
          <cell r="G2181">
            <v>1</v>
          </cell>
          <cell r="H2181">
            <v>600</v>
          </cell>
          <cell r="I2181">
            <v>41546</v>
          </cell>
          <cell r="J2181">
            <v>0</v>
          </cell>
          <cell r="W2181">
            <v>0</v>
          </cell>
          <cell r="AF2181">
            <v>300</v>
          </cell>
          <cell r="AG2181">
            <v>300</v>
          </cell>
          <cell r="AJ2181">
            <v>600</v>
          </cell>
          <cell r="AW2181">
            <v>0</v>
          </cell>
        </row>
        <row r="2182">
          <cell r="B2182">
            <v>5703</v>
          </cell>
          <cell r="C2182" t="str">
            <v>EZ_57_</v>
          </cell>
          <cell r="D2182" t="str">
            <v>Rancho Estanzuela No. 57</v>
          </cell>
          <cell r="E2182" t="str">
            <v>Olivares</v>
          </cell>
          <cell r="F2182">
            <v>300</v>
          </cell>
          <cell r="G2182">
            <v>1</v>
          </cell>
          <cell r="H2182">
            <v>600</v>
          </cell>
          <cell r="I2182">
            <v>41546</v>
          </cell>
          <cell r="J2182">
            <v>0</v>
          </cell>
          <cell r="W2182">
            <v>0</v>
          </cell>
          <cell r="AE2182">
            <v>300</v>
          </cell>
          <cell r="AF2182">
            <v>300</v>
          </cell>
          <cell r="AJ2182">
            <v>600</v>
          </cell>
          <cell r="AW2182">
            <v>0</v>
          </cell>
        </row>
        <row r="2183">
          <cell r="B2183">
            <v>5704</v>
          </cell>
          <cell r="C2183" t="str">
            <v>CL_terreno_</v>
          </cell>
          <cell r="D2183" t="str">
            <v>Rancho La Cuchilla No. terreno</v>
          </cell>
          <cell r="E2183" t="str">
            <v>Martínez Flores</v>
          </cell>
          <cell r="F2183">
            <v>300</v>
          </cell>
          <cell r="G2183">
            <v>1</v>
          </cell>
          <cell r="H2183">
            <v>600</v>
          </cell>
          <cell r="I2183">
            <v>41546</v>
          </cell>
          <cell r="J2183">
            <v>0</v>
          </cell>
          <cell r="W2183">
            <v>0</v>
          </cell>
          <cell r="AB2183">
            <v>300</v>
          </cell>
          <cell r="AC2183">
            <v>300</v>
          </cell>
          <cell r="AJ2183">
            <v>600</v>
          </cell>
          <cell r="AW2183">
            <v>0</v>
          </cell>
        </row>
        <row r="2184">
          <cell r="B2184">
            <v>5705</v>
          </cell>
          <cell r="C2184" t="str">
            <v>LD_80_</v>
          </cell>
          <cell r="D2184" t="str">
            <v>Rancho Landero No. 80</v>
          </cell>
          <cell r="E2184" t="str">
            <v>Villaseñor Sánchez</v>
          </cell>
          <cell r="F2184">
            <v>300</v>
          </cell>
          <cell r="G2184">
            <v>1</v>
          </cell>
          <cell r="H2184">
            <v>400</v>
          </cell>
          <cell r="I2184">
            <v>41546</v>
          </cell>
          <cell r="J2184">
            <v>0</v>
          </cell>
          <cell r="W2184">
            <v>0</v>
          </cell>
          <cell r="AG2184">
            <v>400</v>
          </cell>
          <cell r="AJ2184">
            <v>400</v>
          </cell>
          <cell r="AW2184">
            <v>0</v>
          </cell>
        </row>
        <row r="2185">
          <cell r="B2185">
            <v>5706</v>
          </cell>
          <cell r="C2185" t="str">
            <v>EZ_61_</v>
          </cell>
          <cell r="D2185" t="str">
            <v>Rancho Estanzuela No. 61</v>
          </cell>
          <cell r="E2185" t="str">
            <v>González Almazán</v>
          </cell>
          <cell r="F2185">
            <v>300</v>
          </cell>
          <cell r="G2185">
            <v>1</v>
          </cell>
          <cell r="H2185">
            <v>100</v>
          </cell>
          <cell r="I2185">
            <v>41546</v>
          </cell>
          <cell r="J2185">
            <v>0</v>
          </cell>
          <cell r="W2185">
            <v>0</v>
          </cell>
          <cell r="AG2185">
            <v>100</v>
          </cell>
          <cell r="AJ2185">
            <v>100</v>
          </cell>
          <cell r="AW2185">
            <v>0</v>
          </cell>
        </row>
        <row r="2186">
          <cell r="B2186">
            <v>5707</v>
          </cell>
          <cell r="C2186" t="str">
            <v>UP_95_</v>
          </cell>
          <cell r="D2186" t="str">
            <v>Rancho Upácuaro No. 95</v>
          </cell>
          <cell r="E2186" t="str">
            <v>Flores</v>
          </cell>
          <cell r="F2186">
            <v>300</v>
          </cell>
          <cell r="G2186">
            <v>1</v>
          </cell>
          <cell r="H2186">
            <v>400</v>
          </cell>
          <cell r="I2186">
            <v>41546</v>
          </cell>
          <cell r="J2186">
            <v>0</v>
          </cell>
          <cell r="W2186">
            <v>0</v>
          </cell>
          <cell r="AG2186">
            <v>400</v>
          </cell>
          <cell r="AJ2186">
            <v>400</v>
          </cell>
          <cell r="AW2186">
            <v>0</v>
          </cell>
        </row>
        <row r="2187">
          <cell r="B2187">
            <v>5708</v>
          </cell>
          <cell r="C2187" t="str">
            <v>UP_86_</v>
          </cell>
          <cell r="D2187" t="str">
            <v>Rancho Upácuaro No. 86</v>
          </cell>
          <cell r="E2187" t="str">
            <v>López Canseco</v>
          </cell>
          <cell r="F2187">
            <v>300</v>
          </cell>
          <cell r="G2187">
            <v>1</v>
          </cell>
          <cell r="H2187">
            <v>300</v>
          </cell>
          <cell r="I2187">
            <v>41546</v>
          </cell>
          <cell r="J2187">
            <v>0</v>
          </cell>
          <cell r="W2187">
            <v>0</v>
          </cell>
          <cell r="AG2187">
            <v>100</v>
          </cell>
          <cell r="AH2187">
            <v>100</v>
          </cell>
          <cell r="AI2187">
            <v>100</v>
          </cell>
          <cell r="AJ2187">
            <v>300</v>
          </cell>
          <cell r="AW2187">
            <v>0</v>
          </cell>
        </row>
        <row r="2188">
          <cell r="B2188">
            <v>5709</v>
          </cell>
          <cell r="C2188" t="str">
            <v>CL_55_</v>
          </cell>
          <cell r="D2188" t="str">
            <v>Rancho La Cuchilla No. 55</v>
          </cell>
          <cell r="E2188" t="str">
            <v>López Velázquez</v>
          </cell>
          <cell r="F2188">
            <v>300</v>
          </cell>
          <cell r="G2188">
            <v>1</v>
          </cell>
          <cell r="H2188">
            <v>300</v>
          </cell>
          <cell r="I2188">
            <v>41546</v>
          </cell>
          <cell r="J2188">
            <v>0</v>
          </cell>
          <cell r="W2188">
            <v>0</v>
          </cell>
          <cell r="AF2188">
            <v>300</v>
          </cell>
          <cell r="AJ2188">
            <v>300</v>
          </cell>
          <cell r="AW2188">
            <v>0</v>
          </cell>
        </row>
        <row r="2189">
          <cell r="B2189">
            <v>5710</v>
          </cell>
          <cell r="C2189" t="str">
            <v>LD_77_</v>
          </cell>
          <cell r="D2189" t="str">
            <v>Rancho Landero No. 77</v>
          </cell>
          <cell r="E2189" t="str">
            <v>Muñoz</v>
          </cell>
          <cell r="F2189">
            <v>300</v>
          </cell>
          <cell r="G2189">
            <v>4</v>
          </cell>
          <cell r="H2189">
            <v>160</v>
          </cell>
          <cell r="I2189">
            <v>41546</v>
          </cell>
          <cell r="J2189" t="str">
            <v>NO SUMA</v>
          </cell>
          <cell r="W2189">
            <v>0</v>
          </cell>
          <cell r="AJ2189">
            <v>0</v>
          </cell>
          <cell r="AW2189">
            <v>0</v>
          </cell>
        </row>
        <row r="2190">
          <cell r="B2190">
            <v>5711</v>
          </cell>
          <cell r="C2190" t="str">
            <v>CL_110_</v>
          </cell>
          <cell r="D2190" t="str">
            <v>Rancho La Cuchilla No. 110</v>
          </cell>
          <cell r="E2190" t="str">
            <v>Domínguez Canudas</v>
          </cell>
          <cell r="F2190">
            <v>300</v>
          </cell>
          <cell r="G2190">
            <v>1</v>
          </cell>
          <cell r="H2190">
            <v>400</v>
          </cell>
          <cell r="I2190">
            <v>41546</v>
          </cell>
          <cell r="J2190">
            <v>0</v>
          </cell>
          <cell r="W2190">
            <v>0</v>
          </cell>
          <cell r="AG2190">
            <v>400</v>
          </cell>
          <cell r="AJ2190">
            <v>400</v>
          </cell>
          <cell r="AW2190">
            <v>0</v>
          </cell>
        </row>
        <row r="2191">
          <cell r="B2191">
            <v>5711</v>
          </cell>
          <cell r="C2191" t="str">
            <v>Cl_110_</v>
          </cell>
          <cell r="D2191" t="str">
            <v>Rancho La Cuchilla No. 110</v>
          </cell>
          <cell r="E2191" t="str">
            <v>Domínguez Canudas</v>
          </cell>
          <cell r="G2191">
            <v>3</v>
          </cell>
          <cell r="H2191">
            <v>160</v>
          </cell>
          <cell r="I2191">
            <v>41546</v>
          </cell>
          <cell r="J2191" t="str">
            <v>NO SUMA</v>
          </cell>
          <cell r="W2191">
            <v>0</v>
          </cell>
          <cell r="AJ2191">
            <v>0</v>
          </cell>
          <cell r="AW2191">
            <v>0</v>
          </cell>
        </row>
        <row r="2192">
          <cell r="B2192">
            <v>5712</v>
          </cell>
          <cell r="C2192" t="str">
            <v>LD_47_</v>
          </cell>
          <cell r="D2192" t="str">
            <v>Rancho Landero No. 47</v>
          </cell>
          <cell r="E2192" t="str">
            <v>García González</v>
          </cell>
          <cell r="F2192">
            <v>300</v>
          </cell>
          <cell r="G2192">
            <v>1</v>
          </cell>
          <cell r="H2192">
            <v>300</v>
          </cell>
          <cell r="I2192">
            <v>41546</v>
          </cell>
          <cell r="J2192">
            <v>0</v>
          </cell>
          <cell r="W2192">
            <v>0</v>
          </cell>
          <cell r="AF2192">
            <v>300</v>
          </cell>
          <cell r="AJ2192">
            <v>300</v>
          </cell>
          <cell r="AW2192">
            <v>0</v>
          </cell>
        </row>
        <row r="2193">
          <cell r="B2193">
            <v>5713</v>
          </cell>
          <cell r="C2193" t="str">
            <v>ZB_50_</v>
          </cell>
          <cell r="D2193" t="str">
            <v>Rancho Zinamba No. 50</v>
          </cell>
          <cell r="E2193" t="str">
            <v>Del Castillo</v>
          </cell>
          <cell r="F2193">
            <v>300</v>
          </cell>
          <cell r="G2193">
            <v>1</v>
          </cell>
          <cell r="H2193">
            <v>300</v>
          </cell>
          <cell r="I2193">
            <v>41546</v>
          </cell>
          <cell r="J2193">
            <v>0</v>
          </cell>
          <cell r="W2193">
            <v>0</v>
          </cell>
          <cell r="AF2193">
            <v>300</v>
          </cell>
          <cell r="AJ2193">
            <v>300</v>
          </cell>
          <cell r="AW2193">
            <v>0</v>
          </cell>
        </row>
        <row r="2194">
          <cell r="B2194">
            <v>5714</v>
          </cell>
          <cell r="C2194" t="str">
            <v>CL_72_</v>
          </cell>
          <cell r="D2194" t="str">
            <v>Rancho La Cuchilla No. 72</v>
          </cell>
          <cell r="E2194" t="str">
            <v>Ortiz González</v>
          </cell>
          <cell r="F2194">
            <v>300</v>
          </cell>
          <cell r="G2194">
            <v>1</v>
          </cell>
          <cell r="H2194">
            <v>400</v>
          </cell>
          <cell r="I2194">
            <v>41546</v>
          </cell>
          <cell r="J2194">
            <v>0</v>
          </cell>
          <cell r="W2194">
            <v>0</v>
          </cell>
          <cell r="AG2194">
            <v>400</v>
          </cell>
          <cell r="AJ2194">
            <v>400</v>
          </cell>
          <cell r="AW2194">
            <v>0</v>
          </cell>
        </row>
        <row r="2195">
          <cell r="B2195">
            <v>5715</v>
          </cell>
          <cell r="C2195" t="str">
            <v>UP_21_</v>
          </cell>
          <cell r="D2195" t="str">
            <v>Rancho Upácuaro No. 21</v>
          </cell>
          <cell r="E2195" t="str">
            <v>Fierro Betancourt</v>
          </cell>
          <cell r="F2195">
            <v>150</v>
          </cell>
          <cell r="G2195">
            <v>1</v>
          </cell>
          <cell r="H2195">
            <v>150</v>
          </cell>
          <cell r="I2195">
            <v>41546</v>
          </cell>
          <cell r="J2195">
            <v>0</v>
          </cell>
          <cell r="W2195">
            <v>0</v>
          </cell>
          <cell r="AF2195">
            <v>150</v>
          </cell>
          <cell r="AJ2195">
            <v>150</v>
          </cell>
          <cell r="AW2195">
            <v>0</v>
          </cell>
        </row>
        <row r="2196">
          <cell r="B2196">
            <v>5716</v>
          </cell>
          <cell r="C2196" t="str">
            <v>CL_41_</v>
          </cell>
          <cell r="D2196" t="str">
            <v>Rancho La Cuchilla No. 41</v>
          </cell>
          <cell r="E2196" t="str">
            <v>Arriaga Lemus</v>
          </cell>
          <cell r="F2196">
            <v>250</v>
          </cell>
          <cell r="G2196">
            <v>1</v>
          </cell>
          <cell r="H2196">
            <v>300</v>
          </cell>
          <cell r="I2196">
            <v>41546</v>
          </cell>
          <cell r="J2196">
            <v>0</v>
          </cell>
          <cell r="W2196">
            <v>0</v>
          </cell>
          <cell r="AF2196">
            <v>300</v>
          </cell>
          <cell r="AJ2196">
            <v>300</v>
          </cell>
          <cell r="AW2196">
            <v>0</v>
          </cell>
        </row>
        <row r="2197">
          <cell r="B2197">
            <v>5717</v>
          </cell>
          <cell r="C2197" t="str">
            <v>CL_132_</v>
          </cell>
          <cell r="D2197" t="str">
            <v>Rancho La Cuchilla No. 132</v>
          </cell>
          <cell r="E2197" t="str">
            <v>Téllez Girón</v>
          </cell>
          <cell r="F2197">
            <v>300</v>
          </cell>
          <cell r="G2197">
            <v>1</v>
          </cell>
          <cell r="H2197">
            <v>300</v>
          </cell>
          <cell r="I2197">
            <v>41546</v>
          </cell>
          <cell r="J2197">
            <v>0</v>
          </cell>
          <cell r="W2197">
            <v>0</v>
          </cell>
          <cell r="AF2197">
            <v>300</v>
          </cell>
          <cell r="AJ2197">
            <v>300</v>
          </cell>
          <cell r="AW2197">
            <v>0</v>
          </cell>
        </row>
        <row r="2198">
          <cell r="B2198">
            <v>5718</v>
          </cell>
          <cell r="C2198" t="str">
            <v>EZ_89_</v>
          </cell>
          <cell r="D2198" t="str">
            <v>Rancho Estanzuela No. 89</v>
          </cell>
          <cell r="E2198" t="str">
            <v>Romero Ortiz</v>
          </cell>
          <cell r="F2198">
            <v>300</v>
          </cell>
          <cell r="G2198">
            <v>1</v>
          </cell>
          <cell r="H2198">
            <v>1000</v>
          </cell>
          <cell r="I2198">
            <v>41546</v>
          </cell>
          <cell r="J2198">
            <v>0</v>
          </cell>
          <cell r="W2198">
            <v>0</v>
          </cell>
          <cell r="AE2198">
            <v>300</v>
          </cell>
          <cell r="AF2198">
            <v>300</v>
          </cell>
          <cell r="AG2198">
            <v>400</v>
          </cell>
          <cell r="AJ2198">
            <v>1000</v>
          </cell>
          <cell r="AW2198">
            <v>0</v>
          </cell>
        </row>
        <row r="2199">
          <cell r="B2199">
            <v>5719</v>
          </cell>
          <cell r="C2199" t="str">
            <v>LD_76_</v>
          </cell>
          <cell r="D2199" t="str">
            <v>Rancho Landero No. 76</v>
          </cell>
          <cell r="E2199" t="str">
            <v>Ugarte</v>
          </cell>
          <cell r="F2199">
            <v>300</v>
          </cell>
          <cell r="G2199">
            <v>1</v>
          </cell>
          <cell r="H2199">
            <v>600</v>
          </cell>
          <cell r="I2199">
            <v>41546</v>
          </cell>
          <cell r="J2199">
            <v>0</v>
          </cell>
          <cell r="W2199">
            <v>0</v>
          </cell>
          <cell r="AF2199">
            <v>300</v>
          </cell>
          <cell r="AG2199">
            <v>300</v>
          </cell>
          <cell r="AJ2199">
            <v>600</v>
          </cell>
          <cell r="AW2199">
            <v>0</v>
          </cell>
        </row>
        <row r="2200">
          <cell r="B2200">
            <v>5720</v>
          </cell>
          <cell r="C2200" t="str">
            <v>CL_45_</v>
          </cell>
          <cell r="D2200" t="str">
            <v>Rancho La Cuchilla No. 45</v>
          </cell>
          <cell r="E2200" t="str">
            <v>Estévez Hernández</v>
          </cell>
          <cell r="F2200">
            <v>300</v>
          </cell>
          <cell r="G2200">
            <v>1</v>
          </cell>
          <cell r="H2200">
            <v>400</v>
          </cell>
          <cell r="I2200">
            <v>41546</v>
          </cell>
          <cell r="J2200">
            <v>0</v>
          </cell>
          <cell r="W2200">
            <v>0</v>
          </cell>
          <cell r="AG2200">
            <v>400</v>
          </cell>
          <cell r="AJ2200">
            <v>400</v>
          </cell>
          <cell r="AW2200">
            <v>0</v>
          </cell>
        </row>
        <row r="2201">
          <cell r="B2201">
            <v>5721</v>
          </cell>
          <cell r="C2201" t="str">
            <v>CL_75_</v>
          </cell>
          <cell r="D2201" t="str">
            <v>Rancho La Cuchilla No. 75</v>
          </cell>
          <cell r="E2201" t="str">
            <v>Sosa Lucio</v>
          </cell>
          <cell r="F2201">
            <v>300</v>
          </cell>
          <cell r="G2201">
            <v>1</v>
          </cell>
          <cell r="H2201">
            <v>300</v>
          </cell>
          <cell r="I2201">
            <v>41546</v>
          </cell>
          <cell r="J2201">
            <v>0</v>
          </cell>
          <cell r="W2201">
            <v>0</v>
          </cell>
          <cell r="AF2201">
            <v>300</v>
          </cell>
          <cell r="AJ2201">
            <v>300</v>
          </cell>
          <cell r="AW2201">
            <v>0</v>
          </cell>
        </row>
        <row r="2202">
          <cell r="B2202">
            <v>5722</v>
          </cell>
          <cell r="C2202" t="str">
            <v>LD_70_</v>
          </cell>
          <cell r="D2202" t="str">
            <v>Rancho Landero No. 70</v>
          </cell>
          <cell r="E2202" t="str">
            <v>Olguín</v>
          </cell>
          <cell r="F2202">
            <v>100</v>
          </cell>
          <cell r="G2202">
            <v>1</v>
          </cell>
          <cell r="H2202">
            <v>200</v>
          </cell>
          <cell r="I2202">
            <v>41546</v>
          </cell>
          <cell r="J2202">
            <v>0</v>
          </cell>
          <cell r="W2202">
            <v>0</v>
          </cell>
          <cell r="AE2202">
            <v>100</v>
          </cell>
          <cell r="AF2202">
            <v>100</v>
          </cell>
          <cell r="AJ2202">
            <v>200</v>
          </cell>
          <cell r="AW2202">
            <v>0</v>
          </cell>
        </row>
        <row r="2203">
          <cell r="B2203">
            <v>5723</v>
          </cell>
          <cell r="C2203" t="str">
            <v>ZB_20_</v>
          </cell>
          <cell r="D2203" t="str">
            <v>Rancho Zinamba No. 20</v>
          </cell>
          <cell r="E2203" t="str">
            <v>Alegre Retana</v>
          </cell>
          <cell r="F2203">
            <v>300</v>
          </cell>
          <cell r="G2203">
            <v>1</v>
          </cell>
          <cell r="H2203">
            <v>300</v>
          </cell>
          <cell r="I2203">
            <v>41546</v>
          </cell>
          <cell r="J2203">
            <v>0</v>
          </cell>
          <cell r="W2203">
            <v>0</v>
          </cell>
          <cell r="AF2203">
            <v>300</v>
          </cell>
          <cell r="AJ2203">
            <v>300</v>
          </cell>
          <cell r="AW2203">
            <v>0</v>
          </cell>
        </row>
        <row r="2204">
          <cell r="B2204">
            <v>5724</v>
          </cell>
          <cell r="C2204" t="str">
            <v>UP_75_</v>
          </cell>
          <cell r="D2204" t="str">
            <v>Rancho Upácuaro No. 75</v>
          </cell>
          <cell r="E2204" t="str">
            <v>Montaño Zetina</v>
          </cell>
          <cell r="F2204">
            <v>300</v>
          </cell>
          <cell r="G2204">
            <v>1</v>
          </cell>
          <cell r="H2204">
            <v>1200</v>
          </cell>
          <cell r="I2204">
            <v>41546</v>
          </cell>
          <cell r="J2204">
            <v>0</v>
          </cell>
          <cell r="W2204">
            <v>0</v>
          </cell>
          <cell r="AF2204">
            <v>300</v>
          </cell>
          <cell r="AG2204">
            <v>300</v>
          </cell>
          <cell r="AH2204">
            <v>300</v>
          </cell>
          <cell r="AI2204">
            <v>300</v>
          </cell>
          <cell r="AJ2204">
            <v>1200</v>
          </cell>
          <cell r="AW2204">
            <v>0</v>
          </cell>
        </row>
        <row r="2205">
          <cell r="B2205">
            <v>5725</v>
          </cell>
          <cell r="C2205" t="str">
            <v>ZB_42_</v>
          </cell>
          <cell r="D2205" t="str">
            <v>Rancho Zinamba No. 42</v>
          </cell>
          <cell r="E2205" t="str">
            <v>López Aldave</v>
          </cell>
          <cell r="F2205">
            <v>250</v>
          </cell>
          <cell r="G2205">
            <v>1</v>
          </cell>
          <cell r="H2205">
            <v>300</v>
          </cell>
          <cell r="I2205">
            <v>41546</v>
          </cell>
          <cell r="J2205">
            <v>0</v>
          </cell>
          <cell r="W2205">
            <v>0</v>
          </cell>
          <cell r="AG2205">
            <v>300</v>
          </cell>
          <cell r="AJ2205">
            <v>300</v>
          </cell>
          <cell r="AW2205">
            <v>0</v>
          </cell>
        </row>
        <row r="2206">
          <cell r="B2206">
            <v>5726</v>
          </cell>
          <cell r="C2206" t="str">
            <v>ZB_8_</v>
          </cell>
          <cell r="D2206" t="str">
            <v>Rancho Zinamba No. 8</v>
          </cell>
          <cell r="E2206" t="str">
            <v>Florido</v>
          </cell>
          <cell r="F2206">
            <v>300</v>
          </cell>
          <cell r="G2206">
            <v>1</v>
          </cell>
          <cell r="H2206">
            <v>700</v>
          </cell>
          <cell r="I2206">
            <v>41546</v>
          </cell>
          <cell r="J2206">
            <v>0</v>
          </cell>
          <cell r="W2206">
            <v>0</v>
          </cell>
          <cell r="AF2206">
            <v>300</v>
          </cell>
          <cell r="AG2206">
            <v>400</v>
          </cell>
          <cell r="AJ2206">
            <v>700</v>
          </cell>
          <cell r="AW2206">
            <v>0</v>
          </cell>
        </row>
        <row r="2207">
          <cell r="B2207">
            <v>5727</v>
          </cell>
          <cell r="C2207" t="str">
            <v>CL_15_</v>
          </cell>
          <cell r="D2207" t="str">
            <v>Rancho La Cuchilla No. 15</v>
          </cell>
          <cell r="E2207" t="str">
            <v>Guerrero Ponce</v>
          </cell>
          <cell r="F2207">
            <v>300</v>
          </cell>
          <cell r="G2207">
            <v>1</v>
          </cell>
          <cell r="H2207">
            <v>600</v>
          </cell>
          <cell r="I2207">
            <v>41546</v>
          </cell>
          <cell r="J2207">
            <v>0</v>
          </cell>
          <cell r="W2207">
            <v>0</v>
          </cell>
          <cell r="AF2207">
            <v>300</v>
          </cell>
          <cell r="AG2207">
            <v>300</v>
          </cell>
          <cell r="AJ2207">
            <v>600</v>
          </cell>
          <cell r="AW2207">
            <v>0</v>
          </cell>
        </row>
        <row r="2208">
          <cell r="B2208">
            <v>5728</v>
          </cell>
          <cell r="C2208" t="str">
            <v>CL_74_</v>
          </cell>
          <cell r="D2208" t="str">
            <v>Rancho La Cuchilla No. 74</v>
          </cell>
          <cell r="E2208" t="str">
            <v>Gil</v>
          </cell>
          <cell r="F2208">
            <v>300</v>
          </cell>
          <cell r="G2208">
            <v>1</v>
          </cell>
          <cell r="H2208">
            <v>1200</v>
          </cell>
          <cell r="I2208">
            <v>41546</v>
          </cell>
          <cell r="J2208">
            <v>0</v>
          </cell>
          <cell r="W2208">
            <v>0</v>
          </cell>
          <cell r="AC2208">
            <v>300</v>
          </cell>
          <cell r="AD2208">
            <v>300</v>
          </cell>
          <cell r="AE2208">
            <v>300</v>
          </cell>
          <cell r="AF2208">
            <v>300</v>
          </cell>
          <cell r="AJ2208">
            <v>1200</v>
          </cell>
          <cell r="AW2208">
            <v>0</v>
          </cell>
        </row>
        <row r="2209">
          <cell r="B2209">
            <v>5729</v>
          </cell>
          <cell r="C2209" t="str">
            <v>CL_130_</v>
          </cell>
          <cell r="D2209" t="str">
            <v>Rancho La Cuchilla No. 130</v>
          </cell>
          <cell r="E2209" t="str">
            <v>De la Huerta</v>
          </cell>
          <cell r="F2209">
            <v>300</v>
          </cell>
          <cell r="G2209">
            <v>1</v>
          </cell>
          <cell r="H2209">
            <v>700</v>
          </cell>
          <cell r="I2209">
            <v>41547</v>
          </cell>
          <cell r="J2209">
            <v>0</v>
          </cell>
          <cell r="W2209">
            <v>0</v>
          </cell>
          <cell r="AF2209">
            <v>300</v>
          </cell>
          <cell r="AG2209">
            <v>400</v>
          </cell>
          <cell r="AJ2209">
            <v>700</v>
          </cell>
          <cell r="AW2209">
            <v>0</v>
          </cell>
        </row>
        <row r="2210">
          <cell r="B2210" t="str">
            <v>NÚMERO</v>
          </cell>
          <cell r="C2210" t="str">
            <v>CASA</v>
          </cell>
          <cell r="D2210" t="str">
            <v>DOMICILIO</v>
          </cell>
          <cell r="E2210" t="str">
            <v>FAMILIA</v>
          </cell>
          <cell r="F2210" t="str">
            <v>CUOTA</v>
          </cell>
          <cell r="G2210" t="str">
            <v>C_ING</v>
          </cell>
          <cell r="H2210" t="str">
            <v>IMPORTE</v>
          </cell>
          <cell r="I2210" t="str">
            <v>FECHA</v>
          </cell>
          <cell r="J2210" t="str">
            <v>CHK</v>
          </cell>
          <cell r="K2210" t="str">
            <v>ENE
2012</v>
          </cell>
          <cell r="L2210" t="str">
            <v>FEB
2012</v>
          </cell>
          <cell r="M2210" t="str">
            <v>MAR
2012</v>
          </cell>
          <cell r="N2210" t="str">
            <v>ABR
2012</v>
          </cell>
          <cell r="O2210" t="str">
            <v>MAY
2012</v>
          </cell>
          <cell r="P2210" t="str">
            <v>JUN
2012</v>
          </cell>
          <cell r="Q2210" t="str">
            <v>JUL
2012</v>
          </cell>
          <cell r="R2210" t="str">
            <v>AGO
2012</v>
          </cell>
          <cell r="S2210" t="str">
            <v>SEP
2012</v>
          </cell>
          <cell r="T2210" t="str">
            <v>OCT
2012</v>
          </cell>
          <cell r="U2210" t="str">
            <v>NOV
2012</v>
          </cell>
          <cell r="V2210" t="str">
            <v>DIC
2012</v>
          </cell>
          <cell r="W2210" t="str">
            <v>SUMA
2012</v>
          </cell>
          <cell r="X2210" t="str">
            <v>ENE
2013</v>
          </cell>
          <cell r="Y2210" t="str">
            <v>FEB
2013</v>
          </cell>
          <cell r="Z2210" t="str">
            <v>MAR
2013</v>
          </cell>
          <cell r="AA2210" t="str">
            <v>ABR
2013</v>
          </cell>
          <cell r="AB2210" t="str">
            <v>MAY
2013</v>
          </cell>
          <cell r="AC2210" t="str">
            <v>JUN
2013</v>
          </cell>
          <cell r="AD2210" t="str">
            <v>JUL
2013</v>
          </cell>
          <cell r="AE2210" t="str">
            <v>AGO
2013</v>
          </cell>
          <cell r="AF2210" t="str">
            <v>SEP
2013</v>
          </cell>
          <cell r="AG2210" t="str">
            <v>OCT
2013</v>
          </cell>
          <cell r="AH2210" t="str">
            <v>NOV
2013</v>
          </cell>
          <cell r="AI2210" t="str">
            <v>DIC
2013</v>
          </cell>
          <cell r="AJ2210" t="str">
            <v>SUMA
2013</v>
          </cell>
          <cell r="AK2210" t="str">
            <v>ENE
2014</v>
          </cell>
          <cell r="AL2210" t="str">
            <v>FEB
2014</v>
          </cell>
          <cell r="AM2210" t="str">
            <v>MAR
2014</v>
          </cell>
          <cell r="AN2210" t="str">
            <v>ABR
2014</v>
          </cell>
          <cell r="AO2210" t="str">
            <v>MAY
2014</v>
          </cell>
          <cell r="AP2210" t="str">
            <v>JUN
2014</v>
          </cell>
          <cell r="AQ2210" t="str">
            <v>JUL
2014</v>
          </cell>
          <cell r="AR2210" t="str">
            <v>AGO
2014</v>
          </cell>
          <cell r="AS2210" t="str">
            <v>SEP
2014</v>
          </cell>
          <cell r="AT2210" t="str">
            <v>OCT
2014</v>
          </cell>
          <cell r="AU2210" t="str">
            <v>NOV
2014</v>
          </cell>
          <cell r="AV2210" t="str">
            <v>DIC
2014</v>
          </cell>
          <cell r="AW2210" t="str">
            <v>SUMA
2014</v>
          </cell>
        </row>
        <row r="2211">
          <cell r="B2211">
            <v>5730</v>
          </cell>
          <cell r="C2211" t="str">
            <v>HS_828_</v>
          </cell>
          <cell r="D2211" t="str">
            <v>Calzada del Hueso No. 828</v>
          </cell>
          <cell r="E2211" t="str">
            <v>Cervantes, Miguel</v>
          </cell>
          <cell r="F2211">
            <v>300</v>
          </cell>
          <cell r="G2211">
            <v>1</v>
          </cell>
          <cell r="H2211">
            <v>300</v>
          </cell>
          <cell r="I2211">
            <v>41549</v>
          </cell>
          <cell r="J2211">
            <v>0</v>
          </cell>
          <cell r="W2211">
            <v>0</v>
          </cell>
          <cell r="AG2211">
            <v>300</v>
          </cell>
          <cell r="AJ2211">
            <v>300</v>
          </cell>
          <cell r="AW2211">
            <v>0</v>
          </cell>
        </row>
        <row r="2212">
          <cell r="B2212">
            <v>5730</v>
          </cell>
          <cell r="C2212" t="str">
            <v>HS_828_</v>
          </cell>
          <cell r="D2212" t="str">
            <v>Calzada del Hueso No. 828</v>
          </cell>
          <cell r="E2212" t="str">
            <v>Cervantes, Miguel</v>
          </cell>
          <cell r="F2212">
            <v>300</v>
          </cell>
          <cell r="G2212">
            <v>3</v>
          </cell>
          <cell r="H2212">
            <v>160</v>
          </cell>
          <cell r="I2212">
            <v>41549</v>
          </cell>
          <cell r="J2212" t="str">
            <v>NO SUMA</v>
          </cell>
          <cell r="W2212">
            <v>0</v>
          </cell>
          <cell r="AJ2212">
            <v>0</v>
          </cell>
          <cell r="AW2212">
            <v>0</v>
          </cell>
        </row>
        <row r="2213">
          <cell r="B2213">
            <v>5731</v>
          </cell>
          <cell r="C2213" t="str">
            <v>CL_40_</v>
          </cell>
          <cell r="D2213" t="str">
            <v>Rancho La Cuchilla No. 40</v>
          </cell>
          <cell r="E2213" t="str">
            <v>López Pico</v>
          </cell>
          <cell r="F2213">
            <v>300</v>
          </cell>
          <cell r="G2213">
            <v>1</v>
          </cell>
          <cell r="H2213">
            <v>400</v>
          </cell>
          <cell r="I2213">
            <v>41549</v>
          </cell>
          <cell r="J2213">
            <v>0</v>
          </cell>
          <cell r="W2213">
            <v>0</v>
          </cell>
          <cell r="AG2213">
            <v>400</v>
          </cell>
          <cell r="AJ2213">
            <v>400</v>
          </cell>
          <cell r="AW2213">
            <v>0</v>
          </cell>
        </row>
        <row r="2214">
          <cell r="B2214">
            <v>5732</v>
          </cell>
          <cell r="C2214" t="str">
            <v>CL_67_</v>
          </cell>
          <cell r="D2214" t="str">
            <v>Rancho La Cuchilla No. 67</v>
          </cell>
          <cell r="E2214" t="str">
            <v>Quezada Viruega</v>
          </cell>
          <cell r="F2214">
            <v>300</v>
          </cell>
          <cell r="G2214">
            <v>1</v>
          </cell>
          <cell r="H2214">
            <v>400</v>
          </cell>
          <cell r="I2214">
            <v>41550</v>
          </cell>
          <cell r="J2214">
            <v>0</v>
          </cell>
          <cell r="W2214">
            <v>0</v>
          </cell>
          <cell r="AG2214">
            <v>400</v>
          </cell>
          <cell r="AJ2214">
            <v>400</v>
          </cell>
          <cell r="AW2214">
            <v>0</v>
          </cell>
        </row>
        <row r="2215">
          <cell r="B2215">
            <v>6111</v>
          </cell>
          <cell r="C2215" t="str">
            <v>CL_29_</v>
          </cell>
          <cell r="D2215" t="str">
            <v>Rancho La Cuchilla No. 29</v>
          </cell>
          <cell r="E2215" t="str">
            <v>Vega Sánchez C.</v>
          </cell>
          <cell r="F2215">
            <v>300</v>
          </cell>
          <cell r="G2215">
            <v>1</v>
          </cell>
          <cell r="H2215">
            <v>300</v>
          </cell>
          <cell r="I2215">
            <v>41551</v>
          </cell>
          <cell r="J2215">
            <v>0</v>
          </cell>
          <cell r="W2215">
            <v>0</v>
          </cell>
          <cell r="AG2215">
            <v>300</v>
          </cell>
          <cell r="AJ2215">
            <v>300</v>
          </cell>
          <cell r="AW2215">
            <v>0</v>
          </cell>
        </row>
        <row r="2216">
          <cell r="B2216">
            <v>5733</v>
          </cell>
          <cell r="C2216" t="str">
            <v>CL_11_</v>
          </cell>
          <cell r="D2216" t="str">
            <v>Rancho La Cuchilla No. 11</v>
          </cell>
          <cell r="E2216" t="str">
            <v>Santiago</v>
          </cell>
          <cell r="F2216">
            <v>300</v>
          </cell>
          <cell r="G2216">
            <v>1</v>
          </cell>
          <cell r="H2216">
            <v>1000</v>
          </cell>
          <cell r="I2216">
            <v>41553</v>
          </cell>
          <cell r="J2216">
            <v>0</v>
          </cell>
          <cell r="W2216">
            <v>0</v>
          </cell>
          <cell r="X2216">
            <v>100</v>
          </cell>
          <cell r="Y2216">
            <v>100</v>
          </cell>
          <cell r="Z2216">
            <v>100</v>
          </cell>
          <cell r="AA2216">
            <v>100</v>
          </cell>
          <cell r="AB2216">
            <v>100</v>
          </cell>
          <cell r="AC2216">
            <v>100</v>
          </cell>
          <cell r="AD2216">
            <v>100</v>
          </cell>
          <cell r="AE2216">
            <v>100</v>
          </cell>
          <cell r="AF2216">
            <v>100</v>
          </cell>
          <cell r="AG2216">
            <v>100</v>
          </cell>
          <cell r="AJ2216">
            <v>1000</v>
          </cell>
          <cell r="AW2216">
            <v>0</v>
          </cell>
        </row>
        <row r="2217">
          <cell r="B2217">
            <v>5734</v>
          </cell>
          <cell r="C2217" t="str">
            <v>UP_76_</v>
          </cell>
          <cell r="D2217" t="str">
            <v>Rancho Upácuaro No. 76</v>
          </cell>
          <cell r="E2217" t="str">
            <v>Ruiz de San Pedro</v>
          </cell>
          <cell r="F2217">
            <v>300</v>
          </cell>
          <cell r="G2217">
            <v>1</v>
          </cell>
          <cell r="H2217">
            <v>400</v>
          </cell>
          <cell r="I2217">
            <v>41553</v>
          </cell>
          <cell r="J2217">
            <v>0</v>
          </cell>
          <cell r="W2217">
            <v>0</v>
          </cell>
          <cell r="AG2217">
            <v>400</v>
          </cell>
          <cell r="AJ2217">
            <v>400</v>
          </cell>
          <cell r="AW2217">
            <v>0</v>
          </cell>
        </row>
        <row r="2218">
          <cell r="B2218">
            <v>5735</v>
          </cell>
          <cell r="C2218" t="str">
            <v>UP_134_</v>
          </cell>
          <cell r="D2218" t="str">
            <v>Rancho Upácuaro No. 134</v>
          </cell>
          <cell r="E2218" t="str">
            <v>Flores Pérez</v>
          </cell>
          <cell r="F2218">
            <v>300</v>
          </cell>
          <cell r="G2218">
            <v>1</v>
          </cell>
          <cell r="H2218">
            <v>1000</v>
          </cell>
          <cell r="I2218">
            <v>41553</v>
          </cell>
          <cell r="J2218">
            <v>0</v>
          </cell>
          <cell r="W2218">
            <v>0</v>
          </cell>
          <cell r="AE2218">
            <v>300</v>
          </cell>
          <cell r="AF2218">
            <v>300</v>
          </cell>
          <cell r="AG2218">
            <v>400</v>
          </cell>
          <cell r="AJ2218">
            <v>1000</v>
          </cell>
          <cell r="AW2218">
            <v>0</v>
          </cell>
        </row>
        <row r="2219">
          <cell r="B2219">
            <v>5736</v>
          </cell>
          <cell r="C2219" t="str">
            <v>CL_90_</v>
          </cell>
          <cell r="D2219" t="str">
            <v>Rancho La Cuchilla No. 90</v>
          </cell>
          <cell r="E2219" t="str">
            <v>Porras Fuentes</v>
          </cell>
          <cell r="F2219">
            <v>150</v>
          </cell>
          <cell r="G2219">
            <v>1</v>
          </cell>
          <cell r="H2219">
            <v>350</v>
          </cell>
          <cell r="I2219">
            <v>41553</v>
          </cell>
          <cell r="J2219">
            <v>0</v>
          </cell>
          <cell r="W2219">
            <v>0</v>
          </cell>
          <cell r="AF2219">
            <v>150</v>
          </cell>
          <cell r="AG2219">
            <v>200</v>
          </cell>
          <cell r="AJ2219">
            <v>350</v>
          </cell>
          <cell r="AW2219">
            <v>0</v>
          </cell>
        </row>
        <row r="2220">
          <cell r="B2220">
            <v>5737</v>
          </cell>
          <cell r="C2220" t="str">
            <v>RV_197_</v>
          </cell>
          <cell r="D2220" t="str">
            <v>Rancho Recoveco No. 197</v>
          </cell>
          <cell r="E2220" t="str">
            <v>Colín González</v>
          </cell>
          <cell r="F2220">
            <v>300</v>
          </cell>
          <cell r="G2220">
            <v>1</v>
          </cell>
          <cell r="H2220">
            <v>400</v>
          </cell>
          <cell r="I2220">
            <v>41553</v>
          </cell>
          <cell r="J2220">
            <v>0</v>
          </cell>
          <cell r="W2220">
            <v>0</v>
          </cell>
          <cell r="AG2220">
            <v>400</v>
          </cell>
          <cell r="AJ2220">
            <v>400</v>
          </cell>
          <cell r="AW2220">
            <v>0</v>
          </cell>
        </row>
        <row r="2221">
          <cell r="B2221">
            <v>5738</v>
          </cell>
          <cell r="C2221" t="str">
            <v>ZB_88_</v>
          </cell>
          <cell r="D2221" t="str">
            <v>Rancho Zinamba No. 88</v>
          </cell>
          <cell r="E2221" t="str">
            <v>Martínez</v>
          </cell>
          <cell r="F2221">
            <v>250</v>
          </cell>
          <cell r="G2221">
            <v>1</v>
          </cell>
          <cell r="H2221">
            <v>600</v>
          </cell>
          <cell r="I2221">
            <v>41553</v>
          </cell>
          <cell r="J2221">
            <v>0</v>
          </cell>
          <cell r="W2221">
            <v>0</v>
          </cell>
          <cell r="AF2221">
            <v>250</v>
          </cell>
          <cell r="AG2221">
            <v>350</v>
          </cell>
          <cell r="AJ2221">
            <v>600</v>
          </cell>
          <cell r="AW2221">
            <v>0</v>
          </cell>
        </row>
        <row r="2222">
          <cell r="B2222">
            <v>5739</v>
          </cell>
          <cell r="C2222" t="str">
            <v>EP_18_</v>
          </cell>
          <cell r="D2222" t="str">
            <v>Rancho Estopila No. 18</v>
          </cell>
          <cell r="E2222" t="str">
            <v>Aguilar Zarmeño</v>
          </cell>
          <cell r="F2222">
            <v>300</v>
          </cell>
          <cell r="G2222">
            <v>1</v>
          </cell>
          <cell r="H2222">
            <v>700</v>
          </cell>
          <cell r="I2222">
            <v>41553</v>
          </cell>
          <cell r="J2222">
            <v>0</v>
          </cell>
          <cell r="W2222">
            <v>0</v>
          </cell>
          <cell r="AF2222">
            <v>300</v>
          </cell>
          <cell r="AG2222">
            <v>400</v>
          </cell>
          <cell r="AJ2222">
            <v>700</v>
          </cell>
          <cell r="AW2222">
            <v>0</v>
          </cell>
        </row>
        <row r="2223">
          <cell r="B2223">
            <v>5740</v>
          </cell>
          <cell r="C2223" t="str">
            <v>CL_120_</v>
          </cell>
          <cell r="D2223" t="str">
            <v>Rancho La Cuchilla No. 120</v>
          </cell>
          <cell r="E2223" t="str">
            <v>Pozos Vilchis</v>
          </cell>
          <cell r="F2223">
            <v>300</v>
          </cell>
          <cell r="G2223">
            <v>1</v>
          </cell>
          <cell r="H2223">
            <v>400</v>
          </cell>
          <cell r="I2223">
            <v>41553</v>
          </cell>
          <cell r="J2223">
            <v>0</v>
          </cell>
          <cell r="W2223">
            <v>0</v>
          </cell>
          <cell r="AG2223">
            <v>400</v>
          </cell>
          <cell r="AJ2223">
            <v>400</v>
          </cell>
          <cell r="AW2223">
            <v>0</v>
          </cell>
        </row>
        <row r="2224">
          <cell r="B2224">
            <v>5741</v>
          </cell>
          <cell r="C2224" t="str">
            <v>LD_83_</v>
          </cell>
          <cell r="D2224" t="str">
            <v>Rancho Landero No. 83</v>
          </cell>
          <cell r="E2224" t="str">
            <v>Aguilar</v>
          </cell>
          <cell r="F2224">
            <v>300</v>
          </cell>
          <cell r="G2224">
            <v>1</v>
          </cell>
          <cell r="H2224">
            <v>350</v>
          </cell>
          <cell r="I2224">
            <v>41553</v>
          </cell>
          <cell r="J2224">
            <v>0</v>
          </cell>
          <cell r="W2224">
            <v>0</v>
          </cell>
          <cell r="AG2224">
            <v>350</v>
          </cell>
          <cell r="AJ2224">
            <v>350</v>
          </cell>
          <cell r="AW2224">
            <v>0</v>
          </cell>
        </row>
        <row r="2225">
          <cell r="B2225">
            <v>5742</v>
          </cell>
          <cell r="C2225" t="str">
            <v>ZB_44_</v>
          </cell>
          <cell r="D2225" t="str">
            <v>Rancho Zinamba No. 44</v>
          </cell>
          <cell r="E2225" t="str">
            <v>Canales</v>
          </cell>
          <cell r="F2225">
            <v>300</v>
          </cell>
          <cell r="G2225">
            <v>1</v>
          </cell>
          <cell r="H2225">
            <v>400</v>
          </cell>
          <cell r="I2225">
            <v>41553</v>
          </cell>
          <cell r="J2225">
            <v>0</v>
          </cell>
          <cell r="W2225">
            <v>0</v>
          </cell>
          <cell r="AG2225">
            <v>400</v>
          </cell>
          <cell r="AJ2225">
            <v>400</v>
          </cell>
          <cell r="AW2225">
            <v>0</v>
          </cell>
        </row>
        <row r="2226">
          <cell r="B2226">
            <v>5743</v>
          </cell>
          <cell r="C2226" t="str">
            <v>CL_32_</v>
          </cell>
          <cell r="D2226" t="str">
            <v>Rancho La Cuchilla No. 32</v>
          </cell>
          <cell r="E2226" t="str">
            <v>Hernández</v>
          </cell>
          <cell r="F2226">
            <v>300</v>
          </cell>
          <cell r="G2226">
            <v>1</v>
          </cell>
          <cell r="H2226">
            <v>700</v>
          </cell>
          <cell r="I2226">
            <v>41553</v>
          </cell>
          <cell r="J2226">
            <v>0</v>
          </cell>
          <cell r="W2226">
            <v>0</v>
          </cell>
          <cell r="AF2226">
            <v>300</v>
          </cell>
          <cell r="AG2226">
            <v>400</v>
          </cell>
          <cell r="AJ2226">
            <v>700</v>
          </cell>
          <cell r="AW2226">
            <v>0</v>
          </cell>
        </row>
        <row r="2227">
          <cell r="B2227">
            <v>5744</v>
          </cell>
          <cell r="C2227" t="str">
            <v>LD_31_</v>
          </cell>
          <cell r="D2227" t="str">
            <v>Rancho Landero No. 31</v>
          </cell>
          <cell r="E2227" t="str">
            <v>Díaz Hernández</v>
          </cell>
          <cell r="F2227">
            <v>200</v>
          </cell>
          <cell r="G2227">
            <v>1</v>
          </cell>
          <cell r="H2227">
            <v>200</v>
          </cell>
          <cell r="I2227">
            <v>41553</v>
          </cell>
          <cell r="J2227">
            <v>0</v>
          </cell>
          <cell r="W2227">
            <v>0</v>
          </cell>
          <cell r="AG2227">
            <v>200</v>
          </cell>
          <cell r="AJ2227">
            <v>200</v>
          </cell>
          <cell r="AW2227">
            <v>0</v>
          </cell>
        </row>
        <row r="2228">
          <cell r="B2228">
            <v>5745</v>
          </cell>
          <cell r="C2228" t="str">
            <v>CL_7_202</v>
          </cell>
          <cell r="D2228" t="str">
            <v>Rancho La Cuchilla No. 7, 202</v>
          </cell>
          <cell r="E2228" t="str">
            <v>Carbajal Zayas</v>
          </cell>
          <cell r="F2228">
            <v>100</v>
          </cell>
          <cell r="G2228">
            <v>1</v>
          </cell>
          <cell r="H2228">
            <v>100</v>
          </cell>
          <cell r="I2228">
            <v>41553</v>
          </cell>
          <cell r="J2228">
            <v>0</v>
          </cell>
          <cell r="W2228">
            <v>0</v>
          </cell>
          <cell r="AF2228">
            <v>100</v>
          </cell>
          <cell r="AJ2228">
            <v>100</v>
          </cell>
          <cell r="AW2228">
            <v>0</v>
          </cell>
        </row>
        <row r="2229">
          <cell r="B2229">
            <v>5746</v>
          </cell>
          <cell r="C2229" t="str">
            <v>CL_7_102</v>
          </cell>
          <cell r="D2229" t="str">
            <v>Rancho La Cuchilla No. 7, 102</v>
          </cell>
          <cell r="E2229" t="str">
            <v>García Moreno</v>
          </cell>
          <cell r="F2229">
            <v>100</v>
          </cell>
          <cell r="G2229">
            <v>1</v>
          </cell>
          <cell r="H2229">
            <v>100</v>
          </cell>
          <cell r="I2229">
            <v>41553</v>
          </cell>
          <cell r="J2229">
            <v>0</v>
          </cell>
          <cell r="W2229">
            <v>0</v>
          </cell>
          <cell r="AG2229">
            <v>100</v>
          </cell>
          <cell r="AJ2229">
            <v>100</v>
          </cell>
          <cell r="AW2229">
            <v>0</v>
          </cell>
        </row>
        <row r="2230">
          <cell r="B2230">
            <v>5747</v>
          </cell>
          <cell r="C2230" t="str">
            <v>EZ_19_</v>
          </cell>
          <cell r="D2230" t="str">
            <v>Rancho Estanzuela No. 19</v>
          </cell>
          <cell r="E2230" t="str">
            <v>Robles</v>
          </cell>
          <cell r="F2230">
            <v>300</v>
          </cell>
          <cell r="G2230">
            <v>1</v>
          </cell>
          <cell r="H2230">
            <v>400</v>
          </cell>
          <cell r="I2230">
            <v>41553</v>
          </cell>
          <cell r="J2230">
            <v>0</v>
          </cell>
          <cell r="W2230">
            <v>0</v>
          </cell>
          <cell r="AG2230">
            <v>400</v>
          </cell>
          <cell r="AJ2230">
            <v>400</v>
          </cell>
          <cell r="AW2230">
            <v>0</v>
          </cell>
        </row>
        <row r="2231">
          <cell r="B2231">
            <v>5748</v>
          </cell>
          <cell r="C2231" t="str">
            <v>CL_43_B</v>
          </cell>
          <cell r="D2231" t="str">
            <v>Rancho La Cuchilla No. 43, B</v>
          </cell>
          <cell r="E2231" t="str">
            <v>Luna Albertano</v>
          </cell>
          <cell r="F2231">
            <v>125</v>
          </cell>
          <cell r="G2231">
            <v>1</v>
          </cell>
          <cell r="H2231">
            <v>125</v>
          </cell>
          <cell r="I2231">
            <v>41553</v>
          </cell>
          <cell r="J2231">
            <v>0</v>
          </cell>
          <cell r="W2231">
            <v>0</v>
          </cell>
          <cell r="AG2231">
            <v>125</v>
          </cell>
          <cell r="AJ2231">
            <v>125</v>
          </cell>
          <cell r="AW2231">
            <v>0</v>
          </cell>
        </row>
        <row r="2232">
          <cell r="B2232">
            <v>5749</v>
          </cell>
          <cell r="C2232" t="str">
            <v>UP_64_</v>
          </cell>
          <cell r="D2232" t="str">
            <v>Rancho Upácuaro No. 64</v>
          </cell>
          <cell r="E2232" t="str">
            <v>Méndez Oliva</v>
          </cell>
          <cell r="F2232">
            <v>300</v>
          </cell>
          <cell r="G2232">
            <v>1</v>
          </cell>
          <cell r="H2232">
            <v>300</v>
          </cell>
          <cell r="I2232">
            <v>41553</v>
          </cell>
          <cell r="J2232">
            <v>0</v>
          </cell>
          <cell r="W2232">
            <v>0</v>
          </cell>
          <cell r="AG2232">
            <v>300</v>
          </cell>
          <cell r="AJ2232">
            <v>300</v>
          </cell>
          <cell r="AW2232">
            <v>0</v>
          </cell>
        </row>
        <row r="2233">
          <cell r="B2233">
            <v>5750</v>
          </cell>
          <cell r="C2233" t="str">
            <v>CL_20_</v>
          </cell>
          <cell r="D2233" t="str">
            <v>Rancho La Cuchilla No. 20</v>
          </cell>
          <cell r="E2233" t="str">
            <v>Sánchez López</v>
          </cell>
          <cell r="F2233">
            <v>300</v>
          </cell>
          <cell r="G2233">
            <v>1</v>
          </cell>
          <cell r="H2233">
            <v>400</v>
          </cell>
          <cell r="I2233">
            <v>41553</v>
          </cell>
          <cell r="J2233">
            <v>0</v>
          </cell>
          <cell r="W2233">
            <v>0</v>
          </cell>
          <cell r="AG2233">
            <v>400</v>
          </cell>
          <cell r="AJ2233">
            <v>400</v>
          </cell>
          <cell r="AW2233">
            <v>0</v>
          </cell>
        </row>
        <row r="2234">
          <cell r="B2234">
            <v>5751</v>
          </cell>
          <cell r="C2234" t="str">
            <v>EZ_3_</v>
          </cell>
          <cell r="D2234" t="str">
            <v>Rancho Estanzuela No. 3</v>
          </cell>
          <cell r="E2234" t="str">
            <v>Villanueva Nájera</v>
          </cell>
          <cell r="F2234">
            <v>150</v>
          </cell>
          <cell r="G2234">
            <v>1</v>
          </cell>
          <cell r="H2234">
            <v>600</v>
          </cell>
          <cell r="I2234">
            <v>41553</v>
          </cell>
          <cell r="J2234">
            <v>0</v>
          </cell>
          <cell r="W2234">
            <v>0</v>
          </cell>
          <cell r="AG2234">
            <v>200</v>
          </cell>
          <cell r="AH2234">
            <v>200</v>
          </cell>
          <cell r="AI2234">
            <v>200</v>
          </cell>
          <cell r="AJ2234">
            <v>600</v>
          </cell>
          <cell r="AW2234">
            <v>0</v>
          </cell>
        </row>
        <row r="2235">
          <cell r="B2235">
            <v>5752</v>
          </cell>
          <cell r="C2235" t="str">
            <v>LD_7_</v>
          </cell>
          <cell r="D2235" t="str">
            <v>Rancho Landero No. 7</v>
          </cell>
          <cell r="E2235" t="str">
            <v>Robles</v>
          </cell>
          <cell r="F2235">
            <v>150</v>
          </cell>
          <cell r="G2235">
            <v>1</v>
          </cell>
          <cell r="H2235">
            <v>150</v>
          </cell>
          <cell r="I2235">
            <v>41553</v>
          </cell>
          <cell r="J2235">
            <v>0</v>
          </cell>
          <cell r="W2235">
            <v>0</v>
          </cell>
          <cell r="AG2235">
            <v>150</v>
          </cell>
          <cell r="AJ2235">
            <v>150</v>
          </cell>
          <cell r="AW2235">
            <v>0</v>
          </cell>
        </row>
        <row r="2236">
          <cell r="B2236">
            <v>5753</v>
          </cell>
          <cell r="C2236" t="str">
            <v>CL_92_</v>
          </cell>
          <cell r="D2236" t="str">
            <v>Rancho La Cuchilla No. 92</v>
          </cell>
          <cell r="E2236" t="str">
            <v>Cabrera</v>
          </cell>
          <cell r="F2236">
            <v>300</v>
          </cell>
          <cell r="G2236">
            <v>1</v>
          </cell>
          <cell r="H2236">
            <v>400</v>
          </cell>
          <cell r="I2236">
            <v>41553</v>
          </cell>
          <cell r="J2236">
            <v>0</v>
          </cell>
          <cell r="W2236">
            <v>0</v>
          </cell>
          <cell r="AG2236">
            <v>400</v>
          </cell>
          <cell r="AJ2236">
            <v>400</v>
          </cell>
          <cell r="AW2236">
            <v>0</v>
          </cell>
        </row>
        <row r="2237">
          <cell r="B2237">
            <v>5754</v>
          </cell>
          <cell r="C2237" t="str">
            <v>CL_89_</v>
          </cell>
          <cell r="D2237" t="str">
            <v>Rancho La Cuchilla No. 89</v>
          </cell>
          <cell r="E2237" t="str">
            <v>Gálvez</v>
          </cell>
          <cell r="F2237">
            <v>300</v>
          </cell>
          <cell r="G2237">
            <v>1</v>
          </cell>
          <cell r="H2237">
            <v>400</v>
          </cell>
          <cell r="I2237">
            <v>41553</v>
          </cell>
          <cell r="J2237">
            <v>0</v>
          </cell>
          <cell r="W2237">
            <v>0</v>
          </cell>
          <cell r="AG2237">
            <v>400</v>
          </cell>
          <cell r="AJ2237">
            <v>400</v>
          </cell>
          <cell r="AW2237">
            <v>0</v>
          </cell>
        </row>
        <row r="2238">
          <cell r="B2238">
            <v>5755</v>
          </cell>
          <cell r="C2238" t="str">
            <v>RV_195_</v>
          </cell>
          <cell r="D2238" t="str">
            <v>Rancho Recoveco No. 195</v>
          </cell>
          <cell r="E2238" t="str">
            <v>Sandoval</v>
          </cell>
          <cell r="F2238">
            <v>300</v>
          </cell>
          <cell r="G2238">
            <v>1</v>
          </cell>
          <cell r="H2238">
            <v>700</v>
          </cell>
          <cell r="I2238">
            <v>41553</v>
          </cell>
          <cell r="J2238">
            <v>0</v>
          </cell>
          <cell r="W2238">
            <v>0</v>
          </cell>
          <cell r="AF2238">
            <v>300</v>
          </cell>
          <cell r="AG2238">
            <v>400</v>
          </cell>
          <cell r="AJ2238">
            <v>700</v>
          </cell>
          <cell r="AW2238">
            <v>0</v>
          </cell>
        </row>
        <row r="2239">
          <cell r="B2239">
            <v>5756</v>
          </cell>
          <cell r="C2239" t="str">
            <v>CL_96_</v>
          </cell>
          <cell r="D2239" t="str">
            <v>Rancho La Cuchilla No. 96</v>
          </cell>
          <cell r="E2239" t="str">
            <v>Valdez Álvarez</v>
          </cell>
          <cell r="F2239">
            <v>300</v>
          </cell>
          <cell r="G2239">
            <v>1</v>
          </cell>
          <cell r="H2239">
            <v>300</v>
          </cell>
          <cell r="I2239">
            <v>41553</v>
          </cell>
          <cell r="J2239">
            <v>0</v>
          </cell>
          <cell r="W2239">
            <v>0</v>
          </cell>
          <cell r="AG2239">
            <v>100</v>
          </cell>
          <cell r="AH2239">
            <v>100</v>
          </cell>
          <cell r="AI2239">
            <v>100</v>
          </cell>
          <cell r="AJ2239">
            <v>300</v>
          </cell>
          <cell r="AW2239">
            <v>0</v>
          </cell>
        </row>
        <row r="2240">
          <cell r="B2240">
            <v>5757</v>
          </cell>
          <cell r="C2240" t="str">
            <v>CL_96_</v>
          </cell>
          <cell r="D2240" t="str">
            <v>Rancho La Cuchilla No. 96</v>
          </cell>
          <cell r="E2240" t="str">
            <v>Valdez Álvarez</v>
          </cell>
          <cell r="F2240">
            <v>300</v>
          </cell>
          <cell r="G2240">
            <v>4</v>
          </cell>
          <cell r="H2240">
            <v>160</v>
          </cell>
          <cell r="I2240">
            <v>41553</v>
          </cell>
          <cell r="J2240" t="str">
            <v>NO SUMA</v>
          </cell>
          <cell r="W2240">
            <v>0</v>
          </cell>
          <cell r="AJ2240">
            <v>0</v>
          </cell>
          <cell r="AW2240">
            <v>0</v>
          </cell>
        </row>
        <row r="2241">
          <cell r="B2241">
            <v>5758</v>
          </cell>
          <cell r="C2241" t="str">
            <v>ZB_36_</v>
          </cell>
          <cell r="D2241" t="str">
            <v>Rancho Zinamba No. 36</v>
          </cell>
          <cell r="E2241" t="str">
            <v>Rodríguez Ortiz</v>
          </cell>
          <cell r="F2241">
            <v>300</v>
          </cell>
          <cell r="G2241">
            <v>1</v>
          </cell>
          <cell r="H2241">
            <v>600</v>
          </cell>
          <cell r="I2241">
            <v>41553</v>
          </cell>
          <cell r="J2241">
            <v>0</v>
          </cell>
          <cell r="W2241">
            <v>0</v>
          </cell>
          <cell r="AF2241">
            <v>300</v>
          </cell>
          <cell r="AG2241">
            <v>300</v>
          </cell>
          <cell r="AJ2241">
            <v>600</v>
          </cell>
          <cell r="AW2241">
            <v>0</v>
          </cell>
        </row>
        <row r="2242">
          <cell r="B2242">
            <v>5759</v>
          </cell>
          <cell r="C2242" t="str">
            <v>CL_112_PB</v>
          </cell>
          <cell r="D2242" t="str">
            <v>Rancho La Cuchilla No. 112, PB</v>
          </cell>
          <cell r="E2242" t="str">
            <v>Soreque</v>
          </cell>
          <cell r="F2242">
            <v>150</v>
          </cell>
          <cell r="G2242">
            <v>1</v>
          </cell>
          <cell r="H2242">
            <v>200</v>
          </cell>
          <cell r="I2242">
            <v>41553</v>
          </cell>
          <cell r="J2242">
            <v>0</v>
          </cell>
          <cell r="W2242">
            <v>0</v>
          </cell>
          <cell r="AG2242">
            <v>200</v>
          </cell>
          <cell r="AJ2242">
            <v>200</v>
          </cell>
          <cell r="AW2242">
            <v>0</v>
          </cell>
        </row>
        <row r="2243">
          <cell r="B2243">
            <v>5760</v>
          </cell>
          <cell r="C2243" t="str">
            <v>CL_81_A</v>
          </cell>
          <cell r="D2243" t="str">
            <v>Rancho La Cuchilla No. 81, A</v>
          </cell>
          <cell r="E2243" t="str">
            <v>Barrientos López</v>
          </cell>
          <cell r="F2243">
            <v>300</v>
          </cell>
          <cell r="G2243">
            <v>1</v>
          </cell>
          <cell r="H2243">
            <v>400</v>
          </cell>
          <cell r="I2243">
            <v>41553</v>
          </cell>
          <cell r="J2243">
            <v>0</v>
          </cell>
          <cell r="W2243">
            <v>0</v>
          </cell>
          <cell r="AG2243">
            <v>400</v>
          </cell>
          <cell r="AJ2243">
            <v>400</v>
          </cell>
          <cell r="AW2243">
            <v>0</v>
          </cell>
        </row>
        <row r="2244">
          <cell r="B2244">
            <v>5761</v>
          </cell>
          <cell r="C2244" t="str">
            <v>UP_47_</v>
          </cell>
          <cell r="D2244" t="str">
            <v>Rancho Upácuaro No. 47</v>
          </cell>
          <cell r="E2244" t="str">
            <v>Flores Muñoz</v>
          </cell>
          <cell r="F2244">
            <v>300</v>
          </cell>
          <cell r="G2244">
            <v>1</v>
          </cell>
          <cell r="H2244">
            <v>400</v>
          </cell>
          <cell r="I2244">
            <v>41553</v>
          </cell>
          <cell r="J2244">
            <v>0</v>
          </cell>
          <cell r="W2244">
            <v>0</v>
          </cell>
          <cell r="AG2244">
            <v>400</v>
          </cell>
          <cell r="AJ2244">
            <v>400</v>
          </cell>
          <cell r="AW2244">
            <v>0</v>
          </cell>
        </row>
        <row r="2245">
          <cell r="B2245">
            <v>5761</v>
          </cell>
          <cell r="C2245" t="str">
            <v>UP_47_</v>
          </cell>
          <cell r="D2245" t="str">
            <v>Rancho Upácuaro No. 47</v>
          </cell>
          <cell r="E2245" t="str">
            <v>Flores Muñoz</v>
          </cell>
          <cell r="G2245">
            <v>4</v>
          </cell>
          <cell r="H2245">
            <v>160</v>
          </cell>
          <cell r="I2245">
            <v>41553</v>
          </cell>
          <cell r="J2245" t="str">
            <v>NO SUMA</v>
          </cell>
          <cell r="W2245">
            <v>0</v>
          </cell>
          <cell r="AJ2245">
            <v>0</v>
          </cell>
          <cell r="AW2245">
            <v>0</v>
          </cell>
        </row>
        <row r="2246">
          <cell r="B2246">
            <v>5762</v>
          </cell>
          <cell r="C2246" t="str">
            <v>UP_18_</v>
          </cell>
          <cell r="D2246" t="str">
            <v>Rancho Upácuaro No. 18</v>
          </cell>
          <cell r="E2246" t="str">
            <v>Guzmán</v>
          </cell>
          <cell r="F2246">
            <v>300</v>
          </cell>
          <cell r="G2246">
            <v>1</v>
          </cell>
          <cell r="H2246">
            <v>300</v>
          </cell>
          <cell r="I2246">
            <v>41553</v>
          </cell>
          <cell r="J2246">
            <v>0</v>
          </cell>
          <cell r="W2246">
            <v>0</v>
          </cell>
          <cell r="AG2246">
            <v>300</v>
          </cell>
          <cell r="AJ2246">
            <v>300</v>
          </cell>
          <cell r="AW2246">
            <v>0</v>
          </cell>
        </row>
        <row r="2247">
          <cell r="B2247">
            <v>5763</v>
          </cell>
          <cell r="C2247" t="str">
            <v>LD_86_</v>
          </cell>
          <cell r="D2247" t="str">
            <v>Rancho Landero No. 86</v>
          </cell>
          <cell r="E2247" t="str">
            <v>Cuervo</v>
          </cell>
          <cell r="F2247">
            <v>300</v>
          </cell>
          <cell r="G2247">
            <v>4</v>
          </cell>
          <cell r="H2247">
            <v>160</v>
          </cell>
          <cell r="I2247">
            <v>41553</v>
          </cell>
          <cell r="J2247" t="str">
            <v>NO SUMA</v>
          </cell>
          <cell r="W2247">
            <v>0</v>
          </cell>
          <cell r="AJ2247">
            <v>0</v>
          </cell>
          <cell r="AW2247">
            <v>0</v>
          </cell>
        </row>
        <row r="2248">
          <cell r="B2248">
            <v>5764</v>
          </cell>
          <cell r="C2248" t="str">
            <v>CL_19_</v>
          </cell>
          <cell r="D2248" t="str">
            <v>Rancho La Cuchilla No. 19</v>
          </cell>
          <cell r="E2248" t="str">
            <v>Tapia Vázquez</v>
          </cell>
          <cell r="F2248">
            <v>300</v>
          </cell>
          <cell r="G2248">
            <v>1</v>
          </cell>
          <cell r="H2248">
            <v>300</v>
          </cell>
          <cell r="I2248">
            <v>41553</v>
          </cell>
          <cell r="J2248">
            <v>0</v>
          </cell>
          <cell r="W2248">
            <v>0</v>
          </cell>
          <cell r="AG2248">
            <v>300</v>
          </cell>
          <cell r="AJ2248">
            <v>300</v>
          </cell>
          <cell r="AW2248">
            <v>0</v>
          </cell>
        </row>
        <row r="2249">
          <cell r="B2249">
            <v>5765</v>
          </cell>
          <cell r="C2249" t="str">
            <v>UP_136_</v>
          </cell>
          <cell r="D2249" t="str">
            <v>Rancho Upácuaro No. 136</v>
          </cell>
          <cell r="E2249" t="str">
            <v>López Lena</v>
          </cell>
          <cell r="F2249">
            <v>300</v>
          </cell>
          <cell r="G2249">
            <v>1</v>
          </cell>
          <cell r="H2249">
            <v>400</v>
          </cell>
          <cell r="I2249">
            <v>41553</v>
          </cell>
          <cell r="J2249">
            <v>0</v>
          </cell>
          <cell r="W2249">
            <v>0</v>
          </cell>
          <cell r="AG2249">
            <v>400</v>
          </cell>
          <cell r="AJ2249">
            <v>400</v>
          </cell>
          <cell r="AW2249">
            <v>0</v>
          </cell>
        </row>
        <row r="2250">
          <cell r="B2250">
            <v>5766</v>
          </cell>
          <cell r="C2250" t="str">
            <v>CL_47_</v>
          </cell>
          <cell r="D2250" t="str">
            <v>Rancho La Cuchilla No. 47</v>
          </cell>
          <cell r="E2250" t="str">
            <v>López</v>
          </cell>
          <cell r="F2250">
            <v>300</v>
          </cell>
          <cell r="G2250">
            <v>1</v>
          </cell>
          <cell r="H2250">
            <v>2000</v>
          </cell>
          <cell r="I2250">
            <v>41553</v>
          </cell>
          <cell r="J2250">
            <v>0</v>
          </cell>
          <cell r="W2250">
            <v>0</v>
          </cell>
          <cell r="AC2250">
            <v>300</v>
          </cell>
          <cell r="AD2250">
            <v>300</v>
          </cell>
          <cell r="AE2250">
            <v>300</v>
          </cell>
          <cell r="AF2250">
            <v>300</v>
          </cell>
          <cell r="AG2250">
            <v>400</v>
          </cell>
          <cell r="AH2250">
            <v>400</v>
          </cell>
          <cell r="AJ2250">
            <v>2000</v>
          </cell>
          <cell r="AW2250">
            <v>0</v>
          </cell>
        </row>
        <row r="2251">
          <cell r="B2251">
            <v>5767</v>
          </cell>
          <cell r="C2251" t="str">
            <v>RV_1_</v>
          </cell>
          <cell r="D2251" t="str">
            <v>Rancho Recoveco No. 1</v>
          </cell>
          <cell r="E2251" t="str">
            <v>Díaz</v>
          </cell>
          <cell r="F2251">
            <v>300</v>
          </cell>
          <cell r="G2251">
            <v>1</v>
          </cell>
          <cell r="H2251">
            <v>300</v>
          </cell>
          <cell r="I2251">
            <v>41553</v>
          </cell>
          <cell r="J2251">
            <v>0</v>
          </cell>
          <cell r="W2251">
            <v>0</v>
          </cell>
          <cell r="AG2251">
            <v>300</v>
          </cell>
          <cell r="AJ2251">
            <v>300</v>
          </cell>
          <cell r="AW2251">
            <v>0</v>
          </cell>
        </row>
        <row r="2252">
          <cell r="B2252">
            <v>5768</v>
          </cell>
          <cell r="C2252" t="str">
            <v>EZ_77_</v>
          </cell>
          <cell r="D2252" t="str">
            <v>Rancho Estanzuela No. 77</v>
          </cell>
          <cell r="E2252" t="str">
            <v>De la Rosa Rico</v>
          </cell>
          <cell r="F2252">
            <v>300</v>
          </cell>
          <cell r="G2252">
            <v>1</v>
          </cell>
          <cell r="H2252">
            <v>900</v>
          </cell>
          <cell r="I2252">
            <v>41553</v>
          </cell>
          <cell r="J2252">
            <v>0</v>
          </cell>
          <cell r="W2252">
            <v>0</v>
          </cell>
          <cell r="AD2252">
            <v>300</v>
          </cell>
          <cell r="AE2252">
            <v>300</v>
          </cell>
          <cell r="AF2252">
            <v>300</v>
          </cell>
          <cell r="AJ2252">
            <v>900</v>
          </cell>
          <cell r="AW2252">
            <v>0</v>
          </cell>
        </row>
        <row r="2253">
          <cell r="B2253">
            <v>5769</v>
          </cell>
          <cell r="C2253" t="str">
            <v>LD_42_</v>
          </cell>
          <cell r="D2253" t="str">
            <v>Rancho Landero No. 42</v>
          </cell>
          <cell r="E2253" t="str">
            <v>Ávila Fidel</v>
          </cell>
          <cell r="F2253">
            <v>300</v>
          </cell>
          <cell r="G2253">
            <v>1</v>
          </cell>
          <cell r="H2253">
            <v>400</v>
          </cell>
          <cell r="I2253">
            <v>41553</v>
          </cell>
          <cell r="J2253">
            <v>0</v>
          </cell>
          <cell r="W2253">
            <v>0</v>
          </cell>
          <cell r="AG2253">
            <v>400</v>
          </cell>
          <cell r="AJ2253">
            <v>400</v>
          </cell>
          <cell r="AW2253">
            <v>0</v>
          </cell>
        </row>
        <row r="2254">
          <cell r="B2254">
            <v>5770</v>
          </cell>
          <cell r="C2254" t="str">
            <v>LD_99_</v>
          </cell>
          <cell r="D2254" t="str">
            <v>Rancho Landero No. 99</v>
          </cell>
          <cell r="E2254" t="str">
            <v>Rangel</v>
          </cell>
          <cell r="F2254">
            <v>300</v>
          </cell>
          <cell r="G2254">
            <v>1</v>
          </cell>
          <cell r="H2254">
            <v>300</v>
          </cell>
          <cell r="I2254">
            <v>41553</v>
          </cell>
          <cell r="J2254">
            <v>0</v>
          </cell>
          <cell r="W2254">
            <v>0</v>
          </cell>
          <cell r="AF2254">
            <v>300</v>
          </cell>
          <cell r="AJ2254">
            <v>300</v>
          </cell>
          <cell r="AW2254">
            <v>0</v>
          </cell>
        </row>
        <row r="2255">
          <cell r="B2255">
            <v>5771</v>
          </cell>
          <cell r="C2255" t="str">
            <v>CL_75_</v>
          </cell>
          <cell r="D2255" t="str">
            <v>Rancho La Cuchilla No. 75</v>
          </cell>
          <cell r="E2255" t="str">
            <v>Sosa Lucio</v>
          </cell>
          <cell r="F2255">
            <v>300</v>
          </cell>
          <cell r="G2255">
            <v>3</v>
          </cell>
          <cell r="H2255">
            <v>160</v>
          </cell>
          <cell r="I2255">
            <v>41553</v>
          </cell>
          <cell r="J2255" t="str">
            <v>NO SUMA</v>
          </cell>
          <cell r="W2255">
            <v>0</v>
          </cell>
          <cell r="AJ2255">
            <v>0</v>
          </cell>
          <cell r="AW2255">
            <v>0</v>
          </cell>
        </row>
        <row r="2256">
          <cell r="B2256">
            <v>5772</v>
          </cell>
          <cell r="C2256" t="str">
            <v>CL_129_</v>
          </cell>
          <cell r="D2256" t="str">
            <v>Rancho La Cuchilla No. 129</v>
          </cell>
          <cell r="E2256" t="str">
            <v>Gamboa Rueda</v>
          </cell>
          <cell r="F2256">
            <v>200</v>
          </cell>
          <cell r="G2256">
            <v>1</v>
          </cell>
          <cell r="H2256">
            <v>100</v>
          </cell>
          <cell r="I2256">
            <v>41553</v>
          </cell>
          <cell r="J2256">
            <v>0</v>
          </cell>
          <cell r="W2256">
            <v>0</v>
          </cell>
          <cell r="AG2256">
            <v>100</v>
          </cell>
          <cell r="AJ2256">
            <v>100</v>
          </cell>
          <cell r="AW2256">
            <v>0</v>
          </cell>
        </row>
        <row r="2257">
          <cell r="B2257">
            <v>5773</v>
          </cell>
          <cell r="C2257" t="str">
            <v>UP_100_</v>
          </cell>
          <cell r="D2257" t="str">
            <v>Rancho Upácuaro No. 100</v>
          </cell>
          <cell r="E2257" t="str">
            <v>Mancera Rodríguez</v>
          </cell>
          <cell r="F2257">
            <v>300</v>
          </cell>
          <cell r="G2257">
            <v>1</v>
          </cell>
          <cell r="H2257">
            <v>400</v>
          </cell>
          <cell r="I2257">
            <v>41553</v>
          </cell>
          <cell r="J2257">
            <v>0</v>
          </cell>
          <cell r="W2257">
            <v>0</v>
          </cell>
          <cell r="AG2257">
            <v>400</v>
          </cell>
          <cell r="AJ2257">
            <v>400</v>
          </cell>
          <cell r="AW2257">
            <v>0</v>
          </cell>
        </row>
        <row r="2258">
          <cell r="B2258">
            <v>5774</v>
          </cell>
          <cell r="C2258" t="str">
            <v>CL_135_</v>
          </cell>
          <cell r="D2258" t="str">
            <v>Rancho La Cuchilla No. 135</v>
          </cell>
          <cell r="E2258" t="str">
            <v>Juárez Sánchez</v>
          </cell>
          <cell r="F2258">
            <v>300</v>
          </cell>
          <cell r="G2258">
            <v>1</v>
          </cell>
          <cell r="H2258">
            <v>400</v>
          </cell>
          <cell r="I2258">
            <v>41553</v>
          </cell>
          <cell r="J2258">
            <v>0</v>
          </cell>
          <cell r="W2258">
            <v>0</v>
          </cell>
          <cell r="AG2258">
            <v>400</v>
          </cell>
          <cell r="AJ2258">
            <v>400</v>
          </cell>
          <cell r="AW2258">
            <v>0</v>
          </cell>
        </row>
        <row r="2259">
          <cell r="B2259">
            <v>5775</v>
          </cell>
          <cell r="C2259" t="str">
            <v>LD_87_</v>
          </cell>
          <cell r="D2259" t="str">
            <v>Rancho Landero No. 87</v>
          </cell>
          <cell r="E2259" t="str">
            <v>Fey Lafferla</v>
          </cell>
          <cell r="F2259">
            <v>300</v>
          </cell>
          <cell r="G2259">
            <v>1</v>
          </cell>
          <cell r="H2259">
            <v>300</v>
          </cell>
          <cell r="I2259">
            <v>41553</v>
          </cell>
          <cell r="J2259">
            <v>0</v>
          </cell>
          <cell r="W2259">
            <v>0</v>
          </cell>
          <cell r="AF2259">
            <v>300</v>
          </cell>
          <cell r="AJ2259">
            <v>300</v>
          </cell>
          <cell r="AW2259">
            <v>0</v>
          </cell>
        </row>
        <row r="2260">
          <cell r="B2260">
            <v>5776</v>
          </cell>
          <cell r="C2260" t="str">
            <v>UP_21_</v>
          </cell>
          <cell r="D2260" t="str">
            <v>Rancho Upácuaro No. 21</v>
          </cell>
          <cell r="E2260" t="str">
            <v>Fierro Betancourt</v>
          </cell>
          <cell r="F2260">
            <v>150</v>
          </cell>
          <cell r="G2260">
            <v>1</v>
          </cell>
          <cell r="H2260">
            <v>200</v>
          </cell>
          <cell r="I2260">
            <v>41553</v>
          </cell>
          <cell r="J2260">
            <v>0</v>
          </cell>
          <cell r="W2260">
            <v>0</v>
          </cell>
          <cell r="AG2260">
            <v>200</v>
          </cell>
          <cell r="AJ2260">
            <v>200</v>
          </cell>
          <cell r="AW2260">
            <v>0</v>
          </cell>
        </row>
        <row r="2261">
          <cell r="B2261">
            <v>5777</v>
          </cell>
          <cell r="C2261" t="str">
            <v>UP_32_</v>
          </cell>
          <cell r="D2261" t="str">
            <v>Rancho Upácuaro No. 32</v>
          </cell>
          <cell r="E2261" t="str">
            <v>Sairafi Carmen</v>
          </cell>
          <cell r="F2261">
            <v>300</v>
          </cell>
          <cell r="G2261">
            <v>1</v>
          </cell>
          <cell r="H2261">
            <v>400</v>
          </cell>
          <cell r="I2261">
            <v>41553</v>
          </cell>
          <cell r="J2261">
            <v>0</v>
          </cell>
          <cell r="W2261">
            <v>0</v>
          </cell>
          <cell r="AG2261">
            <v>400</v>
          </cell>
          <cell r="AJ2261">
            <v>400</v>
          </cell>
          <cell r="AW2261">
            <v>0</v>
          </cell>
        </row>
        <row r="2262">
          <cell r="B2262">
            <v>5778</v>
          </cell>
          <cell r="C2262" t="str">
            <v>LD_58_</v>
          </cell>
          <cell r="D2262" t="str">
            <v>Rancho Landero No. 58</v>
          </cell>
          <cell r="E2262" t="str">
            <v>Valero</v>
          </cell>
          <cell r="F2262">
            <v>300</v>
          </cell>
          <cell r="G2262">
            <v>1</v>
          </cell>
          <cell r="H2262">
            <v>400</v>
          </cell>
          <cell r="I2262">
            <v>41553</v>
          </cell>
          <cell r="J2262">
            <v>0</v>
          </cell>
          <cell r="W2262">
            <v>0</v>
          </cell>
          <cell r="AG2262">
            <v>400</v>
          </cell>
          <cell r="AJ2262">
            <v>400</v>
          </cell>
          <cell r="AW2262">
            <v>0</v>
          </cell>
        </row>
        <row r="2263">
          <cell r="B2263">
            <v>5779</v>
          </cell>
          <cell r="C2263" t="str">
            <v>CL_145_</v>
          </cell>
          <cell r="D2263" t="str">
            <v>Rancho La Cuchilla No. 145</v>
          </cell>
          <cell r="E2263" t="str">
            <v>Arámburu C.</v>
          </cell>
          <cell r="F2263">
            <v>300</v>
          </cell>
          <cell r="G2263">
            <v>1</v>
          </cell>
          <cell r="H2263">
            <v>300</v>
          </cell>
          <cell r="I2263">
            <v>41553</v>
          </cell>
          <cell r="J2263">
            <v>0</v>
          </cell>
          <cell r="W2263">
            <v>0</v>
          </cell>
          <cell r="AG2263">
            <v>100</v>
          </cell>
          <cell r="AH2263">
            <v>100</v>
          </cell>
          <cell r="AI2263">
            <v>100</v>
          </cell>
          <cell r="AJ2263">
            <v>300</v>
          </cell>
          <cell r="AW2263">
            <v>0</v>
          </cell>
        </row>
        <row r="2264">
          <cell r="B2264">
            <v>5780</v>
          </cell>
          <cell r="C2264" t="str">
            <v>EZ_149_</v>
          </cell>
          <cell r="D2264" t="str">
            <v>Rancho Estanzuela No. 149</v>
          </cell>
          <cell r="E2264" t="str">
            <v>Sala</v>
          </cell>
          <cell r="F2264">
            <v>300</v>
          </cell>
          <cell r="G2264">
            <v>1</v>
          </cell>
          <cell r="H2264">
            <v>300</v>
          </cell>
          <cell r="I2264">
            <v>41553</v>
          </cell>
          <cell r="J2264">
            <v>0</v>
          </cell>
          <cell r="W2264">
            <v>0</v>
          </cell>
          <cell r="AG2264">
            <v>100</v>
          </cell>
          <cell r="AH2264">
            <v>100</v>
          </cell>
          <cell r="AI2264">
            <v>100</v>
          </cell>
          <cell r="AJ2264">
            <v>300</v>
          </cell>
          <cell r="AW2264">
            <v>0</v>
          </cell>
        </row>
        <row r="2265">
          <cell r="B2265">
            <v>5781</v>
          </cell>
          <cell r="C2265" t="str">
            <v>RV_179_</v>
          </cell>
          <cell r="D2265" t="str">
            <v>Rancho Recoveco No. 179</v>
          </cell>
          <cell r="E2265" t="str">
            <v>Flores Delgado</v>
          </cell>
          <cell r="F2265">
            <v>300</v>
          </cell>
          <cell r="G2265">
            <v>4</v>
          </cell>
          <cell r="H2265">
            <v>320</v>
          </cell>
          <cell r="I2265">
            <v>41553</v>
          </cell>
          <cell r="J2265" t="str">
            <v>NO SUMA</v>
          </cell>
          <cell r="W2265">
            <v>0</v>
          </cell>
          <cell r="AJ2265">
            <v>0</v>
          </cell>
          <cell r="AW2265">
            <v>0</v>
          </cell>
        </row>
        <row r="2266">
          <cell r="B2266">
            <v>5782</v>
          </cell>
          <cell r="C2266" t="str">
            <v>LD_77_</v>
          </cell>
          <cell r="D2266" t="str">
            <v>Rancho Landero No. 77</v>
          </cell>
          <cell r="E2266" t="str">
            <v>Muñoz</v>
          </cell>
          <cell r="F2266">
            <v>300</v>
          </cell>
          <cell r="G2266">
            <v>1</v>
          </cell>
          <cell r="H2266">
            <v>600</v>
          </cell>
          <cell r="I2266">
            <v>41553</v>
          </cell>
          <cell r="J2266">
            <v>0</v>
          </cell>
          <cell r="W2266">
            <v>0</v>
          </cell>
          <cell r="AD2266">
            <v>300</v>
          </cell>
          <cell r="AE2266">
            <v>300</v>
          </cell>
          <cell r="AJ2266">
            <v>600</v>
          </cell>
          <cell r="AW2266">
            <v>0</v>
          </cell>
        </row>
        <row r="2267">
          <cell r="B2267">
            <v>5783</v>
          </cell>
          <cell r="C2267" t="str">
            <v>LD_22_</v>
          </cell>
          <cell r="D2267" t="str">
            <v>Rancho Landero No. 22</v>
          </cell>
          <cell r="E2267" t="str">
            <v>Reyes</v>
          </cell>
          <cell r="F2267">
            <v>150</v>
          </cell>
          <cell r="G2267">
            <v>1</v>
          </cell>
          <cell r="H2267">
            <v>200</v>
          </cell>
          <cell r="I2267">
            <v>41553</v>
          </cell>
          <cell r="J2267">
            <v>0</v>
          </cell>
          <cell r="W2267">
            <v>0</v>
          </cell>
          <cell r="AG2267">
            <v>200</v>
          </cell>
          <cell r="AJ2267">
            <v>200</v>
          </cell>
          <cell r="AW2267">
            <v>0</v>
          </cell>
        </row>
        <row r="2268">
          <cell r="B2268">
            <v>5784</v>
          </cell>
          <cell r="C2268" t="str">
            <v>UP_87_</v>
          </cell>
          <cell r="D2268" t="str">
            <v>Rancho Upácuaro No. 87</v>
          </cell>
          <cell r="E2268" t="str">
            <v>Rodríguez Parés</v>
          </cell>
          <cell r="F2268">
            <v>300</v>
          </cell>
          <cell r="G2268">
            <v>1</v>
          </cell>
          <cell r="H2268">
            <v>400</v>
          </cell>
          <cell r="I2268">
            <v>41553</v>
          </cell>
          <cell r="J2268">
            <v>0</v>
          </cell>
          <cell r="W2268">
            <v>0</v>
          </cell>
          <cell r="AG2268">
            <v>400</v>
          </cell>
          <cell r="AJ2268">
            <v>400</v>
          </cell>
          <cell r="AW2268">
            <v>0</v>
          </cell>
        </row>
        <row r="2269">
          <cell r="B2269">
            <v>5785</v>
          </cell>
          <cell r="C2269" t="str">
            <v>LD_101_</v>
          </cell>
          <cell r="D2269" t="str">
            <v>Rancho Landero No. 101</v>
          </cell>
          <cell r="E2269" t="str">
            <v>Ramírez</v>
          </cell>
          <cell r="F2269">
            <v>300</v>
          </cell>
          <cell r="G2269">
            <v>1</v>
          </cell>
          <cell r="H2269">
            <v>400</v>
          </cell>
          <cell r="I2269">
            <v>41553</v>
          </cell>
          <cell r="J2269">
            <v>0</v>
          </cell>
          <cell r="W2269">
            <v>0</v>
          </cell>
          <cell r="AG2269">
            <v>400</v>
          </cell>
          <cell r="AJ2269">
            <v>400</v>
          </cell>
          <cell r="AW2269">
            <v>0</v>
          </cell>
        </row>
        <row r="2270">
          <cell r="B2270">
            <v>5786</v>
          </cell>
          <cell r="C2270" t="str">
            <v>CL_87_</v>
          </cell>
          <cell r="D2270" t="str">
            <v>Rancho La Cuchilla No. 87</v>
          </cell>
          <cell r="E2270" t="str">
            <v>Villanueva S.</v>
          </cell>
          <cell r="F2270">
            <v>300</v>
          </cell>
          <cell r="G2270">
            <v>1</v>
          </cell>
          <cell r="H2270">
            <v>400</v>
          </cell>
          <cell r="I2270">
            <v>41553</v>
          </cell>
          <cell r="J2270">
            <v>0</v>
          </cell>
          <cell r="W2270">
            <v>0</v>
          </cell>
          <cell r="AG2270">
            <v>400</v>
          </cell>
          <cell r="AJ2270">
            <v>400</v>
          </cell>
          <cell r="AW2270">
            <v>0</v>
          </cell>
        </row>
        <row r="2271">
          <cell r="B2271">
            <v>5787</v>
          </cell>
          <cell r="C2271" t="str">
            <v>ZB_56_</v>
          </cell>
          <cell r="D2271" t="str">
            <v>Rancho Zinamba No. 56</v>
          </cell>
          <cell r="E2271" t="str">
            <v>Aguado</v>
          </cell>
          <cell r="F2271">
            <v>250</v>
          </cell>
          <cell r="G2271">
            <v>1</v>
          </cell>
          <cell r="H2271">
            <v>600</v>
          </cell>
          <cell r="I2271">
            <v>41553</v>
          </cell>
          <cell r="J2271">
            <v>0</v>
          </cell>
          <cell r="W2271">
            <v>0</v>
          </cell>
          <cell r="AF2271">
            <v>250</v>
          </cell>
          <cell r="AG2271">
            <v>350</v>
          </cell>
          <cell r="AJ2271">
            <v>600</v>
          </cell>
          <cell r="AW2271">
            <v>0</v>
          </cell>
        </row>
        <row r="2272">
          <cell r="B2272">
            <v>5788</v>
          </cell>
          <cell r="C2272" t="str">
            <v>CL_139_</v>
          </cell>
          <cell r="D2272" t="str">
            <v>Rancho La Cuchilla No. 139</v>
          </cell>
          <cell r="E2272" t="str">
            <v>Santos</v>
          </cell>
          <cell r="F2272">
            <v>200</v>
          </cell>
          <cell r="G2272">
            <v>1</v>
          </cell>
          <cell r="H2272">
            <v>200</v>
          </cell>
          <cell r="I2272">
            <v>41553</v>
          </cell>
          <cell r="J2272">
            <v>0</v>
          </cell>
          <cell r="W2272">
            <v>0</v>
          </cell>
          <cell r="AG2272">
            <v>200</v>
          </cell>
          <cell r="AJ2272">
            <v>200</v>
          </cell>
          <cell r="AW2272">
            <v>0</v>
          </cell>
        </row>
        <row r="2273">
          <cell r="B2273">
            <v>5789</v>
          </cell>
          <cell r="C2273" t="str">
            <v>UP_85_</v>
          </cell>
          <cell r="D2273" t="str">
            <v>Rancho Upácuaro No. 85</v>
          </cell>
          <cell r="E2273" t="str">
            <v>Del Toro Huerta</v>
          </cell>
          <cell r="F2273">
            <v>300</v>
          </cell>
          <cell r="G2273">
            <v>1</v>
          </cell>
          <cell r="H2273">
            <v>400</v>
          </cell>
          <cell r="I2273">
            <v>41553</v>
          </cell>
          <cell r="J2273">
            <v>0</v>
          </cell>
          <cell r="W2273">
            <v>0</v>
          </cell>
          <cell r="AG2273">
            <v>400</v>
          </cell>
          <cell r="AJ2273">
            <v>400</v>
          </cell>
          <cell r="AW2273">
            <v>0</v>
          </cell>
        </row>
        <row r="2274">
          <cell r="B2274">
            <v>5790</v>
          </cell>
          <cell r="C2274" t="str">
            <v>CL_36_</v>
          </cell>
          <cell r="D2274" t="str">
            <v>Rancho La Cuchilla No. 36</v>
          </cell>
          <cell r="E2274" t="str">
            <v>Castillo</v>
          </cell>
          <cell r="F2274">
            <v>300</v>
          </cell>
          <cell r="G2274">
            <v>1</v>
          </cell>
          <cell r="H2274">
            <v>700</v>
          </cell>
          <cell r="I2274">
            <v>41553</v>
          </cell>
          <cell r="J2274">
            <v>0</v>
          </cell>
          <cell r="W2274">
            <v>0</v>
          </cell>
          <cell r="AF2274">
            <v>300</v>
          </cell>
          <cell r="AG2274">
            <v>400</v>
          </cell>
          <cell r="AJ2274">
            <v>700</v>
          </cell>
          <cell r="AW2274">
            <v>0</v>
          </cell>
        </row>
        <row r="2275">
          <cell r="B2275">
            <v>5791</v>
          </cell>
          <cell r="C2275" t="str">
            <v>ZB_10_</v>
          </cell>
          <cell r="D2275" t="str">
            <v>Rancho Zinamba No. 10</v>
          </cell>
          <cell r="E2275" t="str">
            <v>Roy Sánchez</v>
          </cell>
          <cell r="F2275">
            <v>300</v>
          </cell>
          <cell r="G2275">
            <v>1</v>
          </cell>
          <cell r="H2275">
            <v>1200</v>
          </cell>
          <cell r="I2275">
            <v>41555</v>
          </cell>
          <cell r="J2275">
            <v>0</v>
          </cell>
          <cell r="W2275">
            <v>0</v>
          </cell>
          <cell r="AG2275">
            <v>400</v>
          </cell>
          <cell r="AH2275">
            <v>400</v>
          </cell>
          <cell r="AI2275">
            <v>400</v>
          </cell>
          <cell r="AJ2275">
            <v>1200</v>
          </cell>
          <cell r="AW2275">
            <v>0</v>
          </cell>
        </row>
        <row r="2276">
          <cell r="B2276">
            <v>5792</v>
          </cell>
          <cell r="C2276" t="str">
            <v>LD_85_</v>
          </cell>
          <cell r="D2276" t="str">
            <v>Rancho Landero No. 85</v>
          </cell>
          <cell r="E2276" t="str">
            <v>Martínez Olague</v>
          </cell>
          <cell r="F2276">
            <v>300</v>
          </cell>
          <cell r="G2276">
            <v>1</v>
          </cell>
          <cell r="H2276">
            <v>400</v>
          </cell>
          <cell r="I2276">
            <v>41557</v>
          </cell>
          <cell r="J2276">
            <v>0</v>
          </cell>
          <cell r="W2276">
            <v>0</v>
          </cell>
          <cell r="AG2276">
            <v>400</v>
          </cell>
          <cell r="AJ2276">
            <v>400</v>
          </cell>
          <cell r="AW2276">
            <v>0</v>
          </cell>
        </row>
        <row r="2277">
          <cell r="B2277">
            <v>5793</v>
          </cell>
          <cell r="C2277" t="str">
            <v>EZ_129_</v>
          </cell>
          <cell r="D2277" t="str">
            <v>Rancho Estanzuela No. 129</v>
          </cell>
          <cell r="E2277" t="str">
            <v>González</v>
          </cell>
          <cell r="F2277">
            <v>300</v>
          </cell>
          <cell r="G2277">
            <v>1</v>
          </cell>
          <cell r="H2277">
            <v>250</v>
          </cell>
          <cell r="I2277">
            <v>41555</v>
          </cell>
          <cell r="J2277">
            <v>0</v>
          </cell>
          <cell r="W2277">
            <v>0</v>
          </cell>
          <cell r="AG2277">
            <v>250</v>
          </cell>
          <cell r="AJ2277">
            <v>250</v>
          </cell>
          <cell r="AW2277">
            <v>0</v>
          </cell>
        </row>
        <row r="2278">
          <cell r="B2278">
            <v>5794</v>
          </cell>
          <cell r="C2278" t="str">
            <v>ZB_14_</v>
          </cell>
          <cell r="D2278" t="str">
            <v>Rancho Zinamba No. 14</v>
          </cell>
          <cell r="E2278" t="str">
            <v>Gutiérrez García</v>
          </cell>
          <cell r="F2278">
            <v>300</v>
          </cell>
          <cell r="G2278">
            <v>1</v>
          </cell>
          <cell r="H2278">
            <v>300</v>
          </cell>
          <cell r="I2278">
            <v>41557</v>
          </cell>
          <cell r="J2278">
            <v>0</v>
          </cell>
          <cell r="W2278">
            <v>0</v>
          </cell>
          <cell r="AF2278">
            <v>300</v>
          </cell>
          <cell r="AJ2278">
            <v>300</v>
          </cell>
          <cell r="AW2278">
            <v>0</v>
          </cell>
        </row>
        <row r="2279">
          <cell r="B2279">
            <v>5794</v>
          </cell>
          <cell r="C2279" t="str">
            <v>ZB_14_</v>
          </cell>
          <cell r="D2279" t="str">
            <v>Rancho Zinamba No. 14</v>
          </cell>
          <cell r="E2279" t="str">
            <v>Gutiérrez García</v>
          </cell>
          <cell r="F2279">
            <v>300</v>
          </cell>
          <cell r="G2279">
            <v>3</v>
          </cell>
          <cell r="H2279">
            <v>160</v>
          </cell>
          <cell r="I2279">
            <v>41557</v>
          </cell>
          <cell r="J2279" t="str">
            <v>NO SUMA</v>
          </cell>
          <cell r="W2279">
            <v>0</v>
          </cell>
          <cell r="AJ2279">
            <v>0</v>
          </cell>
          <cell r="AW2279">
            <v>0</v>
          </cell>
        </row>
        <row r="2280">
          <cell r="B2280">
            <v>5795</v>
          </cell>
          <cell r="C2280" t="str">
            <v>UP_93_</v>
          </cell>
          <cell r="D2280" t="str">
            <v>Rancho Upácuaro No. 93</v>
          </cell>
          <cell r="E2280" t="str">
            <v>Valdés</v>
          </cell>
          <cell r="F2280">
            <v>300</v>
          </cell>
          <cell r="G2280">
            <v>1</v>
          </cell>
          <cell r="H2280">
            <v>400</v>
          </cell>
          <cell r="I2280">
            <v>41560</v>
          </cell>
          <cell r="J2280">
            <v>0</v>
          </cell>
          <cell r="W2280">
            <v>0</v>
          </cell>
          <cell r="AG2280">
            <v>400</v>
          </cell>
          <cell r="AJ2280">
            <v>400</v>
          </cell>
          <cell r="AW2280">
            <v>0</v>
          </cell>
        </row>
        <row r="2281">
          <cell r="B2281">
            <v>5796</v>
          </cell>
          <cell r="C2281" t="str">
            <v>CL_21_</v>
          </cell>
          <cell r="D2281" t="str">
            <v>Rancho La Cuchilla No. 21</v>
          </cell>
          <cell r="E2281" t="str">
            <v>Solórzano Calderón</v>
          </cell>
          <cell r="F2281">
            <v>300</v>
          </cell>
          <cell r="G2281">
            <v>3</v>
          </cell>
          <cell r="H2281">
            <v>480</v>
          </cell>
          <cell r="I2281">
            <v>41560</v>
          </cell>
          <cell r="J2281" t="str">
            <v>NO SUMA</v>
          </cell>
          <cell r="W2281">
            <v>0</v>
          </cell>
          <cell r="AJ2281">
            <v>0</v>
          </cell>
          <cell r="AW2281">
            <v>0</v>
          </cell>
        </row>
        <row r="2282">
          <cell r="B2282">
            <v>5797</v>
          </cell>
          <cell r="C2282" t="str">
            <v>RV_181_</v>
          </cell>
          <cell r="D2282" t="str">
            <v>Rancho Recoveco No. 181</v>
          </cell>
          <cell r="E2282" t="str">
            <v>Paredes</v>
          </cell>
          <cell r="F2282">
            <v>300</v>
          </cell>
          <cell r="G2282">
            <v>1</v>
          </cell>
          <cell r="H2282">
            <v>400</v>
          </cell>
          <cell r="I2282">
            <v>41560</v>
          </cell>
          <cell r="J2282">
            <v>0</v>
          </cell>
          <cell r="W2282">
            <v>0</v>
          </cell>
          <cell r="AG2282">
            <v>400</v>
          </cell>
          <cell r="AJ2282">
            <v>400</v>
          </cell>
          <cell r="AW2282">
            <v>0</v>
          </cell>
        </row>
        <row r="2283">
          <cell r="B2283">
            <v>5798</v>
          </cell>
          <cell r="C2283" t="str">
            <v>LD_71_</v>
          </cell>
          <cell r="D2283" t="str">
            <v>Rancho Landero No. 71</v>
          </cell>
          <cell r="E2283" t="str">
            <v>Cabrera Balcázar</v>
          </cell>
          <cell r="F2283">
            <v>300</v>
          </cell>
          <cell r="G2283">
            <v>1</v>
          </cell>
          <cell r="H2283">
            <v>400</v>
          </cell>
          <cell r="I2283">
            <v>41560</v>
          </cell>
          <cell r="J2283">
            <v>0</v>
          </cell>
          <cell r="W2283">
            <v>0</v>
          </cell>
          <cell r="AG2283">
            <v>400</v>
          </cell>
          <cell r="AJ2283">
            <v>400</v>
          </cell>
          <cell r="AW2283">
            <v>0</v>
          </cell>
        </row>
        <row r="2284">
          <cell r="B2284">
            <v>5799</v>
          </cell>
          <cell r="C2284" t="str">
            <v>LD_65_</v>
          </cell>
          <cell r="D2284" t="str">
            <v>Rancho Landero No. 65</v>
          </cell>
          <cell r="E2284" t="str">
            <v>Alpizar</v>
          </cell>
          <cell r="F2284">
            <v>300</v>
          </cell>
          <cell r="G2284">
            <v>1</v>
          </cell>
          <cell r="H2284">
            <v>1000</v>
          </cell>
          <cell r="I2284">
            <v>41560</v>
          </cell>
          <cell r="J2284">
            <v>0</v>
          </cell>
          <cell r="W2284">
            <v>0</v>
          </cell>
          <cell r="AE2284">
            <v>300</v>
          </cell>
          <cell r="AF2284">
            <v>300</v>
          </cell>
          <cell r="AG2284">
            <v>400</v>
          </cell>
          <cell r="AJ2284">
            <v>1000</v>
          </cell>
          <cell r="AW2284">
            <v>0</v>
          </cell>
        </row>
        <row r="2285">
          <cell r="B2285">
            <v>5800</v>
          </cell>
          <cell r="C2285" t="str">
            <v>UP_146_</v>
          </cell>
          <cell r="D2285" t="str">
            <v>Rancho Upácuaro No. 146</v>
          </cell>
          <cell r="E2285" t="str">
            <v>Islas</v>
          </cell>
          <cell r="F2285">
            <v>300</v>
          </cell>
          <cell r="G2285">
            <v>1</v>
          </cell>
          <cell r="H2285">
            <v>700</v>
          </cell>
          <cell r="I2285">
            <v>41560</v>
          </cell>
          <cell r="J2285">
            <v>0</v>
          </cell>
          <cell r="W2285">
            <v>0</v>
          </cell>
          <cell r="AF2285">
            <v>300</v>
          </cell>
          <cell r="AG2285">
            <v>400</v>
          </cell>
          <cell r="AJ2285">
            <v>700</v>
          </cell>
          <cell r="AW2285">
            <v>0</v>
          </cell>
        </row>
        <row r="2286">
          <cell r="B2286">
            <v>5801</v>
          </cell>
          <cell r="C2286" t="str">
            <v>RM_17_</v>
          </cell>
          <cell r="D2286" t="str">
            <v>Rancho Romeral No. 17</v>
          </cell>
          <cell r="E2286" t="str">
            <v>Aguilar Lomelí</v>
          </cell>
          <cell r="F2286">
            <v>300</v>
          </cell>
          <cell r="G2286">
            <v>1</v>
          </cell>
          <cell r="H2286">
            <v>1000</v>
          </cell>
          <cell r="I2286">
            <v>41560</v>
          </cell>
          <cell r="J2286">
            <v>0</v>
          </cell>
          <cell r="W2286">
            <v>0</v>
          </cell>
          <cell r="AE2286">
            <v>300</v>
          </cell>
          <cell r="AF2286">
            <v>300</v>
          </cell>
          <cell r="AG2286">
            <v>400</v>
          </cell>
          <cell r="AJ2286">
            <v>1000</v>
          </cell>
          <cell r="AW2286">
            <v>0</v>
          </cell>
        </row>
        <row r="2287">
          <cell r="B2287">
            <v>5802</v>
          </cell>
          <cell r="C2287" t="str">
            <v>UP_60_</v>
          </cell>
          <cell r="D2287" t="str">
            <v>Rancho Upácuaro No. 60</v>
          </cell>
          <cell r="E2287" t="str">
            <v>Zavala</v>
          </cell>
          <cell r="F2287">
            <v>300</v>
          </cell>
          <cell r="G2287">
            <v>1</v>
          </cell>
          <cell r="H2287">
            <v>700</v>
          </cell>
          <cell r="I2287">
            <v>41560</v>
          </cell>
          <cell r="J2287">
            <v>0</v>
          </cell>
          <cell r="W2287">
            <v>0</v>
          </cell>
          <cell r="AF2287">
            <v>300</v>
          </cell>
          <cell r="AG2287">
            <v>400</v>
          </cell>
          <cell r="AJ2287">
            <v>700</v>
          </cell>
          <cell r="AW2287">
            <v>0</v>
          </cell>
        </row>
        <row r="2288">
          <cell r="B2288">
            <v>5803</v>
          </cell>
          <cell r="C2288" t="str">
            <v>EZ_161_1</v>
          </cell>
          <cell r="D2288" t="str">
            <v>Rancho Estanzuela No. 161, 1</v>
          </cell>
          <cell r="E2288" t="str">
            <v>Guevara</v>
          </cell>
          <cell r="F2288">
            <v>150</v>
          </cell>
          <cell r="G2288">
            <v>1</v>
          </cell>
          <cell r="H2288">
            <v>200</v>
          </cell>
          <cell r="I2288">
            <v>41560</v>
          </cell>
          <cell r="J2288">
            <v>0</v>
          </cell>
          <cell r="W2288">
            <v>0</v>
          </cell>
          <cell r="AG2288">
            <v>200</v>
          </cell>
          <cell r="AJ2288">
            <v>200</v>
          </cell>
          <cell r="AW2288">
            <v>0</v>
          </cell>
        </row>
        <row r="2289">
          <cell r="B2289">
            <v>5804</v>
          </cell>
          <cell r="C2289" t="str">
            <v>LD_19_</v>
          </cell>
          <cell r="D2289" t="str">
            <v>Rancho Landero No. 19</v>
          </cell>
          <cell r="E2289" t="str">
            <v>Jiménez Guadarrama</v>
          </cell>
          <cell r="F2289">
            <v>300</v>
          </cell>
          <cell r="G2289">
            <v>1</v>
          </cell>
          <cell r="H2289">
            <v>1200</v>
          </cell>
          <cell r="I2289">
            <v>41560</v>
          </cell>
          <cell r="J2289">
            <v>0</v>
          </cell>
          <cell r="W2289">
            <v>0</v>
          </cell>
          <cell r="AD2289">
            <v>300</v>
          </cell>
          <cell r="AE2289">
            <v>300</v>
          </cell>
          <cell r="AF2289">
            <v>300</v>
          </cell>
          <cell r="AG2289">
            <v>300</v>
          </cell>
          <cell r="AJ2289">
            <v>1200</v>
          </cell>
          <cell r="AW2289">
            <v>0</v>
          </cell>
        </row>
        <row r="2290">
          <cell r="B2290">
            <v>5805</v>
          </cell>
          <cell r="C2290" t="str">
            <v>UP_120_</v>
          </cell>
          <cell r="D2290" t="str">
            <v>Rancho Upácuaro No. 120</v>
          </cell>
          <cell r="E2290" t="str">
            <v>Rayas Rivera</v>
          </cell>
          <cell r="F2290">
            <v>300</v>
          </cell>
          <cell r="G2290">
            <v>1</v>
          </cell>
          <cell r="H2290">
            <v>400</v>
          </cell>
          <cell r="I2290">
            <v>41560</v>
          </cell>
          <cell r="J2290">
            <v>0</v>
          </cell>
          <cell r="W2290">
            <v>0</v>
          </cell>
          <cell r="AG2290">
            <v>400</v>
          </cell>
          <cell r="AJ2290">
            <v>400</v>
          </cell>
          <cell r="AW2290">
            <v>0</v>
          </cell>
        </row>
        <row r="2291">
          <cell r="B2291">
            <v>5806</v>
          </cell>
          <cell r="C2291" t="str">
            <v>LD_90_</v>
          </cell>
          <cell r="D2291" t="str">
            <v>Rancho Landero No. 90</v>
          </cell>
          <cell r="E2291" t="str">
            <v>Córdova Reséndiz</v>
          </cell>
          <cell r="F2291">
            <v>300</v>
          </cell>
          <cell r="G2291">
            <v>1</v>
          </cell>
          <cell r="H2291">
            <v>600</v>
          </cell>
          <cell r="I2291">
            <v>41560</v>
          </cell>
          <cell r="J2291">
            <v>0</v>
          </cell>
          <cell r="W2291">
            <v>0</v>
          </cell>
          <cell r="AG2291">
            <v>300</v>
          </cell>
          <cell r="AH2291">
            <v>300</v>
          </cell>
          <cell r="AJ2291">
            <v>600</v>
          </cell>
          <cell r="AW2291">
            <v>0</v>
          </cell>
        </row>
        <row r="2292">
          <cell r="B2292">
            <v>5807</v>
          </cell>
          <cell r="C2292" t="str">
            <v>EZ_7_A</v>
          </cell>
          <cell r="D2292" t="str">
            <v>Rancho Estanzuela No. 7, A</v>
          </cell>
          <cell r="E2292" t="str">
            <v>Herrera Izquierdo</v>
          </cell>
          <cell r="F2292">
            <v>150</v>
          </cell>
          <cell r="G2292">
            <v>1</v>
          </cell>
          <cell r="H2292">
            <v>200</v>
          </cell>
          <cell r="I2292">
            <v>41560</v>
          </cell>
          <cell r="J2292">
            <v>0</v>
          </cell>
          <cell r="W2292">
            <v>0</v>
          </cell>
          <cell r="AG2292">
            <v>200</v>
          </cell>
          <cell r="AJ2292">
            <v>200</v>
          </cell>
          <cell r="AW2292">
            <v>0</v>
          </cell>
        </row>
        <row r="2293">
          <cell r="B2293">
            <v>5808</v>
          </cell>
          <cell r="C2293" t="str">
            <v>LD_96_</v>
          </cell>
          <cell r="D2293" t="str">
            <v>Rancho Landero No. 96</v>
          </cell>
          <cell r="E2293" t="str">
            <v>Espinoza Aguirre</v>
          </cell>
          <cell r="F2293">
            <v>300</v>
          </cell>
          <cell r="G2293">
            <v>1</v>
          </cell>
          <cell r="H2293">
            <v>1000</v>
          </cell>
          <cell r="I2293">
            <v>41560</v>
          </cell>
          <cell r="J2293">
            <v>0</v>
          </cell>
          <cell r="W2293">
            <v>0</v>
          </cell>
          <cell r="AE2293">
            <v>300</v>
          </cell>
          <cell r="AF2293">
            <v>300</v>
          </cell>
          <cell r="AG2293">
            <v>400</v>
          </cell>
          <cell r="AJ2293">
            <v>1000</v>
          </cell>
          <cell r="AW2293">
            <v>0</v>
          </cell>
        </row>
        <row r="2294">
          <cell r="B2294">
            <v>5809</v>
          </cell>
          <cell r="C2294" t="str">
            <v>CL_42_</v>
          </cell>
          <cell r="D2294" t="str">
            <v>Rancho La Cuchilla No. 42</v>
          </cell>
          <cell r="E2294" t="str">
            <v>Mac Kinney</v>
          </cell>
          <cell r="F2294">
            <v>300</v>
          </cell>
          <cell r="G2294">
            <v>1</v>
          </cell>
          <cell r="H2294">
            <v>400</v>
          </cell>
          <cell r="I2294">
            <v>41560</v>
          </cell>
          <cell r="J2294">
            <v>0</v>
          </cell>
          <cell r="W2294">
            <v>0</v>
          </cell>
          <cell r="AG2294">
            <v>400</v>
          </cell>
          <cell r="AJ2294">
            <v>400</v>
          </cell>
          <cell r="AW2294">
            <v>0</v>
          </cell>
        </row>
        <row r="2295">
          <cell r="B2295">
            <v>5810</v>
          </cell>
          <cell r="C2295" t="str">
            <v>EZ_71_</v>
          </cell>
          <cell r="D2295" t="str">
            <v>Rancho Estanzuela No. 71</v>
          </cell>
          <cell r="E2295" t="str">
            <v>Soriano</v>
          </cell>
          <cell r="F2295">
            <v>300</v>
          </cell>
          <cell r="G2295">
            <v>3</v>
          </cell>
          <cell r="H2295">
            <v>160</v>
          </cell>
          <cell r="I2295">
            <v>41560</v>
          </cell>
          <cell r="J2295" t="str">
            <v>NO SUMA</v>
          </cell>
          <cell r="W2295">
            <v>0</v>
          </cell>
          <cell r="AJ2295">
            <v>0</v>
          </cell>
          <cell r="AW2295">
            <v>0</v>
          </cell>
        </row>
        <row r="2296">
          <cell r="B2296">
            <v>5811</v>
          </cell>
          <cell r="C2296" t="str">
            <v>CL_93_</v>
          </cell>
          <cell r="D2296" t="str">
            <v>Rancho La Cuchilla No. 93</v>
          </cell>
          <cell r="E2296" t="str">
            <v>Alcántara Silva</v>
          </cell>
          <cell r="F2296">
            <v>300</v>
          </cell>
          <cell r="G2296">
            <v>4</v>
          </cell>
          <cell r="H2296">
            <v>160</v>
          </cell>
          <cell r="I2296">
            <v>41560</v>
          </cell>
          <cell r="J2296" t="str">
            <v>NO SUMA</v>
          </cell>
          <cell r="W2296">
            <v>0</v>
          </cell>
          <cell r="AJ2296">
            <v>0</v>
          </cell>
          <cell r="AW2296">
            <v>0</v>
          </cell>
        </row>
        <row r="2297">
          <cell r="B2297">
            <v>5812</v>
          </cell>
          <cell r="C2297" t="str">
            <v>UP_108_</v>
          </cell>
          <cell r="D2297" t="str">
            <v>Rancho Upácuaro No. 108</v>
          </cell>
          <cell r="E2297" t="str">
            <v>Mejía</v>
          </cell>
          <cell r="F2297">
            <v>300</v>
          </cell>
          <cell r="G2297">
            <v>1</v>
          </cell>
          <cell r="H2297">
            <v>300</v>
          </cell>
          <cell r="I2297">
            <v>41560</v>
          </cell>
          <cell r="J2297">
            <v>0</v>
          </cell>
          <cell r="W2297">
            <v>0</v>
          </cell>
          <cell r="AF2297">
            <v>300</v>
          </cell>
          <cell r="AJ2297">
            <v>300</v>
          </cell>
          <cell r="AW2297">
            <v>0</v>
          </cell>
        </row>
        <row r="2298">
          <cell r="B2298">
            <v>5813</v>
          </cell>
          <cell r="C2298" t="str">
            <v>UP_23_</v>
          </cell>
          <cell r="D2298" t="str">
            <v>Rancho Upácuaro No. 23</v>
          </cell>
          <cell r="E2298" t="str">
            <v>Arredondo</v>
          </cell>
          <cell r="F2298">
            <v>300</v>
          </cell>
          <cell r="G2298">
            <v>1</v>
          </cell>
          <cell r="H2298">
            <v>350</v>
          </cell>
          <cell r="I2298">
            <v>41560</v>
          </cell>
          <cell r="J2298">
            <v>0</v>
          </cell>
          <cell r="W2298">
            <v>0</v>
          </cell>
          <cell r="AG2298">
            <v>350</v>
          </cell>
          <cell r="AJ2298">
            <v>350</v>
          </cell>
          <cell r="AW2298">
            <v>0</v>
          </cell>
        </row>
        <row r="2299">
          <cell r="B2299">
            <v>5814</v>
          </cell>
          <cell r="C2299" t="str">
            <v>UP_23_</v>
          </cell>
          <cell r="D2299" t="str">
            <v>Rancho Upácuaro No. 23</v>
          </cell>
          <cell r="E2299" t="str">
            <v>Arredondo</v>
          </cell>
          <cell r="F2299">
            <v>300</v>
          </cell>
          <cell r="G2299">
            <v>1</v>
          </cell>
          <cell r="H2299">
            <v>350</v>
          </cell>
          <cell r="I2299">
            <v>41560</v>
          </cell>
          <cell r="J2299">
            <v>0</v>
          </cell>
          <cell r="W2299">
            <v>0</v>
          </cell>
          <cell r="AH2299">
            <v>350</v>
          </cell>
          <cell r="AJ2299">
            <v>350</v>
          </cell>
          <cell r="AW2299">
            <v>0</v>
          </cell>
        </row>
        <row r="2300">
          <cell r="B2300">
            <v>5815</v>
          </cell>
          <cell r="C2300" t="str">
            <v>CL_33_</v>
          </cell>
          <cell r="D2300" t="str">
            <v>Rancho La Cuchilla No. 33</v>
          </cell>
          <cell r="E2300" t="str">
            <v>Tanús</v>
          </cell>
          <cell r="F2300">
            <v>300</v>
          </cell>
          <cell r="G2300">
            <v>1</v>
          </cell>
          <cell r="H2300">
            <v>400</v>
          </cell>
          <cell r="I2300">
            <v>41560</v>
          </cell>
          <cell r="J2300">
            <v>0</v>
          </cell>
          <cell r="W2300">
            <v>0</v>
          </cell>
          <cell r="AG2300">
            <v>400</v>
          </cell>
          <cell r="AJ2300">
            <v>400</v>
          </cell>
          <cell r="AW2300">
            <v>0</v>
          </cell>
        </row>
        <row r="2301">
          <cell r="B2301">
            <v>5816</v>
          </cell>
          <cell r="C2301" t="str">
            <v>LD_25_</v>
          </cell>
          <cell r="D2301" t="str">
            <v>Rancho Landero No. 25</v>
          </cell>
          <cell r="E2301" t="str">
            <v>Escamilla Martínez</v>
          </cell>
          <cell r="F2301">
            <v>300</v>
          </cell>
          <cell r="G2301">
            <v>1</v>
          </cell>
          <cell r="H2301">
            <v>300</v>
          </cell>
          <cell r="I2301">
            <v>41560</v>
          </cell>
          <cell r="J2301">
            <v>0</v>
          </cell>
          <cell r="W2301">
            <v>0</v>
          </cell>
          <cell r="AF2301">
            <v>300</v>
          </cell>
          <cell r="AJ2301">
            <v>300</v>
          </cell>
          <cell r="AW2301">
            <v>0</v>
          </cell>
        </row>
        <row r="2302">
          <cell r="B2302">
            <v>5817</v>
          </cell>
          <cell r="C2302" t="str">
            <v>UP_114_</v>
          </cell>
          <cell r="D2302" t="str">
            <v>Rancho Upácuaro No. 114</v>
          </cell>
          <cell r="E2302" t="str">
            <v>Hernández Cornejo</v>
          </cell>
          <cell r="F2302">
            <v>300</v>
          </cell>
          <cell r="G2302">
            <v>1</v>
          </cell>
          <cell r="H2302">
            <v>400</v>
          </cell>
          <cell r="I2302">
            <v>41560</v>
          </cell>
          <cell r="J2302">
            <v>0</v>
          </cell>
          <cell r="W2302">
            <v>0</v>
          </cell>
          <cell r="AG2302">
            <v>400</v>
          </cell>
          <cell r="AJ2302">
            <v>400</v>
          </cell>
          <cell r="AW2302">
            <v>0</v>
          </cell>
        </row>
        <row r="2303">
          <cell r="B2303">
            <v>5818</v>
          </cell>
          <cell r="C2303" t="str">
            <v>EZ_55_</v>
          </cell>
          <cell r="D2303" t="str">
            <v>Rancho Estanzuela No. 55</v>
          </cell>
          <cell r="E2303" t="str">
            <v>Rodríguez Acevedo</v>
          </cell>
          <cell r="F2303">
            <v>300</v>
          </cell>
          <cell r="G2303">
            <v>1</v>
          </cell>
          <cell r="H2303">
            <v>400</v>
          </cell>
          <cell r="I2303">
            <v>41560</v>
          </cell>
          <cell r="J2303">
            <v>0</v>
          </cell>
          <cell r="W2303">
            <v>0</v>
          </cell>
          <cell r="AG2303">
            <v>400</v>
          </cell>
          <cell r="AJ2303">
            <v>400</v>
          </cell>
          <cell r="AW2303">
            <v>0</v>
          </cell>
        </row>
        <row r="2304">
          <cell r="B2304">
            <v>5819</v>
          </cell>
          <cell r="C2304" t="str">
            <v>CL_82_</v>
          </cell>
          <cell r="D2304" t="str">
            <v>Rancho La Cuchilla No. 82</v>
          </cell>
          <cell r="E2304" t="str">
            <v>Cruz</v>
          </cell>
          <cell r="F2304">
            <v>300</v>
          </cell>
          <cell r="G2304">
            <v>1</v>
          </cell>
          <cell r="H2304">
            <v>1200</v>
          </cell>
          <cell r="I2304">
            <v>41560</v>
          </cell>
          <cell r="J2304">
            <v>0</v>
          </cell>
          <cell r="W2304">
            <v>0</v>
          </cell>
          <cell r="AG2304">
            <v>400</v>
          </cell>
          <cell r="AH2304">
            <v>400</v>
          </cell>
          <cell r="AI2304">
            <v>400</v>
          </cell>
          <cell r="AJ2304">
            <v>1200</v>
          </cell>
          <cell r="AW2304">
            <v>0</v>
          </cell>
        </row>
        <row r="2305">
          <cell r="B2305">
            <v>5820</v>
          </cell>
          <cell r="C2305" t="str">
            <v>EZ_69_</v>
          </cell>
          <cell r="D2305" t="str">
            <v>Rancho Estanzuela No. 69</v>
          </cell>
          <cell r="E2305" t="str">
            <v>Apaez</v>
          </cell>
          <cell r="F2305">
            <v>300</v>
          </cell>
          <cell r="G2305">
            <v>1</v>
          </cell>
          <cell r="H2305">
            <v>400</v>
          </cell>
          <cell r="I2305">
            <v>41560</v>
          </cell>
          <cell r="J2305">
            <v>0</v>
          </cell>
          <cell r="W2305">
            <v>0</v>
          </cell>
          <cell r="AG2305">
            <v>400</v>
          </cell>
          <cell r="AJ2305">
            <v>400</v>
          </cell>
          <cell r="AW2305">
            <v>0</v>
          </cell>
        </row>
        <row r="2306">
          <cell r="B2306">
            <v>5821</v>
          </cell>
          <cell r="C2306" t="str">
            <v>UP_19_</v>
          </cell>
          <cell r="D2306" t="str">
            <v>Rancho Upácuaro No. 19</v>
          </cell>
          <cell r="E2306" t="str">
            <v>Peña Inclán</v>
          </cell>
          <cell r="F2306">
            <v>200</v>
          </cell>
          <cell r="G2306">
            <v>1</v>
          </cell>
          <cell r="H2306">
            <v>300</v>
          </cell>
          <cell r="I2306">
            <v>41560</v>
          </cell>
          <cell r="J2306">
            <v>0</v>
          </cell>
          <cell r="W2306">
            <v>0</v>
          </cell>
          <cell r="AG2306">
            <v>300</v>
          </cell>
          <cell r="AJ2306">
            <v>300</v>
          </cell>
          <cell r="AW2306">
            <v>0</v>
          </cell>
        </row>
        <row r="2307">
          <cell r="B2307">
            <v>5822</v>
          </cell>
          <cell r="C2307" t="str">
            <v>LD_8_</v>
          </cell>
          <cell r="D2307" t="str">
            <v>Rancho Landero No. 8</v>
          </cell>
          <cell r="E2307" t="str">
            <v>Peña Torres</v>
          </cell>
          <cell r="F2307">
            <v>250</v>
          </cell>
          <cell r="G2307">
            <v>1</v>
          </cell>
          <cell r="H2307">
            <v>500</v>
          </cell>
          <cell r="I2307">
            <v>41560</v>
          </cell>
          <cell r="J2307">
            <v>0</v>
          </cell>
          <cell r="W2307">
            <v>0</v>
          </cell>
          <cell r="AF2307">
            <v>250</v>
          </cell>
          <cell r="AG2307">
            <v>250</v>
          </cell>
          <cell r="AJ2307">
            <v>500</v>
          </cell>
          <cell r="AW2307">
            <v>0</v>
          </cell>
        </row>
        <row r="2308">
          <cell r="B2308">
            <v>5823</v>
          </cell>
          <cell r="C2308" t="str">
            <v>EZ_37_</v>
          </cell>
          <cell r="D2308" t="str">
            <v>Rancho Estanzuela No. 37</v>
          </cell>
          <cell r="E2308" t="str">
            <v>Cabello Eduardo</v>
          </cell>
          <cell r="F2308">
            <v>300</v>
          </cell>
          <cell r="G2308">
            <v>1</v>
          </cell>
          <cell r="H2308">
            <v>300</v>
          </cell>
          <cell r="I2308">
            <v>41560</v>
          </cell>
          <cell r="J2308">
            <v>0</v>
          </cell>
          <cell r="W2308">
            <v>0</v>
          </cell>
          <cell r="AF2308">
            <v>150</v>
          </cell>
          <cell r="AG2308">
            <v>150</v>
          </cell>
          <cell r="AJ2308">
            <v>300</v>
          </cell>
          <cell r="AW2308">
            <v>0</v>
          </cell>
        </row>
        <row r="2309">
          <cell r="B2309">
            <v>5824</v>
          </cell>
          <cell r="C2309" t="str">
            <v>RV_183_</v>
          </cell>
          <cell r="D2309" t="str">
            <v>Rancho Recoveco No. 183</v>
          </cell>
          <cell r="E2309" t="str">
            <v>Atilano Limón</v>
          </cell>
          <cell r="F2309">
            <v>300</v>
          </cell>
          <cell r="G2309">
            <v>1</v>
          </cell>
          <cell r="H2309">
            <v>300</v>
          </cell>
          <cell r="I2309">
            <v>41589</v>
          </cell>
          <cell r="J2309">
            <v>0</v>
          </cell>
          <cell r="W2309">
            <v>0</v>
          </cell>
          <cell r="AG2309">
            <v>100</v>
          </cell>
          <cell r="AH2309">
            <v>100</v>
          </cell>
          <cell r="AI2309">
            <v>100</v>
          </cell>
          <cell r="AJ2309">
            <v>300</v>
          </cell>
          <cell r="AW2309">
            <v>0</v>
          </cell>
        </row>
        <row r="2310">
          <cell r="B2310">
            <v>60</v>
          </cell>
          <cell r="C2310" t="str">
            <v>CM_130_A</v>
          </cell>
          <cell r="D2310" t="str">
            <v>Rancho Estanzuela No. 130, A</v>
          </cell>
          <cell r="E2310" t="str">
            <v>Colegio Carmel</v>
          </cell>
          <cell r="F2310">
            <v>10000</v>
          </cell>
          <cell r="G2310">
            <v>1</v>
          </cell>
          <cell r="H2310">
            <v>10000</v>
          </cell>
          <cell r="I2310">
            <v>41562</v>
          </cell>
          <cell r="J2310">
            <v>0</v>
          </cell>
          <cell r="W2310">
            <v>0</v>
          </cell>
          <cell r="AG2310">
            <v>10000</v>
          </cell>
          <cell r="AJ2310">
            <v>10000</v>
          </cell>
          <cell r="AW2310">
            <v>0</v>
          </cell>
        </row>
        <row r="2311">
          <cell r="B2311">
            <v>5825</v>
          </cell>
          <cell r="C2311" t="str">
            <v>RV_183_</v>
          </cell>
          <cell r="D2311" t="str">
            <v>Rancho Recoveco No. 183</v>
          </cell>
          <cell r="E2311" t="str">
            <v>Atilano Limón</v>
          </cell>
          <cell r="F2311">
            <v>300</v>
          </cell>
          <cell r="G2311">
            <v>4</v>
          </cell>
          <cell r="H2311">
            <v>160</v>
          </cell>
          <cell r="I2311">
            <v>41553</v>
          </cell>
          <cell r="J2311" t="str">
            <v>NO SUMA</v>
          </cell>
          <cell r="W2311">
            <v>0</v>
          </cell>
          <cell r="AJ2311">
            <v>0</v>
          </cell>
          <cell r="AW2311">
            <v>0</v>
          </cell>
        </row>
        <row r="2312">
          <cell r="B2312">
            <v>5826</v>
          </cell>
          <cell r="C2312" t="str">
            <v>CL_118_</v>
          </cell>
          <cell r="D2312" t="str">
            <v>Rancho La Cuchilla No. 118</v>
          </cell>
          <cell r="E2312" t="str">
            <v>Astorga Ruiz</v>
          </cell>
          <cell r="F2312">
            <v>300</v>
          </cell>
          <cell r="G2312">
            <v>1</v>
          </cell>
          <cell r="H2312">
            <v>400</v>
          </cell>
          <cell r="I2312">
            <v>41568</v>
          </cell>
          <cell r="J2312">
            <v>0</v>
          </cell>
          <cell r="W2312">
            <v>0</v>
          </cell>
          <cell r="AG2312">
            <v>400</v>
          </cell>
          <cell r="AJ2312">
            <v>400</v>
          </cell>
          <cell r="AW2312">
            <v>0</v>
          </cell>
        </row>
        <row r="2313">
          <cell r="B2313">
            <v>5827</v>
          </cell>
          <cell r="C2313" t="str">
            <v>CL_62_</v>
          </cell>
          <cell r="D2313" t="str">
            <v>Rancho La Cuchilla No. 62</v>
          </cell>
          <cell r="E2313" t="str">
            <v>Frías</v>
          </cell>
          <cell r="F2313">
            <v>200</v>
          </cell>
          <cell r="G2313">
            <v>1</v>
          </cell>
          <cell r="H2313">
            <v>200</v>
          </cell>
          <cell r="I2313">
            <v>41569</v>
          </cell>
          <cell r="J2313">
            <v>0</v>
          </cell>
          <cell r="W2313">
            <v>0</v>
          </cell>
          <cell r="AG2313">
            <v>200</v>
          </cell>
          <cell r="AJ2313">
            <v>200</v>
          </cell>
          <cell r="AW2313">
            <v>0</v>
          </cell>
        </row>
        <row r="2314">
          <cell r="B2314">
            <v>5828</v>
          </cell>
          <cell r="D2314" t="str">
            <v/>
          </cell>
          <cell r="E2314" t="str">
            <v/>
          </cell>
          <cell r="F2314" t="str">
            <v/>
          </cell>
          <cell r="I2314">
            <v>41569</v>
          </cell>
          <cell r="J2314" t="str">
            <v>NO SUMA</v>
          </cell>
          <cell r="W2314">
            <v>0</v>
          </cell>
          <cell r="AJ2314">
            <v>0</v>
          </cell>
          <cell r="AW2314">
            <v>0</v>
          </cell>
        </row>
        <row r="2315">
          <cell r="B2315">
            <v>5829</v>
          </cell>
          <cell r="C2315" t="str">
            <v>CM_130_A</v>
          </cell>
          <cell r="D2315" t="str">
            <v>Rancho Estanzuela No. 130, A</v>
          </cell>
          <cell r="E2315" t="str">
            <v>Colegio Carmel</v>
          </cell>
          <cell r="F2315">
            <v>10000</v>
          </cell>
          <cell r="G2315">
            <v>3</v>
          </cell>
          <cell r="H2315">
            <v>160</v>
          </cell>
          <cell r="I2315">
            <v>41562</v>
          </cell>
          <cell r="J2315" t="str">
            <v>NO SUMA</v>
          </cell>
          <cell r="W2315">
            <v>0</v>
          </cell>
          <cell r="AJ2315">
            <v>0</v>
          </cell>
          <cell r="AW2315">
            <v>0</v>
          </cell>
        </row>
        <row r="2316">
          <cell r="B2316">
            <v>5830</v>
          </cell>
          <cell r="D2316" t="str">
            <v/>
          </cell>
          <cell r="E2316" t="str">
            <v/>
          </cell>
          <cell r="F2316" t="str">
            <v/>
          </cell>
          <cell r="I2316">
            <v>41553</v>
          </cell>
          <cell r="J2316" t="str">
            <v>NO SUMA</v>
          </cell>
          <cell r="W2316">
            <v>0</v>
          </cell>
          <cell r="AJ2316">
            <v>0</v>
          </cell>
          <cell r="AW2316">
            <v>0</v>
          </cell>
        </row>
        <row r="2317">
          <cell r="B2317">
            <v>5831</v>
          </cell>
          <cell r="C2317" t="str">
            <v>LD_1_A</v>
          </cell>
          <cell r="D2317" t="str">
            <v>Rancho Landero No. 1, A</v>
          </cell>
          <cell r="E2317" t="str">
            <v>Ebysan</v>
          </cell>
          <cell r="F2317">
            <v>300</v>
          </cell>
          <cell r="G2317">
            <v>1</v>
          </cell>
          <cell r="H2317">
            <v>400</v>
          </cell>
          <cell r="I2317">
            <v>41563</v>
          </cell>
          <cell r="J2317">
            <v>0</v>
          </cell>
          <cell r="W2317">
            <v>0</v>
          </cell>
          <cell r="AG2317">
            <v>400</v>
          </cell>
          <cell r="AJ2317">
            <v>400</v>
          </cell>
          <cell r="AW2317">
            <v>0</v>
          </cell>
        </row>
        <row r="2318">
          <cell r="B2318">
            <v>6154</v>
          </cell>
          <cell r="C2318" t="str">
            <v>CM_130_A</v>
          </cell>
          <cell r="G2318">
            <v>8</v>
          </cell>
          <cell r="I2318">
            <v>41563</v>
          </cell>
          <cell r="J2318" t="str">
            <v>NO SUMA</v>
          </cell>
          <cell r="W2318">
            <v>0</v>
          </cell>
          <cell r="AJ2318">
            <v>0</v>
          </cell>
          <cell r="AW2318">
            <v>0</v>
          </cell>
        </row>
        <row r="2319">
          <cell r="B2319">
            <v>5832</v>
          </cell>
          <cell r="C2319" t="str">
            <v>ZB_12_</v>
          </cell>
          <cell r="D2319" t="str">
            <v>Rancho Zinamba No. 12</v>
          </cell>
          <cell r="E2319" t="str">
            <v>Rodríguez</v>
          </cell>
          <cell r="F2319">
            <v>400</v>
          </cell>
          <cell r="G2319">
            <v>1</v>
          </cell>
          <cell r="H2319">
            <v>400</v>
          </cell>
          <cell r="I2319">
            <v>41564</v>
          </cell>
          <cell r="J2319">
            <v>0</v>
          </cell>
          <cell r="W2319">
            <v>0</v>
          </cell>
          <cell r="AG2319">
            <v>400</v>
          </cell>
          <cell r="AJ2319">
            <v>400</v>
          </cell>
          <cell r="AW2319">
            <v>0</v>
          </cell>
        </row>
        <row r="2320">
          <cell r="B2320">
            <v>5833</v>
          </cell>
          <cell r="C2320" t="str">
            <v>LD_77_</v>
          </cell>
          <cell r="D2320" t="str">
            <v>Rancho Landero No. 77</v>
          </cell>
          <cell r="E2320" t="str">
            <v>Muñoz</v>
          </cell>
          <cell r="F2320">
            <v>300</v>
          </cell>
          <cell r="G2320">
            <v>1</v>
          </cell>
          <cell r="H2320">
            <v>300</v>
          </cell>
          <cell r="I2320">
            <v>41567</v>
          </cell>
          <cell r="J2320">
            <v>0</v>
          </cell>
          <cell r="W2320">
            <v>0</v>
          </cell>
          <cell r="AF2320">
            <v>300</v>
          </cell>
          <cell r="AJ2320">
            <v>300</v>
          </cell>
          <cell r="AW2320">
            <v>0</v>
          </cell>
        </row>
        <row r="2321">
          <cell r="B2321">
            <v>5834</v>
          </cell>
          <cell r="C2321" t="str">
            <v>CL_66_</v>
          </cell>
          <cell r="D2321" t="str">
            <v>Rancho La Cuchilla No. 66</v>
          </cell>
          <cell r="E2321" t="str">
            <v>Prieto</v>
          </cell>
          <cell r="F2321">
            <v>300</v>
          </cell>
          <cell r="G2321">
            <v>1</v>
          </cell>
          <cell r="H2321">
            <v>300</v>
          </cell>
          <cell r="I2321">
            <v>41567</v>
          </cell>
          <cell r="J2321">
            <v>0</v>
          </cell>
          <cell r="W2321">
            <v>0</v>
          </cell>
          <cell r="AG2321">
            <v>300</v>
          </cell>
          <cell r="AJ2321">
            <v>300</v>
          </cell>
          <cell r="AW2321">
            <v>0</v>
          </cell>
        </row>
        <row r="2322">
          <cell r="B2322">
            <v>5835</v>
          </cell>
          <cell r="C2322" t="str">
            <v>CL_111_</v>
          </cell>
          <cell r="D2322" t="str">
            <v>Rancho La Cuchilla No. 111</v>
          </cell>
          <cell r="E2322" t="str">
            <v>García Santos Ofelia</v>
          </cell>
          <cell r="F2322">
            <v>150</v>
          </cell>
          <cell r="G2322">
            <v>1</v>
          </cell>
          <cell r="H2322">
            <v>200</v>
          </cell>
          <cell r="I2322">
            <v>41567</v>
          </cell>
          <cell r="J2322">
            <v>0</v>
          </cell>
          <cell r="W2322">
            <v>0</v>
          </cell>
          <cell r="AG2322">
            <v>200</v>
          </cell>
          <cell r="AJ2322">
            <v>200</v>
          </cell>
          <cell r="AW2322">
            <v>0</v>
          </cell>
        </row>
        <row r="2323">
          <cell r="B2323">
            <v>5836</v>
          </cell>
          <cell r="C2323" t="str">
            <v>RM_9_B</v>
          </cell>
          <cell r="D2323" t="str">
            <v>Rancho Romeral No. 9, B</v>
          </cell>
          <cell r="E2323" t="str">
            <v>Morales Macías</v>
          </cell>
          <cell r="F2323">
            <v>100</v>
          </cell>
          <cell r="G2323">
            <v>1</v>
          </cell>
          <cell r="H2323">
            <v>100</v>
          </cell>
          <cell r="I2323">
            <v>41567</v>
          </cell>
          <cell r="J2323">
            <v>0</v>
          </cell>
          <cell r="W2323">
            <v>0</v>
          </cell>
          <cell r="AG2323">
            <v>100</v>
          </cell>
          <cell r="AJ2323">
            <v>100</v>
          </cell>
          <cell r="AW2323">
            <v>0</v>
          </cell>
        </row>
        <row r="2324">
          <cell r="B2324">
            <v>5837</v>
          </cell>
          <cell r="C2324" t="str">
            <v>RV_193_</v>
          </cell>
          <cell r="D2324" t="str">
            <v>Rancho Recoveco No. 193</v>
          </cell>
          <cell r="E2324" t="str">
            <v>Salazar Pérez</v>
          </cell>
          <cell r="F2324">
            <v>300</v>
          </cell>
          <cell r="G2324">
            <v>1</v>
          </cell>
          <cell r="H2324">
            <v>400</v>
          </cell>
          <cell r="I2324">
            <v>41567</v>
          </cell>
          <cell r="J2324">
            <v>0</v>
          </cell>
          <cell r="W2324">
            <v>0</v>
          </cell>
          <cell r="AG2324">
            <v>400</v>
          </cell>
          <cell r="AJ2324">
            <v>400</v>
          </cell>
          <cell r="AW2324">
            <v>0</v>
          </cell>
        </row>
        <row r="2325">
          <cell r="B2325">
            <v>5838</v>
          </cell>
          <cell r="C2325" t="str">
            <v>ZB_12_</v>
          </cell>
          <cell r="D2325" t="str">
            <v>Rancho Zinamba No. 12</v>
          </cell>
          <cell r="E2325" t="str">
            <v>Rodríguez</v>
          </cell>
          <cell r="F2325">
            <v>400</v>
          </cell>
          <cell r="G2325">
            <v>4</v>
          </cell>
          <cell r="H2325">
            <v>160</v>
          </cell>
          <cell r="I2325">
            <v>41567</v>
          </cell>
          <cell r="J2325" t="str">
            <v>NO SUMA</v>
          </cell>
          <cell r="W2325">
            <v>0</v>
          </cell>
          <cell r="AJ2325">
            <v>0</v>
          </cell>
          <cell r="AW2325">
            <v>0</v>
          </cell>
        </row>
        <row r="2326">
          <cell r="B2326">
            <v>5839</v>
          </cell>
          <cell r="C2326" t="str">
            <v>CL_12_</v>
          </cell>
          <cell r="D2326" t="str">
            <v>Rancho La Cuchilla No. 12</v>
          </cell>
          <cell r="E2326" t="str">
            <v>Rivera Flores</v>
          </cell>
          <cell r="F2326">
            <v>300</v>
          </cell>
          <cell r="G2326">
            <v>1</v>
          </cell>
          <cell r="H2326">
            <v>350</v>
          </cell>
          <cell r="I2326">
            <v>41567</v>
          </cell>
          <cell r="J2326">
            <v>0</v>
          </cell>
          <cell r="W2326">
            <v>0</v>
          </cell>
          <cell r="AG2326">
            <v>350</v>
          </cell>
          <cell r="AJ2326">
            <v>350</v>
          </cell>
          <cell r="AW2326">
            <v>0</v>
          </cell>
        </row>
        <row r="2327">
          <cell r="B2327">
            <v>5840</v>
          </cell>
          <cell r="C2327" t="str">
            <v>CL_107_</v>
          </cell>
          <cell r="D2327" t="str">
            <v>Rancho La Cuchilla No. 107</v>
          </cell>
          <cell r="E2327" t="str">
            <v>Olivares Rivera</v>
          </cell>
          <cell r="F2327">
            <v>300</v>
          </cell>
          <cell r="G2327">
            <v>1</v>
          </cell>
          <cell r="H2327">
            <v>400</v>
          </cell>
          <cell r="I2327">
            <v>41567</v>
          </cell>
          <cell r="J2327">
            <v>0</v>
          </cell>
          <cell r="W2327">
            <v>0</v>
          </cell>
          <cell r="AG2327">
            <v>400</v>
          </cell>
          <cell r="AJ2327">
            <v>400</v>
          </cell>
          <cell r="AW2327">
            <v>0</v>
          </cell>
        </row>
        <row r="2328">
          <cell r="B2328">
            <v>5841</v>
          </cell>
          <cell r="C2328" t="str">
            <v>ZB_76_</v>
          </cell>
          <cell r="D2328" t="str">
            <v>Rancho Zinamba No. 76</v>
          </cell>
          <cell r="E2328" t="str">
            <v>Márquez</v>
          </cell>
          <cell r="F2328">
            <v>300</v>
          </cell>
          <cell r="G2328">
            <v>1</v>
          </cell>
          <cell r="H2328">
            <v>1300</v>
          </cell>
          <cell r="I2328">
            <v>41567</v>
          </cell>
          <cell r="J2328">
            <v>0</v>
          </cell>
          <cell r="W2328">
            <v>0</v>
          </cell>
          <cell r="AD2328">
            <v>300</v>
          </cell>
          <cell r="AE2328">
            <v>300</v>
          </cell>
          <cell r="AF2328">
            <v>300</v>
          </cell>
          <cell r="AG2328">
            <v>400</v>
          </cell>
          <cell r="AJ2328">
            <v>1300</v>
          </cell>
          <cell r="AW2328">
            <v>0</v>
          </cell>
        </row>
        <row r="2329">
          <cell r="B2329">
            <v>5842</v>
          </cell>
          <cell r="C2329" t="str">
            <v>RV_175_B</v>
          </cell>
          <cell r="D2329" t="str">
            <v>Rancho Recoveco No. 175, B</v>
          </cell>
          <cell r="E2329" t="str">
            <v>García Calderón</v>
          </cell>
          <cell r="F2329">
            <v>150</v>
          </cell>
          <cell r="G2329">
            <v>1</v>
          </cell>
          <cell r="H2329">
            <v>200</v>
          </cell>
          <cell r="I2329">
            <v>41567</v>
          </cell>
          <cell r="J2329">
            <v>0</v>
          </cell>
          <cell r="W2329">
            <v>0</v>
          </cell>
          <cell r="AG2329">
            <v>200</v>
          </cell>
          <cell r="AJ2329">
            <v>200</v>
          </cell>
          <cell r="AW2329">
            <v>0</v>
          </cell>
        </row>
        <row r="2330">
          <cell r="B2330">
            <v>5843</v>
          </cell>
          <cell r="C2330" t="str">
            <v>EZ_99_</v>
          </cell>
          <cell r="D2330" t="str">
            <v>Rancho Estanzuela No. 99</v>
          </cell>
          <cell r="E2330" t="str">
            <v>García López</v>
          </cell>
          <cell r="F2330">
            <v>300</v>
          </cell>
          <cell r="G2330">
            <v>1</v>
          </cell>
          <cell r="H2330">
            <v>700</v>
          </cell>
          <cell r="I2330">
            <v>41567</v>
          </cell>
          <cell r="J2330">
            <v>0</v>
          </cell>
          <cell r="W2330">
            <v>0</v>
          </cell>
          <cell r="AF2330">
            <v>300</v>
          </cell>
          <cell r="AG2330">
            <v>400</v>
          </cell>
          <cell r="AJ2330">
            <v>700</v>
          </cell>
          <cell r="AW2330">
            <v>0</v>
          </cell>
        </row>
        <row r="2331">
          <cell r="B2331">
            <v>5844</v>
          </cell>
          <cell r="C2331" t="str">
            <v>UP_54_</v>
          </cell>
          <cell r="D2331" t="str">
            <v>Rancho Upácuaro No. 54</v>
          </cell>
          <cell r="E2331" t="str">
            <v>García Rueda</v>
          </cell>
          <cell r="F2331">
            <v>200</v>
          </cell>
          <cell r="G2331">
            <v>1</v>
          </cell>
          <cell r="H2331">
            <v>400</v>
          </cell>
          <cell r="I2331">
            <v>41567</v>
          </cell>
          <cell r="J2331">
            <v>0</v>
          </cell>
          <cell r="W2331">
            <v>0</v>
          </cell>
          <cell r="AG2331">
            <v>200</v>
          </cell>
          <cell r="AH2331">
            <v>200</v>
          </cell>
          <cell r="AJ2331">
            <v>400</v>
          </cell>
          <cell r="AW2331">
            <v>0</v>
          </cell>
        </row>
        <row r="2332">
          <cell r="B2332">
            <v>5845</v>
          </cell>
          <cell r="C2332" t="str">
            <v>CL_43_A</v>
          </cell>
          <cell r="D2332" t="str">
            <v>Rancho La Cuchilla No. 43, A</v>
          </cell>
          <cell r="E2332" t="str">
            <v>De la Rosa</v>
          </cell>
          <cell r="F2332">
            <v>200</v>
          </cell>
          <cell r="G2332">
            <v>1</v>
          </cell>
          <cell r="H2332">
            <v>400</v>
          </cell>
          <cell r="I2332">
            <v>41567</v>
          </cell>
          <cell r="J2332">
            <v>0</v>
          </cell>
          <cell r="W2332">
            <v>0</v>
          </cell>
          <cell r="AG2332">
            <v>400</v>
          </cell>
          <cell r="AJ2332">
            <v>400</v>
          </cell>
          <cell r="AW2332">
            <v>0</v>
          </cell>
        </row>
        <row r="2333">
          <cell r="B2333">
            <v>5846</v>
          </cell>
          <cell r="C2333" t="str">
            <v>LD_20_</v>
          </cell>
          <cell r="D2333" t="str">
            <v>Rancho Landero No. 20</v>
          </cell>
          <cell r="E2333" t="str">
            <v>Velasco</v>
          </cell>
          <cell r="F2333">
            <v>300</v>
          </cell>
          <cell r="G2333">
            <v>1</v>
          </cell>
          <cell r="H2333">
            <v>300</v>
          </cell>
          <cell r="I2333">
            <v>41567</v>
          </cell>
          <cell r="J2333">
            <v>0</v>
          </cell>
          <cell r="W2333">
            <v>0</v>
          </cell>
          <cell r="AG2333">
            <v>300</v>
          </cell>
          <cell r="AJ2333">
            <v>300</v>
          </cell>
          <cell r="AW2333">
            <v>0</v>
          </cell>
        </row>
        <row r="2334">
          <cell r="B2334">
            <v>5847</v>
          </cell>
          <cell r="C2334" t="str">
            <v>CL_148_</v>
          </cell>
          <cell r="D2334" t="str">
            <v>Rancho La Cuchilla No. 148</v>
          </cell>
          <cell r="E2334" t="str">
            <v>Vázquez Vázquez</v>
          </cell>
          <cell r="F2334">
            <v>300</v>
          </cell>
          <cell r="G2334">
            <v>1</v>
          </cell>
          <cell r="H2334">
            <v>1000</v>
          </cell>
          <cell r="I2334">
            <v>41567</v>
          </cell>
          <cell r="J2334">
            <v>0</v>
          </cell>
          <cell r="W2334">
            <v>0</v>
          </cell>
          <cell r="AE2334">
            <v>300</v>
          </cell>
          <cell r="AF2334">
            <v>300</v>
          </cell>
          <cell r="AG2334">
            <v>400</v>
          </cell>
          <cell r="AJ2334">
            <v>1000</v>
          </cell>
          <cell r="AW2334">
            <v>0</v>
          </cell>
        </row>
        <row r="2335">
          <cell r="B2335">
            <v>5848</v>
          </cell>
          <cell r="C2335" t="str">
            <v>CL_71_</v>
          </cell>
          <cell r="D2335" t="str">
            <v>Rancho La Cuchilla No. 71</v>
          </cell>
          <cell r="E2335" t="str">
            <v>Pulido</v>
          </cell>
          <cell r="F2335">
            <v>300</v>
          </cell>
          <cell r="G2335">
            <v>1</v>
          </cell>
          <cell r="H2335">
            <v>300</v>
          </cell>
          <cell r="I2335">
            <v>41567</v>
          </cell>
          <cell r="J2335">
            <v>0</v>
          </cell>
          <cell r="W2335">
            <v>0</v>
          </cell>
          <cell r="AG2335">
            <v>300</v>
          </cell>
          <cell r="AJ2335">
            <v>300</v>
          </cell>
          <cell r="AW2335">
            <v>0</v>
          </cell>
        </row>
        <row r="2336">
          <cell r="B2336">
            <v>5849</v>
          </cell>
          <cell r="C2336" t="str">
            <v>LD_87_</v>
          </cell>
          <cell r="D2336" t="str">
            <v>Rancho Landero No. 87</v>
          </cell>
          <cell r="E2336" t="str">
            <v>Fey Lafferla</v>
          </cell>
          <cell r="F2336">
            <v>300</v>
          </cell>
          <cell r="G2336">
            <v>1</v>
          </cell>
          <cell r="H2336">
            <v>400</v>
          </cell>
          <cell r="I2336">
            <v>41567</v>
          </cell>
          <cell r="J2336">
            <v>0</v>
          </cell>
          <cell r="W2336">
            <v>0</v>
          </cell>
          <cell r="AG2336">
            <v>400</v>
          </cell>
          <cell r="AJ2336">
            <v>400</v>
          </cell>
          <cell r="AW2336">
            <v>0</v>
          </cell>
        </row>
        <row r="2337">
          <cell r="B2337">
            <v>5850</v>
          </cell>
          <cell r="C2337" t="str">
            <v>ZB_62_</v>
          </cell>
          <cell r="D2337" t="str">
            <v>Rancho Zinamba No. 62</v>
          </cell>
          <cell r="E2337" t="str">
            <v>Martínez León</v>
          </cell>
          <cell r="F2337">
            <v>250</v>
          </cell>
          <cell r="G2337">
            <v>1</v>
          </cell>
          <cell r="H2337">
            <v>1000</v>
          </cell>
          <cell r="I2337">
            <v>41567</v>
          </cell>
          <cell r="J2337">
            <v>0</v>
          </cell>
          <cell r="W2337">
            <v>0</v>
          </cell>
          <cell r="AB2337">
            <v>250</v>
          </cell>
          <cell r="AC2337">
            <v>250</v>
          </cell>
          <cell r="AD2337">
            <v>250</v>
          </cell>
          <cell r="AE2337">
            <v>250</v>
          </cell>
          <cell r="AJ2337">
            <v>1000</v>
          </cell>
          <cell r="AW2337">
            <v>0</v>
          </cell>
        </row>
        <row r="2338">
          <cell r="B2338">
            <v>5851</v>
          </cell>
          <cell r="C2338" t="str">
            <v>LD_47_</v>
          </cell>
          <cell r="D2338" t="str">
            <v>Rancho Landero No. 47</v>
          </cell>
          <cell r="E2338" t="str">
            <v>García González</v>
          </cell>
          <cell r="F2338">
            <v>300</v>
          </cell>
          <cell r="G2338">
            <v>1</v>
          </cell>
          <cell r="H2338">
            <v>400</v>
          </cell>
          <cell r="I2338">
            <v>41567</v>
          </cell>
          <cell r="J2338">
            <v>0</v>
          </cell>
          <cell r="W2338">
            <v>0</v>
          </cell>
          <cell r="AG2338">
            <v>400</v>
          </cell>
          <cell r="AJ2338">
            <v>400</v>
          </cell>
          <cell r="AW2338">
            <v>0</v>
          </cell>
        </row>
        <row r="2339">
          <cell r="B2339">
            <v>5851</v>
          </cell>
          <cell r="C2339" t="str">
            <v>LD_47_</v>
          </cell>
          <cell r="D2339" t="str">
            <v>Rancho Landero No. 47</v>
          </cell>
          <cell r="E2339" t="str">
            <v>García González</v>
          </cell>
          <cell r="F2339">
            <v>300</v>
          </cell>
          <cell r="G2339">
            <v>4</v>
          </cell>
          <cell r="H2339">
            <v>160</v>
          </cell>
          <cell r="I2339">
            <v>41567</v>
          </cell>
          <cell r="J2339" t="str">
            <v>NO SUMA</v>
          </cell>
          <cell r="W2339">
            <v>0</v>
          </cell>
          <cell r="AJ2339">
            <v>0</v>
          </cell>
          <cell r="AW2339">
            <v>0</v>
          </cell>
        </row>
        <row r="2340">
          <cell r="B2340">
            <v>5852</v>
          </cell>
          <cell r="C2340" t="str">
            <v>RV_187_</v>
          </cell>
          <cell r="D2340" t="str">
            <v>Rancho Recoveco No. 187</v>
          </cell>
          <cell r="E2340" t="str">
            <v>Moreno</v>
          </cell>
          <cell r="F2340">
            <v>300</v>
          </cell>
          <cell r="G2340">
            <v>1</v>
          </cell>
          <cell r="H2340">
            <v>600</v>
          </cell>
          <cell r="I2340">
            <v>41567</v>
          </cell>
          <cell r="J2340">
            <v>0</v>
          </cell>
          <cell r="W2340">
            <v>0</v>
          </cell>
          <cell r="AF2340">
            <v>300</v>
          </cell>
          <cell r="AG2340">
            <v>300</v>
          </cell>
          <cell r="AJ2340">
            <v>600</v>
          </cell>
          <cell r="AW2340">
            <v>0</v>
          </cell>
        </row>
        <row r="2341">
          <cell r="B2341">
            <v>5853</v>
          </cell>
          <cell r="C2341" t="str">
            <v>CL_41_</v>
          </cell>
          <cell r="D2341" t="str">
            <v>Rancho La Cuchilla No. 41</v>
          </cell>
          <cell r="E2341" t="str">
            <v>Arriaga Lemus</v>
          </cell>
          <cell r="F2341">
            <v>250</v>
          </cell>
          <cell r="G2341">
            <v>1</v>
          </cell>
          <cell r="H2341">
            <v>400</v>
          </cell>
          <cell r="I2341">
            <v>41567</v>
          </cell>
          <cell r="J2341">
            <v>0</v>
          </cell>
          <cell r="W2341">
            <v>0</v>
          </cell>
          <cell r="AG2341">
            <v>400</v>
          </cell>
          <cell r="AJ2341">
            <v>400</v>
          </cell>
          <cell r="AW2341">
            <v>0</v>
          </cell>
        </row>
        <row r="2342">
          <cell r="B2342">
            <v>5854</v>
          </cell>
          <cell r="C2342" t="str">
            <v>LD_24_</v>
          </cell>
          <cell r="D2342" t="str">
            <v>Rancho Landero No. 24</v>
          </cell>
          <cell r="E2342" t="str">
            <v>Vázquez Peralta</v>
          </cell>
          <cell r="F2342">
            <v>300</v>
          </cell>
          <cell r="G2342">
            <v>1</v>
          </cell>
          <cell r="H2342">
            <v>400</v>
          </cell>
          <cell r="I2342">
            <v>41567</v>
          </cell>
          <cell r="J2342">
            <v>0</v>
          </cell>
          <cell r="W2342">
            <v>0</v>
          </cell>
          <cell r="AG2342">
            <v>400</v>
          </cell>
          <cell r="AJ2342">
            <v>400</v>
          </cell>
          <cell r="AW2342">
            <v>0</v>
          </cell>
        </row>
        <row r="2343">
          <cell r="B2343">
            <v>5855</v>
          </cell>
          <cell r="C2343" t="str">
            <v>CL_130_</v>
          </cell>
          <cell r="D2343" t="str">
            <v>Rancho La Cuchilla No. 130</v>
          </cell>
          <cell r="E2343" t="str">
            <v>De la Huerta</v>
          </cell>
          <cell r="F2343">
            <v>300</v>
          </cell>
          <cell r="G2343">
            <v>1</v>
          </cell>
          <cell r="H2343">
            <v>400</v>
          </cell>
          <cell r="I2343">
            <v>41567</v>
          </cell>
          <cell r="J2343">
            <v>0</v>
          </cell>
          <cell r="W2343">
            <v>0</v>
          </cell>
          <cell r="AH2343">
            <v>400</v>
          </cell>
          <cell r="AJ2343">
            <v>400</v>
          </cell>
          <cell r="AW2343">
            <v>0</v>
          </cell>
        </row>
        <row r="2344">
          <cell r="B2344">
            <v>6155</v>
          </cell>
          <cell r="C2344" t="str">
            <v>UP_46_</v>
          </cell>
          <cell r="D2344" t="str">
            <v>Rancho Upácuaro No. 46</v>
          </cell>
          <cell r="E2344" t="str">
            <v>Fuentes</v>
          </cell>
          <cell r="F2344">
            <v>300</v>
          </cell>
          <cell r="G2344">
            <v>1</v>
          </cell>
          <cell r="H2344">
            <v>300</v>
          </cell>
          <cell r="I2344">
            <v>41569</v>
          </cell>
          <cell r="J2344">
            <v>0</v>
          </cell>
          <cell r="W2344">
            <v>0</v>
          </cell>
          <cell r="AG2344">
            <v>300</v>
          </cell>
          <cell r="AJ2344">
            <v>300</v>
          </cell>
          <cell r="AW2344">
            <v>0</v>
          </cell>
        </row>
        <row r="2345">
          <cell r="B2345">
            <v>5856</v>
          </cell>
          <cell r="C2345" t="str">
            <v>CL_86_</v>
          </cell>
          <cell r="D2345" t="str">
            <v>Rancho La Cuchilla No. 86</v>
          </cell>
          <cell r="E2345" t="str">
            <v>Del Villar</v>
          </cell>
          <cell r="F2345">
            <v>300</v>
          </cell>
          <cell r="G2345">
            <v>1</v>
          </cell>
          <cell r="H2345">
            <v>400</v>
          </cell>
          <cell r="I2345">
            <v>41571</v>
          </cell>
          <cell r="J2345">
            <v>0</v>
          </cell>
          <cell r="W2345">
            <v>0</v>
          </cell>
          <cell r="AG2345">
            <v>400</v>
          </cell>
          <cell r="AJ2345">
            <v>400</v>
          </cell>
          <cell r="AW2345">
            <v>0</v>
          </cell>
        </row>
        <row r="2346">
          <cell r="B2346">
            <v>5857</v>
          </cell>
          <cell r="C2346" t="str">
            <v>UP_118_</v>
          </cell>
          <cell r="D2346" t="str">
            <v>Rancho Upácuaro No. 118</v>
          </cell>
          <cell r="E2346" t="str">
            <v>Siegrist</v>
          </cell>
          <cell r="F2346">
            <v>300</v>
          </cell>
          <cell r="G2346">
            <v>1</v>
          </cell>
          <cell r="H2346">
            <v>1500</v>
          </cell>
          <cell r="I2346">
            <v>41572</v>
          </cell>
          <cell r="J2346">
            <v>0</v>
          </cell>
          <cell r="W2346">
            <v>0</v>
          </cell>
          <cell r="AF2346">
            <v>300</v>
          </cell>
          <cell r="AG2346">
            <v>400</v>
          </cell>
          <cell r="AH2346">
            <v>400</v>
          </cell>
          <cell r="AI2346">
            <v>400</v>
          </cell>
          <cell r="AJ2346">
            <v>1500</v>
          </cell>
          <cell r="AW2346">
            <v>0</v>
          </cell>
        </row>
        <row r="2347">
          <cell r="B2347">
            <v>5858</v>
          </cell>
          <cell r="D2347" t="str">
            <v/>
          </cell>
          <cell r="E2347" t="str">
            <v/>
          </cell>
          <cell r="F2347" t="str">
            <v/>
          </cell>
          <cell r="I2347">
            <v>41572</v>
          </cell>
          <cell r="J2347" t="str">
            <v>NO SUMA</v>
          </cell>
          <cell r="W2347">
            <v>0</v>
          </cell>
          <cell r="AJ2347">
            <v>0</v>
          </cell>
          <cell r="AW2347">
            <v>0</v>
          </cell>
        </row>
        <row r="2348">
          <cell r="B2348">
            <v>5859</v>
          </cell>
          <cell r="C2348" t="str">
            <v>CL_97_</v>
          </cell>
          <cell r="D2348" t="str">
            <v>Rancho La Cuchilla No. 97</v>
          </cell>
          <cell r="E2348" t="str">
            <v>López Ruiz</v>
          </cell>
          <cell r="F2348">
            <v>300</v>
          </cell>
          <cell r="G2348">
            <v>1</v>
          </cell>
          <cell r="H2348">
            <v>300</v>
          </cell>
          <cell r="I2348">
            <v>41572</v>
          </cell>
          <cell r="J2348">
            <v>0</v>
          </cell>
          <cell r="W2348">
            <v>0</v>
          </cell>
          <cell r="AG2348">
            <v>300</v>
          </cell>
          <cell r="AJ2348">
            <v>300</v>
          </cell>
          <cell r="AW2348">
            <v>0</v>
          </cell>
        </row>
        <row r="2349">
          <cell r="B2349">
            <v>5860</v>
          </cell>
          <cell r="C2349" t="str">
            <v>EZ_115_</v>
          </cell>
          <cell r="D2349" t="str">
            <v>Rancho Estanzuela No. 115</v>
          </cell>
          <cell r="E2349" t="str">
            <v>Frías Solórzano</v>
          </cell>
          <cell r="F2349">
            <v>200</v>
          </cell>
          <cell r="G2349">
            <v>1</v>
          </cell>
          <cell r="H2349">
            <v>400</v>
          </cell>
          <cell r="I2349">
            <v>41574</v>
          </cell>
          <cell r="J2349">
            <v>0</v>
          </cell>
          <cell r="W2349">
            <v>0</v>
          </cell>
          <cell r="AH2349">
            <v>200</v>
          </cell>
          <cell r="AI2349">
            <v>200</v>
          </cell>
          <cell r="AJ2349">
            <v>400</v>
          </cell>
          <cell r="AW2349">
            <v>0</v>
          </cell>
        </row>
        <row r="2350">
          <cell r="B2350">
            <v>5861</v>
          </cell>
          <cell r="C2350" t="str">
            <v>ZB_24_</v>
          </cell>
          <cell r="D2350" t="str">
            <v>Rancho Zinamba No. 24</v>
          </cell>
          <cell r="E2350" t="str">
            <v>Monroy García</v>
          </cell>
          <cell r="F2350">
            <v>300</v>
          </cell>
          <cell r="G2350">
            <v>1</v>
          </cell>
          <cell r="H2350">
            <v>300</v>
          </cell>
          <cell r="I2350">
            <v>41574</v>
          </cell>
          <cell r="J2350">
            <v>0</v>
          </cell>
          <cell r="W2350">
            <v>0</v>
          </cell>
          <cell r="AG2350">
            <v>300</v>
          </cell>
          <cell r="AJ2350">
            <v>300</v>
          </cell>
          <cell r="AW2350">
            <v>0</v>
          </cell>
        </row>
        <row r="2351">
          <cell r="B2351">
            <v>5862</v>
          </cell>
          <cell r="C2351" t="str">
            <v>UP_95_</v>
          </cell>
          <cell r="D2351" t="str">
            <v>Rancho Upácuaro No. 95</v>
          </cell>
          <cell r="E2351" t="str">
            <v>Flores</v>
          </cell>
          <cell r="F2351">
            <v>300</v>
          </cell>
          <cell r="G2351">
            <v>1</v>
          </cell>
          <cell r="H2351">
            <v>400</v>
          </cell>
          <cell r="I2351">
            <v>41574</v>
          </cell>
          <cell r="J2351">
            <v>0</v>
          </cell>
          <cell r="W2351">
            <v>0</v>
          </cell>
          <cell r="AH2351">
            <v>400</v>
          </cell>
          <cell r="AJ2351">
            <v>400</v>
          </cell>
          <cell r="AW2351">
            <v>0</v>
          </cell>
        </row>
        <row r="2352">
          <cell r="B2352">
            <v>5863</v>
          </cell>
          <cell r="C2352" t="str">
            <v>CL_20_</v>
          </cell>
          <cell r="D2352" t="str">
            <v>Rancho La Cuchilla No. 20</v>
          </cell>
          <cell r="E2352" t="str">
            <v>Sánchez López</v>
          </cell>
          <cell r="F2352">
            <v>300</v>
          </cell>
          <cell r="G2352">
            <v>1</v>
          </cell>
          <cell r="H2352">
            <v>400</v>
          </cell>
          <cell r="I2352">
            <v>41574</v>
          </cell>
          <cell r="J2352">
            <v>0</v>
          </cell>
          <cell r="W2352">
            <v>0</v>
          </cell>
          <cell r="AH2352">
            <v>400</v>
          </cell>
          <cell r="AJ2352">
            <v>400</v>
          </cell>
          <cell r="AW2352">
            <v>0</v>
          </cell>
        </row>
        <row r="2353">
          <cell r="B2353">
            <v>5864</v>
          </cell>
          <cell r="C2353" t="str">
            <v>ZB_34_</v>
          </cell>
          <cell r="D2353" t="str">
            <v>Rancho Zinamba No. 34</v>
          </cell>
          <cell r="E2353" t="str">
            <v>Torres Zavala</v>
          </cell>
          <cell r="F2353">
            <v>300</v>
          </cell>
          <cell r="G2353">
            <v>1</v>
          </cell>
          <cell r="H2353">
            <v>400</v>
          </cell>
          <cell r="I2353">
            <v>41574</v>
          </cell>
          <cell r="J2353">
            <v>0</v>
          </cell>
          <cell r="W2353">
            <v>0</v>
          </cell>
          <cell r="AG2353">
            <v>400</v>
          </cell>
          <cell r="AJ2353">
            <v>400</v>
          </cell>
          <cell r="AW2353">
            <v>0</v>
          </cell>
        </row>
        <row r="2354">
          <cell r="B2354">
            <v>5865</v>
          </cell>
          <cell r="C2354" t="str">
            <v>ZB_34_</v>
          </cell>
          <cell r="D2354" t="str">
            <v>Rancho Zinamba No. 34</v>
          </cell>
          <cell r="E2354" t="str">
            <v>Torres Zavala</v>
          </cell>
          <cell r="F2354">
            <v>300</v>
          </cell>
          <cell r="G2354">
            <v>4</v>
          </cell>
          <cell r="H2354">
            <v>160</v>
          </cell>
          <cell r="I2354">
            <v>41574</v>
          </cell>
          <cell r="J2354" t="str">
            <v>NO SUMA</v>
          </cell>
          <cell r="W2354">
            <v>0</v>
          </cell>
          <cell r="AJ2354">
            <v>0</v>
          </cell>
          <cell r="AW2354">
            <v>0</v>
          </cell>
        </row>
        <row r="2355">
          <cell r="B2355">
            <v>5866</v>
          </cell>
          <cell r="C2355" t="str">
            <v>ZB_82_</v>
          </cell>
          <cell r="D2355" t="str">
            <v>Rancho Zinamba No. 82</v>
          </cell>
          <cell r="E2355" t="str">
            <v>Morán Carmona</v>
          </cell>
          <cell r="F2355">
            <v>150</v>
          </cell>
          <cell r="G2355">
            <v>1</v>
          </cell>
          <cell r="H2355">
            <v>450</v>
          </cell>
          <cell r="I2355">
            <v>41574</v>
          </cell>
          <cell r="J2355">
            <v>0</v>
          </cell>
          <cell r="W2355">
            <v>0</v>
          </cell>
          <cell r="AD2355">
            <v>150</v>
          </cell>
          <cell r="AE2355">
            <v>150</v>
          </cell>
          <cell r="AF2355">
            <v>150</v>
          </cell>
          <cell r="AJ2355">
            <v>450</v>
          </cell>
          <cell r="AW2355">
            <v>0</v>
          </cell>
        </row>
        <row r="2356">
          <cell r="B2356">
            <v>5867</v>
          </cell>
          <cell r="C2356" t="str">
            <v>LD_73_</v>
          </cell>
          <cell r="D2356" t="str">
            <v>Rancho Landero No. 73</v>
          </cell>
          <cell r="E2356" t="str">
            <v>Islas Palacios</v>
          </cell>
          <cell r="F2356">
            <v>300</v>
          </cell>
          <cell r="G2356">
            <v>1</v>
          </cell>
          <cell r="H2356">
            <v>400</v>
          </cell>
          <cell r="I2356">
            <v>41574</v>
          </cell>
          <cell r="J2356">
            <v>0</v>
          </cell>
          <cell r="W2356">
            <v>0</v>
          </cell>
          <cell r="AG2356">
            <v>400</v>
          </cell>
          <cell r="AJ2356">
            <v>400</v>
          </cell>
          <cell r="AW2356">
            <v>0</v>
          </cell>
        </row>
        <row r="2357">
          <cell r="B2357">
            <v>5868</v>
          </cell>
          <cell r="C2357" t="str">
            <v>EZ_11_B</v>
          </cell>
          <cell r="D2357" t="str">
            <v>Rancho Estanzuela No. 11, B</v>
          </cell>
          <cell r="E2357" t="str">
            <v>Gómez Miguel</v>
          </cell>
          <cell r="F2357">
            <v>200</v>
          </cell>
          <cell r="G2357">
            <v>1</v>
          </cell>
          <cell r="H2357">
            <v>400</v>
          </cell>
          <cell r="I2357">
            <v>41574</v>
          </cell>
          <cell r="J2357">
            <v>0</v>
          </cell>
          <cell r="W2357">
            <v>0</v>
          </cell>
          <cell r="AF2357">
            <v>200</v>
          </cell>
          <cell r="AG2357">
            <v>200</v>
          </cell>
          <cell r="AJ2357">
            <v>400</v>
          </cell>
          <cell r="AW2357">
            <v>0</v>
          </cell>
        </row>
        <row r="2358">
          <cell r="B2358">
            <v>5869</v>
          </cell>
          <cell r="C2358" t="str">
            <v>ZB_36_</v>
          </cell>
          <cell r="D2358" t="str">
            <v>Rancho Zinamba No. 36</v>
          </cell>
          <cell r="E2358" t="str">
            <v>Rodríguez Ortiz</v>
          </cell>
          <cell r="F2358">
            <v>300</v>
          </cell>
          <cell r="G2358">
            <v>1</v>
          </cell>
          <cell r="H2358">
            <v>300</v>
          </cell>
          <cell r="I2358">
            <v>41574</v>
          </cell>
          <cell r="J2358">
            <v>0</v>
          </cell>
          <cell r="W2358">
            <v>0</v>
          </cell>
          <cell r="AH2358">
            <v>300</v>
          </cell>
          <cell r="AJ2358">
            <v>300</v>
          </cell>
          <cell r="AW2358">
            <v>0</v>
          </cell>
        </row>
        <row r="2359">
          <cell r="B2359">
            <v>5870</v>
          </cell>
          <cell r="C2359" t="str">
            <v>CL_93_</v>
          </cell>
          <cell r="D2359" t="str">
            <v>Rancho La Cuchilla No. 93</v>
          </cell>
          <cell r="E2359" t="str">
            <v>Alcántara Silva</v>
          </cell>
          <cell r="F2359">
            <v>300</v>
          </cell>
          <cell r="G2359">
            <v>1</v>
          </cell>
          <cell r="H2359">
            <v>400</v>
          </cell>
          <cell r="I2359">
            <v>41574</v>
          </cell>
          <cell r="J2359">
            <v>0</v>
          </cell>
          <cell r="W2359">
            <v>0</v>
          </cell>
          <cell r="AG2359">
            <v>400</v>
          </cell>
          <cell r="AJ2359">
            <v>400</v>
          </cell>
          <cell r="AW2359">
            <v>0</v>
          </cell>
        </row>
        <row r="2360">
          <cell r="B2360">
            <v>5871</v>
          </cell>
          <cell r="C2360" t="str">
            <v>UP_49_</v>
          </cell>
          <cell r="D2360" t="str">
            <v>Rancho Upácuaro No. 49</v>
          </cell>
          <cell r="E2360" t="str">
            <v>Sánchez Romano</v>
          </cell>
          <cell r="F2360">
            <v>300</v>
          </cell>
          <cell r="G2360">
            <v>1</v>
          </cell>
          <cell r="H2360">
            <v>200</v>
          </cell>
          <cell r="I2360">
            <v>41574</v>
          </cell>
          <cell r="J2360">
            <v>0</v>
          </cell>
          <cell r="W2360">
            <v>0</v>
          </cell>
          <cell r="X2360">
            <v>200</v>
          </cell>
          <cell r="AJ2360">
            <v>200</v>
          </cell>
          <cell r="AW2360">
            <v>0</v>
          </cell>
        </row>
        <row r="2361">
          <cell r="B2361">
            <v>5872</v>
          </cell>
          <cell r="C2361" t="str">
            <v>CL_61_</v>
          </cell>
          <cell r="D2361" t="str">
            <v>Rancho La Cuchilla No. 61</v>
          </cell>
          <cell r="E2361" t="str">
            <v>Rivera</v>
          </cell>
          <cell r="F2361">
            <v>300</v>
          </cell>
          <cell r="G2361">
            <v>1</v>
          </cell>
          <cell r="H2361">
            <v>1000</v>
          </cell>
          <cell r="I2361">
            <v>41574</v>
          </cell>
          <cell r="J2361">
            <v>0</v>
          </cell>
          <cell r="W2361">
            <v>0</v>
          </cell>
          <cell r="AE2361">
            <v>300</v>
          </cell>
          <cell r="AF2361">
            <v>300</v>
          </cell>
          <cell r="AG2361">
            <v>400</v>
          </cell>
          <cell r="AJ2361">
            <v>1000</v>
          </cell>
          <cell r="AW2361">
            <v>0</v>
          </cell>
        </row>
        <row r="2362">
          <cell r="B2362">
            <v>5873</v>
          </cell>
          <cell r="C2362" t="str">
            <v>UP_71_</v>
          </cell>
          <cell r="D2362" t="str">
            <v>Rancho Upácuaro No. 71</v>
          </cell>
          <cell r="E2362" t="str">
            <v>Trejo Méndez</v>
          </cell>
          <cell r="F2362">
            <v>300</v>
          </cell>
          <cell r="G2362">
            <v>1</v>
          </cell>
          <cell r="H2362">
            <v>400</v>
          </cell>
          <cell r="I2362">
            <v>41574</v>
          </cell>
          <cell r="J2362">
            <v>0</v>
          </cell>
          <cell r="W2362">
            <v>0</v>
          </cell>
          <cell r="AG2362">
            <v>400</v>
          </cell>
          <cell r="AJ2362">
            <v>400</v>
          </cell>
          <cell r="AW2362">
            <v>0</v>
          </cell>
        </row>
        <row r="2363">
          <cell r="B2363">
            <v>5874</v>
          </cell>
          <cell r="C2363" t="str">
            <v>UP_101_</v>
          </cell>
          <cell r="D2363" t="str">
            <v>Rancho Upácuaro No. 101</v>
          </cell>
          <cell r="E2363" t="str">
            <v>Chávez, Arturo</v>
          </cell>
          <cell r="F2363">
            <v>300</v>
          </cell>
          <cell r="G2363">
            <v>1</v>
          </cell>
          <cell r="H2363">
            <v>400</v>
          </cell>
          <cell r="I2363">
            <v>41574</v>
          </cell>
          <cell r="J2363">
            <v>0</v>
          </cell>
          <cell r="W2363">
            <v>0</v>
          </cell>
          <cell r="AH2363">
            <v>400</v>
          </cell>
          <cell r="AJ2363">
            <v>400</v>
          </cell>
          <cell r="AW2363">
            <v>0</v>
          </cell>
        </row>
        <row r="2364">
          <cell r="B2364">
            <v>5875</v>
          </cell>
          <cell r="C2364" t="str">
            <v>UP_10_</v>
          </cell>
          <cell r="D2364" t="str">
            <v>Rancho Upácuaro No. 10</v>
          </cell>
          <cell r="E2364" t="str">
            <v>Fernández García</v>
          </cell>
          <cell r="F2364">
            <v>300</v>
          </cell>
          <cell r="G2364">
            <v>1</v>
          </cell>
          <cell r="H2364">
            <v>1100</v>
          </cell>
          <cell r="I2364">
            <v>41574</v>
          </cell>
          <cell r="J2364">
            <v>0</v>
          </cell>
          <cell r="W2364">
            <v>0</v>
          </cell>
          <cell r="AA2364">
            <v>100</v>
          </cell>
          <cell r="AB2364">
            <v>100</v>
          </cell>
          <cell r="AC2364">
            <v>100</v>
          </cell>
          <cell r="AD2364">
            <v>100</v>
          </cell>
          <cell r="AE2364">
            <v>100</v>
          </cell>
          <cell r="AF2364">
            <v>200</v>
          </cell>
          <cell r="AG2364">
            <v>400</v>
          </cell>
          <cell r="AJ2364">
            <v>1100</v>
          </cell>
          <cell r="AW2364">
            <v>0</v>
          </cell>
        </row>
        <row r="2365">
          <cell r="B2365">
            <v>5876</v>
          </cell>
          <cell r="C2365" t="str">
            <v>UP_130_</v>
          </cell>
          <cell r="D2365" t="str">
            <v>Rancho Upácuaro No. 130</v>
          </cell>
          <cell r="E2365" t="str">
            <v>Rodríguez Álvarez</v>
          </cell>
          <cell r="F2365">
            <v>150</v>
          </cell>
          <cell r="G2365">
            <v>1</v>
          </cell>
          <cell r="H2365">
            <v>550</v>
          </cell>
          <cell r="I2365">
            <v>41574</v>
          </cell>
          <cell r="J2365">
            <v>0</v>
          </cell>
          <cell r="W2365">
            <v>0</v>
          </cell>
          <cell r="AF2365">
            <v>150</v>
          </cell>
          <cell r="AG2365">
            <v>200</v>
          </cell>
          <cell r="AH2365">
            <v>200</v>
          </cell>
          <cell r="AJ2365">
            <v>550</v>
          </cell>
          <cell r="AW2365">
            <v>0</v>
          </cell>
        </row>
        <row r="2366">
          <cell r="B2366">
            <v>5877</v>
          </cell>
          <cell r="C2366" t="str">
            <v>LD_21_</v>
          </cell>
          <cell r="D2366" t="str">
            <v>Rancho Landero No. 21</v>
          </cell>
          <cell r="E2366" t="str">
            <v>Meza</v>
          </cell>
          <cell r="F2366">
            <v>300</v>
          </cell>
          <cell r="G2366">
            <v>1</v>
          </cell>
          <cell r="H2366">
            <v>400</v>
          </cell>
          <cell r="I2366">
            <v>41574</v>
          </cell>
          <cell r="J2366">
            <v>0</v>
          </cell>
          <cell r="W2366">
            <v>0</v>
          </cell>
          <cell r="AG2366">
            <v>400</v>
          </cell>
          <cell r="AJ2366">
            <v>400</v>
          </cell>
          <cell r="AW2366">
            <v>0</v>
          </cell>
        </row>
        <row r="2367">
          <cell r="B2367">
            <v>5878</v>
          </cell>
          <cell r="C2367" t="str">
            <v>UP_99_</v>
          </cell>
          <cell r="D2367" t="str">
            <v>Rancho Upácuaro No. 99</v>
          </cell>
          <cell r="E2367" t="str">
            <v>Frías</v>
          </cell>
          <cell r="F2367">
            <v>300</v>
          </cell>
          <cell r="G2367">
            <v>1</v>
          </cell>
          <cell r="H2367">
            <v>100</v>
          </cell>
          <cell r="I2367">
            <v>41574</v>
          </cell>
          <cell r="J2367">
            <v>0</v>
          </cell>
          <cell r="W2367">
            <v>0</v>
          </cell>
          <cell r="AG2367">
            <v>100</v>
          </cell>
          <cell r="AJ2367">
            <v>100</v>
          </cell>
          <cell r="AW2367">
            <v>0</v>
          </cell>
        </row>
        <row r="2368">
          <cell r="B2368">
            <v>5879</v>
          </cell>
          <cell r="C2368" t="str">
            <v>LD_89_</v>
          </cell>
          <cell r="D2368" t="str">
            <v>Rancho Landero No. 89</v>
          </cell>
          <cell r="E2368" t="str">
            <v>Del Pozo Solís</v>
          </cell>
          <cell r="F2368">
            <v>300</v>
          </cell>
          <cell r="G2368">
            <v>1</v>
          </cell>
          <cell r="H2368">
            <v>300</v>
          </cell>
          <cell r="I2368">
            <v>41574</v>
          </cell>
          <cell r="J2368">
            <v>0</v>
          </cell>
          <cell r="W2368">
            <v>0</v>
          </cell>
          <cell r="AG2368">
            <v>300</v>
          </cell>
          <cell r="AJ2368">
            <v>300</v>
          </cell>
          <cell r="AW2368">
            <v>0</v>
          </cell>
        </row>
        <row r="2369">
          <cell r="B2369">
            <v>5880</v>
          </cell>
          <cell r="C2369" t="str">
            <v>RV_1_</v>
          </cell>
          <cell r="D2369" t="str">
            <v>Rancho Recoveco No. 1</v>
          </cell>
          <cell r="E2369" t="str">
            <v>Díaz</v>
          </cell>
          <cell r="F2369">
            <v>300</v>
          </cell>
          <cell r="G2369">
            <v>1</v>
          </cell>
          <cell r="H2369">
            <v>400</v>
          </cell>
          <cell r="I2369">
            <v>41574</v>
          </cell>
          <cell r="J2369">
            <v>0</v>
          </cell>
          <cell r="W2369">
            <v>0</v>
          </cell>
          <cell r="AG2369">
            <v>400</v>
          </cell>
          <cell r="AJ2369">
            <v>400</v>
          </cell>
          <cell r="AW2369">
            <v>0</v>
          </cell>
        </row>
        <row r="2370">
          <cell r="B2370">
            <v>5880</v>
          </cell>
          <cell r="C2370" t="str">
            <v>RV_1_</v>
          </cell>
          <cell r="D2370" t="str">
            <v>Rancho Recoveco No. 1</v>
          </cell>
          <cell r="E2370" t="str">
            <v>Díaz</v>
          </cell>
          <cell r="F2370">
            <v>300</v>
          </cell>
          <cell r="G2370">
            <v>3</v>
          </cell>
          <cell r="H2370">
            <v>160</v>
          </cell>
          <cell r="I2370">
            <v>41574</v>
          </cell>
          <cell r="J2370" t="str">
            <v>NO SUMA</v>
          </cell>
          <cell r="W2370">
            <v>0</v>
          </cell>
          <cell r="AJ2370">
            <v>0</v>
          </cell>
          <cell r="AW2370">
            <v>0</v>
          </cell>
        </row>
        <row r="2371">
          <cell r="B2371">
            <v>5881</v>
          </cell>
          <cell r="C2371" t="str">
            <v>EZ_111_</v>
          </cell>
          <cell r="D2371" t="str">
            <v>Rancho Estanzuela No. 111</v>
          </cell>
          <cell r="E2371" t="str">
            <v>Flores Pérez</v>
          </cell>
          <cell r="F2371">
            <v>300</v>
          </cell>
          <cell r="G2371">
            <v>1</v>
          </cell>
          <cell r="H2371">
            <v>400</v>
          </cell>
          <cell r="I2371">
            <v>41575</v>
          </cell>
          <cell r="J2371">
            <v>0</v>
          </cell>
          <cell r="W2371">
            <v>0</v>
          </cell>
          <cell r="AG2371">
            <v>400</v>
          </cell>
          <cell r="AJ2371">
            <v>400</v>
          </cell>
          <cell r="AW2371">
            <v>0</v>
          </cell>
        </row>
        <row r="2372">
          <cell r="B2372">
            <v>5882</v>
          </cell>
          <cell r="C2372" t="str">
            <v>RV_173_</v>
          </cell>
          <cell r="D2372" t="str">
            <v>Rancho Recoveco No. 173</v>
          </cell>
          <cell r="E2372" t="str">
            <v>Velarde</v>
          </cell>
          <cell r="F2372">
            <v>300</v>
          </cell>
          <cell r="G2372">
            <v>1</v>
          </cell>
          <cell r="H2372">
            <v>300</v>
          </cell>
          <cell r="I2372">
            <v>41576</v>
          </cell>
          <cell r="J2372">
            <v>0</v>
          </cell>
          <cell r="W2372">
            <v>0</v>
          </cell>
          <cell r="AG2372">
            <v>300</v>
          </cell>
          <cell r="AJ2372">
            <v>300</v>
          </cell>
          <cell r="AW2372">
            <v>0</v>
          </cell>
        </row>
        <row r="2373">
          <cell r="B2373">
            <v>5883</v>
          </cell>
          <cell r="C2373" t="str">
            <v>RV_3_</v>
          </cell>
          <cell r="D2373" t="str">
            <v>Rancho Recoveco No. 3</v>
          </cell>
          <cell r="E2373" t="str">
            <v>Garduño</v>
          </cell>
          <cell r="F2373">
            <v>300</v>
          </cell>
          <cell r="G2373">
            <v>1</v>
          </cell>
          <cell r="H2373">
            <v>300</v>
          </cell>
          <cell r="I2373">
            <v>41578</v>
          </cell>
          <cell r="J2373">
            <v>0</v>
          </cell>
          <cell r="W2373">
            <v>0</v>
          </cell>
          <cell r="AG2373">
            <v>300</v>
          </cell>
          <cell r="AJ2373">
            <v>300</v>
          </cell>
          <cell r="AW2373">
            <v>0</v>
          </cell>
        </row>
        <row r="2374">
          <cell r="B2374">
            <v>5890</v>
          </cell>
          <cell r="C2374" t="str">
            <v>CL_132_</v>
          </cell>
          <cell r="D2374" t="str">
            <v>Rancho La Cuchilla No. 132</v>
          </cell>
          <cell r="E2374" t="str">
            <v>Téllez Girón</v>
          </cell>
          <cell r="F2374">
            <v>300</v>
          </cell>
          <cell r="G2374">
            <v>1</v>
          </cell>
          <cell r="H2374">
            <v>300</v>
          </cell>
          <cell r="I2374">
            <v>41574</v>
          </cell>
          <cell r="J2374">
            <v>0</v>
          </cell>
          <cell r="W2374">
            <v>0</v>
          </cell>
          <cell r="AG2374">
            <v>300</v>
          </cell>
          <cell r="AJ2374">
            <v>300</v>
          </cell>
          <cell r="AW2374">
            <v>0</v>
          </cell>
        </row>
        <row r="2375">
          <cell r="B2375" t="str">
            <v>NÚMERO</v>
          </cell>
          <cell r="C2375" t="str">
            <v>CASA</v>
          </cell>
          <cell r="D2375" t="str">
            <v>DOMICILIO</v>
          </cell>
          <cell r="E2375" t="str">
            <v>FAMILIA</v>
          </cell>
          <cell r="F2375" t="str">
            <v>CUOTA</v>
          </cell>
          <cell r="G2375" t="str">
            <v>C_ING</v>
          </cell>
          <cell r="H2375" t="str">
            <v>IMPORTE</v>
          </cell>
          <cell r="I2375" t="str">
            <v>FECHA</v>
          </cell>
          <cell r="J2375" t="str">
            <v>CHK</v>
          </cell>
          <cell r="K2375" t="str">
            <v>ENE
2012</v>
          </cell>
          <cell r="L2375" t="str">
            <v>FEB
2012</v>
          </cell>
          <cell r="M2375" t="str">
            <v>MAR
2012</v>
          </cell>
          <cell r="N2375" t="str">
            <v>ABR
2012</v>
          </cell>
          <cell r="O2375" t="str">
            <v>MAY
2012</v>
          </cell>
          <cell r="P2375" t="str">
            <v>JUN
2012</v>
          </cell>
          <cell r="Q2375" t="str">
            <v>JUL
2012</v>
          </cell>
          <cell r="R2375" t="str">
            <v>AGO
2012</v>
          </cell>
          <cell r="S2375" t="str">
            <v>SEP
2012</v>
          </cell>
          <cell r="T2375" t="str">
            <v>OCT
2012</v>
          </cell>
          <cell r="U2375" t="str">
            <v>NOV
2012</v>
          </cell>
          <cell r="V2375" t="str">
            <v>DIC
2012</v>
          </cell>
          <cell r="W2375" t="str">
            <v>SUMA
2012</v>
          </cell>
          <cell r="X2375" t="str">
            <v>ENE
2013</v>
          </cell>
          <cell r="Y2375" t="str">
            <v>FEB
2013</v>
          </cell>
          <cell r="Z2375" t="str">
            <v>MAR
2013</v>
          </cell>
          <cell r="AA2375" t="str">
            <v>ABR
2013</v>
          </cell>
          <cell r="AB2375" t="str">
            <v>MAY
2013</v>
          </cell>
          <cell r="AC2375" t="str">
            <v>JUN
2013</v>
          </cell>
          <cell r="AD2375" t="str">
            <v>JUL
2013</v>
          </cell>
          <cell r="AE2375" t="str">
            <v>AGO
2013</v>
          </cell>
          <cell r="AF2375" t="str">
            <v>SEP
2013</v>
          </cell>
          <cell r="AG2375" t="str">
            <v>OCT
2013</v>
          </cell>
          <cell r="AH2375" t="str">
            <v>NOV
2013</v>
          </cell>
          <cell r="AI2375" t="str">
            <v>DIC
2013</v>
          </cell>
          <cell r="AJ2375" t="str">
            <v>SUMA
2013</v>
          </cell>
          <cell r="AK2375" t="str">
            <v>ENE
2014</v>
          </cell>
          <cell r="AL2375" t="str">
            <v>FEB
2014</v>
          </cell>
          <cell r="AM2375" t="str">
            <v>MAR
2014</v>
          </cell>
          <cell r="AN2375" t="str">
            <v>ABR
2014</v>
          </cell>
          <cell r="AO2375" t="str">
            <v>MAY
2014</v>
          </cell>
          <cell r="AP2375" t="str">
            <v>JUN
2014</v>
          </cell>
          <cell r="AQ2375" t="str">
            <v>JUL
2014</v>
          </cell>
          <cell r="AR2375" t="str">
            <v>AGO
2014</v>
          </cell>
          <cell r="AS2375" t="str">
            <v>SEP
2014</v>
          </cell>
          <cell r="AT2375" t="str">
            <v>OCT
2014</v>
          </cell>
          <cell r="AU2375" t="str">
            <v>NOV
2014</v>
          </cell>
          <cell r="AV2375" t="str">
            <v>DIC
2014</v>
          </cell>
          <cell r="AW2375" t="str">
            <v>SUMA
2014</v>
          </cell>
        </row>
        <row r="2376">
          <cell r="B2376">
            <v>5884</v>
          </cell>
          <cell r="C2376" t="str">
            <v>EZ_95_</v>
          </cell>
          <cell r="D2376" t="str">
            <v>Rancho Estanzuela No. 95</v>
          </cell>
          <cell r="E2376" t="str">
            <v>Castro Puente</v>
          </cell>
          <cell r="F2376">
            <v>300</v>
          </cell>
          <cell r="G2376">
            <v>1</v>
          </cell>
          <cell r="H2376">
            <v>600</v>
          </cell>
          <cell r="I2376">
            <v>41581</v>
          </cell>
          <cell r="J2376">
            <v>0</v>
          </cell>
          <cell r="W2376">
            <v>0</v>
          </cell>
          <cell r="AG2376">
            <v>100</v>
          </cell>
          <cell r="AH2376">
            <v>100</v>
          </cell>
          <cell r="AI2376">
            <v>400</v>
          </cell>
          <cell r="AJ2376">
            <v>600</v>
          </cell>
          <cell r="AW2376">
            <v>0</v>
          </cell>
        </row>
        <row r="2377">
          <cell r="B2377">
            <v>5885</v>
          </cell>
          <cell r="C2377" t="str">
            <v>CL_120_</v>
          </cell>
          <cell r="D2377" t="str">
            <v>Rancho La Cuchilla No. 120</v>
          </cell>
          <cell r="E2377" t="str">
            <v>Pozos Vilchis</v>
          </cell>
          <cell r="F2377">
            <v>300</v>
          </cell>
          <cell r="G2377">
            <v>1</v>
          </cell>
          <cell r="H2377">
            <v>400</v>
          </cell>
          <cell r="I2377">
            <v>41581</v>
          </cell>
          <cell r="J2377">
            <v>0</v>
          </cell>
          <cell r="W2377">
            <v>0</v>
          </cell>
          <cell r="AH2377">
            <v>400</v>
          </cell>
          <cell r="AJ2377">
            <v>400</v>
          </cell>
          <cell r="AW2377">
            <v>0</v>
          </cell>
        </row>
        <row r="2378">
          <cell r="B2378">
            <v>5886</v>
          </cell>
          <cell r="C2378" t="str">
            <v>UP_140_</v>
          </cell>
          <cell r="D2378" t="str">
            <v>Rancho Upácuaro No. 140</v>
          </cell>
          <cell r="E2378" t="str">
            <v>Gozain</v>
          </cell>
          <cell r="F2378">
            <v>300</v>
          </cell>
          <cell r="G2378">
            <v>1</v>
          </cell>
          <cell r="H2378">
            <v>500</v>
          </cell>
          <cell r="I2378">
            <v>41581</v>
          </cell>
          <cell r="J2378">
            <v>0</v>
          </cell>
          <cell r="W2378">
            <v>0</v>
          </cell>
          <cell r="AG2378">
            <v>100</v>
          </cell>
          <cell r="AH2378">
            <v>400</v>
          </cell>
          <cell r="AJ2378">
            <v>500</v>
          </cell>
          <cell r="AW2378">
            <v>0</v>
          </cell>
        </row>
        <row r="2379">
          <cell r="B2379">
            <v>5887</v>
          </cell>
          <cell r="C2379" t="str">
            <v>UP_76_</v>
          </cell>
          <cell r="D2379" t="str">
            <v>Rancho Upácuaro No. 76</v>
          </cell>
          <cell r="E2379" t="str">
            <v>Ruiz de San Pedro</v>
          </cell>
          <cell r="F2379">
            <v>300</v>
          </cell>
          <cell r="G2379">
            <v>1</v>
          </cell>
          <cell r="H2379">
            <v>400</v>
          </cell>
          <cell r="I2379">
            <v>41581</v>
          </cell>
          <cell r="J2379">
            <v>0</v>
          </cell>
          <cell r="W2379">
            <v>0</v>
          </cell>
          <cell r="AH2379">
            <v>400</v>
          </cell>
          <cell r="AJ2379">
            <v>400</v>
          </cell>
          <cell r="AW2379">
            <v>0</v>
          </cell>
        </row>
        <row r="2380">
          <cell r="B2380">
            <v>5888</v>
          </cell>
          <cell r="C2380" t="str">
            <v>UP_87_</v>
          </cell>
          <cell r="D2380" t="str">
            <v>Rancho Upácuaro No. 87</v>
          </cell>
          <cell r="E2380" t="str">
            <v>Rodríguez Parés</v>
          </cell>
          <cell r="F2380">
            <v>300</v>
          </cell>
          <cell r="G2380">
            <v>1</v>
          </cell>
          <cell r="H2380">
            <v>400</v>
          </cell>
          <cell r="I2380">
            <v>41581</v>
          </cell>
          <cell r="J2380">
            <v>0</v>
          </cell>
          <cell r="W2380">
            <v>0</v>
          </cell>
          <cell r="AH2380">
            <v>400</v>
          </cell>
          <cell r="AJ2380">
            <v>400</v>
          </cell>
          <cell r="AW2380">
            <v>0</v>
          </cell>
        </row>
        <row r="2381">
          <cell r="B2381">
            <v>5889</v>
          </cell>
          <cell r="C2381" t="str">
            <v>EZ_7_B</v>
          </cell>
          <cell r="D2381" t="str">
            <v>Rancho Estanzuela No. 7, B</v>
          </cell>
          <cell r="E2381" t="str">
            <v>Camargo Romero</v>
          </cell>
          <cell r="F2381">
            <v>150</v>
          </cell>
          <cell r="G2381">
            <v>1</v>
          </cell>
          <cell r="H2381">
            <v>1050</v>
          </cell>
          <cell r="I2381">
            <v>41581</v>
          </cell>
          <cell r="J2381">
            <v>0</v>
          </cell>
          <cell r="W2381">
            <v>0</v>
          </cell>
          <cell r="AD2381">
            <v>150</v>
          </cell>
          <cell r="AE2381">
            <v>150</v>
          </cell>
          <cell r="AF2381">
            <v>150</v>
          </cell>
          <cell r="AG2381">
            <v>200</v>
          </cell>
          <cell r="AH2381">
            <v>200</v>
          </cell>
          <cell r="AI2381">
            <v>200</v>
          </cell>
          <cell r="AJ2381">
            <v>1050</v>
          </cell>
          <cell r="AW2381">
            <v>0</v>
          </cell>
        </row>
        <row r="2382">
          <cell r="B2382">
            <v>5891</v>
          </cell>
          <cell r="C2382" t="str">
            <v>ZB_44_</v>
          </cell>
          <cell r="D2382" t="str">
            <v>Rancho Zinamba No. 44</v>
          </cell>
          <cell r="E2382" t="str">
            <v>Canales</v>
          </cell>
          <cell r="F2382">
            <v>300</v>
          </cell>
          <cell r="G2382">
            <v>1</v>
          </cell>
          <cell r="H2382">
            <v>400</v>
          </cell>
          <cell r="I2382">
            <v>41581</v>
          </cell>
          <cell r="J2382">
            <v>0</v>
          </cell>
          <cell r="W2382">
            <v>0</v>
          </cell>
          <cell r="AH2382">
            <v>400</v>
          </cell>
          <cell r="AJ2382">
            <v>400</v>
          </cell>
          <cell r="AW2382">
            <v>0</v>
          </cell>
        </row>
        <row r="2383">
          <cell r="B2383">
            <v>5892</v>
          </cell>
          <cell r="C2383" t="str">
            <v>LD_42_</v>
          </cell>
          <cell r="D2383" t="str">
            <v>Rancho Landero No. 42</v>
          </cell>
          <cell r="E2383" t="str">
            <v>Ávila Fidel</v>
          </cell>
          <cell r="F2383">
            <v>300</v>
          </cell>
          <cell r="G2383">
            <v>1</v>
          </cell>
          <cell r="H2383">
            <v>400</v>
          </cell>
          <cell r="I2383">
            <v>41581</v>
          </cell>
          <cell r="J2383">
            <v>0</v>
          </cell>
          <cell r="W2383">
            <v>0</v>
          </cell>
          <cell r="AH2383">
            <v>400</v>
          </cell>
          <cell r="AJ2383">
            <v>400</v>
          </cell>
          <cell r="AW2383">
            <v>0</v>
          </cell>
        </row>
        <row r="2384">
          <cell r="B2384">
            <v>5893</v>
          </cell>
          <cell r="C2384" t="str">
            <v>EZ_31_</v>
          </cell>
          <cell r="D2384" t="str">
            <v>Rancho Estanzuela No. 31</v>
          </cell>
          <cell r="E2384" t="str">
            <v>Chávez Valdés</v>
          </cell>
          <cell r="F2384">
            <v>300</v>
          </cell>
          <cell r="G2384">
            <v>1</v>
          </cell>
          <cell r="H2384">
            <v>500</v>
          </cell>
          <cell r="I2384">
            <v>41581</v>
          </cell>
          <cell r="J2384">
            <v>0</v>
          </cell>
          <cell r="W2384">
            <v>0</v>
          </cell>
          <cell r="AG2384">
            <v>100</v>
          </cell>
          <cell r="AH2384">
            <v>400</v>
          </cell>
          <cell r="AJ2384">
            <v>500</v>
          </cell>
          <cell r="AW2384">
            <v>0</v>
          </cell>
        </row>
        <row r="2385">
          <cell r="B2385">
            <v>5894</v>
          </cell>
          <cell r="C2385" t="str">
            <v>UP_93_</v>
          </cell>
          <cell r="D2385" t="str">
            <v>Rancho Upácuaro No. 93</v>
          </cell>
          <cell r="E2385" t="str">
            <v>Valdés</v>
          </cell>
          <cell r="F2385">
            <v>300</v>
          </cell>
          <cell r="G2385">
            <v>1</v>
          </cell>
          <cell r="H2385">
            <v>400</v>
          </cell>
          <cell r="I2385">
            <v>41581</v>
          </cell>
          <cell r="J2385">
            <v>0</v>
          </cell>
          <cell r="W2385">
            <v>0</v>
          </cell>
          <cell r="AH2385">
            <v>400</v>
          </cell>
          <cell r="AJ2385">
            <v>400</v>
          </cell>
          <cell r="AW2385">
            <v>0</v>
          </cell>
        </row>
        <row r="2386">
          <cell r="B2386">
            <v>5895</v>
          </cell>
          <cell r="C2386" t="str">
            <v>EZ_157_3</v>
          </cell>
          <cell r="D2386" t="str">
            <v>Rancho Estanzuela No. 157, 3</v>
          </cell>
          <cell r="E2386" t="str">
            <v>Conde</v>
          </cell>
          <cell r="F2386">
            <v>0</v>
          </cell>
          <cell r="G2386">
            <v>1</v>
          </cell>
          <cell r="H2386">
            <v>500</v>
          </cell>
          <cell r="I2386">
            <v>41581</v>
          </cell>
          <cell r="J2386">
            <v>0</v>
          </cell>
          <cell r="W2386">
            <v>0</v>
          </cell>
          <cell r="AE2386">
            <v>150</v>
          </cell>
          <cell r="AF2386">
            <v>150</v>
          </cell>
          <cell r="AG2386">
            <v>200</v>
          </cell>
          <cell r="AJ2386">
            <v>500</v>
          </cell>
          <cell r="AW2386">
            <v>0</v>
          </cell>
        </row>
        <row r="2387">
          <cell r="B2387">
            <v>5896</v>
          </cell>
          <cell r="C2387" t="str">
            <v>UP_116_</v>
          </cell>
          <cell r="D2387" t="str">
            <v>Rancho Upácuaro No. 116</v>
          </cell>
          <cell r="E2387" t="str">
            <v>García Zamudio</v>
          </cell>
          <cell r="F2387">
            <v>300</v>
          </cell>
          <cell r="G2387">
            <v>1</v>
          </cell>
          <cell r="H2387">
            <v>700</v>
          </cell>
          <cell r="I2387">
            <v>41581</v>
          </cell>
          <cell r="J2387">
            <v>0</v>
          </cell>
          <cell r="W2387">
            <v>0</v>
          </cell>
          <cell r="AF2387">
            <v>300</v>
          </cell>
          <cell r="AG2387">
            <v>400</v>
          </cell>
          <cell r="AJ2387">
            <v>700</v>
          </cell>
          <cell r="AW2387">
            <v>0</v>
          </cell>
        </row>
        <row r="2388">
          <cell r="B2388">
            <v>5897</v>
          </cell>
          <cell r="C2388" t="str">
            <v>CL_43_B</v>
          </cell>
          <cell r="D2388" t="str">
            <v>Rancho La Cuchilla No. 43, B</v>
          </cell>
          <cell r="E2388" t="str">
            <v>Luna Albertano</v>
          </cell>
          <cell r="F2388">
            <v>125</v>
          </cell>
          <cell r="G2388">
            <v>1</v>
          </cell>
          <cell r="H2388">
            <v>125</v>
          </cell>
          <cell r="I2388">
            <v>41581</v>
          </cell>
          <cell r="J2388">
            <v>0</v>
          </cell>
          <cell r="W2388">
            <v>0</v>
          </cell>
          <cell r="AH2388">
            <v>125</v>
          </cell>
          <cell r="AJ2388">
            <v>125</v>
          </cell>
          <cell r="AW2388">
            <v>0</v>
          </cell>
        </row>
        <row r="2389">
          <cell r="B2389">
            <v>5898</v>
          </cell>
          <cell r="C2389" t="str">
            <v>CL_7_102</v>
          </cell>
          <cell r="D2389" t="str">
            <v>Rancho La Cuchilla No. 7, 102</v>
          </cell>
          <cell r="E2389" t="str">
            <v>García Moreno</v>
          </cell>
          <cell r="F2389">
            <v>100</v>
          </cell>
          <cell r="G2389">
            <v>1</v>
          </cell>
          <cell r="H2389">
            <v>100</v>
          </cell>
          <cell r="I2389">
            <v>41581</v>
          </cell>
          <cell r="J2389">
            <v>0</v>
          </cell>
          <cell r="W2389">
            <v>0</v>
          </cell>
          <cell r="AH2389">
            <v>100</v>
          </cell>
          <cell r="AJ2389">
            <v>100</v>
          </cell>
          <cell r="AW2389">
            <v>0</v>
          </cell>
        </row>
        <row r="2390">
          <cell r="B2390">
            <v>5899</v>
          </cell>
          <cell r="C2390" t="str">
            <v>CL_7_202</v>
          </cell>
          <cell r="D2390" t="str">
            <v>Rancho La Cuchilla No. 7, 202</v>
          </cell>
          <cell r="E2390" t="str">
            <v>Carbajal Zayas</v>
          </cell>
          <cell r="F2390">
            <v>100</v>
          </cell>
          <cell r="G2390">
            <v>1</v>
          </cell>
          <cell r="H2390">
            <v>100</v>
          </cell>
          <cell r="I2390">
            <v>41581</v>
          </cell>
          <cell r="J2390">
            <v>0</v>
          </cell>
          <cell r="W2390">
            <v>0</v>
          </cell>
          <cell r="AG2390">
            <v>100</v>
          </cell>
          <cell r="AJ2390">
            <v>100</v>
          </cell>
          <cell r="AW2390">
            <v>0</v>
          </cell>
        </row>
        <row r="2391">
          <cell r="B2391">
            <v>5900</v>
          </cell>
          <cell r="C2391" t="str">
            <v>UP_104_</v>
          </cell>
          <cell r="D2391" t="str">
            <v>Rancho Upácuaro No. 104</v>
          </cell>
          <cell r="E2391" t="str">
            <v>Jiménez Almazo</v>
          </cell>
          <cell r="F2391">
            <v>300</v>
          </cell>
          <cell r="G2391">
            <v>1</v>
          </cell>
          <cell r="H2391">
            <v>800</v>
          </cell>
          <cell r="I2391">
            <v>41581</v>
          </cell>
          <cell r="J2391">
            <v>0</v>
          </cell>
          <cell r="W2391">
            <v>0</v>
          </cell>
          <cell r="AG2391">
            <v>400</v>
          </cell>
          <cell r="AH2391">
            <v>400</v>
          </cell>
          <cell r="AJ2391">
            <v>800</v>
          </cell>
          <cell r="AW2391">
            <v>0</v>
          </cell>
        </row>
        <row r="2392">
          <cell r="B2392">
            <v>5901</v>
          </cell>
          <cell r="C2392" t="str">
            <v>LD_38_</v>
          </cell>
          <cell r="D2392" t="str">
            <v>Rancho Landero No. 38</v>
          </cell>
          <cell r="E2392" t="str">
            <v>Sánchez Peña</v>
          </cell>
          <cell r="F2392">
            <v>300</v>
          </cell>
          <cell r="G2392">
            <v>1</v>
          </cell>
          <cell r="H2392">
            <v>500</v>
          </cell>
          <cell r="I2392">
            <v>41581</v>
          </cell>
          <cell r="J2392">
            <v>0</v>
          </cell>
          <cell r="W2392">
            <v>0</v>
          </cell>
          <cell r="AG2392">
            <v>100</v>
          </cell>
          <cell r="AH2392">
            <v>400</v>
          </cell>
          <cell r="AJ2392">
            <v>500</v>
          </cell>
          <cell r="AW2392">
            <v>0</v>
          </cell>
        </row>
        <row r="2393">
          <cell r="B2393">
            <v>5902</v>
          </cell>
          <cell r="C2393" t="str">
            <v>EZ_89_</v>
          </cell>
          <cell r="D2393" t="str">
            <v>Rancho Estanzuela No. 89</v>
          </cell>
          <cell r="E2393" t="str">
            <v>Romero Ortiz</v>
          </cell>
          <cell r="F2393">
            <v>300</v>
          </cell>
          <cell r="G2393">
            <v>1</v>
          </cell>
          <cell r="H2393">
            <v>400</v>
          </cell>
          <cell r="I2393">
            <v>41581</v>
          </cell>
          <cell r="J2393">
            <v>0</v>
          </cell>
          <cell r="W2393">
            <v>0</v>
          </cell>
          <cell r="AH2393">
            <v>400</v>
          </cell>
          <cell r="AJ2393">
            <v>400</v>
          </cell>
          <cell r="AW2393">
            <v>0</v>
          </cell>
        </row>
        <row r="2394">
          <cell r="B2394">
            <v>5903</v>
          </cell>
          <cell r="C2394" t="str">
            <v>ZB_18_</v>
          </cell>
          <cell r="D2394" t="str">
            <v>Rancho Zinamba No. 18</v>
          </cell>
          <cell r="E2394" t="str">
            <v>Hernández Castro</v>
          </cell>
          <cell r="F2394">
            <v>300</v>
          </cell>
          <cell r="G2394">
            <v>1</v>
          </cell>
          <cell r="H2394">
            <v>400</v>
          </cell>
          <cell r="I2394">
            <v>41581</v>
          </cell>
          <cell r="J2394">
            <v>0</v>
          </cell>
          <cell r="W2394">
            <v>0</v>
          </cell>
          <cell r="AH2394">
            <v>400</v>
          </cell>
          <cell r="AJ2394">
            <v>400</v>
          </cell>
          <cell r="AW2394">
            <v>0</v>
          </cell>
        </row>
        <row r="2395">
          <cell r="B2395">
            <v>5904</v>
          </cell>
          <cell r="C2395" t="str">
            <v>UP_33_</v>
          </cell>
          <cell r="D2395" t="str">
            <v>Rancho Upácuaro No. 33</v>
          </cell>
          <cell r="E2395" t="str">
            <v>Ulloa Miranda</v>
          </cell>
          <cell r="F2395">
            <v>300</v>
          </cell>
          <cell r="G2395">
            <v>1</v>
          </cell>
          <cell r="H2395">
            <v>400</v>
          </cell>
          <cell r="I2395">
            <v>41581</v>
          </cell>
          <cell r="J2395">
            <v>0</v>
          </cell>
          <cell r="W2395">
            <v>0</v>
          </cell>
          <cell r="AH2395">
            <v>400</v>
          </cell>
          <cell r="AJ2395">
            <v>400</v>
          </cell>
          <cell r="AW2395">
            <v>0</v>
          </cell>
        </row>
        <row r="2396">
          <cell r="B2396">
            <v>5905</v>
          </cell>
          <cell r="C2396" t="str">
            <v>ZB_68_</v>
          </cell>
          <cell r="D2396" t="str">
            <v>Rancho Zinamba No. 68</v>
          </cell>
          <cell r="E2396" t="str">
            <v>Rivera Villicaña</v>
          </cell>
          <cell r="F2396">
            <v>300</v>
          </cell>
          <cell r="G2396">
            <v>1</v>
          </cell>
          <cell r="H2396">
            <v>800</v>
          </cell>
          <cell r="I2396">
            <v>41581</v>
          </cell>
          <cell r="J2396">
            <v>0</v>
          </cell>
          <cell r="W2396">
            <v>0</v>
          </cell>
          <cell r="AH2396">
            <v>400</v>
          </cell>
          <cell r="AI2396">
            <v>400</v>
          </cell>
          <cell r="AJ2396">
            <v>800</v>
          </cell>
          <cell r="AW2396">
            <v>0</v>
          </cell>
        </row>
        <row r="2397">
          <cell r="B2397">
            <v>5906</v>
          </cell>
          <cell r="C2397" t="str">
            <v>CL_40_</v>
          </cell>
          <cell r="D2397" t="str">
            <v>Rancho La Cuchilla No. 40</v>
          </cell>
          <cell r="E2397" t="str">
            <v>López Pico</v>
          </cell>
          <cell r="F2397">
            <v>300</v>
          </cell>
          <cell r="G2397">
            <v>1</v>
          </cell>
          <cell r="H2397">
            <v>400</v>
          </cell>
          <cell r="I2397">
            <v>41581</v>
          </cell>
          <cell r="J2397">
            <v>0</v>
          </cell>
          <cell r="W2397">
            <v>0</v>
          </cell>
          <cell r="AH2397">
            <v>400</v>
          </cell>
          <cell r="AJ2397">
            <v>400</v>
          </cell>
          <cell r="AW2397">
            <v>0</v>
          </cell>
        </row>
        <row r="2398">
          <cell r="B2398">
            <v>5907</v>
          </cell>
          <cell r="C2398" t="str">
            <v>UP_85_</v>
          </cell>
          <cell r="D2398" t="str">
            <v>Rancho Upácuaro No. 85</v>
          </cell>
          <cell r="E2398" t="str">
            <v>Del Toro Huerta</v>
          </cell>
          <cell r="F2398">
            <v>300</v>
          </cell>
          <cell r="G2398">
            <v>1</v>
          </cell>
          <cell r="H2398">
            <v>400</v>
          </cell>
          <cell r="I2398">
            <v>41581</v>
          </cell>
          <cell r="J2398">
            <v>0</v>
          </cell>
          <cell r="W2398">
            <v>0</v>
          </cell>
          <cell r="AH2398">
            <v>400</v>
          </cell>
          <cell r="AJ2398">
            <v>400</v>
          </cell>
          <cell r="AW2398">
            <v>0</v>
          </cell>
        </row>
        <row r="2399">
          <cell r="B2399">
            <v>5908</v>
          </cell>
          <cell r="C2399" t="str">
            <v>EZ_65_</v>
          </cell>
          <cell r="D2399" t="str">
            <v>Rancho Estanzuela No. 65</v>
          </cell>
          <cell r="E2399" t="str">
            <v>López Becerril</v>
          </cell>
          <cell r="F2399">
            <v>300</v>
          </cell>
          <cell r="G2399">
            <v>1</v>
          </cell>
          <cell r="H2399">
            <v>600</v>
          </cell>
          <cell r="I2399">
            <v>41581</v>
          </cell>
          <cell r="J2399">
            <v>0</v>
          </cell>
          <cell r="W2399">
            <v>0</v>
          </cell>
          <cell r="AH2399">
            <v>300</v>
          </cell>
          <cell r="AI2399">
            <v>300</v>
          </cell>
          <cell r="AJ2399">
            <v>600</v>
          </cell>
          <cell r="AW2399">
            <v>0</v>
          </cell>
        </row>
        <row r="2400">
          <cell r="B2400">
            <v>5909</v>
          </cell>
          <cell r="C2400" t="str">
            <v>UP_32_</v>
          </cell>
          <cell r="D2400" t="str">
            <v>Rancho Upácuaro No. 32</v>
          </cell>
          <cell r="E2400" t="str">
            <v>Sairafi Carmen</v>
          </cell>
          <cell r="F2400">
            <v>300</v>
          </cell>
          <cell r="G2400">
            <v>1</v>
          </cell>
          <cell r="H2400">
            <v>400</v>
          </cell>
          <cell r="I2400">
            <v>41581</v>
          </cell>
          <cell r="J2400">
            <v>0</v>
          </cell>
          <cell r="W2400">
            <v>0</v>
          </cell>
          <cell r="AH2400">
            <v>400</v>
          </cell>
          <cell r="AJ2400">
            <v>400</v>
          </cell>
          <cell r="AW2400">
            <v>0</v>
          </cell>
        </row>
        <row r="2401">
          <cell r="B2401">
            <v>5910</v>
          </cell>
          <cell r="C2401" t="str">
            <v>UP_73_A</v>
          </cell>
          <cell r="D2401" t="str">
            <v>Rancho Upácuaro No. 73, A</v>
          </cell>
          <cell r="E2401" t="str">
            <v>Ortega</v>
          </cell>
          <cell r="F2401">
            <v>150</v>
          </cell>
          <cell r="G2401">
            <v>1</v>
          </cell>
          <cell r="H2401">
            <v>300</v>
          </cell>
          <cell r="I2401">
            <v>41581</v>
          </cell>
          <cell r="J2401">
            <v>0</v>
          </cell>
          <cell r="W2401">
            <v>0</v>
          </cell>
          <cell r="AG2401">
            <v>150</v>
          </cell>
          <cell r="AH2401">
            <v>150</v>
          </cell>
          <cell r="AJ2401">
            <v>300</v>
          </cell>
          <cell r="AW2401">
            <v>0</v>
          </cell>
        </row>
        <row r="2402">
          <cell r="B2402">
            <v>5911</v>
          </cell>
          <cell r="C2402" t="str">
            <v>CL_45_</v>
          </cell>
          <cell r="D2402" t="str">
            <v>Rancho La Cuchilla No. 45</v>
          </cell>
          <cell r="E2402" t="str">
            <v>Estévez Hernández</v>
          </cell>
          <cell r="F2402">
            <v>300</v>
          </cell>
          <cell r="G2402">
            <v>1</v>
          </cell>
          <cell r="H2402">
            <v>400</v>
          </cell>
          <cell r="I2402">
            <v>41581</v>
          </cell>
          <cell r="J2402">
            <v>0</v>
          </cell>
          <cell r="W2402">
            <v>0</v>
          </cell>
          <cell r="AH2402">
            <v>400</v>
          </cell>
          <cell r="AJ2402">
            <v>400</v>
          </cell>
          <cell r="AW2402">
            <v>0</v>
          </cell>
        </row>
        <row r="2403">
          <cell r="B2403">
            <v>5912</v>
          </cell>
          <cell r="C2403" t="str">
            <v>LD_30_</v>
          </cell>
          <cell r="D2403" t="str">
            <v>Rancho Landero No. 30</v>
          </cell>
          <cell r="E2403" t="str">
            <v>Torres Guzmán</v>
          </cell>
          <cell r="F2403">
            <v>300</v>
          </cell>
          <cell r="G2403">
            <v>1</v>
          </cell>
          <cell r="H2403">
            <v>800</v>
          </cell>
          <cell r="I2403">
            <v>41581</v>
          </cell>
          <cell r="J2403">
            <v>0</v>
          </cell>
          <cell r="W2403">
            <v>0</v>
          </cell>
          <cell r="AH2403">
            <v>400</v>
          </cell>
          <cell r="AI2403">
            <v>400</v>
          </cell>
          <cell r="AJ2403">
            <v>800</v>
          </cell>
          <cell r="AW2403">
            <v>0</v>
          </cell>
        </row>
        <row r="2404">
          <cell r="B2404">
            <v>5913</v>
          </cell>
          <cell r="C2404" t="str">
            <v>LD_45_</v>
          </cell>
          <cell r="D2404" t="str">
            <v>Rancho Landero No. 45</v>
          </cell>
          <cell r="E2404" t="str">
            <v>Almazán</v>
          </cell>
          <cell r="F2404">
            <v>250</v>
          </cell>
          <cell r="G2404">
            <v>1</v>
          </cell>
          <cell r="H2404">
            <v>800</v>
          </cell>
          <cell r="I2404">
            <v>41581</v>
          </cell>
          <cell r="J2404">
            <v>0</v>
          </cell>
          <cell r="W2404">
            <v>0</v>
          </cell>
          <cell r="AG2404">
            <v>400</v>
          </cell>
          <cell r="AH2404">
            <v>400</v>
          </cell>
          <cell r="AJ2404">
            <v>800</v>
          </cell>
          <cell r="AW2404">
            <v>0</v>
          </cell>
        </row>
        <row r="2405">
          <cell r="B2405">
            <v>5914</v>
          </cell>
          <cell r="C2405" t="str">
            <v>UP_18_</v>
          </cell>
          <cell r="D2405" t="str">
            <v>Rancho Upácuaro No. 18</v>
          </cell>
          <cell r="E2405" t="str">
            <v>Guzmán</v>
          </cell>
          <cell r="F2405">
            <v>300</v>
          </cell>
          <cell r="G2405">
            <v>1</v>
          </cell>
          <cell r="H2405">
            <v>300</v>
          </cell>
          <cell r="I2405">
            <v>41581</v>
          </cell>
          <cell r="J2405">
            <v>0</v>
          </cell>
          <cell r="W2405">
            <v>0</v>
          </cell>
          <cell r="AH2405">
            <v>300</v>
          </cell>
          <cell r="AJ2405">
            <v>300</v>
          </cell>
          <cell r="AW2405">
            <v>0</v>
          </cell>
        </row>
        <row r="2406">
          <cell r="B2406">
            <v>5915</v>
          </cell>
          <cell r="C2406" t="str">
            <v>LD_45_</v>
          </cell>
          <cell r="D2406" t="str">
            <v>Rancho Landero No. 45</v>
          </cell>
          <cell r="E2406" t="str">
            <v>Almazán</v>
          </cell>
          <cell r="F2406">
            <v>250</v>
          </cell>
          <cell r="G2406">
            <v>4</v>
          </cell>
          <cell r="H2406">
            <v>160</v>
          </cell>
          <cell r="I2406">
            <v>41581</v>
          </cell>
          <cell r="J2406" t="str">
            <v>NO SUMA</v>
          </cell>
          <cell r="W2406">
            <v>0</v>
          </cell>
          <cell r="AJ2406">
            <v>0</v>
          </cell>
          <cell r="AW2406">
            <v>0</v>
          </cell>
        </row>
        <row r="2407">
          <cell r="B2407">
            <v>5916</v>
          </cell>
          <cell r="C2407" t="str">
            <v>LD_21_</v>
          </cell>
          <cell r="D2407" t="str">
            <v>Rancho Landero No. 21</v>
          </cell>
          <cell r="E2407" t="str">
            <v>Meza</v>
          </cell>
          <cell r="F2407">
            <v>300</v>
          </cell>
          <cell r="G2407">
            <v>3</v>
          </cell>
          <cell r="H2407">
            <v>160</v>
          </cell>
          <cell r="I2407">
            <v>41581</v>
          </cell>
          <cell r="J2407" t="str">
            <v>NO SUMA</v>
          </cell>
          <cell r="W2407">
            <v>0</v>
          </cell>
          <cell r="AJ2407">
            <v>0</v>
          </cell>
          <cell r="AW2407">
            <v>0</v>
          </cell>
        </row>
        <row r="2408">
          <cell r="B2408">
            <v>5917</v>
          </cell>
          <cell r="C2408" t="str">
            <v>CL_14_</v>
          </cell>
          <cell r="D2408" t="str">
            <v>Rancho La Cuchilla No. 14</v>
          </cell>
          <cell r="E2408" t="str">
            <v>Chávez Lara</v>
          </cell>
          <cell r="F2408">
            <v>300</v>
          </cell>
          <cell r="G2408">
            <v>1</v>
          </cell>
          <cell r="H2408">
            <v>600</v>
          </cell>
          <cell r="I2408">
            <v>41581</v>
          </cell>
          <cell r="J2408">
            <v>0</v>
          </cell>
          <cell r="W2408">
            <v>0</v>
          </cell>
          <cell r="AF2408">
            <v>300</v>
          </cell>
          <cell r="AG2408">
            <v>300</v>
          </cell>
          <cell r="AJ2408">
            <v>600</v>
          </cell>
          <cell r="AW2408">
            <v>0</v>
          </cell>
        </row>
        <row r="2409">
          <cell r="B2409">
            <v>5918</v>
          </cell>
          <cell r="C2409" t="str">
            <v>ZB_42_</v>
          </cell>
          <cell r="D2409" t="str">
            <v>Rancho Zinamba No. 42</v>
          </cell>
          <cell r="E2409" t="str">
            <v>López Aldave</v>
          </cell>
          <cell r="F2409">
            <v>250</v>
          </cell>
          <cell r="G2409">
            <v>1</v>
          </cell>
          <cell r="H2409">
            <v>300</v>
          </cell>
          <cell r="I2409">
            <v>41581</v>
          </cell>
          <cell r="J2409">
            <v>0</v>
          </cell>
          <cell r="W2409">
            <v>0</v>
          </cell>
          <cell r="AH2409">
            <v>300</v>
          </cell>
          <cell r="AJ2409">
            <v>300</v>
          </cell>
          <cell r="AW2409">
            <v>0</v>
          </cell>
        </row>
        <row r="2410">
          <cell r="B2410">
            <v>5919</v>
          </cell>
          <cell r="C2410" t="str">
            <v>CL_19_</v>
          </cell>
          <cell r="D2410" t="str">
            <v>Rancho La Cuchilla No. 19</v>
          </cell>
          <cell r="E2410" t="str">
            <v>Tapia Vázquez</v>
          </cell>
          <cell r="F2410">
            <v>300</v>
          </cell>
          <cell r="G2410">
            <v>1</v>
          </cell>
          <cell r="H2410">
            <v>300</v>
          </cell>
          <cell r="I2410">
            <v>41581</v>
          </cell>
          <cell r="J2410">
            <v>0</v>
          </cell>
          <cell r="W2410">
            <v>0</v>
          </cell>
          <cell r="AH2410">
            <v>300</v>
          </cell>
          <cell r="AJ2410">
            <v>300</v>
          </cell>
          <cell r="AW2410">
            <v>0</v>
          </cell>
        </row>
        <row r="2411">
          <cell r="B2411">
            <v>5920</v>
          </cell>
          <cell r="C2411" t="str">
            <v>CL_92_</v>
          </cell>
          <cell r="D2411" t="str">
            <v>Rancho La Cuchilla No. 92</v>
          </cell>
          <cell r="E2411" t="str">
            <v>Cabrera</v>
          </cell>
          <cell r="F2411">
            <v>300</v>
          </cell>
          <cell r="G2411">
            <v>1</v>
          </cell>
          <cell r="H2411">
            <v>400</v>
          </cell>
          <cell r="I2411">
            <v>41581</v>
          </cell>
          <cell r="J2411">
            <v>0</v>
          </cell>
          <cell r="W2411">
            <v>0</v>
          </cell>
          <cell r="AH2411">
            <v>400</v>
          </cell>
          <cell r="AJ2411">
            <v>400</v>
          </cell>
          <cell r="AW2411">
            <v>0</v>
          </cell>
        </row>
        <row r="2412">
          <cell r="B2412">
            <v>5921</v>
          </cell>
          <cell r="C2412" t="str">
            <v>UP_37_</v>
          </cell>
          <cell r="D2412" t="str">
            <v>Rancho Upácuaro No. 37</v>
          </cell>
          <cell r="E2412" t="str">
            <v>García Valdés</v>
          </cell>
          <cell r="F2412">
            <v>300</v>
          </cell>
          <cell r="G2412">
            <v>1</v>
          </cell>
          <cell r="H2412">
            <v>800</v>
          </cell>
          <cell r="I2412">
            <v>41581</v>
          </cell>
          <cell r="J2412">
            <v>0</v>
          </cell>
          <cell r="W2412">
            <v>0</v>
          </cell>
          <cell r="AG2412">
            <v>400</v>
          </cell>
          <cell r="AH2412">
            <v>400</v>
          </cell>
          <cell r="AJ2412">
            <v>800</v>
          </cell>
          <cell r="AW2412">
            <v>0</v>
          </cell>
        </row>
        <row r="2413">
          <cell r="B2413">
            <v>5922</v>
          </cell>
          <cell r="C2413" t="str">
            <v>EZ_151_</v>
          </cell>
          <cell r="D2413" t="str">
            <v>Rancho Estanzuela No. 151</v>
          </cell>
          <cell r="E2413" t="str">
            <v>Pérez Salazar</v>
          </cell>
          <cell r="F2413">
            <v>300</v>
          </cell>
          <cell r="G2413">
            <v>1</v>
          </cell>
          <cell r="H2413">
            <v>800</v>
          </cell>
          <cell r="I2413">
            <v>41581</v>
          </cell>
          <cell r="J2413">
            <v>0</v>
          </cell>
          <cell r="W2413">
            <v>0</v>
          </cell>
          <cell r="AG2413">
            <v>400</v>
          </cell>
          <cell r="AH2413">
            <v>400</v>
          </cell>
          <cell r="AJ2413">
            <v>800</v>
          </cell>
          <cell r="AW2413">
            <v>0</v>
          </cell>
        </row>
        <row r="2414">
          <cell r="B2414">
            <v>5923</v>
          </cell>
          <cell r="C2414" t="str">
            <v>EZ_69_</v>
          </cell>
          <cell r="D2414" t="str">
            <v>Rancho Estanzuela No. 69</v>
          </cell>
          <cell r="E2414" t="str">
            <v>Apaez</v>
          </cell>
          <cell r="F2414">
            <v>300</v>
          </cell>
          <cell r="G2414">
            <v>1</v>
          </cell>
          <cell r="H2414">
            <v>400</v>
          </cell>
          <cell r="I2414">
            <v>41581</v>
          </cell>
          <cell r="J2414">
            <v>0</v>
          </cell>
          <cell r="W2414">
            <v>0</v>
          </cell>
          <cell r="AH2414">
            <v>400</v>
          </cell>
          <cell r="AJ2414">
            <v>400</v>
          </cell>
          <cell r="AW2414">
            <v>0</v>
          </cell>
        </row>
        <row r="2415">
          <cell r="B2415">
            <v>5924</v>
          </cell>
          <cell r="C2415" t="str">
            <v>UP_78_</v>
          </cell>
          <cell r="D2415" t="str">
            <v>Rancho Upácuaro No. 78</v>
          </cell>
          <cell r="E2415" t="str">
            <v>Villaseñor Carranza</v>
          </cell>
          <cell r="F2415">
            <v>300</v>
          </cell>
          <cell r="G2415">
            <v>1</v>
          </cell>
          <cell r="H2415">
            <v>300</v>
          </cell>
          <cell r="I2415">
            <v>41581</v>
          </cell>
          <cell r="J2415">
            <v>0</v>
          </cell>
          <cell r="W2415">
            <v>0</v>
          </cell>
          <cell r="AG2415">
            <v>100</v>
          </cell>
          <cell r="AH2415">
            <v>100</v>
          </cell>
          <cell r="AI2415">
            <v>100</v>
          </cell>
          <cell r="AJ2415">
            <v>300</v>
          </cell>
          <cell r="AW2415">
            <v>0</v>
          </cell>
        </row>
        <row r="2416">
          <cell r="B2416">
            <v>5925</v>
          </cell>
          <cell r="C2416" t="str">
            <v>UP_40_</v>
          </cell>
          <cell r="D2416" t="str">
            <v>Rancho Upácuaro No. 40</v>
          </cell>
          <cell r="E2416" t="str">
            <v>López Ramírez</v>
          </cell>
          <cell r="F2416">
            <v>300</v>
          </cell>
          <cell r="G2416">
            <v>1</v>
          </cell>
          <cell r="H2416">
            <v>600</v>
          </cell>
          <cell r="I2416">
            <v>41581</v>
          </cell>
          <cell r="J2416">
            <v>0</v>
          </cell>
          <cell r="W2416">
            <v>0</v>
          </cell>
          <cell r="AE2416">
            <v>300</v>
          </cell>
          <cell r="AF2416">
            <v>300</v>
          </cell>
          <cell r="AJ2416">
            <v>600</v>
          </cell>
          <cell r="AW2416">
            <v>0</v>
          </cell>
        </row>
        <row r="2417">
          <cell r="B2417">
            <v>5925</v>
          </cell>
          <cell r="C2417" t="str">
            <v>UP_40_</v>
          </cell>
          <cell r="D2417" t="str">
            <v>Rancho Upácuaro No. 40</v>
          </cell>
          <cell r="E2417" t="str">
            <v>López Ramírez</v>
          </cell>
          <cell r="F2417">
            <v>300</v>
          </cell>
          <cell r="G2417">
            <v>3</v>
          </cell>
          <cell r="H2417">
            <v>160</v>
          </cell>
          <cell r="I2417">
            <v>41581</v>
          </cell>
          <cell r="J2417" t="str">
            <v>NO SUMA</v>
          </cell>
          <cell r="W2417">
            <v>0</v>
          </cell>
          <cell r="AJ2417">
            <v>0</v>
          </cell>
          <cell r="AW2417">
            <v>0</v>
          </cell>
        </row>
        <row r="2418">
          <cell r="B2418">
            <v>5926</v>
          </cell>
          <cell r="C2418" t="str">
            <v>UP_49_</v>
          </cell>
          <cell r="D2418" t="str">
            <v>Rancho Upácuaro No. 49</v>
          </cell>
          <cell r="E2418" t="str">
            <v>Sánchez Romano</v>
          </cell>
          <cell r="F2418">
            <v>300</v>
          </cell>
          <cell r="G2418">
            <v>1</v>
          </cell>
          <cell r="H2418">
            <v>600</v>
          </cell>
          <cell r="I2418">
            <v>41581</v>
          </cell>
          <cell r="J2418">
            <v>0</v>
          </cell>
          <cell r="W2418">
            <v>0</v>
          </cell>
          <cell r="Y2418">
            <v>200</v>
          </cell>
          <cell r="AH2418">
            <v>400</v>
          </cell>
          <cell r="AJ2418">
            <v>600</v>
          </cell>
          <cell r="AW2418">
            <v>0</v>
          </cell>
        </row>
        <row r="2419">
          <cell r="B2419">
            <v>5927</v>
          </cell>
          <cell r="C2419" t="str">
            <v>UP_90_</v>
          </cell>
          <cell r="D2419" t="str">
            <v>Rancho Upácuaro No. 90</v>
          </cell>
          <cell r="E2419" t="str">
            <v>Moreno Calderón</v>
          </cell>
          <cell r="F2419">
            <v>150</v>
          </cell>
          <cell r="G2419">
            <v>1</v>
          </cell>
          <cell r="H2419">
            <v>1000</v>
          </cell>
          <cell r="I2419">
            <v>41581</v>
          </cell>
          <cell r="J2419">
            <v>0</v>
          </cell>
          <cell r="W2419">
            <v>0</v>
          </cell>
          <cell r="AD2419">
            <v>150</v>
          </cell>
          <cell r="AE2419">
            <v>150</v>
          </cell>
          <cell r="AF2419">
            <v>150</v>
          </cell>
          <cell r="AG2419">
            <v>150</v>
          </cell>
          <cell r="AH2419">
            <v>200</v>
          </cell>
          <cell r="AI2419">
            <v>200</v>
          </cell>
          <cell r="AJ2419">
            <v>1000</v>
          </cell>
          <cell r="AW2419">
            <v>0</v>
          </cell>
        </row>
        <row r="2420">
          <cell r="B2420">
            <v>5928</v>
          </cell>
          <cell r="C2420" t="str">
            <v>HS_828_</v>
          </cell>
          <cell r="D2420" t="str">
            <v>Calzada del Hueso No. 828</v>
          </cell>
          <cell r="E2420" t="str">
            <v>Cervantes, Miguel</v>
          </cell>
          <cell r="F2420">
            <v>300</v>
          </cell>
          <cell r="G2420">
            <v>1</v>
          </cell>
          <cell r="H2420">
            <v>300</v>
          </cell>
          <cell r="I2420">
            <v>41582</v>
          </cell>
          <cell r="J2420">
            <v>0</v>
          </cell>
          <cell r="W2420">
            <v>0</v>
          </cell>
          <cell r="AG2420">
            <v>300</v>
          </cell>
          <cell r="AJ2420">
            <v>300</v>
          </cell>
          <cell r="AW2420">
            <v>0</v>
          </cell>
        </row>
        <row r="2421">
          <cell r="B2421">
            <v>5929</v>
          </cell>
          <cell r="C2421" t="str">
            <v>HS_828_</v>
          </cell>
          <cell r="D2421" t="str">
            <v>Calzada del Hueso No. 828</v>
          </cell>
          <cell r="E2421" t="str">
            <v>Cervantes, Miguel</v>
          </cell>
          <cell r="F2421">
            <v>300</v>
          </cell>
          <cell r="G2421">
            <v>1</v>
          </cell>
          <cell r="H2421">
            <v>400</v>
          </cell>
          <cell r="I2421">
            <v>41582</v>
          </cell>
          <cell r="J2421">
            <v>0</v>
          </cell>
          <cell r="W2421">
            <v>0</v>
          </cell>
          <cell r="AH2421">
            <v>400</v>
          </cell>
          <cell r="AJ2421">
            <v>400</v>
          </cell>
          <cell r="AW2421">
            <v>0</v>
          </cell>
        </row>
        <row r="2422">
          <cell r="B2422">
            <v>5930</v>
          </cell>
          <cell r="C2422" t="str">
            <v>LD_54_2</v>
          </cell>
          <cell r="D2422" t="str">
            <v>Rancho Landero No. 54, 2</v>
          </cell>
          <cell r="E2422" t="str">
            <v>Montemayor Santana</v>
          </cell>
          <cell r="F2422">
            <v>300</v>
          </cell>
          <cell r="G2422">
            <v>1</v>
          </cell>
          <cell r="H2422">
            <v>400</v>
          </cell>
          <cell r="I2422">
            <v>41583</v>
          </cell>
          <cell r="J2422">
            <v>0</v>
          </cell>
          <cell r="W2422">
            <v>0</v>
          </cell>
          <cell r="AG2422">
            <v>200</v>
          </cell>
          <cell r="AH2422">
            <v>200</v>
          </cell>
          <cell r="AJ2422">
            <v>400</v>
          </cell>
          <cell r="AW2422">
            <v>0</v>
          </cell>
        </row>
        <row r="2423">
          <cell r="B2423">
            <v>5931</v>
          </cell>
          <cell r="C2423" t="str">
            <v>LD_54_2</v>
          </cell>
          <cell r="D2423" t="str">
            <v>Rancho Landero No. 54, 2</v>
          </cell>
          <cell r="E2423" t="str">
            <v>Montemayor Santana</v>
          </cell>
          <cell r="F2423">
            <v>300</v>
          </cell>
          <cell r="G2423">
            <v>4</v>
          </cell>
          <cell r="H2423">
            <v>160</v>
          </cell>
          <cell r="I2423">
            <v>41583</v>
          </cell>
          <cell r="J2423" t="str">
            <v>NO SUMA</v>
          </cell>
          <cell r="W2423">
            <v>0</v>
          </cell>
          <cell r="AJ2423">
            <v>0</v>
          </cell>
          <cell r="AW2423">
            <v>0</v>
          </cell>
        </row>
        <row r="2424">
          <cell r="B2424">
            <v>6156</v>
          </cell>
          <cell r="C2424" t="str">
            <v>UP_46_</v>
          </cell>
          <cell r="D2424" t="str">
            <v>Rancho Upácuaro No. 46</v>
          </cell>
          <cell r="E2424" t="str">
            <v>Fuentes</v>
          </cell>
          <cell r="F2424">
            <v>300</v>
          </cell>
          <cell r="G2424">
            <v>1</v>
          </cell>
          <cell r="H2424">
            <v>300</v>
          </cell>
          <cell r="I2424">
            <v>41584</v>
          </cell>
          <cell r="J2424">
            <v>0</v>
          </cell>
          <cell r="W2424">
            <v>0</v>
          </cell>
          <cell r="AH2424">
            <v>300</v>
          </cell>
          <cell r="AJ2424">
            <v>300</v>
          </cell>
          <cell r="AW2424">
            <v>0</v>
          </cell>
        </row>
        <row r="2425">
          <cell r="B2425">
            <v>5932</v>
          </cell>
          <cell r="C2425" t="str">
            <v>CL_89_</v>
          </cell>
          <cell r="D2425" t="str">
            <v>Rancho La Cuchilla No. 89</v>
          </cell>
          <cell r="E2425" t="str">
            <v>Gálvez</v>
          </cell>
          <cell r="F2425">
            <v>300</v>
          </cell>
          <cell r="G2425">
            <v>1</v>
          </cell>
          <cell r="H2425">
            <v>400</v>
          </cell>
          <cell r="I2425">
            <v>41588</v>
          </cell>
          <cell r="J2425">
            <v>0</v>
          </cell>
          <cell r="W2425">
            <v>0</v>
          </cell>
          <cell r="AH2425">
            <v>400</v>
          </cell>
          <cell r="AJ2425">
            <v>400</v>
          </cell>
          <cell r="AW2425">
            <v>0</v>
          </cell>
        </row>
        <row r="2426">
          <cell r="B2426">
            <v>5933</v>
          </cell>
          <cell r="C2426" t="str">
            <v>CL_93_</v>
          </cell>
          <cell r="D2426" t="str">
            <v>Rancho La Cuchilla No. 93</v>
          </cell>
          <cell r="E2426" t="str">
            <v>Alcántara Silva</v>
          </cell>
          <cell r="F2426">
            <v>300</v>
          </cell>
          <cell r="G2426">
            <v>1</v>
          </cell>
          <cell r="H2426">
            <v>400</v>
          </cell>
          <cell r="I2426">
            <v>41588</v>
          </cell>
          <cell r="J2426">
            <v>0</v>
          </cell>
          <cell r="W2426">
            <v>0</v>
          </cell>
          <cell r="AH2426">
            <v>400</v>
          </cell>
          <cell r="AJ2426">
            <v>400</v>
          </cell>
          <cell r="AW2426">
            <v>0</v>
          </cell>
        </row>
        <row r="2427">
          <cell r="B2427">
            <v>5934</v>
          </cell>
          <cell r="C2427" t="str">
            <v>EZ_91_</v>
          </cell>
          <cell r="D2427" t="str">
            <v>Rancho Estanzuela No. 91</v>
          </cell>
          <cell r="E2427" t="str">
            <v>Lobato Torres</v>
          </cell>
          <cell r="F2427">
            <v>300</v>
          </cell>
          <cell r="G2427">
            <v>1</v>
          </cell>
          <cell r="H2427">
            <v>800</v>
          </cell>
          <cell r="I2427">
            <v>41588</v>
          </cell>
          <cell r="J2427">
            <v>0</v>
          </cell>
          <cell r="W2427">
            <v>0</v>
          </cell>
          <cell r="AG2427">
            <v>400</v>
          </cell>
          <cell r="AH2427">
            <v>400</v>
          </cell>
          <cell r="AJ2427">
            <v>800</v>
          </cell>
          <cell r="AW2427">
            <v>0</v>
          </cell>
        </row>
        <row r="2428">
          <cell r="B2428">
            <v>5935</v>
          </cell>
          <cell r="C2428" t="str">
            <v>EZ_77_</v>
          </cell>
          <cell r="D2428" t="str">
            <v>Rancho Estanzuela No. 77</v>
          </cell>
          <cell r="E2428" t="str">
            <v>De la Rosa Rico</v>
          </cell>
          <cell r="F2428">
            <v>300</v>
          </cell>
          <cell r="G2428">
            <v>1</v>
          </cell>
          <cell r="H2428">
            <v>400</v>
          </cell>
          <cell r="I2428">
            <v>41588</v>
          </cell>
          <cell r="J2428">
            <v>0</v>
          </cell>
          <cell r="W2428">
            <v>0</v>
          </cell>
          <cell r="AG2428">
            <v>400</v>
          </cell>
          <cell r="AJ2428">
            <v>400</v>
          </cell>
          <cell r="AW2428">
            <v>0</v>
          </cell>
        </row>
        <row r="2429">
          <cell r="B2429">
            <v>5936</v>
          </cell>
          <cell r="C2429" t="str">
            <v>CL_139_</v>
          </cell>
          <cell r="D2429" t="str">
            <v>Rancho La Cuchilla No. 139</v>
          </cell>
          <cell r="E2429" t="str">
            <v>Santos</v>
          </cell>
          <cell r="F2429">
            <v>200</v>
          </cell>
          <cell r="G2429">
            <v>1</v>
          </cell>
          <cell r="H2429">
            <v>200</v>
          </cell>
          <cell r="I2429">
            <v>41588</v>
          </cell>
          <cell r="J2429">
            <v>0</v>
          </cell>
          <cell r="W2429">
            <v>0</v>
          </cell>
          <cell r="AH2429">
            <v>200</v>
          </cell>
          <cell r="AJ2429">
            <v>200</v>
          </cell>
          <cell r="AW2429">
            <v>0</v>
          </cell>
        </row>
        <row r="2430">
          <cell r="B2430">
            <v>5936</v>
          </cell>
          <cell r="C2430" t="str">
            <v>CL_139_</v>
          </cell>
          <cell r="D2430" t="str">
            <v>Rancho La Cuchilla No. 139</v>
          </cell>
          <cell r="E2430" t="str">
            <v>Santos</v>
          </cell>
          <cell r="F2430">
            <v>200</v>
          </cell>
          <cell r="G2430">
            <v>3</v>
          </cell>
          <cell r="H2430">
            <v>160</v>
          </cell>
          <cell r="I2430">
            <v>41588</v>
          </cell>
          <cell r="J2430" t="str">
            <v>NO SUMA</v>
          </cell>
          <cell r="W2430">
            <v>0</v>
          </cell>
          <cell r="AJ2430">
            <v>0</v>
          </cell>
          <cell r="AW2430">
            <v>0</v>
          </cell>
        </row>
        <row r="2431">
          <cell r="B2431">
            <v>5937</v>
          </cell>
          <cell r="C2431" t="str">
            <v>RV_179_</v>
          </cell>
          <cell r="D2431" t="str">
            <v>Rancho Recoveco No. 179</v>
          </cell>
          <cell r="E2431" t="str">
            <v>Flores Delgado</v>
          </cell>
          <cell r="F2431">
            <v>300</v>
          </cell>
          <cell r="G2431">
            <v>1</v>
          </cell>
          <cell r="H2431">
            <v>400</v>
          </cell>
          <cell r="I2431">
            <v>41588</v>
          </cell>
          <cell r="J2431">
            <v>0</v>
          </cell>
          <cell r="W2431">
            <v>0</v>
          </cell>
          <cell r="AH2431">
            <v>400</v>
          </cell>
          <cell r="AJ2431">
            <v>400</v>
          </cell>
          <cell r="AW2431">
            <v>0</v>
          </cell>
        </row>
        <row r="2432">
          <cell r="B2432">
            <v>5938</v>
          </cell>
          <cell r="C2432" t="str">
            <v>RV_197_</v>
          </cell>
          <cell r="D2432" t="str">
            <v>Rancho Recoveco No. 197</v>
          </cell>
          <cell r="E2432" t="str">
            <v>Colín González</v>
          </cell>
          <cell r="F2432">
            <v>300</v>
          </cell>
          <cell r="G2432">
            <v>1</v>
          </cell>
          <cell r="H2432">
            <v>400</v>
          </cell>
          <cell r="I2432">
            <v>41588</v>
          </cell>
          <cell r="J2432">
            <v>0</v>
          </cell>
          <cell r="W2432">
            <v>0</v>
          </cell>
          <cell r="AH2432">
            <v>400</v>
          </cell>
          <cell r="AJ2432">
            <v>400</v>
          </cell>
          <cell r="AW2432">
            <v>0</v>
          </cell>
        </row>
        <row r="2433">
          <cell r="B2433">
            <v>5939</v>
          </cell>
          <cell r="C2433" t="str">
            <v>UP_120_</v>
          </cell>
          <cell r="D2433" t="str">
            <v>Rancho Upácuaro No. 120</v>
          </cell>
          <cell r="E2433" t="str">
            <v>Rayas Rivera</v>
          </cell>
          <cell r="F2433">
            <v>300</v>
          </cell>
          <cell r="G2433">
            <v>1</v>
          </cell>
          <cell r="H2433">
            <v>400</v>
          </cell>
          <cell r="I2433">
            <v>41588</v>
          </cell>
          <cell r="J2433">
            <v>0</v>
          </cell>
          <cell r="W2433">
            <v>0</v>
          </cell>
          <cell r="AH2433">
            <v>400</v>
          </cell>
          <cell r="AJ2433">
            <v>400</v>
          </cell>
          <cell r="AW2433">
            <v>0</v>
          </cell>
        </row>
        <row r="2434">
          <cell r="B2434">
            <v>5940</v>
          </cell>
          <cell r="C2434" t="str">
            <v>ZB_38_</v>
          </cell>
          <cell r="D2434" t="str">
            <v>Rancho Zinamba No. 38</v>
          </cell>
          <cell r="E2434" t="str">
            <v>Ramírez Díaz</v>
          </cell>
          <cell r="F2434">
            <v>300</v>
          </cell>
          <cell r="G2434">
            <v>1</v>
          </cell>
          <cell r="H2434">
            <v>400</v>
          </cell>
          <cell r="I2434">
            <v>41588</v>
          </cell>
          <cell r="J2434">
            <v>0</v>
          </cell>
          <cell r="W2434">
            <v>0</v>
          </cell>
          <cell r="AH2434">
            <v>400</v>
          </cell>
          <cell r="AJ2434">
            <v>400</v>
          </cell>
          <cell r="AW2434">
            <v>0</v>
          </cell>
        </row>
        <row r="2435">
          <cell r="B2435">
            <v>5941</v>
          </cell>
          <cell r="C2435" t="str">
            <v>UP_47_</v>
          </cell>
          <cell r="D2435" t="str">
            <v>Rancho Upácuaro No. 47</v>
          </cell>
          <cell r="E2435" t="str">
            <v>Flores Muñoz</v>
          </cell>
          <cell r="F2435">
            <v>300</v>
          </cell>
          <cell r="G2435">
            <v>1</v>
          </cell>
          <cell r="H2435">
            <v>400</v>
          </cell>
          <cell r="I2435">
            <v>41588</v>
          </cell>
          <cell r="J2435">
            <v>0</v>
          </cell>
          <cell r="W2435">
            <v>0</v>
          </cell>
          <cell r="AH2435">
            <v>400</v>
          </cell>
          <cell r="AJ2435">
            <v>400</v>
          </cell>
          <cell r="AW2435">
            <v>0</v>
          </cell>
        </row>
        <row r="2436">
          <cell r="B2436">
            <v>5942</v>
          </cell>
          <cell r="C2436" t="str">
            <v>UP_108_</v>
          </cell>
          <cell r="D2436" t="str">
            <v>Rancho Upácuaro No. 108</v>
          </cell>
          <cell r="E2436" t="str">
            <v>Mejía</v>
          </cell>
          <cell r="F2436">
            <v>300</v>
          </cell>
          <cell r="G2436">
            <v>1</v>
          </cell>
          <cell r="H2436">
            <v>400</v>
          </cell>
          <cell r="I2436">
            <v>41588</v>
          </cell>
          <cell r="J2436">
            <v>0</v>
          </cell>
          <cell r="W2436">
            <v>0</v>
          </cell>
          <cell r="AH2436">
            <v>400</v>
          </cell>
          <cell r="AJ2436">
            <v>400</v>
          </cell>
          <cell r="AW2436">
            <v>0</v>
          </cell>
        </row>
        <row r="2437">
          <cell r="B2437">
            <v>5943</v>
          </cell>
          <cell r="C2437" t="str">
            <v>EZ_159_</v>
          </cell>
          <cell r="D2437" t="str">
            <v>Rancho Estanzuela No. 159</v>
          </cell>
          <cell r="E2437" t="str">
            <v>Reyes Núñez</v>
          </cell>
          <cell r="F2437">
            <v>250</v>
          </cell>
          <cell r="G2437">
            <v>1</v>
          </cell>
          <cell r="H2437">
            <v>600</v>
          </cell>
          <cell r="I2437">
            <v>41588</v>
          </cell>
          <cell r="J2437">
            <v>0</v>
          </cell>
          <cell r="W2437">
            <v>0</v>
          </cell>
          <cell r="AG2437">
            <v>300</v>
          </cell>
          <cell r="AH2437">
            <v>300</v>
          </cell>
          <cell r="AJ2437">
            <v>600</v>
          </cell>
          <cell r="AW2437">
            <v>0</v>
          </cell>
        </row>
        <row r="2438">
          <cell r="B2438">
            <v>5944</v>
          </cell>
          <cell r="C2438" t="str">
            <v>LD_83_</v>
          </cell>
          <cell r="D2438" t="str">
            <v>Rancho Landero No. 83</v>
          </cell>
          <cell r="E2438" t="str">
            <v>Aguilar</v>
          </cell>
          <cell r="F2438">
            <v>300</v>
          </cell>
          <cell r="G2438">
            <v>1</v>
          </cell>
          <cell r="H2438">
            <v>350</v>
          </cell>
          <cell r="I2438">
            <v>41588</v>
          </cell>
          <cell r="J2438">
            <v>0</v>
          </cell>
          <cell r="W2438">
            <v>0</v>
          </cell>
          <cell r="AH2438">
            <v>350</v>
          </cell>
          <cell r="AJ2438">
            <v>350</v>
          </cell>
          <cell r="AW2438">
            <v>0</v>
          </cell>
        </row>
        <row r="2439">
          <cell r="B2439">
            <v>5945</v>
          </cell>
          <cell r="C2439" t="str">
            <v>CL_81_A</v>
          </cell>
          <cell r="D2439" t="str">
            <v>Rancho La Cuchilla No. 81, A</v>
          </cell>
          <cell r="E2439" t="str">
            <v>Barrientos López</v>
          </cell>
          <cell r="F2439">
            <v>300</v>
          </cell>
          <cell r="G2439">
            <v>1</v>
          </cell>
          <cell r="H2439">
            <v>400</v>
          </cell>
          <cell r="I2439">
            <v>41588</v>
          </cell>
          <cell r="J2439">
            <v>0</v>
          </cell>
          <cell r="W2439">
            <v>0</v>
          </cell>
          <cell r="AH2439">
            <v>400</v>
          </cell>
          <cell r="AJ2439">
            <v>400</v>
          </cell>
          <cell r="AW2439">
            <v>0</v>
          </cell>
        </row>
        <row r="2440">
          <cell r="B2440">
            <v>5946</v>
          </cell>
          <cell r="C2440" t="str">
            <v>CL_129_</v>
          </cell>
          <cell r="D2440" t="str">
            <v>Rancho La Cuchilla No. 129</v>
          </cell>
          <cell r="E2440" t="str">
            <v>Gamboa Rueda</v>
          </cell>
          <cell r="F2440">
            <v>200</v>
          </cell>
          <cell r="G2440">
            <v>1</v>
          </cell>
          <cell r="H2440">
            <v>300</v>
          </cell>
          <cell r="I2440">
            <v>41588</v>
          </cell>
          <cell r="J2440">
            <v>0</v>
          </cell>
          <cell r="W2440">
            <v>0</v>
          </cell>
          <cell r="AH2440">
            <v>300</v>
          </cell>
          <cell r="AJ2440">
            <v>300</v>
          </cell>
          <cell r="AW2440">
            <v>0</v>
          </cell>
        </row>
        <row r="2441">
          <cell r="B2441">
            <v>5947</v>
          </cell>
          <cell r="C2441" t="str">
            <v>LD_31_</v>
          </cell>
          <cell r="D2441" t="str">
            <v>Rancho Landero No. 31</v>
          </cell>
          <cell r="E2441" t="str">
            <v>Díaz Hernández</v>
          </cell>
          <cell r="F2441">
            <v>200</v>
          </cell>
          <cell r="G2441">
            <v>1</v>
          </cell>
          <cell r="H2441">
            <v>200</v>
          </cell>
          <cell r="I2441">
            <v>41588</v>
          </cell>
          <cell r="J2441">
            <v>0</v>
          </cell>
          <cell r="W2441">
            <v>0</v>
          </cell>
          <cell r="AH2441">
            <v>200</v>
          </cell>
          <cell r="AJ2441">
            <v>200</v>
          </cell>
          <cell r="AW2441">
            <v>0</v>
          </cell>
        </row>
        <row r="2442">
          <cell r="B2442">
            <v>5948</v>
          </cell>
          <cell r="C2442" t="str">
            <v>LD_91_</v>
          </cell>
          <cell r="D2442" t="str">
            <v>Rancho Landero No. 91</v>
          </cell>
          <cell r="E2442" t="str">
            <v>Llaca</v>
          </cell>
          <cell r="F2442">
            <v>300</v>
          </cell>
          <cell r="G2442">
            <v>1</v>
          </cell>
          <cell r="H2442">
            <v>800</v>
          </cell>
          <cell r="I2442">
            <v>41588</v>
          </cell>
          <cell r="J2442">
            <v>0</v>
          </cell>
          <cell r="W2442">
            <v>0</v>
          </cell>
          <cell r="AH2442">
            <v>400</v>
          </cell>
          <cell r="AI2442">
            <v>400</v>
          </cell>
          <cell r="AJ2442">
            <v>800</v>
          </cell>
          <cell r="AW2442">
            <v>0</v>
          </cell>
        </row>
        <row r="2443">
          <cell r="B2443">
            <v>5949</v>
          </cell>
          <cell r="C2443" t="str">
            <v>CL_33_</v>
          </cell>
          <cell r="D2443" t="str">
            <v>Rancho La Cuchilla No. 33</v>
          </cell>
          <cell r="E2443" t="str">
            <v>Tanús</v>
          </cell>
          <cell r="F2443">
            <v>300</v>
          </cell>
          <cell r="G2443">
            <v>1</v>
          </cell>
          <cell r="H2443">
            <v>400</v>
          </cell>
          <cell r="I2443">
            <v>41588</v>
          </cell>
          <cell r="J2443">
            <v>0</v>
          </cell>
          <cell r="W2443">
            <v>0</v>
          </cell>
          <cell r="AH2443">
            <v>400</v>
          </cell>
          <cell r="AJ2443">
            <v>400</v>
          </cell>
          <cell r="AW2443">
            <v>0</v>
          </cell>
        </row>
        <row r="2444">
          <cell r="B2444">
            <v>5950</v>
          </cell>
          <cell r="C2444" t="str">
            <v>UP_136_</v>
          </cell>
          <cell r="D2444" t="str">
            <v>Rancho Upácuaro No. 136</v>
          </cell>
          <cell r="E2444" t="str">
            <v>López Lena</v>
          </cell>
          <cell r="F2444">
            <v>300</v>
          </cell>
          <cell r="G2444">
            <v>1</v>
          </cell>
          <cell r="H2444">
            <v>400</v>
          </cell>
          <cell r="I2444">
            <v>41588</v>
          </cell>
          <cell r="J2444">
            <v>0</v>
          </cell>
          <cell r="W2444">
            <v>0</v>
          </cell>
          <cell r="AH2444">
            <v>400</v>
          </cell>
          <cell r="AJ2444">
            <v>400</v>
          </cell>
          <cell r="AW2444">
            <v>0</v>
          </cell>
        </row>
        <row r="2445">
          <cell r="B2445">
            <v>5951</v>
          </cell>
          <cell r="C2445" t="str">
            <v>RM_9_B</v>
          </cell>
          <cell r="D2445" t="str">
            <v>Rancho Romeral No. 9, B</v>
          </cell>
          <cell r="E2445" t="str">
            <v>Morales Macías</v>
          </cell>
          <cell r="F2445">
            <v>100</v>
          </cell>
          <cell r="G2445">
            <v>1</v>
          </cell>
          <cell r="H2445">
            <v>100</v>
          </cell>
          <cell r="I2445">
            <v>41588</v>
          </cell>
          <cell r="J2445">
            <v>0</v>
          </cell>
          <cell r="W2445">
            <v>0</v>
          </cell>
          <cell r="AH2445">
            <v>100</v>
          </cell>
          <cell r="AJ2445">
            <v>100</v>
          </cell>
          <cell r="AW2445">
            <v>0</v>
          </cell>
        </row>
        <row r="2446">
          <cell r="B2446">
            <v>5952</v>
          </cell>
          <cell r="C2446" t="str">
            <v>CL_72_</v>
          </cell>
          <cell r="D2446" t="str">
            <v>Rancho La Cuchilla No. 72</v>
          </cell>
          <cell r="E2446" t="str">
            <v>Ortiz González</v>
          </cell>
          <cell r="F2446">
            <v>300</v>
          </cell>
          <cell r="G2446">
            <v>1</v>
          </cell>
          <cell r="H2446">
            <v>400</v>
          </cell>
          <cell r="I2446">
            <v>41588</v>
          </cell>
          <cell r="J2446">
            <v>0</v>
          </cell>
          <cell r="W2446">
            <v>0</v>
          </cell>
          <cell r="AH2446">
            <v>400</v>
          </cell>
          <cell r="AJ2446">
            <v>400</v>
          </cell>
          <cell r="AW2446">
            <v>0</v>
          </cell>
        </row>
        <row r="2447">
          <cell r="B2447">
            <v>5953</v>
          </cell>
          <cell r="C2447" t="str">
            <v>UP_49_</v>
          </cell>
          <cell r="D2447" t="str">
            <v>Rancho Upácuaro No. 49</v>
          </cell>
          <cell r="E2447" t="str">
            <v>Sánchez Romano</v>
          </cell>
          <cell r="F2447">
            <v>300</v>
          </cell>
          <cell r="G2447">
            <v>1</v>
          </cell>
          <cell r="H2447">
            <v>200</v>
          </cell>
          <cell r="I2447">
            <v>41588</v>
          </cell>
          <cell r="J2447">
            <v>0</v>
          </cell>
          <cell r="W2447">
            <v>0</v>
          </cell>
          <cell r="Z2447">
            <v>200</v>
          </cell>
          <cell r="AJ2447">
            <v>200</v>
          </cell>
          <cell r="AW2447">
            <v>0</v>
          </cell>
        </row>
        <row r="2448">
          <cell r="B2448">
            <v>5954</v>
          </cell>
          <cell r="C2448" t="str">
            <v>EZ_19_</v>
          </cell>
          <cell r="D2448" t="str">
            <v>Rancho Estanzuela No. 19</v>
          </cell>
          <cell r="E2448" t="str">
            <v>Robles</v>
          </cell>
          <cell r="F2448">
            <v>300</v>
          </cell>
          <cell r="G2448">
            <v>1</v>
          </cell>
          <cell r="H2448">
            <v>400</v>
          </cell>
          <cell r="I2448">
            <v>41588</v>
          </cell>
          <cell r="J2448">
            <v>0</v>
          </cell>
          <cell r="W2448">
            <v>0</v>
          </cell>
          <cell r="AH2448">
            <v>400</v>
          </cell>
          <cell r="AJ2448">
            <v>400</v>
          </cell>
          <cell r="AW2448">
            <v>0</v>
          </cell>
        </row>
        <row r="2449">
          <cell r="B2449">
            <v>5955</v>
          </cell>
          <cell r="C2449" t="str">
            <v>RV_175_A</v>
          </cell>
          <cell r="D2449" t="str">
            <v>Rancho Recoveco No. 175, A</v>
          </cell>
          <cell r="E2449" t="str">
            <v>Pérez</v>
          </cell>
          <cell r="F2449">
            <v>300</v>
          </cell>
          <cell r="G2449">
            <v>1</v>
          </cell>
          <cell r="H2449">
            <v>800</v>
          </cell>
          <cell r="I2449">
            <v>41588</v>
          </cell>
          <cell r="J2449">
            <v>0</v>
          </cell>
          <cell r="W2449">
            <v>0</v>
          </cell>
          <cell r="AG2449">
            <v>400</v>
          </cell>
          <cell r="AH2449">
            <v>400</v>
          </cell>
          <cell r="AJ2449">
            <v>800</v>
          </cell>
          <cell r="AW2449">
            <v>0</v>
          </cell>
        </row>
        <row r="2450">
          <cell r="B2450">
            <v>5956</v>
          </cell>
          <cell r="C2450" t="str">
            <v>LD_22_</v>
          </cell>
          <cell r="D2450" t="str">
            <v>Rancho Landero No. 22</v>
          </cell>
          <cell r="E2450" t="str">
            <v>Reyes</v>
          </cell>
          <cell r="F2450">
            <v>150</v>
          </cell>
          <cell r="G2450">
            <v>1</v>
          </cell>
          <cell r="H2450">
            <v>200</v>
          </cell>
          <cell r="I2450">
            <v>41588</v>
          </cell>
          <cell r="J2450">
            <v>0</v>
          </cell>
          <cell r="W2450">
            <v>0</v>
          </cell>
          <cell r="AH2450">
            <v>200</v>
          </cell>
          <cell r="AJ2450">
            <v>200</v>
          </cell>
          <cell r="AW2450">
            <v>0</v>
          </cell>
        </row>
        <row r="2451">
          <cell r="B2451">
            <v>5957</v>
          </cell>
          <cell r="C2451" t="str">
            <v>RM_10_B</v>
          </cell>
          <cell r="D2451" t="str">
            <v>Rancho Romeral No. 10, B</v>
          </cell>
          <cell r="E2451" t="str">
            <v>López Castellano</v>
          </cell>
          <cell r="F2451">
            <v>300</v>
          </cell>
          <cell r="G2451">
            <v>1</v>
          </cell>
          <cell r="H2451">
            <v>400</v>
          </cell>
          <cell r="I2451">
            <v>41588</v>
          </cell>
          <cell r="J2451">
            <v>0</v>
          </cell>
          <cell r="W2451">
            <v>0</v>
          </cell>
          <cell r="AH2451">
            <v>400</v>
          </cell>
          <cell r="AJ2451">
            <v>400</v>
          </cell>
          <cell r="AW2451">
            <v>0</v>
          </cell>
        </row>
        <row r="2452">
          <cell r="B2452">
            <v>5958</v>
          </cell>
          <cell r="C2452" t="str">
            <v>LD_84_</v>
          </cell>
          <cell r="D2452" t="str">
            <v>Rancho Landero No. 84</v>
          </cell>
          <cell r="E2452" t="str">
            <v>Alcántara</v>
          </cell>
          <cell r="F2452">
            <v>300</v>
          </cell>
          <cell r="G2452">
            <v>1</v>
          </cell>
          <cell r="H2452">
            <v>600</v>
          </cell>
          <cell r="I2452">
            <v>41588</v>
          </cell>
          <cell r="J2452">
            <v>0</v>
          </cell>
          <cell r="W2452">
            <v>0</v>
          </cell>
          <cell r="AG2452">
            <v>300</v>
          </cell>
          <cell r="AH2452">
            <v>300</v>
          </cell>
          <cell r="AJ2452">
            <v>600</v>
          </cell>
          <cell r="AW2452">
            <v>0</v>
          </cell>
        </row>
        <row r="2453">
          <cell r="B2453">
            <v>5959</v>
          </cell>
          <cell r="C2453" t="str">
            <v>CL_18_</v>
          </cell>
          <cell r="D2453" t="str">
            <v>Rancho La Cuchilla No. 18</v>
          </cell>
          <cell r="E2453" t="str">
            <v>Aldana Sánchez</v>
          </cell>
          <cell r="F2453">
            <v>300</v>
          </cell>
          <cell r="G2453">
            <v>1</v>
          </cell>
          <cell r="H2453">
            <v>800</v>
          </cell>
          <cell r="I2453">
            <v>41588</v>
          </cell>
          <cell r="J2453">
            <v>0</v>
          </cell>
          <cell r="W2453">
            <v>0</v>
          </cell>
          <cell r="AG2453">
            <v>400</v>
          </cell>
          <cell r="AH2453">
            <v>400</v>
          </cell>
          <cell r="AJ2453">
            <v>800</v>
          </cell>
          <cell r="AW2453">
            <v>0</v>
          </cell>
        </row>
        <row r="2454">
          <cell r="B2454">
            <v>5960</v>
          </cell>
          <cell r="C2454" t="str">
            <v>ZB_56_</v>
          </cell>
          <cell r="D2454" t="str">
            <v>Rancho Zinamba No. 56</v>
          </cell>
          <cell r="E2454" t="str">
            <v>Aguado</v>
          </cell>
          <cell r="F2454">
            <v>250</v>
          </cell>
          <cell r="G2454">
            <v>1</v>
          </cell>
          <cell r="H2454">
            <v>350</v>
          </cell>
          <cell r="I2454">
            <v>41588</v>
          </cell>
          <cell r="J2454">
            <v>0</v>
          </cell>
          <cell r="W2454">
            <v>0</v>
          </cell>
          <cell r="AH2454">
            <v>350</v>
          </cell>
          <cell r="AJ2454">
            <v>350</v>
          </cell>
          <cell r="AW2454">
            <v>0</v>
          </cell>
        </row>
        <row r="2455">
          <cell r="B2455">
            <v>5961</v>
          </cell>
          <cell r="C2455" t="str">
            <v>UP_80_</v>
          </cell>
          <cell r="D2455" t="str">
            <v>Rancho Upácuaro No. 80</v>
          </cell>
          <cell r="E2455" t="str">
            <v>De los Ríos</v>
          </cell>
          <cell r="F2455">
            <v>300</v>
          </cell>
          <cell r="G2455">
            <v>1</v>
          </cell>
          <cell r="H2455">
            <v>400</v>
          </cell>
          <cell r="I2455">
            <v>41588</v>
          </cell>
          <cell r="J2455">
            <v>0</v>
          </cell>
          <cell r="W2455">
            <v>0</v>
          </cell>
          <cell r="AH2455">
            <v>400</v>
          </cell>
          <cell r="AJ2455">
            <v>400</v>
          </cell>
          <cell r="AW2455">
            <v>0</v>
          </cell>
        </row>
        <row r="2456">
          <cell r="B2456">
            <v>5962</v>
          </cell>
          <cell r="C2456" t="str">
            <v>CL_75_</v>
          </cell>
          <cell r="D2456" t="str">
            <v>Rancho La Cuchilla No. 75</v>
          </cell>
          <cell r="E2456" t="str">
            <v>Sosa Lucio</v>
          </cell>
          <cell r="F2456">
            <v>300</v>
          </cell>
          <cell r="G2456">
            <v>1</v>
          </cell>
          <cell r="H2456">
            <v>800</v>
          </cell>
          <cell r="I2456">
            <v>41588</v>
          </cell>
          <cell r="J2456">
            <v>0</v>
          </cell>
          <cell r="W2456">
            <v>0</v>
          </cell>
          <cell r="AG2456">
            <v>400</v>
          </cell>
          <cell r="AH2456">
            <v>400</v>
          </cell>
          <cell r="AJ2456">
            <v>800</v>
          </cell>
          <cell r="AW2456">
            <v>0</v>
          </cell>
        </row>
        <row r="2457">
          <cell r="B2457">
            <v>5963</v>
          </cell>
          <cell r="C2457" t="str">
            <v>LD_7_</v>
          </cell>
          <cell r="D2457" t="str">
            <v>Rancho Landero No. 7</v>
          </cell>
          <cell r="E2457" t="str">
            <v>Robles</v>
          </cell>
          <cell r="F2457">
            <v>150</v>
          </cell>
          <cell r="G2457">
            <v>1</v>
          </cell>
          <cell r="H2457">
            <v>150</v>
          </cell>
          <cell r="I2457">
            <v>41588</v>
          </cell>
          <cell r="J2457">
            <v>0</v>
          </cell>
          <cell r="W2457">
            <v>0</v>
          </cell>
          <cell r="AH2457">
            <v>150</v>
          </cell>
          <cell r="AJ2457">
            <v>150</v>
          </cell>
          <cell r="AW2457">
            <v>0</v>
          </cell>
        </row>
        <row r="2458">
          <cell r="B2458">
            <v>5964</v>
          </cell>
          <cell r="C2458" t="str">
            <v>UP_19_</v>
          </cell>
          <cell r="D2458" t="str">
            <v>Rancho Upácuaro No. 19</v>
          </cell>
          <cell r="E2458" t="str">
            <v>Peña Inclán</v>
          </cell>
          <cell r="F2458">
            <v>200</v>
          </cell>
          <cell r="G2458">
            <v>1</v>
          </cell>
          <cell r="H2458">
            <v>300</v>
          </cell>
          <cell r="I2458">
            <v>41588</v>
          </cell>
          <cell r="J2458">
            <v>0</v>
          </cell>
          <cell r="W2458">
            <v>0</v>
          </cell>
          <cell r="AH2458">
            <v>300</v>
          </cell>
          <cell r="AJ2458">
            <v>300</v>
          </cell>
          <cell r="AW2458">
            <v>0</v>
          </cell>
        </row>
        <row r="2459">
          <cell r="B2459">
            <v>5965</v>
          </cell>
          <cell r="C2459" t="str">
            <v>EZ_49_</v>
          </cell>
          <cell r="D2459" t="str">
            <v>Rancho Estanzuela No. 49</v>
          </cell>
          <cell r="E2459" t="str">
            <v>Sánchez Zamora</v>
          </cell>
          <cell r="F2459">
            <v>300</v>
          </cell>
          <cell r="G2459">
            <v>1</v>
          </cell>
          <cell r="H2459">
            <v>300</v>
          </cell>
          <cell r="I2459">
            <v>41588</v>
          </cell>
          <cell r="J2459">
            <v>0</v>
          </cell>
          <cell r="W2459">
            <v>0</v>
          </cell>
          <cell r="AC2459">
            <v>300</v>
          </cell>
          <cell r="AJ2459">
            <v>300</v>
          </cell>
          <cell r="AW2459">
            <v>0</v>
          </cell>
        </row>
        <row r="2460">
          <cell r="B2460">
            <v>5966</v>
          </cell>
          <cell r="C2460" t="str">
            <v>LD_65_</v>
          </cell>
          <cell r="D2460" t="str">
            <v>Rancho Landero No. 65</v>
          </cell>
          <cell r="E2460" t="str">
            <v>Alpizar</v>
          </cell>
          <cell r="F2460">
            <v>300</v>
          </cell>
          <cell r="G2460">
            <v>1</v>
          </cell>
          <cell r="H2460">
            <v>400</v>
          </cell>
          <cell r="I2460">
            <v>41588</v>
          </cell>
          <cell r="J2460">
            <v>0</v>
          </cell>
          <cell r="W2460">
            <v>0</v>
          </cell>
          <cell r="AH2460">
            <v>400</v>
          </cell>
          <cell r="AJ2460">
            <v>400</v>
          </cell>
          <cell r="AW2460">
            <v>0</v>
          </cell>
        </row>
        <row r="2461">
          <cell r="B2461">
            <v>5967</v>
          </cell>
          <cell r="C2461" t="str">
            <v>LD_85_</v>
          </cell>
          <cell r="D2461" t="str">
            <v>Rancho Landero No. 85</v>
          </cell>
          <cell r="E2461" t="str">
            <v>Martínez Olague</v>
          </cell>
          <cell r="F2461">
            <v>300</v>
          </cell>
          <cell r="G2461">
            <v>1</v>
          </cell>
          <cell r="H2461">
            <v>400</v>
          </cell>
          <cell r="I2461">
            <v>41590</v>
          </cell>
          <cell r="J2461">
            <v>0</v>
          </cell>
          <cell r="W2461">
            <v>0</v>
          </cell>
          <cell r="AH2461">
            <v>400</v>
          </cell>
          <cell r="AJ2461">
            <v>400</v>
          </cell>
          <cell r="AW2461">
            <v>0</v>
          </cell>
        </row>
        <row r="2462">
          <cell r="B2462">
            <v>5968</v>
          </cell>
          <cell r="D2462" t="str">
            <v/>
          </cell>
          <cell r="E2462" t="str">
            <v/>
          </cell>
          <cell r="F2462" t="str">
            <v/>
          </cell>
          <cell r="I2462">
            <v>41593</v>
          </cell>
          <cell r="J2462" t="str">
            <v>NO SUMA</v>
          </cell>
          <cell r="W2462">
            <v>0</v>
          </cell>
          <cell r="AJ2462">
            <v>0</v>
          </cell>
          <cell r="AW2462">
            <v>0</v>
          </cell>
        </row>
        <row r="2463">
          <cell r="B2463">
            <v>5969</v>
          </cell>
          <cell r="C2463" t="str">
            <v>LD_1_A</v>
          </cell>
          <cell r="D2463" t="str">
            <v>Calzada del Hueso No. 840</v>
          </cell>
          <cell r="E2463" t="str">
            <v>Pérez Retis</v>
          </cell>
          <cell r="F2463">
            <v>300</v>
          </cell>
          <cell r="G2463">
            <v>1</v>
          </cell>
          <cell r="H2463">
            <v>400</v>
          </cell>
          <cell r="I2463">
            <v>41593</v>
          </cell>
          <cell r="J2463">
            <v>0</v>
          </cell>
          <cell r="W2463">
            <v>0</v>
          </cell>
          <cell r="AH2463">
            <v>400</v>
          </cell>
          <cell r="AJ2463">
            <v>400</v>
          </cell>
          <cell r="AW2463">
            <v>0</v>
          </cell>
        </row>
        <row r="2464">
          <cell r="B2464">
            <v>5970</v>
          </cell>
          <cell r="C2464" t="str">
            <v>LD_80_</v>
          </cell>
          <cell r="D2464" t="str">
            <v>Rancho Landero No. 80</v>
          </cell>
          <cell r="E2464" t="str">
            <v>Villaseñor Sánchez</v>
          </cell>
          <cell r="F2464">
            <v>300</v>
          </cell>
          <cell r="G2464">
            <v>1</v>
          </cell>
          <cell r="H2464">
            <v>400</v>
          </cell>
          <cell r="I2464">
            <v>41595</v>
          </cell>
          <cell r="J2464">
            <v>0</v>
          </cell>
          <cell r="W2464">
            <v>0</v>
          </cell>
          <cell r="AH2464">
            <v>400</v>
          </cell>
          <cell r="AJ2464">
            <v>400</v>
          </cell>
          <cell r="AW2464">
            <v>0</v>
          </cell>
        </row>
        <row r="2465">
          <cell r="B2465">
            <v>5971</v>
          </cell>
          <cell r="C2465" t="str">
            <v>UP_21_</v>
          </cell>
          <cell r="D2465" t="str">
            <v>Rancho Upácuaro No. 21</v>
          </cell>
          <cell r="E2465" t="str">
            <v>Fierro Betancourt</v>
          </cell>
          <cell r="F2465">
            <v>150</v>
          </cell>
          <cell r="G2465">
            <v>1</v>
          </cell>
          <cell r="H2465">
            <v>200</v>
          </cell>
          <cell r="I2465">
            <v>41595</v>
          </cell>
          <cell r="J2465">
            <v>0</v>
          </cell>
          <cell r="W2465">
            <v>0</v>
          </cell>
          <cell r="AH2465">
            <v>200</v>
          </cell>
          <cell r="AJ2465">
            <v>200</v>
          </cell>
          <cell r="AW2465">
            <v>0</v>
          </cell>
        </row>
        <row r="2466">
          <cell r="B2466">
            <v>5972</v>
          </cell>
          <cell r="C2466" t="str">
            <v>RV_181_</v>
          </cell>
          <cell r="D2466" t="str">
            <v>Rancho Recoveco No. 181</v>
          </cell>
          <cell r="E2466" t="str">
            <v>Paredes</v>
          </cell>
          <cell r="F2466">
            <v>300</v>
          </cell>
          <cell r="G2466">
            <v>1</v>
          </cell>
          <cell r="H2466">
            <v>400</v>
          </cell>
          <cell r="I2466">
            <v>41595</v>
          </cell>
          <cell r="J2466">
            <v>0</v>
          </cell>
          <cell r="W2466">
            <v>0</v>
          </cell>
          <cell r="AH2466">
            <v>400</v>
          </cell>
          <cell r="AJ2466">
            <v>400</v>
          </cell>
          <cell r="AW2466">
            <v>0</v>
          </cell>
        </row>
        <row r="2467">
          <cell r="B2467">
            <v>5973</v>
          </cell>
          <cell r="C2467" t="str">
            <v>UP_146_</v>
          </cell>
          <cell r="D2467" t="str">
            <v>Rancho Upácuaro No. 146</v>
          </cell>
          <cell r="E2467" t="str">
            <v>Islas</v>
          </cell>
          <cell r="F2467">
            <v>300</v>
          </cell>
          <cell r="G2467">
            <v>1</v>
          </cell>
          <cell r="H2467">
            <v>400</v>
          </cell>
          <cell r="I2467">
            <v>41595</v>
          </cell>
          <cell r="J2467">
            <v>0</v>
          </cell>
          <cell r="W2467">
            <v>0</v>
          </cell>
          <cell r="AH2467">
            <v>400</v>
          </cell>
          <cell r="AJ2467">
            <v>400</v>
          </cell>
          <cell r="AW2467">
            <v>0</v>
          </cell>
        </row>
        <row r="2468">
          <cell r="B2468">
            <v>5974</v>
          </cell>
          <cell r="C2468" t="str">
            <v>CL_107_</v>
          </cell>
          <cell r="D2468" t="str">
            <v>Rancho La Cuchilla No. 107</v>
          </cell>
          <cell r="E2468" t="str">
            <v>Olivares Rivera</v>
          </cell>
          <cell r="F2468">
            <v>300</v>
          </cell>
          <cell r="G2468">
            <v>1</v>
          </cell>
          <cell r="H2468">
            <v>400</v>
          </cell>
          <cell r="I2468">
            <v>41595</v>
          </cell>
          <cell r="J2468">
            <v>0</v>
          </cell>
          <cell r="W2468">
            <v>0</v>
          </cell>
          <cell r="AH2468">
            <v>400</v>
          </cell>
          <cell r="AJ2468">
            <v>400</v>
          </cell>
          <cell r="AW2468">
            <v>0</v>
          </cell>
        </row>
        <row r="2469">
          <cell r="B2469">
            <v>5975</v>
          </cell>
          <cell r="C2469" t="str">
            <v>ZB_80_</v>
          </cell>
          <cell r="D2469" t="str">
            <v>Rancho Zinamba No. 80</v>
          </cell>
          <cell r="E2469" t="str">
            <v>Vázquez</v>
          </cell>
          <cell r="F2469">
            <v>250</v>
          </cell>
          <cell r="G2469">
            <v>1</v>
          </cell>
          <cell r="H2469">
            <v>600</v>
          </cell>
          <cell r="I2469">
            <v>41595</v>
          </cell>
          <cell r="J2469">
            <v>0</v>
          </cell>
          <cell r="W2469">
            <v>0</v>
          </cell>
          <cell r="AG2469">
            <v>300</v>
          </cell>
          <cell r="AH2469">
            <v>300</v>
          </cell>
          <cell r="AJ2469">
            <v>600</v>
          </cell>
          <cell r="AW2469">
            <v>0</v>
          </cell>
        </row>
        <row r="2470">
          <cell r="B2470">
            <v>5976</v>
          </cell>
          <cell r="C2470" t="str">
            <v>CL_43_A</v>
          </cell>
          <cell r="E2470" t="str">
            <v>De la Rosa</v>
          </cell>
          <cell r="F2470">
            <v>200</v>
          </cell>
          <cell r="G2470">
            <v>1</v>
          </cell>
          <cell r="H2470">
            <v>400</v>
          </cell>
          <cell r="I2470">
            <v>41595</v>
          </cell>
          <cell r="J2470">
            <v>0</v>
          </cell>
          <cell r="W2470">
            <v>0</v>
          </cell>
          <cell r="AH2470">
            <v>400</v>
          </cell>
          <cell r="AJ2470">
            <v>400</v>
          </cell>
          <cell r="AW2470">
            <v>0</v>
          </cell>
        </row>
        <row r="2471">
          <cell r="B2471">
            <v>5977</v>
          </cell>
          <cell r="C2471" t="str">
            <v>RV_175_B</v>
          </cell>
          <cell r="D2471" t="str">
            <v>Rancho Recoveco No. 175, B</v>
          </cell>
          <cell r="E2471" t="str">
            <v>García Calderón</v>
          </cell>
          <cell r="F2471">
            <v>150</v>
          </cell>
          <cell r="G2471">
            <v>1</v>
          </cell>
          <cell r="H2471">
            <v>200</v>
          </cell>
          <cell r="I2471">
            <v>41595</v>
          </cell>
          <cell r="J2471">
            <v>0</v>
          </cell>
          <cell r="W2471">
            <v>0</v>
          </cell>
          <cell r="AH2471">
            <v>200</v>
          </cell>
          <cell r="AJ2471">
            <v>200</v>
          </cell>
          <cell r="AW2471">
            <v>0</v>
          </cell>
        </row>
        <row r="2472">
          <cell r="B2472">
            <v>5978</v>
          </cell>
          <cell r="C2472" t="str">
            <v>LD_71_</v>
          </cell>
          <cell r="D2472" t="str">
            <v>Rancho Landero No. 71</v>
          </cell>
          <cell r="E2472" t="str">
            <v>Cabrera Balcázar</v>
          </cell>
          <cell r="F2472">
            <v>300</v>
          </cell>
          <cell r="G2472">
            <v>1</v>
          </cell>
          <cell r="H2472">
            <v>400</v>
          </cell>
          <cell r="I2472">
            <v>41595</v>
          </cell>
          <cell r="J2472">
            <v>0</v>
          </cell>
          <cell r="W2472">
            <v>0</v>
          </cell>
          <cell r="AH2472">
            <v>400</v>
          </cell>
          <cell r="AJ2472">
            <v>400</v>
          </cell>
          <cell r="AW2472">
            <v>0</v>
          </cell>
        </row>
        <row r="2473">
          <cell r="B2473">
            <v>5979</v>
          </cell>
          <cell r="C2473" t="str">
            <v>EZ_161_1</v>
          </cell>
          <cell r="D2473" t="str">
            <v>Rancho Estanzuela No. 161, 1</v>
          </cell>
          <cell r="E2473" t="str">
            <v>Guevara</v>
          </cell>
          <cell r="F2473">
            <v>150</v>
          </cell>
          <cell r="G2473">
            <v>1</v>
          </cell>
          <cell r="H2473">
            <v>400</v>
          </cell>
          <cell r="I2473">
            <v>41595</v>
          </cell>
          <cell r="J2473">
            <v>0</v>
          </cell>
          <cell r="W2473">
            <v>0</v>
          </cell>
          <cell r="AH2473">
            <v>200</v>
          </cell>
          <cell r="AI2473">
            <v>200</v>
          </cell>
          <cell r="AJ2473">
            <v>400</v>
          </cell>
          <cell r="AW2473">
            <v>0</v>
          </cell>
        </row>
        <row r="2474">
          <cell r="B2474">
            <v>5980</v>
          </cell>
          <cell r="C2474" t="str">
            <v>UP_100_</v>
          </cell>
          <cell r="D2474" t="str">
            <v>Rancho Upácuaro No. 100</v>
          </cell>
          <cell r="E2474" t="str">
            <v>Mancera Rodríguez</v>
          </cell>
          <cell r="F2474">
            <v>300</v>
          </cell>
          <cell r="G2474">
            <v>1</v>
          </cell>
          <cell r="H2474">
            <v>400</v>
          </cell>
          <cell r="I2474">
            <v>41595</v>
          </cell>
          <cell r="J2474">
            <v>0</v>
          </cell>
          <cell r="W2474">
            <v>0</v>
          </cell>
          <cell r="AH2474">
            <v>400</v>
          </cell>
          <cell r="AJ2474">
            <v>400</v>
          </cell>
          <cell r="AW2474">
            <v>0</v>
          </cell>
        </row>
        <row r="2475">
          <cell r="B2475">
            <v>5981</v>
          </cell>
          <cell r="C2475" t="str">
            <v>CL_111_</v>
          </cell>
          <cell r="D2475" t="str">
            <v>Rancho La Cuchilla No. 111</v>
          </cell>
          <cell r="E2475" t="str">
            <v>García Santos Ofelia</v>
          </cell>
          <cell r="F2475">
            <v>150</v>
          </cell>
          <cell r="G2475">
            <v>1</v>
          </cell>
          <cell r="H2475">
            <v>200</v>
          </cell>
          <cell r="I2475">
            <v>41595</v>
          </cell>
          <cell r="J2475">
            <v>0</v>
          </cell>
          <cell r="W2475">
            <v>0</v>
          </cell>
          <cell r="AH2475">
            <v>200</v>
          </cell>
          <cell r="AJ2475">
            <v>200</v>
          </cell>
          <cell r="AW2475">
            <v>0</v>
          </cell>
        </row>
        <row r="2476">
          <cell r="B2476">
            <v>5982</v>
          </cell>
          <cell r="C2476" t="str">
            <v>ZB_24_</v>
          </cell>
          <cell r="D2476" t="str">
            <v>Rancho Zinamba No. 24</v>
          </cell>
          <cell r="E2476" t="str">
            <v>Monroy García</v>
          </cell>
          <cell r="F2476">
            <v>300</v>
          </cell>
          <cell r="G2476">
            <v>1</v>
          </cell>
          <cell r="H2476">
            <v>400</v>
          </cell>
          <cell r="I2476">
            <v>41595</v>
          </cell>
          <cell r="J2476">
            <v>0</v>
          </cell>
          <cell r="W2476">
            <v>0</v>
          </cell>
          <cell r="AH2476">
            <v>400</v>
          </cell>
          <cell r="AJ2476">
            <v>400</v>
          </cell>
          <cell r="AW2476">
            <v>0</v>
          </cell>
        </row>
        <row r="2477">
          <cell r="B2477">
            <v>5983</v>
          </cell>
          <cell r="C2477" t="str">
            <v>LD_58_</v>
          </cell>
          <cell r="D2477" t="str">
            <v>Rancho Landero No. 58</v>
          </cell>
          <cell r="E2477" t="str">
            <v>Valero</v>
          </cell>
          <cell r="F2477">
            <v>300</v>
          </cell>
          <cell r="G2477">
            <v>1</v>
          </cell>
          <cell r="H2477">
            <v>400</v>
          </cell>
          <cell r="I2477">
            <v>41595</v>
          </cell>
          <cell r="J2477">
            <v>0</v>
          </cell>
          <cell r="W2477">
            <v>0</v>
          </cell>
          <cell r="AH2477">
            <v>400</v>
          </cell>
          <cell r="AJ2477">
            <v>400</v>
          </cell>
          <cell r="AW2477">
            <v>0</v>
          </cell>
        </row>
        <row r="2478">
          <cell r="B2478">
            <v>5984</v>
          </cell>
          <cell r="C2478" t="str">
            <v>EZ_7_A</v>
          </cell>
          <cell r="D2478" t="str">
            <v>Rancho Estanzuela No. 7, A</v>
          </cell>
          <cell r="E2478" t="str">
            <v>Herrera Izquierdo</v>
          </cell>
          <cell r="F2478">
            <v>150</v>
          </cell>
          <cell r="G2478">
            <v>1</v>
          </cell>
          <cell r="H2478">
            <v>200</v>
          </cell>
          <cell r="I2478">
            <v>41595</v>
          </cell>
          <cell r="J2478">
            <v>0</v>
          </cell>
          <cell r="W2478">
            <v>0</v>
          </cell>
          <cell r="AH2478">
            <v>200</v>
          </cell>
          <cell r="AJ2478">
            <v>200</v>
          </cell>
          <cell r="AW2478">
            <v>0</v>
          </cell>
        </row>
        <row r="2479">
          <cell r="B2479">
            <v>5985</v>
          </cell>
          <cell r="C2479" t="str">
            <v>LD_76_</v>
          </cell>
          <cell r="D2479" t="str">
            <v>Rancho Landero No. 76</v>
          </cell>
          <cell r="E2479" t="str">
            <v>Ugarte</v>
          </cell>
          <cell r="F2479">
            <v>300</v>
          </cell>
          <cell r="G2479">
            <v>1</v>
          </cell>
          <cell r="H2479">
            <v>400</v>
          </cell>
          <cell r="I2479">
            <v>41595</v>
          </cell>
          <cell r="J2479">
            <v>0</v>
          </cell>
          <cell r="W2479">
            <v>0</v>
          </cell>
          <cell r="AH2479">
            <v>400</v>
          </cell>
          <cell r="AJ2479">
            <v>400</v>
          </cell>
          <cell r="AW2479">
            <v>0</v>
          </cell>
        </row>
        <row r="2480">
          <cell r="B2480">
            <v>5986</v>
          </cell>
          <cell r="C2480" t="str">
            <v>ZB_30_</v>
          </cell>
          <cell r="D2480" t="str">
            <v>Rancho Zinamba No. 30</v>
          </cell>
          <cell r="E2480" t="str">
            <v xml:space="preserve">Arroyo </v>
          </cell>
          <cell r="F2480">
            <v>300</v>
          </cell>
          <cell r="G2480">
            <v>1</v>
          </cell>
          <cell r="H2480">
            <v>400</v>
          </cell>
          <cell r="I2480">
            <v>41595</v>
          </cell>
          <cell r="J2480">
            <v>0</v>
          </cell>
          <cell r="W2480">
            <v>0</v>
          </cell>
          <cell r="AH2480">
            <v>400</v>
          </cell>
          <cell r="AJ2480">
            <v>400</v>
          </cell>
          <cell r="AW2480">
            <v>0</v>
          </cell>
        </row>
        <row r="2481">
          <cell r="B2481">
            <v>5987</v>
          </cell>
          <cell r="C2481" t="str">
            <v>UP_65_</v>
          </cell>
          <cell r="D2481" t="str">
            <v>Rancho Upácuaro No. 65</v>
          </cell>
          <cell r="E2481" t="str">
            <v>Olguín</v>
          </cell>
          <cell r="F2481">
            <v>300</v>
          </cell>
          <cell r="G2481">
            <v>1</v>
          </cell>
          <cell r="H2481">
            <v>600</v>
          </cell>
          <cell r="I2481">
            <v>41595</v>
          </cell>
          <cell r="J2481">
            <v>0</v>
          </cell>
          <cell r="W2481">
            <v>0</v>
          </cell>
          <cell r="AG2481">
            <v>300</v>
          </cell>
          <cell r="AH2481">
            <v>300</v>
          </cell>
          <cell r="AJ2481">
            <v>600</v>
          </cell>
          <cell r="AW2481">
            <v>0</v>
          </cell>
        </row>
        <row r="2482">
          <cell r="B2482">
            <v>5988</v>
          </cell>
          <cell r="C2482" t="str">
            <v>LD_99_</v>
          </cell>
          <cell r="D2482" t="str">
            <v>Rancho Landero No. 99</v>
          </cell>
          <cell r="E2482" t="str">
            <v>Rangel</v>
          </cell>
          <cell r="F2482">
            <v>300</v>
          </cell>
          <cell r="G2482">
            <v>1</v>
          </cell>
          <cell r="H2482">
            <v>300</v>
          </cell>
          <cell r="I2482">
            <v>41595</v>
          </cell>
          <cell r="J2482">
            <v>0</v>
          </cell>
          <cell r="W2482">
            <v>0</v>
          </cell>
          <cell r="AG2482">
            <v>300</v>
          </cell>
          <cell r="AJ2482">
            <v>300</v>
          </cell>
          <cell r="AW2482">
            <v>0</v>
          </cell>
        </row>
        <row r="2483">
          <cell r="B2483">
            <v>5989</v>
          </cell>
          <cell r="C2483" t="str">
            <v>ZB_8_</v>
          </cell>
          <cell r="D2483" t="str">
            <v>Rancho Zinamba No. 8</v>
          </cell>
          <cell r="E2483" t="str">
            <v>Florido</v>
          </cell>
          <cell r="F2483">
            <v>300</v>
          </cell>
          <cell r="G2483">
            <v>1</v>
          </cell>
          <cell r="H2483">
            <v>800</v>
          </cell>
          <cell r="I2483">
            <v>41595</v>
          </cell>
          <cell r="J2483">
            <v>0</v>
          </cell>
          <cell r="W2483">
            <v>0</v>
          </cell>
          <cell r="AH2483">
            <v>400</v>
          </cell>
          <cell r="AI2483">
            <v>400</v>
          </cell>
          <cell r="AJ2483">
            <v>800</v>
          </cell>
          <cell r="AW2483">
            <v>0</v>
          </cell>
        </row>
        <row r="2484">
          <cell r="B2484">
            <v>5990</v>
          </cell>
          <cell r="C2484" t="str">
            <v>RV_195_</v>
          </cell>
          <cell r="D2484" t="str">
            <v>Rancho Recoveco No. 195</v>
          </cell>
          <cell r="E2484" t="str">
            <v>Sandoval</v>
          </cell>
          <cell r="F2484">
            <v>300</v>
          </cell>
          <cell r="G2484">
            <v>1</v>
          </cell>
          <cell r="H2484">
            <v>400</v>
          </cell>
          <cell r="I2484">
            <v>41595</v>
          </cell>
          <cell r="J2484">
            <v>0</v>
          </cell>
          <cell r="W2484">
            <v>0</v>
          </cell>
          <cell r="AH2484">
            <v>400</v>
          </cell>
          <cell r="AJ2484">
            <v>400</v>
          </cell>
          <cell r="AW2484">
            <v>0</v>
          </cell>
        </row>
        <row r="2485">
          <cell r="B2485">
            <v>5991</v>
          </cell>
          <cell r="C2485" t="str">
            <v>EP_22_A</v>
          </cell>
          <cell r="D2485" t="str">
            <v>Rancho Estopila No. 22, A</v>
          </cell>
          <cell r="E2485" t="str">
            <v>Ayala Carranza</v>
          </cell>
          <cell r="F2485">
            <v>150</v>
          </cell>
          <cell r="G2485">
            <v>1</v>
          </cell>
          <cell r="H2485">
            <v>400</v>
          </cell>
          <cell r="I2485">
            <v>41595</v>
          </cell>
          <cell r="J2485">
            <v>0</v>
          </cell>
          <cell r="W2485">
            <v>0</v>
          </cell>
          <cell r="AG2485">
            <v>200</v>
          </cell>
          <cell r="AH2485">
            <v>200</v>
          </cell>
          <cell r="AJ2485">
            <v>400</v>
          </cell>
          <cell r="AW2485">
            <v>0</v>
          </cell>
        </row>
        <row r="2486">
          <cell r="B2486">
            <v>5992</v>
          </cell>
          <cell r="C2486" t="str">
            <v>EZ_55_</v>
          </cell>
          <cell r="D2486" t="str">
            <v>Rancho Estanzuela No. 55</v>
          </cell>
          <cell r="E2486" t="str">
            <v>Rodríguez Acevedo</v>
          </cell>
          <cell r="F2486">
            <v>300</v>
          </cell>
          <cell r="G2486">
            <v>1</v>
          </cell>
          <cell r="H2486">
            <v>400</v>
          </cell>
          <cell r="I2486">
            <v>41595</v>
          </cell>
          <cell r="J2486">
            <v>0</v>
          </cell>
          <cell r="W2486">
            <v>0</v>
          </cell>
          <cell r="AH2486">
            <v>400</v>
          </cell>
          <cell r="AJ2486">
            <v>400</v>
          </cell>
          <cell r="AW2486">
            <v>0</v>
          </cell>
        </row>
        <row r="2487">
          <cell r="B2487">
            <v>5993</v>
          </cell>
          <cell r="C2487" t="str">
            <v>LD_33_</v>
          </cell>
          <cell r="D2487" t="str">
            <v>Rancho Landero No. 33</v>
          </cell>
          <cell r="E2487" t="str">
            <v>González Uribe</v>
          </cell>
          <cell r="F2487">
            <v>300</v>
          </cell>
          <cell r="G2487">
            <v>1</v>
          </cell>
          <cell r="H2487">
            <v>800</v>
          </cell>
          <cell r="I2487">
            <v>41595</v>
          </cell>
          <cell r="J2487">
            <v>0</v>
          </cell>
          <cell r="W2487">
            <v>0</v>
          </cell>
          <cell r="AG2487">
            <v>400</v>
          </cell>
          <cell r="AH2487">
            <v>400</v>
          </cell>
          <cell r="AJ2487">
            <v>800</v>
          </cell>
          <cell r="AW2487">
            <v>0</v>
          </cell>
        </row>
        <row r="2488">
          <cell r="B2488">
            <v>5994</v>
          </cell>
          <cell r="C2488" t="str">
            <v>LD_69_</v>
          </cell>
          <cell r="D2488" t="str">
            <v>Rancho Landero No. 69</v>
          </cell>
          <cell r="E2488" t="str">
            <v>Gómez Ayala</v>
          </cell>
          <cell r="F2488">
            <v>300</v>
          </cell>
          <cell r="G2488">
            <v>1</v>
          </cell>
          <cell r="H2488">
            <v>800</v>
          </cell>
          <cell r="I2488">
            <v>41595</v>
          </cell>
          <cell r="J2488">
            <v>0</v>
          </cell>
          <cell r="W2488">
            <v>0</v>
          </cell>
          <cell r="AG2488">
            <v>400</v>
          </cell>
          <cell r="AH2488">
            <v>400</v>
          </cell>
          <cell r="AJ2488">
            <v>800</v>
          </cell>
          <cell r="AW2488">
            <v>0</v>
          </cell>
        </row>
        <row r="2489">
          <cell r="B2489">
            <v>5995</v>
          </cell>
          <cell r="C2489" t="str">
            <v>LD_47_</v>
          </cell>
          <cell r="D2489" t="str">
            <v>Rancho Landero No. 47</v>
          </cell>
          <cell r="E2489" t="str">
            <v>García González</v>
          </cell>
          <cell r="F2489">
            <v>300</v>
          </cell>
          <cell r="G2489">
            <v>1</v>
          </cell>
          <cell r="H2489">
            <v>400</v>
          </cell>
          <cell r="I2489">
            <v>41595</v>
          </cell>
          <cell r="J2489">
            <v>0</v>
          </cell>
          <cell r="W2489">
            <v>0</v>
          </cell>
          <cell r="AH2489">
            <v>400</v>
          </cell>
          <cell r="AJ2489">
            <v>400</v>
          </cell>
          <cell r="AW2489">
            <v>0</v>
          </cell>
        </row>
        <row r="2490">
          <cell r="B2490">
            <v>5996</v>
          </cell>
          <cell r="C2490" t="str">
            <v>LD_62_</v>
          </cell>
          <cell r="D2490" t="str">
            <v>Rancho Landero No. 62</v>
          </cell>
          <cell r="E2490" t="str">
            <v>Narvaez Sara</v>
          </cell>
          <cell r="F2490">
            <v>300</v>
          </cell>
          <cell r="G2490">
            <v>1</v>
          </cell>
          <cell r="H2490">
            <v>800</v>
          </cell>
          <cell r="I2490">
            <v>41595</v>
          </cell>
          <cell r="J2490">
            <v>0</v>
          </cell>
          <cell r="W2490">
            <v>0</v>
          </cell>
          <cell r="AG2490">
            <v>400</v>
          </cell>
          <cell r="AH2490">
            <v>400</v>
          </cell>
          <cell r="AJ2490">
            <v>800</v>
          </cell>
          <cell r="AW2490">
            <v>0</v>
          </cell>
        </row>
        <row r="2491">
          <cell r="B2491">
            <v>5997</v>
          </cell>
          <cell r="C2491" t="str">
            <v>CL_87_</v>
          </cell>
          <cell r="D2491" t="str">
            <v>Rancho La Cuchilla No. 87</v>
          </cell>
          <cell r="E2491" t="str">
            <v>Villanueva S.</v>
          </cell>
          <cell r="F2491">
            <v>300</v>
          </cell>
          <cell r="G2491">
            <v>1</v>
          </cell>
          <cell r="H2491">
            <v>400</v>
          </cell>
          <cell r="I2491">
            <v>41595</v>
          </cell>
          <cell r="J2491">
            <v>0</v>
          </cell>
          <cell r="W2491">
            <v>0</v>
          </cell>
          <cell r="AH2491">
            <v>400</v>
          </cell>
          <cell r="AJ2491">
            <v>400</v>
          </cell>
          <cell r="AW2491">
            <v>0</v>
          </cell>
        </row>
        <row r="2492">
          <cell r="B2492">
            <v>5998</v>
          </cell>
          <cell r="C2492" t="str">
            <v>CL_36_</v>
          </cell>
          <cell r="D2492" t="str">
            <v>Rancho La Cuchilla No. 36</v>
          </cell>
          <cell r="E2492" t="str">
            <v>Castillo</v>
          </cell>
          <cell r="F2492">
            <v>300</v>
          </cell>
          <cell r="G2492">
            <v>1</v>
          </cell>
          <cell r="H2492">
            <v>400</v>
          </cell>
          <cell r="I2492">
            <v>41595</v>
          </cell>
          <cell r="J2492">
            <v>0</v>
          </cell>
          <cell r="W2492">
            <v>0</v>
          </cell>
          <cell r="AH2492">
            <v>400</v>
          </cell>
          <cell r="AJ2492">
            <v>400</v>
          </cell>
          <cell r="AW2492">
            <v>0</v>
          </cell>
        </row>
        <row r="2493">
          <cell r="B2493">
            <v>5999</v>
          </cell>
          <cell r="C2493" t="str">
            <v>CL_115_</v>
          </cell>
          <cell r="D2493" t="str">
            <v>Rancho La Cuchilla No. 115</v>
          </cell>
          <cell r="E2493" t="str">
            <v>Alfaro</v>
          </cell>
          <cell r="F2493">
            <v>300</v>
          </cell>
          <cell r="G2493">
            <v>1</v>
          </cell>
          <cell r="H2493">
            <v>800</v>
          </cell>
          <cell r="I2493">
            <v>41595</v>
          </cell>
          <cell r="J2493">
            <v>0</v>
          </cell>
          <cell r="W2493">
            <v>0</v>
          </cell>
          <cell r="AG2493">
            <v>400</v>
          </cell>
          <cell r="AH2493">
            <v>400</v>
          </cell>
          <cell r="AJ2493">
            <v>800</v>
          </cell>
          <cell r="AW2493">
            <v>0</v>
          </cell>
        </row>
        <row r="2494">
          <cell r="B2494">
            <v>6000</v>
          </cell>
          <cell r="C2494" t="str">
            <v>LD_68_</v>
          </cell>
          <cell r="D2494" t="str">
            <v>Rancho Landero No. 68</v>
          </cell>
          <cell r="E2494" t="str">
            <v>Moreno</v>
          </cell>
          <cell r="F2494">
            <v>300</v>
          </cell>
          <cell r="G2494">
            <v>1</v>
          </cell>
          <cell r="H2494">
            <v>700</v>
          </cell>
          <cell r="I2494">
            <v>41595</v>
          </cell>
          <cell r="J2494">
            <v>0</v>
          </cell>
          <cell r="W2494">
            <v>0</v>
          </cell>
          <cell r="AF2494">
            <v>300</v>
          </cell>
          <cell r="AG2494">
            <v>400</v>
          </cell>
          <cell r="AJ2494">
            <v>700</v>
          </cell>
          <cell r="AW2494">
            <v>0</v>
          </cell>
        </row>
        <row r="2495">
          <cell r="B2495">
            <v>6001</v>
          </cell>
          <cell r="C2495" t="str">
            <v>EZ_111_</v>
          </cell>
          <cell r="D2495" t="str">
            <v>Rancho Estanzuela No. 111</v>
          </cell>
          <cell r="E2495" t="str">
            <v>Flores Pérez</v>
          </cell>
          <cell r="F2495">
            <v>300</v>
          </cell>
          <cell r="G2495">
            <v>1</v>
          </cell>
          <cell r="H2495">
            <v>400</v>
          </cell>
          <cell r="I2495">
            <v>41597</v>
          </cell>
          <cell r="J2495">
            <v>0</v>
          </cell>
          <cell r="W2495">
            <v>0</v>
          </cell>
          <cell r="AH2495">
            <v>400</v>
          </cell>
          <cell r="AJ2495">
            <v>400</v>
          </cell>
          <cell r="AW2495">
            <v>0</v>
          </cell>
        </row>
        <row r="2496">
          <cell r="B2496">
            <v>6002</v>
          </cell>
          <cell r="C2496" t="str">
            <v>ZB_12_</v>
          </cell>
          <cell r="D2496" t="str">
            <v>Rancho Zinamba No. 12</v>
          </cell>
          <cell r="E2496" t="str">
            <v>Rodríguez</v>
          </cell>
          <cell r="F2496">
            <v>400</v>
          </cell>
          <cell r="G2496">
            <v>1</v>
          </cell>
          <cell r="H2496">
            <v>400</v>
          </cell>
          <cell r="I2496">
            <v>41597</v>
          </cell>
          <cell r="J2496">
            <v>0</v>
          </cell>
          <cell r="W2496">
            <v>0</v>
          </cell>
          <cell r="AH2496">
            <v>400</v>
          </cell>
          <cell r="AJ2496">
            <v>400</v>
          </cell>
          <cell r="AW2496">
            <v>0</v>
          </cell>
        </row>
        <row r="2497">
          <cell r="B2497">
            <v>6003</v>
          </cell>
          <cell r="C2497" t="str">
            <v>ZB_14_</v>
          </cell>
          <cell r="D2497" t="str">
            <v>Rancho Zinamba No. 14</v>
          </cell>
          <cell r="E2497" t="str">
            <v>Gutiérrez García</v>
          </cell>
          <cell r="F2497">
            <v>300</v>
          </cell>
          <cell r="G2497">
            <v>1</v>
          </cell>
          <cell r="H2497">
            <v>400</v>
          </cell>
          <cell r="I2497">
            <v>41597</v>
          </cell>
          <cell r="J2497">
            <v>0</v>
          </cell>
          <cell r="W2497">
            <v>0</v>
          </cell>
          <cell r="AH2497">
            <v>400</v>
          </cell>
          <cell r="AJ2497">
            <v>400</v>
          </cell>
          <cell r="AW2497">
            <v>0</v>
          </cell>
        </row>
        <row r="2498">
          <cell r="B2498">
            <v>6004</v>
          </cell>
          <cell r="C2498" t="str">
            <v>CL_91_</v>
          </cell>
          <cell r="D2498" t="str">
            <v>Rancho La Cuchilla No. 91</v>
          </cell>
          <cell r="E2498" t="str">
            <v>Roldán Flores</v>
          </cell>
          <cell r="F2498">
            <v>300</v>
          </cell>
          <cell r="G2498">
            <v>3</v>
          </cell>
          <cell r="H2498">
            <v>160</v>
          </cell>
          <cell r="I2498">
            <v>41597</v>
          </cell>
          <cell r="J2498" t="str">
            <v>NO SUMA</v>
          </cell>
          <cell r="W2498">
            <v>0</v>
          </cell>
          <cell r="AJ2498">
            <v>0</v>
          </cell>
          <cell r="AW2498">
            <v>0</v>
          </cell>
        </row>
        <row r="2499">
          <cell r="B2499">
            <v>62</v>
          </cell>
          <cell r="C2499" t="str">
            <v>CM_130_A</v>
          </cell>
          <cell r="D2499" t="str">
            <v>Rancho Estanzuela No. 130, A</v>
          </cell>
          <cell r="E2499" t="str">
            <v>Colegio Carmel</v>
          </cell>
          <cell r="F2499">
            <v>10000</v>
          </cell>
          <cell r="G2499">
            <v>1</v>
          </cell>
          <cell r="H2499">
            <v>10000</v>
          </cell>
          <cell r="I2499">
            <v>41598</v>
          </cell>
          <cell r="J2499">
            <v>0</v>
          </cell>
          <cell r="W2499">
            <v>0</v>
          </cell>
          <cell r="AH2499">
            <v>10000</v>
          </cell>
          <cell r="AJ2499">
            <v>10000</v>
          </cell>
          <cell r="AW2499">
            <v>0</v>
          </cell>
        </row>
        <row r="2500">
          <cell r="B2500">
            <v>6005</v>
          </cell>
          <cell r="C2500" t="str">
            <v>EZ_129_</v>
          </cell>
          <cell r="D2500" t="str">
            <v>Rancho Estanzuela No. 129</v>
          </cell>
          <cell r="E2500" t="str">
            <v>González</v>
          </cell>
          <cell r="F2500">
            <v>300</v>
          </cell>
          <cell r="G2500">
            <v>1</v>
          </cell>
          <cell r="H2500">
            <v>250</v>
          </cell>
          <cell r="I2500">
            <v>41599</v>
          </cell>
          <cell r="J2500">
            <v>0</v>
          </cell>
          <cell r="W2500">
            <v>0</v>
          </cell>
          <cell r="AH2500">
            <v>250</v>
          </cell>
          <cell r="AJ2500">
            <v>250</v>
          </cell>
          <cell r="AW2500">
            <v>0</v>
          </cell>
        </row>
        <row r="2501">
          <cell r="B2501">
            <v>6006</v>
          </cell>
          <cell r="C2501" t="str">
            <v>UP_34_</v>
          </cell>
          <cell r="D2501" t="str">
            <v>Rancho Upácuaro No. 34</v>
          </cell>
          <cell r="E2501" t="str">
            <v>Gómez González</v>
          </cell>
          <cell r="F2501">
            <v>300</v>
          </cell>
          <cell r="G2501">
            <v>1</v>
          </cell>
          <cell r="H2501">
            <v>600</v>
          </cell>
          <cell r="I2501">
            <v>41599</v>
          </cell>
          <cell r="J2501">
            <v>0</v>
          </cell>
          <cell r="W2501">
            <v>0</v>
          </cell>
          <cell r="AG2501">
            <v>300</v>
          </cell>
          <cell r="AH2501">
            <v>300</v>
          </cell>
          <cell r="AJ2501">
            <v>600</v>
          </cell>
          <cell r="AW2501">
            <v>0</v>
          </cell>
        </row>
        <row r="2502">
          <cell r="B2502">
            <v>6147</v>
          </cell>
          <cell r="C2502" t="str">
            <v>CM_130_A</v>
          </cell>
          <cell r="G2502">
            <v>8</v>
          </cell>
          <cell r="I2502">
            <v>41600</v>
          </cell>
          <cell r="J2502" t="str">
            <v>NO SUMA</v>
          </cell>
          <cell r="W2502">
            <v>0</v>
          </cell>
          <cell r="AJ2502">
            <v>0</v>
          </cell>
          <cell r="AW2502">
            <v>0</v>
          </cell>
        </row>
        <row r="2503">
          <cell r="B2503">
            <v>6007</v>
          </cell>
          <cell r="C2503" t="str">
            <v>CL_95_</v>
          </cell>
          <cell r="D2503" t="str">
            <v>Rancho La Cuchilla No. 95</v>
          </cell>
          <cell r="E2503" t="str">
            <v>Gutiérrez Sánchez</v>
          </cell>
          <cell r="F2503">
            <v>300</v>
          </cell>
          <cell r="G2503">
            <v>1</v>
          </cell>
          <cell r="H2503">
            <v>800</v>
          </cell>
          <cell r="I2503">
            <v>41602</v>
          </cell>
          <cell r="J2503">
            <v>0</v>
          </cell>
          <cell r="W2503">
            <v>0</v>
          </cell>
          <cell r="AH2503">
            <v>400</v>
          </cell>
          <cell r="AI2503">
            <v>400</v>
          </cell>
          <cell r="AJ2503">
            <v>800</v>
          </cell>
          <cell r="AW2503">
            <v>0</v>
          </cell>
        </row>
        <row r="2504">
          <cell r="B2504">
            <v>6008</v>
          </cell>
          <cell r="C2504" t="str">
            <v>EP_18_</v>
          </cell>
          <cell r="D2504" t="str">
            <v>Rancho Estopila No. 18</v>
          </cell>
          <cell r="E2504" t="str">
            <v>Aguilar Zarmeño</v>
          </cell>
          <cell r="F2504">
            <v>300</v>
          </cell>
          <cell r="G2504">
            <v>1</v>
          </cell>
          <cell r="H2504">
            <v>800</v>
          </cell>
          <cell r="I2504">
            <v>41602</v>
          </cell>
          <cell r="J2504">
            <v>0</v>
          </cell>
          <cell r="W2504">
            <v>0</v>
          </cell>
          <cell r="AH2504">
            <v>400</v>
          </cell>
          <cell r="AI2504">
            <v>400</v>
          </cell>
          <cell r="AJ2504">
            <v>800</v>
          </cell>
          <cell r="AW2504">
            <v>0</v>
          </cell>
        </row>
        <row r="2505">
          <cell r="B2505">
            <v>6009</v>
          </cell>
          <cell r="C2505" t="str">
            <v>ZB_50_</v>
          </cell>
          <cell r="D2505" t="str">
            <v>Rancho Zinamba No. 50</v>
          </cell>
          <cell r="E2505" t="str">
            <v>Del Castillo</v>
          </cell>
          <cell r="F2505">
            <v>300</v>
          </cell>
          <cell r="G2505">
            <v>1</v>
          </cell>
          <cell r="H2505">
            <v>400</v>
          </cell>
          <cell r="I2505">
            <v>41602</v>
          </cell>
          <cell r="J2505">
            <v>0</v>
          </cell>
          <cell r="W2505">
            <v>0</v>
          </cell>
          <cell r="AG2505">
            <v>400</v>
          </cell>
          <cell r="AJ2505">
            <v>400</v>
          </cell>
          <cell r="AW2505">
            <v>0</v>
          </cell>
        </row>
        <row r="2506">
          <cell r="B2506">
            <v>6010</v>
          </cell>
          <cell r="C2506" t="str">
            <v>ZB_26_</v>
          </cell>
          <cell r="D2506" t="str">
            <v>Rancho Zinamba No. 26</v>
          </cell>
          <cell r="E2506" t="str">
            <v>Ayala</v>
          </cell>
          <cell r="F2506">
            <v>300</v>
          </cell>
          <cell r="G2506">
            <v>1</v>
          </cell>
          <cell r="H2506">
            <v>300</v>
          </cell>
          <cell r="I2506">
            <v>41602</v>
          </cell>
          <cell r="J2506">
            <v>0</v>
          </cell>
          <cell r="W2506">
            <v>0</v>
          </cell>
          <cell r="AF2506">
            <v>300</v>
          </cell>
          <cell r="AJ2506">
            <v>300</v>
          </cell>
          <cell r="AW2506">
            <v>0</v>
          </cell>
        </row>
        <row r="2507">
          <cell r="B2507">
            <v>6011</v>
          </cell>
          <cell r="C2507" t="str">
            <v>UP_110_</v>
          </cell>
          <cell r="D2507" t="str">
            <v>Rancho Upácuaro No. 110</v>
          </cell>
          <cell r="E2507" t="str">
            <v>Ruiz Mijangos</v>
          </cell>
          <cell r="F2507">
            <v>300</v>
          </cell>
          <cell r="G2507">
            <v>1</v>
          </cell>
          <cell r="H2507">
            <v>600</v>
          </cell>
          <cell r="I2507">
            <v>41602</v>
          </cell>
          <cell r="J2507">
            <v>0</v>
          </cell>
          <cell r="W2507">
            <v>0</v>
          </cell>
          <cell r="AG2507">
            <v>300</v>
          </cell>
          <cell r="AH2507">
            <v>300</v>
          </cell>
          <cell r="AJ2507">
            <v>600</v>
          </cell>
          <cell r="AW2507">
            <v>0</v>
          </cell>
        </row>
        <row r="2508">
          <cell r="B2508">
            <v>6012</v>
          </cell>
          <cell r="C2508" t="str">
            <v>UP_138_</v>
          </cell>
          <cell r="D2508" t="str">
            <v>Rancho Upácuaro No. 138</v>
          </cell>
          <cell r="E2508" t="str">
            <v>Ramírez Valencia</v>
          </cell>
          <cell r="F2508">
            <v>300</v>
          </cell>
          <cell r="G2508">
            <v>1</v>
          </cell>
          <cell r="H2508">
            <v>1200</v>
          </cell>
          <cell r="I2508">
            <v>41602</v>
          </cell>
          <cell r="J2508">
            <v>0</v>
          </cell>
          <cell r="W2508">
            <v>0</v>
          </cell>
          <cell r="AG2508">
            <v>400</v>
          </cell>
          <cell r="AH2508">
            <v>400</v>
          </cell>
          <cell r="AI2508">
            <v>400</v>
          </cell>
          <cell r="AJ2508">
            <v>1200</v>
          </cell>
          <cell r="AW2508">
            <v>0</v>
          </cell>
        </row>
        <row r="2509">
          <cell r="B2509">
            <v>6013</v>
          </cell>
          <cell r="C2509" t="str">
            <v>RM_10_A</v>
          </cell>
          <cell r="D2509" t="str">
            <v>Rancho Romeral No. 10, A</v>
          </cell>
          <cell r="E2509" t="str">
            <v>Casillas Álvarez</v>
          </cell>
          <cell r="F2509">
            <v>150</v>
          </cell>
          <cell r="G2509">
            <v>1</v>
          </cell>
          <cell r="H2509">
            <v>400</v>
          </cell>
          <cell r="I2509">
            <v>41602</v>
          </cell>
          <cell r="J2509">
            <v>0</v>
          </cell>
          <cell r="W2509">
            <v>0</v>
          </cell>
          <cell r="AH2509">
            <v>200</v>
          </cell>
          <cell r="AI2509">
            <v>200</v>
          </cell>
          <cell r="AJ2509">
            <v>400</v>
          </cell>
          <cell r="AW2509">
            <v>0</v>
          </cell>
        </row>
        <row r="2510">
          <cell r="B2510">
            <v>6014</v>
          </cell>
          <cell r="C2510" t="str">
            <v>CL_112_PB</v>
          </cell>
          <cell r="D2510" t="str">
            <v>Rancho La Cuchilla No. 112, PB</v>
          </cell>
          <cell r="E2510" t="str">
            <v>Soreque</v>
          </cell>
          <cell r="F2510">
            <v>150</v>
          </cell>
          <cell r="G2510">
            <v>1</v>
          </cell>
          <cell r="H2510">
            <v>200</v>
          </cell>
          <cell r="I2510">
            <v>41602</v>
          </cell>
          <cell r="J2510">
            <v>0</v>
          </cell>
          <cell r="W2510">
            <v>0</v>
          </cell>
          <cell r="AH2510">
            <v>200</v>
          </cell>
          <cell r="AJ2510">
            <v>200</v>
          </cell>
          <cell r="AW2510">
            <v>0</v>
          </cell>
        </row>
        <row r="2511">
          <cell r="B2511">
            <v>6015</v>
          </cell>
          <cell r="C2511" t="str">
            <v>Cl_110_</v>
          </cell>
          <cell r="D2511" t="str">
            <v>Rancho La Cuchilla No. 110</v>
          </cell>
          <cell r="E2511" t="str">
            <v>Domínguez Canudas</v>
          </cell>
          <cell r="F2511">
            <v>300</v>
          </cell>
          <cell r="G2511">
            <v>1</v>
          </cell>
          <cell r="H2511">
            <v>800</v>
          </cell>
          <cell r="I2511">
            <v>41602</v>
          </cell>
          <cell r="J2511">
            <v>0</v>
          </cell>
          <cell r="W2511">
            <v>0</v>
          </cell>
          <cell r="AH2511">
            <v>400</v>
          </cell>
          <cell r="AI2511">
            <v>400</v>
          </cell>
          <cell r="AJ2511">
            <v>800</v>
          </cell>
          <cell r="AW2511">
            <v>0</v>
          </cell>
        </row>
        <row r="2512">
          <cell r="B2512">
            <v>6016</v>
          </cell>
          <cell r="C2512" t="str">
            <v>UP_49_</v>
          </cell>
          <cell r="D2512" t="str">
            <v>Rancho Upácuaro No. 49</v>
          </cell>
          <cell r="E2512" t="str">
            <v>Sánchez Romano</v>
          </cell>
          <cell r="F2512">
            <v>300</v>
          </cell>
          <cell r="G2512">
            <v>1</v>
          </cell>
          <cell r="H2512">
            <v>200</v>
          </cell>
          <cell r="I2512">
            <v>41602</v>
          </cell>
          <cell r="J2512">
            <v>0</v>
          </cell>
          <cell r="W2512">
            <v>0</v>
          </cell>
          <cell r="AA2512">
            <v>200</v>
          </cell>
          <cell r="AJ2512">
            <v>200</v>
          </cell>
          <cell r="AW2512">
            <v>0</v>
          </cell>
        </row>
        <row r="2513">
          <cell r="B2513">
            <v>6017</v>
          </cell>
          <cell r="C2513" t="str">
            <v>CL_131_</v>
          </cell>
          <cell r="D2513" t="str">
            <v>Rancho La Cuchilla No. 131</v>
          </cell>
          <cell r="E2513" t="str">
            <v>Cabrera Escudero</v>
          </cell>
          <cell r="F2513">
            <v>300</v>
          </cell>
          <cell r="G2513">
            <v>1</v>
          </cell>
          <cell r="H2513">
            <v>400</v>
          </cell>
          <cell r="I2513">
            <v>41602</v>
          </cell>
          <cell r="J2513">
            <v>0</v>
          </cell>
          <cell r="W2513">
            <v>0</v>
          </cell>
          <cell r="AH2513">
            <v>400</v>
          </cell>
          <cell r="AJ2513">
            <v>400</v>
          </cell>
          <cell r="AW2513">
            <v>0</v>
          </cell>
        </row>
        <row r="2514">
          <cell r="B2514">
            <v>6018</v>
          </cell>
          <cell r="C2514" t="str">
            <v>EZ_37_</v>
          </cell>
          <cell r="D2514" t="str">
            <v>Rancho Estanzuela No. 37</v>
          </cell>
          <cell r="E2514" t="str">
            <v>Cabello Eduardo</v>
          </cell>
          <cell r="F2514">
            <v>300</v>
          </cell>
          <cell r="G2514">
            <v>1</v>
          </cell>
          <cell r="H2514">
            <v>1200</v>
          </cell>
          <cell r="I2514">
            <v>41602</v>
          </cell>
          <cell r="J2514">
            <v>0</v>
          </cell>
          <cell r="W2514">
            <v>0</v>
          </cell>
          <cell r="AG2514">
            <v>400</v>
          </cell>
          <cell r="AH2514">
            <v>400</v>
          </cell>
          <cell r="AI2514">
            <v>400</v>
          </cell>
          <cell r="AJ2514">
            <v>1200</v>
          </cell>
          <cell r="AW2514">
            <v>0</v>
          </cell>
        </row>
        <row r="2515">
          <cell r="B2515">
            <v>6019</v>
          </cell>
          <cell r="C2515" t="str">
            <v>UP_114_</v>
          </cell>
          <cell r="D2515" t="str">
            <v>Rancho Upácuaro No. 114</v>
          </cell>
          <cell r="E2515" t="str">
            <v>Hernández Cornejo</v>
          </cell>
          <cell r="F2515">
            <v>300</v>
          </cell>
          <cell r="G2515">
            <v>1</v>
          </cell>
          <cell r="H2515">
            <v>400</v>
          </cell>
          <cell r="I2515">
            <v>41602</v>
          </cell>
          <cell r="J2515">
            <v>0</v>
          </cell>
          <cell r="W2515">
            <v>0</v>
          </cell>
          <cell r="AH2515">
            <v>400</v>
          </cell>
          <cell r="AJ2515">
            <v>400</v>
          </cell>
          <cell r="AW2515">
            <v>0</v>
          </cell>
        </row>
        <row r="2516">
          <cell r="B2516">
            <v>6020</v>
          </cell>
          <cell r="C2516" t="str">
            <v>EZ_35_</v>
          </cell>
          <cell r="D2516" t="str">
            <v>Rancho Estanzuela No. 35</v>
          </cell>
          <cell r="E2516" t="str">
            <v>Rodríguez</v>
          </cell>
          <cell r="F2516">
            <v>300</v>
          </cell>
          <cell r="G2516">
            <v>1</v>
          </cell>
          <cell r="H2516">
            <v>400</v>
          </cell>
          <cell r="I2516">
            <v>41602</v>
          </cell>
          <cell r="J2516">
            <v>0</v>
          </cell>
          <cell r="W2516">
            <v>0</v>
          </cell>
          <cell r="AH2516">
            <v>400</v>
          </cell>
          <cell r="AJ2516">
            <v>400</v>
          </cell>
          <cell r="AW2516">
            <v>0</v>
          </cell>
        </row>
        <row r="2517">
          <cell r="B2517">
            <v>6021</v>
          </cell>
          <cell r="C2517" t="str">
            <v>UP_64_</v>
          </cell>
          <cell r="D2517" t="str">
            <v>Rancho Upácuaro No. 64</v>
          </cell>
          <cell r="E2517" t="str">
            <v>Méndez Oliva</v>
          </cell>
          <cell r="F2517">
            <v>300</v>
          </cell>
          <cell r="G2517">
            <v>1</v>
          </cell>
          <cell r="H2517">
            <v>300</v>
          </cell>
          <cell r="I2517">
            <v>41602</v>
          </cell>
          <cell r="J2517">
            <v>0</v>
          </cell>
          <cell r="W2517">
            <v>0</v>
          </cell>
          <cell r="AH2517">
            <v>300</v>
          </cell>
          <cell r="AJ2517">
            <v>300</v>
          </cell>
          <cell r="AW2517">
            <v>0</v>
          </cell>
        </row>
        <row r="2518">
          <cell r="B2518">
            <v>6022</v>
          </cell>
          <cell r="C2518" t="str">
            <v>UP_71_</v>
          </cell>
          <cell r="D2518" t="str">
            <v>Rancho Upácuaro No. 71</v>
          </cell>
          <cell r="E2518" t="str">
            <v>Trejo Méndez</v>
          </cell>
          <cell r="F2518">
            <v>300</v>
          </cell>
          <cell r="G2518">
            <v>1</v>
          </cell>
          <cell r="H2518">
            <v>400</v>
          </cell>
          <cell r="I2518">
            <v>41602</v>
          </cell>
          <cell r="J2518">
            <v>0</v>
          </cell>
          <cell r="W2518">
            <v>0</v>
          </cell>
          <cell r="AH2518">
            <v>400</v>
          </cell>
          <cell r="AJ2518">
            <v>400</v>
          </cell>
          <cell r="AW2518">
            <v>0</v>
          </cell>
        </row>
        <row r="2519">
          <cell r="B2519">
            <v>6023</v>
          </cell>
          <cell r="C2519" t="str">
            <v>LD_73_</v>
          </cell>
          <cell r="D2519" t="str">
            <v>Rancho Landero No. 73</v>
          </cell>
          <cell r="E2519" t="str">
            <v>Islas Palacios</v>
          </cell>
          <cell r="F2519">
            <v>300</v>
          </cell>
          <cell r="G2519">
            <v>1</v>
          </cell>
          <cell r="H2519">
            <v>400</v>
          </cell>
          <cell r="I2519">
            <v>41602</v>
          </cell>
          <cell r="J2519">
            <v>0</v>
          </cell>
          <cell r="W2519">
            <v>0</v>
          </cell>
          <cell r="AH2519">
            <v>400</v>
          </cell>
          <cell r="AJ2519">
            <v>400</v>
          </cell>
          <cell r="AW2519">
            <v>0</v>
          </cell>
        </row>
        <row r="2520">
          <cell r="B2520">
            <v>6024</v>
          </cell>
          <cell r="C2520" t="str">
            <v>RM_33_</v>
          </cell>
          <cell r="D2520" t="str">
            <v>Rancho Romeral No. 33</v>
          </cell>
          <cell r="E2520" t="str">
            <v>Juárez Alva</v>
          </cell>
          <cell r="F2520">
            <v>300</v>
          </cell>
          <cell r="G2520">
            <v>1</v>
          </cell>
          <cell r="H2520">
            <v>300</v>
          </cell>
          <cell r="I2520">
            <v>41602</v>
          </cell>
          <cell r="J2520">
            <v>0</v>
          </cell>
          <cell r="W2520">
            <v>0</v>
          </cell>
          <cell r="AF2520">
            <v>300</v>
          </cell>
          <cell r="AJ2520">
            <v>300</v>
          </cell>
          <cell r="AW2520">
            <v>0</v>
          </cell>
        </row>
        <row r="2521">
          <cell r="B2521">
            <v>6025</v>
          </cell>
          <cell r="C2521" t="str">
            <v>LD_70_</v>
          </cell>
          <cell r="D2521" t="str">
            <v>Rancho Landero No. 70</v>
          </cell>
          <cell r="E2521" t="str">
            <v>Olguín</v>
          </cell>
          <cell r="F2521">
            <v>100</v>
          </cell>
          <cell r="G2521">
            <v>1</v>
          </cell>
          <cell r="H2521">
            <v>100</v>
          </cell>
          <cell r="I2521">
            <v>41602</v>
          </cell>
          <cell r="J2521">
            <v>0</v>
          </cell>
          <cell r="W2521">
            <v>0</v>
          </cell>
          <cell r="AH2521">
            <v>100</v>
          </cell>
          <cell r="AJ2521">
            <v>100</v>
          </cell>
          <cell r="AW2521">
            <v>0</v>
          </cell>
        </row>
        <row r="2522">
          <cell r="B2522" t="str">
            <v>NÚMERO</v>
          </cell>
          <cell r="C2522" t="str">
            <v>CASA</v>
          </cell>
          <cell r="D2522" t="str">
            <v>DOMICILIO</v>
          </cell>
          <cell r="E2522" t="str">
            <v>FAMILIA</v>
          </cell>
          <cell r="F2522" t="str">
            <v>CUOTA</v>
          </cell>
          <cell r="G2522" t="str">
            <v>C_ING</v>
          </cell>
          <cell r="H2522" t="str">
            <v>IMPORTE</v>
          </cell>
          <cell r="I2522" t="str">
            <v>FECHA</v>
          </cell>
          <cell r="J2522" t="str">
            <v>CHK</v>
          </cell>
          <cell r="K2522" t="str">
            <v>ENE
2012</v>
          </cell>
          <cell r="L2522" t="str">
            <v>FEB
2012</v>
          </cell>
          <cell r="M2522" t="str">
            <v>MAR
2012</v>
          </cell>
          <cell r="N2522" t="str">
            <v>ABR
2012</v>
          </cell>
          <cell r="O2522" t="str">
            <v>MAY
2012</v>
          </cell>
          <cell r="P2522" t="str">
            <v>JUN
2012</v>
          </cell>
          <cell r="Q2522" t="str">
            <v>JUL
2012</v>
          </cell>
          <cell r="R2522" t="str">
            <v>AGO
2012</v>
          </cell>
          <cell r="S2522" t="str">
            <v>SEP
2012</v>
          </cell>
          <cell r="T2522" t="str">
            <v>OCT
2012</v>
          </cell>
          <cell r="U2522" t="str">
            <v>NOV
2012</v>
          </cell>
          <cell r="V2522" t="str">
            <v>DIC
2012</v>
          </cell>
          <cell r="W2522" t="str">
            <v>SUMA
2012</v>
          </cell>
          <cell r="X2522" t="str">
            <v>ENE
2013</v>
          </cell>
          <cell r="Y2522" t="str">
            <v>FEB
2013</v>
          </cell>
          <cell r="Z2522" t="str">
            <v>MAR
2013</v>
          </cell>
          <cell r="AA2522" t="str">
            <v>ABR
2013</v>
          </cell>
          <cell r="AB2522" t="str">
            <v>MAY
2013</v>
          </cell>
          <cell r="AC2522" t="str">
            <v>JUN
2013</v>
          </cell>
          <cell r="AD2522" t="str">
            <v>JUL
2013</v>
          </cell>
          <cell r="AE2522" t="str">
            <v>AGO
2013</v>
          </cell>
          <cell r="AF2522" t="str">
            <v>SEP
2013</v>
          </cell>
          <cell r="AG2522" t="str">
            <v>OCT
2013</v>
          </cell>
          <cell r="AH2522" t="str">
            <v>NOV
2013</v>
          </cell>
          <cell r="AI2522" t="str">
            <v>DIC
2013</v>
          </cell>
          <cell r="AJ2522" t="str">
            <v>SUMA
2013</v>
          </cell>
          <cell r="AK2522" t="str">
            <v>ENE
2014</v>
          </cell>
          <cell r="AL2522" t="str">
            <v>FEB
2014</v>
          </cell>
          <cell r="AM2522" t="str">
            <v>MAR
2014</v>
          </cell>
          <cell r="AN2522" t="str">
            <v>ABR
2014</v>
          </cell>
          <cell r="AO2522" t="str">
            <v>MAY
2014</v>
          </cell>
          <cell r="AP2522" t="str">
            <v>JUN
2014</v>
          </cell>
          <cell r="AQ2522" t="str">
            <v>JUL
2014</v>
          </cell>
          <cell r="AR2522" t="str">
            <v>AGO
2014</v>
          </cell>
          <cell r="AS2522" t="str">
            <v>SEP
2014</v>
          </cell>
          <cell r="AT2522" t="str">
            <v>OCT
2014</v>
          </cell>
          <cell r="AU2522" t="str">
            <v>NOV
2014</v>
          </cell>
          <cell r="AV2522" t="str">
            <v>DIC
2014</v>
          </cell>
          <cell r="AW2522" t="str">
            <v>SUMA
2014</v>
          </cell>
        </row>
        <row r="2523">
          <cell r="B2523">
            <v>6026</v>
          </cell>
          <cell r="C2523" t="str">
            <v>CL_19_</v>
          </cell>
          <cell r="D2523" t="str">
            <v>Rancho La Cuchilla No. 19</v>
          </cell>
          <cell r="E2523" t="str">
            <v>Tapia Vázquez</v>
          </cell>
          <cell r="F2523">
            <v>300</v>
          </cell>
          <cell r="G2523">
            <v>1</v>
          </cell>
          <cell r="H2523">
            <v>300</v>
          </cell>
          <cell r="I2523">
            <v>41609</v>
          </cell>
          <cell r="J2523">
            <v>0</v>
          </cell>
          <cell r="W2523">
            <v>0</v>
          </cell>
          <cell r="AI2523">
            <v>300</v>
          </cell>
          <cell r="AJ2523">
            <v>300</v>
          </cell>
          <cell r="AW2523">
            <v>0</v>
          </cell>
        </row>
        <row r="2524">
          <cell r="B2524">
            <v>6027</v>
          </cell>
          <cell r="C2524" t="str">
            <v>CL_135_</v>
          </cell>
          <cell r="D2524" t="str">
            <v>Rancho La Cuchilla No. 135</v>
          </cell>
          <cell r="E2524" t="str">
            <v>Juárez Sánchez</v>
          </cell>
          <cell r="F2524">
            <v>300</v>
          </cell>
          <cell r="G2524">
            <v>1</v>
          </cell>
          <cell r="H2524">
            <v>800</v>
          </cell>
          <cell r="I2524">
            <v>41609</v>
          </cell>
          <cell r="J2524">
            <v>0</v>
          </cell>
          <cell r="W2524">
            <v>0</v>
          </cell>
          <cell r="AH2524">
            <v>400</v>
          </cell>
          <cell r="AI2524">
            <v>400</v>
          </cell>
          <cell r="AJ2524">
            <v>800</v>
          </cell>
          <cell r="AW2524">
            <v>0</v>
          </cell>
        </row>
        <row r="2525">
          <cell r="B2525">
            <v>6028</v>
          </cell>
          <cell r="C2525" t="str">
            <v>UP_101_</v>
          </cell>
          <cell r="D2525" t="str">
            <v>Rancho Upácuaro No. 101</v>
          </cell>
          <cell r="E2525" t="str">
            <v>Chávez, Arturo</v>
          </cell>
          <cell r="F2525">
            <v>300</v>
          </cell>
          <cell r="G2525">
            <v>1</v>
          </cell>
          <cell r="H2525">
            <v>400</v>
          </cell>
          <cell r="I2525">
            <v>41609</v>
          </cell>
          <cell r="J2525">
            <v>0</v>
          </cell>
          <cell r="W2525">
            <v>0</v>
          </cell>
          <cell r="AI2525">
            <v>400</v>
          </cell>
          <cell r="AJ2525">
            <v>400</v>
          </cell>
          <cell r="AW2525">
            <v>0</v>
          </cell>
        </row>
        <row r="2526">
          <cell r="B2526">
            <v>6029</v>
          </cell>
          <cell r="C2526" t="str">
            <v>CL_120_</v>
          </cell>
          <cell r="D2526" t="str">
            <v>Rancho La Cuchilla No. 120</v>
          </cell>
          <cell r="E2526" t="str">
            <v>Pozos Vilchis</v>
          </cell>
          <cell r="F2526">
            <v>300</v>
          </cell>
          <cell r="G2526">
            <v>1</v>
          </cell>
          <cell r="H2526">
            <v>400</v>
          </cell>
          <cell r="I2526">
            <v>41609</v>
          </cell>
          <cell r="J2526">
            <v>0</v>
          </cell>
          <cell r="W2526">
            <v>0</v>
          </cell>
          <cell r="AI2526">
            <v>400</v>
          </cell>
          <cell r="AJ2526">
            <v>400</v>
          </cell>
          <cell r="AW2526">
            <v>0</v>
          </cell>
        </row>
        <row r="2527">
          <cell r="B2527">
            <v>6030</v>
          </cell>
          <cell r="C2527" t="str">
            <v>UP_140_</v>
          </cell>
          <cell r="D2527" t="str">
            <v>Rancho Upácuaro No. 140</v>
          </cell>
          <cell r="E2527" t="str">
            <v>Gozain</v>
          </cell>
          <cell r="F2527">
            <v>300</v>
          </cell>
          <cell r="G2527">
            <v>1</v>
          </cell>
          <cell r="H2527">
            <v>400</v>
          </cell>
          <cell r="I2527">
            <v>41609</v>
          </cell>
          <cell r="J2527">
            <v>0</v>
          </cell>
          <cell r="W2527">
            <v>0</v>
          </cell>
          <cell r="AI2527">
            <v>400</v>
          </cell>
          <cell r="AJ2527">
            <v>400</v>
          </cell>
          <cell r="AW2527">
            <v>0</v>
          </cell>
        </row>
        <row r="2528">
          <cell r="B2528">
            <v>6031</v>
          </cell>
          <cell r="C2528" t="str">
            <v>UP_96_</v>
          </cell>
          <cell r="D2528" t="str">
            <v>Rancho Upácuaro No. 96</v>
          </cell>
          <cell r="E2528" t="str">
            <v>Daza Gutiérrez</v>
          </cell>
          <cell r="F2528">
            <v>300</v>
          </cell>
          <cell r="G2528">
            <v>1</v>
          </cell>
          <cell r="H2528">
            <v>800</v>
          </cell>
          <cell r="I2528">
            <v>41609</v>
          </cell>
          <cell r="J2528">
            <v>0</v>
          </cell>
          <cell r="W2528">
            <v>0</v>
          </cell>
          <cell r="AH2528">
            <v>400</v>
          </cell>
          <cell r="AI2528">
            <v>400</v>
          </cell>
          <cell r="AJ2528">
            <v>800</v>
          </cell>
          <cell r="AW2528">
            <v>0</v>
          </cell>
        </row>
        <row r="2529">
          <cell r="B2529">
            <v>6032</v>
          </cell>
          <cell r="C2529" t="str">
            <v>CL_139_</v>
          </cell>
          <cell r="D2529" t="str">
            <v>Rancho La Cuchilla No. 139</v>
          </cell>
          <cell r="E2529" t="str">
            <v>Santos</v>
          </cell>
          <cell r="F2529">
            <v>200</v>
          </cell>
          <cell r="G2529">
            <v>1</v>
          </cell>
          <cell r="H2529">
            <v>200</v>
          </cell>
          <cell r="I2529">
            <v>41609</v>
          </cell>
          <cell r="J2529">
            <v>0</v>
          </cell>
          <cell r="W2529">
            <v>0</v>
          </cell>
          <cell r="AI2529">
            <v>200</v>
          </cell>
          <cell r="AJ2529">
            <v>200</v>
          </cell>
          <cell r="AW2529">
            <v>0</v>
          </cell>
        </row>
        <row r="2530">
          <cell r="B2530">
            <v>6033</v>
          </cell>
          <cell r="C2530" t="str">
            <v>UP_32_</v>
          </cell>
          <cell r="D2530" t="str">
            <v>Rancho Upácuaro No. 32</v>
          </cell>
          <cell r="E2530" t="str">
            <v>Sairafi Carmen</v>
          </cell>
          <cell r="F2530">
            <v>400</v>
          </cell>
          <cell r="G2530">
            <v>1</v>
          </cell>
          <cell r="H2530">
            <v>400</v>
          </cell>
          <cell r="I2530">
            <v>41609</v>
          </cell>
          <cell r="J2530">
            <v>0</v>
          </cell>
          <cell r="W2530">
            <v>0</v>
          </cell>
          <cell r="AI2530">
            <v>400</v>
          </cell>
          <cell r="AJ2530">
            <v>400</v>
          </cell>
          <cell r="AW2530">
            <v>0</v>
          </cell>
        </row>
        <row r="2531">
          <cell r="B2531">
            <v>6034</v>
          </cell>
          <cell r="C2531" t="str">
            <v>CL_81_A</v>
          </cell>
          <cell r="D2531" t="str">
            <v>Rancho La Cuchilla No. 81, A</v>
          </cell>
          <cell r="E2531" t="str">
            <v>Barrientos López</v>
          </cell>
          <cell r="F2531">
            <v>300</v>
          </cell>
          <cell r="G2531">
            <v>1</v>
          </cell>
          <cell r="H2531">
            <v>300</v>
          </cell>
          <cell r="I2531">
            <v>41609</v>
          </cell>
          <cell r="J2531">
            <v>0</v>
          </cell>
          <cell r="W2531">
            <v>0</v>
          </cell>
          <cell r="AG2531">
            <v>100</v>
          </cell>
          <cell r="AH2531">
            <v>100</v>
          </cell>
          <cell r="AI2531">
            <v>100</v>
          </cell>
          <cell r="AJ2531">
            <v>300</v>
          </cell>
          <cell r="AW2531">
            <v>0</v>
          </cell>
        </row>
        <row r="2532">
          <cell r="B2532">
            <v>6035</v>
          </cell>
          <cell r="C2532" t="str">
            <v>ZB_36_</v>
          </cell>
          <cell r="D2532" t="str">
            <v>Rancho Zinamba No. 36</v>
          </cell>
          <cell r="E2532" t="str">
            <v>Rodríguez Ortiz</v>
          </cell>
          <cell r="F2532">
            <v>300</v>
          </cell>
          <cell r="G2532">
            <v>1</v>
          </cell>
          <cell r="H2532">
            <v>300</v>
          </cell>
          <cell r="I2532">
            <v>41609</v>
          </cell>
          <cell r="J2532">
            <v>0</v>
          </cell>
          <cell r="W2532">
            <v>0</v>
          </cell>
          <cell r="AI2532">
            <v>300</v>
          </cell>
          <cell r="AJ2532">
            <v>300</v>
          </cell>
          <cell r="AW2532">
            <v>0</v>
          </cell>
        </row>
        <row r="2533">
          <cell r="B2533">
            <v>6036</v>
          </cell>
          <cell r="C2533" t="str">
            <v>UP_100_</v>
          </cell>
          <cell r="D2533" t="str">
            <v>Rancho Upácuaro No. 100</v>
          </cell>
          <cell r="E2533" t="str">
            <v>Mancera Rodríguez</v>
          </cell>
          <cell r="F2533">
            <v>300</v>
          </cell>
          <cell r="G2533">
            <v>1</v>
          </cell>
          <cell r="H2533">
            <v>400</v>
          </cell>
          <cell r="I2533">
            <v>41609</v>
          </cell>
          <cell r="J2533">
            <v>0</v>
          </cell>
          <cell r="W2533">
            <v>0</v>
          </cell>
          <cell r="AI2533">
            <v>400</v>
          </cell>
          <cell r="AJ2533">
            <v>400</v>
          </cell>
          <cell r="AW2533">
            <v>0</v>
          </cell>
        </row>
        <row r="2534">
          <cell r="B2534">
            <v>6037</v>
          </cell>
          <cell r="C2534" t="str">
            <v>ZB_84_</v>
          </cell>
          <cell r="D2534" t="str">
            <v>Rancho Zinamba No. 84</v>
          </cell>
          <cell r="E2534" t="str">
            <v>Lobato</v>
          </cell>
          <cell r="F2534">
            <v>300</v>
          </cell>
          <cell r="G2534">
            <v>1</v>
          </cell>
          <cell r="H2534">
            <v>600</v>
          </cell>
          <cell r="I2534">
            <v>41609</v>
          </cell>
          <cell r="J2534">
            <v>0</v>
          </cell>
          <cell r="W2534">
            <v>0</v>
          </cell>
          <cell r="AH2534">
            <v>300</v>
          </cell>
          <cell r="AI2534">
            <v>300</v>
          </cell>
          <cell r="AJ2534">
            <v>600</v>
          </cell>
          <cell r="AW2534">
            <v>0</v>
          </cell>
        </row>
        <row r="2535">
          <cell r="B2535">
            <v>6038</v>
          </cell>
          <cell r="C2535" t="str">
            <v>UP_60_</v>
          </cell>
          <cell r="D2535" t="str">
            <v>Rancho Upácuaro No. 60</v>
          </cell>
          <cell r="E2535" t="str">
            <v>Zavala</v>
          </cell>
          <cell r="F2535">
            <v>300</v>
          </cell>
          <cell r="G2535">
            <v>1</v>
          </cell>
          <cell r="H2535">
            <v>800</v>
          </cell>
          <cell r="I2535">
            <v>41609</v>
          </cell>
          <cell r="J2535">
            <v>0</v>
          </cell>
          <cell r="W2535">
            <v>0</v>
          </cell>
          <cell r="AH2535">
            <v>400</v>
          </cell>
          <cell r="AI2535">
            <v>400</v>
          </cell>
          <cell r="AJ2535">
            <v>800</v>
          </cell>
          <cell r="AW2535">
            <v>0</v>
          </cell>
        </row>
        <row r="2536">
          <cell r="B2536">
            <v>6039</v>
          </cell>
          <cell r="C2536" t="str">
            <v>UP_33_</v>
          </cell>
          <cell r="D2536" t="str">
            <v>Rancho Upácuaro No. 33</v>
          </cell>
          <cell r="E2536" t="str">
            <v>Ulloa Miranda</v>
          </cell>
          <cell r="F2536">
            <v>300</v>
          </cell>
          <cell r="G2536">
            <v>1</v>
          </cell>
          <cell r="H2536">
            <v>400</v>
          </cell>
          <cell r="I2536">
            <v>41609</v>
          </cell>
          <cell r="J2536">
            <v>0</v>
          </cell>
          <cell r="W2536">
            <v>0</v>
          </cell>
          <cell r="AI2536">
            <v>400</v>
          </cell>
          <cell r="AJ2536">
            <v>400</v>
          </cell>
          <cell r="AW2536">
            <v>0</v>
          </cell>
        </row>
        <row r="2537">
          <cell r="B2537">
            <v>6040</v>
          </cell>
          <cell r="C2537" t="str">
            <v>UP_120_</v>
          </cell>
          <cell r="D2537" t="str">
            <v>Rancho Upácuaro No. 120</v>
          </cell>
          <cell r="E2537" t="str">
            <v>Rayas Rivera</v>
          </cell>
          <cell r="F2537">
            <v>300</v>
          </cell>
          <cell r="G2537">
            <v>1</v>
          </cell>
          <cell r="H2537">
            <v>400</v>
          </cell>
          <cell r="I2537">
            <v>41609</v>
          </cell>
          <cell r="J2537">
            <v>0</v>
          </cell>
          <cell r="W2537">
            <v>0</v>
          </cell>
          <cell r="AI2537">
            <v>400</v>
          </cell>
          <cell r="AJ2537">
            <v>400</v>
          </cell>
          <cell r="AW2537">
            <v>0</v>
          </cell>
        </row>
        <row r="2538">
          <cell r="B2538">
            <v>6041</v>
          </cell>
          <cell r="C2538" t="str">
            <v>RV_173_</v>
          </cell>
          <cell r="D2538" t="str">
            <v>Rancho Recoveco No. 173</v>
          </cell>
          <cell r="E2538" t="str">
            <v>Velarde</v>
          </cell>
          <cell r="F2538">
            <v>300</v>
          </cell>
          <cell r="G2538">
            <v>1</v>
          </cell>
          <cell r="H2538">
            <v>600</v>
          </cell>
          <cell r="I2538">
            <v>41609</v>
          </cell>
          <cell r="J2538">
            <v>0</v>
          </cell>
          <cell r="W2538">
            <v>0</v>
          </cell>
          <cell r="AH2538">
            <v>300</v>
          </cell>
          <cell r="AI2538">
            <v>300</v>
          </cell>
          <cell r="AJ2538">
            <v>600</v>
          </cell>
          <cell r="AW2538">
            <v>0</v>
          </cell>
        </row>
        <row r="2539">
          <cell r="B2539">
            <v>6042</v>
          </cell>
          <cell r="C2539" t="str">
            <v>EZ_100_</v>
          </cell>
          <cell r="D2539" t="str">
            <v>Rancho Estanzuela No. 100</v>
          </cell>
          <cell r="E2539" t="str">
            <v>Arias Monter</v>
          </cell>
          <cell r="F2539">
            <v>300</v>
          </cell>
          <cell r="G2539">
            <v>1</v>
          </cell>
          <cell r="H2539">
            <v>1500</v>
          </cell>
          <cell r="I2539">
            <v>41609</v>
          </cell>
          <cell r="J2539">
            <v>0</v>
          </cell>
          <cell r="W2539">
            <v>0</v>
          </cell>
          <cell r="AF2539">
            <v>300</v>
          </cell>
          <cell r="AG2539">
            <v>400</v>
          </cell>
          <cell r="AH2539">
            <v>400</v>
          </cell>
          <cell r="AI2539">
            <v>400</v>
          </cell>
          <cell r="AJ2539">
            <v>1500</v>
          </cell>
          <cell r="AW2539">
            <v>0</v>
          </cell>
        </row>
        <row r="2540">
          <cell r="B2540">
            <v>6043</v>
          </cell>
          <cell r="C2540" t="str">
            <v>LD_101_</v>
          </cell>
          <cell r="D2540" t="str">
            <v>Rancho Landero No. 101</v>
          </cell>
          <cell r="E2540" t="str">
            <v>Ramírez</v>
          </cell>
          <cell r="F2540">
            <v>300</v>
          </cell>
          <cell r="G2540">
            <v>1</v>
          </cell>
          <cell r="H2540">
            <v>800</v>
          </cell>
          <cell r="I2540">
            <v>41609</v>
          </cell>
          <cell r="J2540">
            <v>0</v>
          </cell>
          <cell r="W2540">
            <v>0</v>
          </cell>
          <cell r="AH2540">
            <v>400</v>
          </cell>
          <cell r="AI2540">
            <v>400</v>
          </cell>
          <cell r="AJ2540">
            <v>800</v>
          </cell>
          <cell r="AW2540">
            <v>0</v>
          </cell>
        </row>
        <row r="2541">
          <cell r="B2541">
            <v>6044</v>
          </cell>
          <cell r="C2541" t="str">
            <v>UP_88_</v>
          </cell>
          <cell r="D2541" t="str">
            <v>Rancho Upácuaro No. 88</v>
          </cell>
          <cell r="E2541" t="str">
            <v>Millán Núñez</v>
          </cell>
          <cell r="F2541">
            <v>300</v>
          </cell>
          <cell r="G2541">
            <v>1</v>
          </cell>
          <cell r="H2541">
            <v>800</v>
          </cell>
          <cell r="I2541">
            <v>41609</v>
          </cell>
          <cell r="J2541">
            <v>0</v>
          </cell>
          <cell r="W2541">
            <v>0</v>
          </cell>
          <cell r="AH2541">
            <v>400</v>
          </cell>
          <cell r="AI2541">
            <v>400</v>
          </cell>
          <cell r="AJ2541">
            <v>800</v>
          </cell>
          <cell r="AW2541">
            <v>0</v>
          </cell>
        </row>
        <row r="2542">
          <cell r="B2542">
            <v>6045</v>
          </cell>
          <cell r="C2542" t="str">
            <v>CL_89_</v>
          </cell>
          <cell r="D2542" t="str">
            <v>Rancho La Cuchilla No. 89</v>
          </cell>
          <cell r="E2542" t="str">
            <v>Gálvez</v>
          </cell>
          <cell r="F2542">
            <v>300</v>
          </cell>
          <cell r="G2542">
            <v>1</v>
          </cell>
          <cell r="H2542">
            <v>400</v>
          </cell>
          <cell r="I2542">
            <v>41609</v>
          </cell>
          <cell r="J2542">
            <v>0</v>
          </cell>
          <cell r="W2542">
            <v>0</v>
          </cell>
          <cell r="AI2542">
            <v>400</v>
          </cell>
          <cell r="AJ2542">
            <v>400</v>
          </cell>
          <cell r="AW2542">
            <v>0</v>
          </cell>
        </row>
        <row r="2543">
          <cell r="B2543">
            <v>6046</v>
          </cell>
          <cell r="C2543" t="str">
            <v>CL_130_</v>
          </cell>
          <cell r="D2543" t="str">
            <v>Rancho La Cuchilla No. 130</v>
          </cell>
          <cell r="E2543" t="str">
            <v>De la Huerta</v>
          </cell>
          <cell r="F2543">
            <v>300</v>
          </cell>
          <cell r="G2543">
            <v>1</v>
          </cell>
          <cell r="H2543">
            <v>400</v>
          </cell>
          <cell r="I2543">
            <v>41609</v>
          </cell>
          <cell r="J2543">
            <v>0</v>
          </cell>
          <cell r="W2543">
            <v>0</v>
          </cell>
          <cell r="AI2543">
            <v>400</v>
          </cell>
          <cell r="AJ2543">
            <v>400</v>
          </cell>
          <cell r="AW2543">
            <v>0</v>
          </cell>
        </row>
        <row r="2544">
          <cell r="B2544">
            <v>6047</v>
          </cell>
          <cell r="C2544" t="str">
            <v>CL_40_</v>
          </cell>
          <cell r="D2544" t="str">
            <v>Rancho La Cuchilla No. 40</v>
          </cell>
          <cell r="E2544" t="str">
            <v>López Pico</v>
          </cell>
          <cell r="F2544">
            <v>300</v>
          </cell>
          <cell r="G2544">
            <v>1</v>
          </cell>
          <cell r="H2544">
            <v>400</v>
          </cell>
          <cell r="I2544">
            <v>41609</v>
          </cell>
          <cell r="J2544">
            <v>0</v>
          </cell>
          <cell r="W2544">
            <v>0</v>
          </cell>
          <cell r="AI2544">
            <v>400</v>
          </cell>
          <cell r="AJ2544">
            <v>400</v>
          </cell>
          <cell r="AW2544">
            <v>0</v>
          </cell>
        </row>
        <row r="2545">
          <cell r="B2545">
            <v>6048</v>
          </cell>
          <cell r="C2545" t="str">
            <v>UP_18_</v>
          </cell>
          <cell r="D2545" t="str">
            <v>Rancho Upácuaro No. 18</v>
          </cell>
          <cell r="E2545" t="str">
            <v>Guzmán</v>
          </cell>
          <cell r="F2545">
            <v>300</v>
          </cell>
          <cell r="G2545">
            <v>1</v>
          </cell>
          <cell r="H2545">
            <v>300</v>
          </cell>
          <cell r="I2545">
            <v>41609</v>
          </cell>
          <cell r="J2545">
            <v>0</v>
          </cell>
          <cell r="W2545">
            <v>0</v>
          </cell>
          <cell r="AI2545">
            <v>300</v>
          </cell>
          <cell r="AJ2545">
            <v>300</v>
          </cell>
          <cell r="AW2545">
            <v>0</v>
          </cell>
        </row>
        <row r="2546">
          <cell r="B2546">
            <v>6049</v>
          </cell>
          <cell r="C2546" t="str">
            <v>LD_8_</v>
          </cell>
          <cell r="D2546" t="str">
            <v>Rancho Landero No. 8</v>
          </cell>
          <cell r="E2546" t="str">
            <v>Peña Torres</v>
          </cell>
          <cell r="F2546">
            <v>250</v>
          </cell>
          <cell r="G2546">
            <v>1</v>
          </cell>
          <cell r="H2546">
            <v>500</v>
          </cell>
          <cell r="I2546">
            <v>41609</v>
          </cell>
          <cell r="J2546">
            <v>0</v>
          </cell>
          <cell r="W2546">
            <v>0</v>
          </cell>
          <cell r="AH2546">
            <v>250</v>
          </cell>
          <cell r="AI2546">
            <v>250</v>
          </cell>
          <cell r="AJ2546">
            <v>500</v>
          </cell>
          <cell r="AW2546">
            <v>0</v>
          </cell>
        </row>
        <row r="2547">
          <cell r="B2547">
            <v>6050</v>
          </cell>
          <cell r="C2547" t="str">
            <v>CL_32_</v>
          </cell>
          <cell r="D2547" t="str">
            <v>Rancho La Cuchilla No. 32</v>
          </cell>
          <cell r="E2547" t="str">
            <v>Hernández</v>
          </cell>
          <cell r="F2547">
            <v>300</v>
          </cell>
          <cell r="G2547">
            <v>1</v>
          </cell>
          <cell r="H2547">
            <v>800</v>
          </cell>
          <cell r="I2547">
            <v>41609</v>
          </cell>
          <cell r="J2547">
            <v>0</v>
          </cell>
          <cell r="W2547">
            <v>0</v>
          </cell>
          <cell r="AH2547">
            <v>400</v>
          </cell>
          <cell r="AI2547">
            <v>400</v>
          </cell>
          <cell r="AJ2547">
            <v>800</v>
          </cell>
          <cell r="AW2547">
            <v>0</v>
          </cell>
        </row>
        <row r="2548">
          <cell r="B2548">
            <v>6051</v>
          </cell>
          <cell r="C2548" t="str">
            <v>CL_42_</v>
          </cell>
          <cell r="D2548" t="str">
            <v>Rancho La Cuchilla No. 42</v>
          </cell>
          <cell r="E2548" t="str">
            <v>Mac Kinney</v>
          </cell>
          <cell r="F2548">
            <v>300</v>
          </cell>
          <cell r="G2548">
            <v>1</v>
          </cell>
          <cell r="H2548">
            <v>800</v>
          </cell>
          <cell r="I2548">
            <v>41609</v>
          </cell>
          <cell r="J2548">
            <v>0</v>
          </cell>
          <cell r="W2548">
            <v>0</v>
          </cell>
          <cell r="AH2548">
            <v>400</v>
          </cell>
          <cell r="AI2548">
            <v>400</v>
          </cell>
          <cell r="AJ2548">
            <v>800</v>
          </cell>
          <cell r="AW2548">
            <v>0</v>
          </cell>
        </row>
        <row r="2549">
          <cell r="B2549">
            <v>6052</v>
          </cell>
          <cell r="C2549" t="str">
            <v>EZ_31_</v>
          </cell>
          <cell r="D2549" t="str">
            <v>Rancho Estanzuela No. 31</v>
          </cell>
          <cell r="E2549" t="str">
            <v>Chávez Valdés</v>
          </cell>
          <cell r="F2549">
            <v>300</v>
          </cell>
          <cell r="G2549">
            <v>1</v>
          </cell>
          <cell r="H2549">
            <v>400</v>
          </cell>
          <cell r="I2549">
            <v>41609</v>
          </cell>
          <cell r="J2549">
            <v>0</v>
          </cell>
          <cell r="W2549">
            <v>0</v>
          </cell>
          <cell r="AI2549">
            <v>400</v>
          </cell>
          <cell r="AJ2549">
            <v>400</v>
          </cell>
          <cell r="AW2549">
            <v>0</v>
          </cell>
        </row>
        <row r="2550">
          <cell r="B2550">
            <v>6053</v>
          </cell>
          <cell r="C2550" t="str">
            <v>UP_76_</v>
          </cell>
          <cell r="D2550" t="str">
            <v>Rancho Upácuaro No. 76</v>
          </cell>
          <cell r="E2550" t="str">
            <v>Ruiz de San Pedro</v>
          </cell>
          <cell r="F2550">
            <v>300</v>
          </cell>
          <cell r="G2550">
            <v>1</v>
          </cell>
          <cell r="H2550">
            <v>400</v>
          </cell>
          <cell r="I2550">
            <v>41609</v>
          </cell>
          <cell r="J2550">
            <v>0</v>
          </cell>
          <cell r="W2550">
            <v>0</v>
          </cell>
          <cell r="AI2550">
            <v>400</v>
          </cell>
          <cell r="AJ2550">
            <v>400</v>
          </cell>
          <cell r="AW2550">
            <v>0</v>
          </cell>
        </row>
        <row r="2551">
          <cell r="B2551">
            <v>6054</v>
          </cell>
          <cell r="C2551" t="str">
            <v>RV_3_</v>
          </cell>
          <cell r="D2551" t="str">
            <v>Rancho Recoveco No. 3</v>
          </cell>
          <cell r="E2551" t="str">
            <v>Garduño</v>
          </cell>
          <cell r="F2551">
            <v>300</v>
          </cell>
          <cell r="G2551">
            <v>1</v>
          </cell>
          <cell r="H2551">
            <v>300</v>
          </cell>
          <cell r="I2551">
            <v>41609</v>
          </cell>
          <cell r="J2551">
            <v>0</v>
          </cell>
          <cell r="W2551">
            <v>0</v>
          </cell>
          <cell r="AH2551">
            <v>300</v>
          </cell>
          <cell r="AJ2551">
            <v>300</v>
          </cell>
          <cell r="AW2551">
            <v>0</v>
          </cell>
        </row>
        <row r="2552">
          <cell r="B2552">
            <v>6055</v>
          </cell>
          <cell r="C2552" t="str">
            <v>CL_20_</v>
          </cell>
          <cell r="D2552" t="str">
            <v>Rancho La Cuchilla No. 20</v>
          </cell>
          <cell r="E2552" t="str">
            <v>Sánchez López</v>
          </cell>
          <cell r="F2552">
            <v>300</v>
          </cell>
          <cell r="G2552">
            <v>1</v>
          </cell>
          <cell r="H2552">
            <v>400</v>
          </cell>
          <cell r="I2552">
            <v>41609</v>
          </cell>
          <cell r="J2552">
            <v>0</v>
          </cell>
          <cell r="W2552">
            <v>0</v>
          </cell>
          <cell r="AI2552">
            <v>400</v>
          </cell>
          <cell r="AJ2552">
            <v>400</v>
          </cell>
          <cell r="AW2552">
            <v>0</v>
          </cell>
        </row>
        <row r="2553">
          <cell r="B2553">
            <v>6056</v>
          </cell>
          <cell r="C2553" t="str">
            <v>RV_2_</v>
          </cell>
          <cell r="D2553" t="str">
            <v>Rancho Recoveco No. 2</v>
          </cell>
          <cell r="F2553">
            <v>300</v>
          </cell>
          <cell r="G2553">
            <v>1</v>
          </cell>
          <cell r="H2553">
            <v>400</v>
          </cell>
          <cell r="I2553">
            <v>41609</v>
          </cell>
          <cell r="J2553">
            <v>0</v>
          </cell>
          <cell r="W2553">
            <v>0</v>
          </cell>
          <cell r="AH2553">
            <v>400</v>
          </cell>
          <cell r="AJ2553">
            <v>400</v>
          </cell>
          <cell r="AW2553">
            <v>0</v>
          </cell>
        </row>
        <row r="2554">
          <cell r="B2554">
            <v>6057</v>
          </cell>
          <cell r="C2554" t="str">
            <v>RV_2_</v>
          </cell>
          <cell r="D2554" t="str">
            <v>Rancho Recoveco No. 2</v>
          </cell>
          <cell r="E2554" t="str">
            <v>Cortés</v>
          </cell>
          <cell r="F2554">
            <v>300</v>
          </cell>
          <cell r="G2554">
            <v>1</v>
          </cell>
          <cell r="H2554">
            <v>400</v>
          </cell>
          <cell r="I2554">
            <v>41609</v>
          </cell>
          <cell r="J2554">
            <v>0</v>
          </cell>
          <cell r="W2554">
            <v>0</v>
          </cell>
          <cell r="AI2554">
            <v>400</v>
          </cell>
          <cell r="AJ2554">
            <v>400</v>
          </cell>
          <cell r="AW2554">
            <v>0</v>
          </cell>
        </row>
        <row r="2555">
          <cell r="B2555">
            <v>6058</v>
          </cell>
          <cell r="C2555" t="str">
            <v>RV_2_</v>
          </cell>
          <cell r="D2555" t="str">
            <v>Rancho Recoveco No. 2</v>
          </cell>
          <cell r="E2555" t="str">
            <v>Cortés</v>
          </cell>
          <cell r="F2555">
            <v>300</v>
          </cell>
          <cell r="G2555">
            <v>4</v>
          </cell>
          <cell r="H2555">
            <v>320</v>
          </cell>
          <cell r="I2555">
            <v>41609</v>
          </cell>
          <cell r="J2555" t="str">
            <v>NO SUMA</v>
          </cell>
          <cell r="W2555">
            <v>0</v>
          </cell>
          <cell r="AJ2555">
            <v>0</v>
          </cell>
          <cell r="AW2555">
            <v>0</v>
          </cell>
        </row>
        <row r="2556">
          <cell r="B2556">
            <v>6059</v>
          </cell>
          <cell r="C2556" t="str">
            <v>RV_197_</v>
          </cell>
          <cell r="D2556" t="str">
            <v>Rancho Recoveco No. 197</v>
          </cell>
          <cell r="E2556" t="str">
            <v>Colín González</v>
          </cell>
          <cell r="F2556">
            <v>300</v>
          </cell>
          <cell r="G2556">
            <v>1</v>
          </cell>
          <cell r="H2556">
            <v>400</v>
          </cell>
          <cell r="I2556">
            <v>41609</v>
          </cell>
          <cell r="J2556">
            <v>0</v>
          </cell>
          <cell r="W2556">
            <v>0</v>
          </cell>
          <cell r="AI2556">
            <v>400</v>
          </cell>
          <cell r="AJ2556">
            <v>400</v>
          </cell>
          <cell r="AW2556">
            <v>0</v>
          </cell>
        </row>
        <row r="2557">
          <cell r="B2557">
            <v>6060</v>
          </cell>
          <cell r="C2557" t="str">
            <v>RM_30_</v>
          </cell>
          <cell r="D2557" t="str">
            <v>Rancho Romeral No. 30</v>
          </cell>
          <cell r="E2557" t="str">
            <v>Osorio</v>
          </cell>
          <cell r="F2557">
            <v>200</v>
          </cell>
          <cell r="G2557">
            <v>1</v>
          </cell>
          <cell r="H2557">
            <v>600</v>
          </cell>
          <cell r="I2557">
            <v>41609</v>
          </cell>
          <cell r="J2557">
            <v>0</v>
          </cell>
          <cell r="W2557">
            <v>0</v>
          </cell>
          <cell r="AG2557">
            <v>200</v>
          </cell>
          <cell r="AH2557">
            <v>200</v>
          </cell>
          <cell r="AI2557">
            <v>200</v>
          </cell>
          <cell r="AJ2557">
            <v>600</v>
          </cell>
          <cell r="AW2557">
            <v>0</v>
          </cell>
        </row>
        <row r="2558">
          <cell r="B2558">
            <v>6061</v>
          </cell>
          <cell r="C2558" t="str">
            <v>EZ_133_</v>
          </cell>
          <cell r="D2558" t="str">
            <v>Rancho Estanzuela No. 133</v>
          </cell>
          <cell r="E2558" t="str">
            <v>Hernández Salazar</v>
          </cell>
          <cell r="F2558">
            <v>250</v>
          </cell>
          <cell r="G2558">
            <v>1</v>
          </cell>
          <cell r="H2558">
            <v>900</v>
          </cell>
          <cell r="I2558">
            <v>41609</v>
          </cell>
          <cell r="J2558">
            <v>0</v>
          </cell>
          <cell r="W2558">
            <v>0</v>
          </cell>
          <cell r="AG2558">
            <v>300</v>
          </cell>
          <cell r="AH2558">
            <v>300</v>
          </cell>
          <cell r="AI2558">
            <v>300</v>
          </cell>
          <cell r="AJ2558">
            <v>900</v>
          </cell>
          <cell r="AW2558">
            <v>0</v>
          </cell>
        </row>
        <row r="2559">
          <cell r="B2559">
            <v>6062</v>
          </cell>
          <cell r="C2559" t="str">
            <v>EZ_133_</v>
          </cell>
          <cell r="D2559" t="str">
            <v>Rancho Estanzuela No. 133</v>
          </cell>
          <cell r="E2559" t="str">
            <v>Hernández Salazar</v>
          </cell>
          <cell r="F2559">
            <v>250</v>
          </cell>
          <cell r="G2559">
            <v>4</v>
          </cell>
          <cell r="H2559">
            <v>160</v>
          </cell>
          <cell r="I2559">
            <v>41609</v>
          </cell>
          <cell r="J2559" t="str">
            <v>NO SUMA</v>
          </cell>
          <cell r="W2559">
            <v>0</v>
          </cell>
          <cell r="AJ2559">
            <v>0</v>
          </cell>
          <cell r="AW2559">
            <v>0</v>
          </cell>
        </row>
        <row r="2560">
          <cell r="B2560">
            <v>6063</v>
          </cell>
          <cell r="C2560" t="str">
            <v>UP_49_</v>
          </cell>
          <cell r="D2560" t="str">
            <v>Rancho Upácuaro No. 49</v>
          </cell>
          <cell r="E2560" t="str">
            <v>Sánchez Romano</v>
          </cell>
          <cell r="F2560">
            <v>300</v>
          </cell>
          <cell r="G2560">
            <v>1</v>
          </cell>
          <cell r="H2560">
            <v>600</v>
          </cell>
          <cell r="I2560">
            <v>41609</v>
          </cell>
          <cell r="J2560">
            <v>0</v>
          </cell>
          <cell r="W2560">
            <v>0</v>
          </cell>
          <cell r="AB2560">
            <v>200</v>
          </cell>
          <cell r="AI2560">
            <v>400</v>
          </cell>
          <cell r="AJ2560">
            <v>600</v>
          </cell>
          <cell r="AW2560">
            <v>0</v>
          </cell>
        </row>
        <row r="2561">
          <cell r="B2561">
            <v>6064</v>
          </cell>
          <cell r="C2561" t="str">
            <v>LD_7_</v>
          </cell>
          <cell r="D2561" t="str">
            <v>Rancho Landero No. 7</v>
          </cell>
          <cell r="E2561">
            <v>0</v>
          </cell>
          <cell r="F2561">
            <v>150</v>
          </cell>
          <cell r="G2561">
            <v>1</v>
          </cell>
          <cell r="H2561">
            <v>150</v>
          </cell>
          <cell r="I2561">
            <v>41609</v>
          </cell>
          <cell r="J2561">
            <v>0</v>
          </cell>
          <cell r="W2561">
            <v>0</v>
          </cell>
          <cell r="AI2561">
            <v>150</v>
          </cell>
          <cell r="AJ2561">
            <v>150</v>
          </cell>
          <cell r="AW2561">
            <v>0</v>
          </cell>
        </row>
        <row r="2562">
          <cell r="B2562">
            <v>6065</v>
          </cell>
          <cell r="C2562" t="str">
            <v>CL_132_</v>
          </cell>
          <cell r="D2562" t="str">
            <v>Rancho La Cuchilla No. 132</v>
          </cell>
          <cell r="E2562" t="str">
            <v>Téllez Girón</v>
          </cell>
          <cell r="F2562">
            <v>300</v>
          </cell>
          <cell r="G2562">
            <v>1</v>
          </cell>
          <cell r="H2562">
            <v>300</v>
          </cell>
          <cell r="I2562">
            <v>41609</v>
          </cell>
          <cell r="J2562">
            <v>0</v>
          </cell>
          <cell r="W2562">
            <v>0</v>
          </cell>
          <cell r="AI2562">
            <v>300</v>
          </cell>
          <cell r="AJ2562">
            <v>300</v>
          </cell>
          <cell r="AW2562">
            <v>0</v>
          </cell>
        </row>
        <row r="2563">
          <cell r="B2563">
            <v>6066</v>
          </cell>
          <cell r="C2563" t="str">
            <v>CL_67_</v>
          </cell>
          <cell r="D2563" t="str">
            <v>Rancho La Cuchilla No. 67</v>
          </cell>
          <cell r="E2563" t="str">
            <v>Quezada Viruega</v>
          </cell>
          <cell r="F2563">
            <v>300</v>
          </cell>
          <cell r="G2563">
            <v>1</v>
          </cell>
          <cell r="H2563">
            <v>400</v>
          </cell>
          <cell r="I2563">
            <v>41609</v>
          </cell>
          <cell r="J2563">
            <v>0</v>
          </cell>
          <cell r="W2563">
            <v>0</v>
          </cell>
          <cell r="AH2563">
            <v>400</v>
          </cell>
          <cell r="AJ2563">
            <v>400</v>
          </cell>
          <cell r="AW2563">
            <v>0</v>
          </cell>
        </row>
        <row r="2564">
          <cell r="B2564">
            <v>6067</v>
          </cell>
          <cell r="C2564" t="str">
            <v>CL_36_</v>
          </cell>
          <cell r="D2564" t="str">
            <v>Rancho La Cuchilla No. 36</v>
          </cell>
          <cell r="E2564" t="str">
            <v>Castillo</v>
          </cell>
          <cell r="F2564">
            <v>300</v>
          </cell>
          <cell r="G2564">
            <v>1</v>
          </cell>
          <cell r="H2564">
            <v>400</v>
          </cell>
          <cell r="I2564">
            <v>41609</v>
          </cell>
          <cell r="J2564">
            <v>0</v>
          </cell>
          <cell r="W2564">
            <v>0</v>
          </cell>
          <cell r="AI2564">
            <v>400</v>
          </cell>
          <cell r="AJ2564">
            <v>400</v>
          </cell>
          <cell r="AW2564">
            <v>0</v>
          </cell>
        </row>
        <row r="2565">
          <cell r="B2565">
            <v>6067</v>
          </cell>
          <cell r="C2565" t="str">
            <v>CL_36_</v>
          </cell>
          <cell r="D2565" t="str">
            <v>Rancho La Cuchilla No. 36</v>
          </cell>
          <cell r="E2565" t="str">
            <v>Castillo</v>
          </cell>
          <cell r="F2565">
            <v>300</v>
          </cell>
          <cell r="G2565">
            <v>4</v>
          </cell>
          <cell r="H2565">
            <v>160</v>
          </cell>
          <cell r="I2565">
            <v>41609</v>
          </cell>
          <cell r="J2565" t="str">
            <v>NO SUMA</v>
          </cell>
          <cell r="W2565">
            <v>0</v>
          </cell>
          <cell r="AJ2565">
            <v>0</v>
          </cell>
          <cell r="AW2565">
            <v>0</v>
          </cell>
        </row>
        <row r="2566">
          <cell r="B2566">
            <v>6068</v>
          </cell>
          <cell r="D2566" t="str">
            <v/>
          </cell>
          <cell r="E2566" t="str">
            <v/>
          </cell>
          <cell r="F2566" t="str">
            <v/>
          </cell>
          <cell r="I2566">
            <v>41609</v>
          </cell>
          <cell r="J2566" t="str">
            <v>NO SUMA</v>
          </cell>
          <cell r="W2566">
            <v>0</v>
          </cell>
          <cell r="AJ2566">
            <v>0</v>
          </cell>
          <cell r="AW2566">
            <v>0</v>
          </cell>
        </row>
        <row r="2567">
          <cell r="B2567">
            <v>6069</v>
          </cell>
          <cell r="C2567" t="str">
            <v>CL_17_A</v>
          </cell>
          <cell r="D2567" t="e">
            <v>#N/A</v>
          </cell>
          <cell r="E2567" t="e">
            <v>#N/A</v>
          </cell>
          <cell r="F2567">
            <v>160</v>
          </cell>
          <cell r="G2567">
            <v>3</v>
          </cell>
          <cell r="H2567">
            <v>160</v>
          </cell>
          <cell r="I2567">
            <v>41609</v>
          </cell>
          <cell r="J2567" t="str">
            <v>NO SUMA</v>
          </cell>
          <cell r="W2567">
            <v>0</v>
          </cell>
          <cell r="AJ2567">
            <v>0</v>
          </cell>
          <cell r="AW2567">
            <v>0</v>
          </cell>
        </row>
        <row r="2568">
          <cell r="B2568">
            <v>6070</v>
          </cell>
          <cell r="C2568" t="str">
            <v>RM_17_</v>
          </cell>
          <cell r="D2568" t="str">
            <v>Rancho Romeral No. 17</v>
          </cell>
          <cell r="E2568" t="str">
            <v>Aguilar Lomelí</v>
          </cell>
          <cell r="F2568">
            <v>400</v>
          </cell>
          <cell r="G2568">
            <v>1</v>
          </cell>
          <cell r="H2568">
            <v>400</v>
          </cell>
          <cell r="I2568">
            <v>41609</v>
          </cell>
          <cell r="J2568">
            <v>0</v>
          </cell>
          <cell r="W2568">
            <v>0</v>
          </cell>
          <cell r="AI2568">
            <v>400</v>
          </cell>
          <cell r="AJ2568">
            <v>400</v>
          </cell>
          <cell r="AW2568">
            <v>0</v>
          </cell>
        </row>
        <row r="2569">
          <cell r="B2569">
            <v>6071</v>
          </cell>
          <cell r="C2569" t="str">
            <v>RV_175_0</v>
          </cell>
          <cell r="D2569" t="str">
            <v>Rancho Recoveco No. 175</v>
          </cell>
          <cell r="E2569" t="str">
            <v>Ramírez</v>
          </cell>
          <cell r="F2569">
            <v>300</v>
          </cell>
          <cell r="G2569">
            <v>1</v>
          </cell>
          <cell r="H2569">
            <v>600</v>
          </cell>
          <cell r="I2569">
            <v>41609</v>
          </cell>
          <cell r="J2569">
            <v>0</v>
          </cell>
          <cell r="W2569">
            <v>0</v>
          </cell>
          <cell r="AH2569">
            <v>300</v>
          </cell>
          <cell r="AI2569">
            <v>300</v>
          </cell>
          <cell r="AJ2569">
            <v>600</v>
          </cell>
          <cell r="AW2569">
            <v>0</v>
          </cell>
        </row>
        <row r="2570">
          <cell r="B2570">
            <v>6072</v>
          </cell>
          <cell r="C2570" t="str">
            <v>UP_85_</v>
          </cell>
          <cell r="D2570" t="str">
            <v>Rancho Upácuaro No. 85</v>
          </cell>
          <cell r="E2570" t="str">
            <v>Del Toro Huerta</v>
          </cell>
          <cell r="F2570">
            <v>300</v>
          </cell>
          <cell r="G2570">
            <v>1</v>
          </cell>
          <cell r="H2570">
            <v>400</v>
          </cell>
          <cell r="I2570">
            <v>41609</v>
          </cell>
          <cell r="J2570">
            <v>0</v>
          </cell>
          <cell r="W2570">
            <v>0</v>
          </cell>
          <cell r="AI2570">
            <v>400</v>
          </cell>
          <cell r="AJ2570">
            <v>400</v>
          </cell>
          <cell r="AW2570">
            <v>0</v>
          </cell>
        </row>
        <row r="2571">
          <cell r="B2571">
            <v>6073</v>
          </cell>
          <cell r="C2571" t="str">
            <v>RM_17_</v>
          </cell>
          <cell r="D2571" t="str">
            <v>Rancho Romeral No. 17</v>
          </cell>
          <cell r="E2571" t="str">
            <v>Aguilar Lomelí</v>
          </cell>
          <cell r="F2571">
            <v>300</v>
          </cell>
          <cell r="G2571">
            <v>1</v>
          </cell>
          <cell r="H2571">
            <v>400</v>
          </cell>
          <cell r="I2571">
            <v>41609</v>
          </cell>
          <cell r="J2571">
            <v>0</v>
          </cell>
          <cell r="W2571">
            <v>0</v>
          </cell>
          <cell r="AH2571">
            <v>400</v>
          </cell>
          <cell r="AJ2571">
            <v>400</v>
          </cell>
          <cell r="AW2571">
            <v>0</v>
          </cell>
        </row>
        <row r="2572">
          <cell r="B2572">
            <v>6074</v>
          </cell>
          <cell r="C2572" t="str">
            <v>LD_38_</v>
          </cell>
          <cell r="D2572" t="str">
            <v>Rancho Landero No. 38</v>
          </cell>
          <cell r="E2572" t="str">
            <v>Sánchez Peña</v>
          </cell>
          <cell r="F2572">
            <v>300</v>
          </cell>
          <cell r="G2572">
            <v>1</v>
          </cell>
          <cell r="H2572">
            <v>400</v>
          </cell>
          <cell r="I2572">
            <v>41609</v>
          </cell>
          <cell r="J2572">
            <v>0</v>
          </cell>
          <cell r="W2572">
            <v>0</v>
          </cell>
          <cell r="AI2572">
            <v>400</v>
          </cell>
          <cell r="AJ2572">
            <v>400</v>
          </cell>
          <cell r="AW2572">
            <v>0</v>
          </cell>
        </row>
        <row r="2573">
          <cell r="B2573">
            <v>6075</v>
          </cell>
          <cell r="C2573" t="str">
            <v>EZ_157_1</v>
          </cell>
          <cell r="D2573" t="str">
            <v>Rancho Estanzuela No. 157, 1</v>
          </cell>
          <cell r="E2573" t="str">
            <v>Anzures</v>
          </cell>
          <cell r="F2573">
            <v>150</v>
          </cell>
          <cell r="G2573">
            <v>1</v>
          </cell>
          <cell r="H2573">
            <v>600</v>
          </cell>
          <cell r="I2573">
            <v>41609</v>
          </cell>
          <cell r="J2573">
            <v>0</v>
          </cell>
          <cell r="W2573">
            <v>0</v>
          </cell>
          <cell r="AE2573">
            <v>150</v>
          </cell>
          <cell r="AF2573">
            <v>150</v>
          </cell>
          <cell r="AG2573">
            <v>150</v>
          </cell>
          <cell r="AH2573">
            <v>150</v>
          </cell>
          <cell r="AJ2573">
            <v>600</v>
          </cell>
          <cell r="AW2573">
            <v>0</v>
          </cell>
        </row>
        <row r="2574">
          <cell r="B2574">
            <v>6075</v>
          </cell>
          <cell r="C2574" t="str">
            <v>EZ_157_2</v>
          </cell>
          <cell r="D2574" t="str">
            <v>Rancho Estanzuela No. 157, 2</v>
          </cell>
          <cell r="E2574" t="str">
            <v>Arias</v>
          </cell>
          <cell r="F2574">
            <v>150</v>
          </cell>
          <cell r="G2574">
            <v>1</v>
          </cell>
          <cell r="H2574">
            <v>600</v>
          </cell>
          <cell r="I2574">
            <v>41609</v>
          </cell>
          <cell r="J2574">
            <v>0</v>
          </cell>
          <cell r="W2574">
            <v>0</v>
          </cell>
          <cell r="AE2574">
            <v>150</v>
          </cell>
          <cell r="AF2574">
            <v>150</v>
          </cell>
          <cell r="AG2574">
            <v>150</v>
          </cell>
          <cell r="AH2574">
            <v>150</v>
          </cell>
          <cell r="AJ2574">
            <v>600</v>
          </cell>
          <cell r="AW2574">
            <v>0</v>
          </cell>
        </row>
        <row r="2575">
          <cell r="B2575">
            <v>6075</v>
          </cell>
          <cell r="C2575" t="str">
            <v>EZ_157_3</v>
          </cell>
          <cell r="D2575" t="str">
            <v>Rancho Estanzuela No. 157, 3</v>
          </cell>
          <cell r="E2575" t="str">
            <v>Conde</v>
          </cell>
          <cell r="F2575">
            <v>150</v>
          </cell>
          <cell r="G2575">
            <v>1</v>
          </cell>
          <cell r="H2575">
            <v>600</v>
          </cell>
          <cell r="I2575">
            <v>41609</v>
          </cell>
          <cell r="J2575">
            <v>0</v>
          </cell>
          <cell r="W2575">
            <v>0</v>
          </cell>
          <cell r="AE2575">
            <v>150</v>
          </cell>
          <cell r="AF2575">
            <v>150</v>
          </cell>
          <cell r="AG2575">
            <v>150</v>
          </cell>
          <cell r="AH2575">
            <v>150</v>
          </cell>
          <cell r="AJ2575">
            <v>600</v>
          </cell>
          <cell r="AW2575">
            <v>0</v>
          </cell>
        </row>
        <row r="2576">
          <cell r="B2576">
            <v>6076</v>
          </cell>
          <cell r="C2576" t="str">
            <v>CL_87_</v>
          </cell>
          <cell r="D2576" t="str">
            <v>Rancho La Cuchilla No. 87</v>
          </cell>
          <cell r="E2576" t="str">
            <v>Villanueva S.</v>
          </cell>
          <cell r="F2576">
            <v>300</v>
          </cell>
          <cell r="G2576">
            <v>1</v>
          </cell>
          <cell r="H2576">
            <v>400</v>
          </cell>
          <cell r="I2576">
            <v>41609</v>
          </cell>
          <cell r="J2576">
            <v>0</v>
          </cell>
          <cell r="W2576">
            <v>0</v>
          </cell>
          <cell r="AI2576">
            <v>400</v>
          </cell>
          <cell r="AJ2576">
            <v>400</v>
          </cell>
          <cell r="AW2576">
            <v>0</v>
          </cell>
        </row>
        <row r="2577">
          <cell r="B2577">
            <v>6077</v>
          </cell>
          <cell r="C2577" t="str">
            <v>LD_89_</v>
          </cell>
          <cell r="D2577" t="str">
            <v>Rancho Landero No. 89</v>
          </cell>
          <cell r="E2577" t="str">
            <v>Del Pozo Solís</v>
          </cell>
          <cell r="F2577">
            <v>300</v>
          </cell>
          <cell r="G2577">
            <v>1</v>
          </cell>
          <cell r="H2577">
            <v>300</v>
          </cell>
          <cell r="I2577">
            <v>41609</v>
          </cell>
          <cell r="J2577">
            <v>0</v>
          </cell>
          <cell r="W2577">
            <v>0</v>
          </cell>
          <cell r="AH2577">
            <v>300</v>
          </cell>
          <cell r="AJ2577">
            <v>300</v>
          </cell>
          <cell r="AW2577">
            <v>0</v>
          </cell>
        </row>
        <row r="2578">
          <cell r="B2578">
            <v>6077</v>
          </cell>
          <cell r="C2578" t="str">
            <v>LD_89_</v>
          </cell>
          <cell r="D2578" t="str">
            <v>Rancho Landero No. 89</v>
          </cell>
          <cell r="E2578" t="str">
            <v>Del Pozo Solís</v>
          </cell>
          <cell r="F2578">
            <v>300</v>
          </cell>
          <cell r="G2578">
            <v>3</v>
          </cell>
          <cell r="H2578">
            <v>160</v>
          </cell>
          <cell r="I2578">
            <v>41609</v>
          </cell>
          <cell r="J2578" t="str">
            <v>NO SUMA</v>
          </cell>
          <cell r="W2578">
            <v>0</v>
          </cell>
          <cell r="AJ2578">
            <v>0</v>
          </cell>
          <cell r="AW2578">
            <v>0</v>
          </cell>
        </row>
        <row r="2579">
          <cell r="B2579">
            <v>6078</v>
          </cell>
          <cell r="C2579" t="str">
            <v>EZ_91_</v>
          </cell>
          <cell r="D2579" t="str">
            <v>Rancho Estanzuela No. 91</v>
          </cell>
          <cell r="E2579" t="str">
            <v>Lobato Torres</v>
          </cell>
          <cell r="F2579">
            <v>300</v>
          </cell>
          <cell r="G2579">
            <v>1</v>
          </cell>
          <cell r="H2579">
            <v>400</v>
          </cell>
          <cell r="I2579">
            <v>41609</v>
          </cell>
          <cell r="J2579">
            <v>0</v>
          </cell>
          <cell r="W2579">
            <v>0</v>
          </cell>
          <cell r="AI2579">
            <v>400</v>
          </cell>
          <cell r="AJ2579">
            <v>400</v>
          </cell>
          <cell r="AW2579">
            <v>0</v>
          </cell>
        </row>
        <row r="2580">
          <cell r="B2580">
            <v>6079</v>
          </cell>
          <cell r="C2580" t="str">
            <v>LD_42_</v>
          </cell>
          <cell r="D2580" t="str">
            <v>Rancho Landero No. 42</v>
          </cell>
          <cell r="E2580" t="str">
            <v>Ávila Fidel</v>
          </cell>
          <cell r="F2580">
            <v>300</v>
          </cell>
          <cell r="G2580">
            <v>1</v>
          </cell>
          <cell r="H2580">
            <v>400</v>
          </cell>
          <cell r="I2580">
            <v>41609</v>
          </cell>
          <cell r="J2580">
            <v>0</v>
          </cell>
          <cell r="W2580">
            <v>0</v>
          </cell>
          <cell r="AI2580">
            <v>400</v>
          </cell>
          <cell r="AJ2580">
            <v>400</v>
          </cell>
          <cell r="AW2580">
            <v>0</v>
          </cell>
        </row>
        <row r="2581">
          <cell r="B2581">
            <v>6080</v>
          </cell>
          <cell r="C2581" t="str">
            <v>LD_80_</v>
          </cell>
          <cell r="D2581" t="str">
            <v>Rancho Landero No. 80</v>
          </cell>
          <cell r="E2581" t="str">
            <v>Villaseñor Sánchez</v>
          </cell>
          <cell r="F2581">
            <v>300</v>
          </cell>
          <cell r="G2581">
            <v>1</v>
          </cell>
          <cell r="H2581">
            <v>400</v>
          </cell>
          <cell r="I2581">
            <v>41609</v>
          </cell>
          <cell r="J2581">
            <v>0</v>
          </cell>
          <cell r="W2581">
            <v>0</v>
          </cell>
          <cell r="AI2581">
            <v>400</v>
          </cell>
          <cell r="AJ2581">
            <v>400</v>
          </cell>
          <cell r="AW2581">
            <v>0</v>
          </cell>
        </row>
        <row r="2582">
          <cell r="B2582">
            <v>6081</v>
          </cell>
          <cell r="C2582" t="str">
            <v>UP_54_</v>
          </cell>
          <cell r="D2582" t="str">
            <v>Rancho Upácuaro No. 54</v>
          </cell>
          <cell r="E2582" t="str">
            <v>García Rueda</v>
          </cell>
          <cell r="F2582">
            <v>200</v>
          </cell>
          <cell r="G2582">
            <v>1</v>
          </cell>
          <cell r="H2582">
            <v>200</v>
          </cell>
          <cell r="I2582">
            <v>41609</v>
          </cell>
          <cell r="J2582">
            <v>0</v>
          </cell>
          <cell r="W2582">
            <v>0</v>
          </cell>
          <cell r="AI2582">
            <v>200</v>
          </cell>
          <cell r="AJ2582">
            <v>200</v>
          </cell>
          <cell r="AW2582">
            <v>0</v>
          </cell>
        </row>
        <row r="2583">
          <cell r="B2583">
            <v>6082</v>
          </cell>
          <cell r="C2583" t="str">
            <v>LD_21_</v>
          </cell>
          <cell r="D2583" t="str">
            <v>Rancho Landero No. 21</v>
          </cell>
          <cell r="E2583" t="str">
            <v>Meza</v>
          </cell>
          <cell r="F2583">
            <v>300</v>
          </cell>
          <cell r="G2583">
            <v>1</v>
          </cell>
          <cell r="H2583">
            <v>400</v>
          </cell>
          <cell r="I2583">
            <v>41609</v>
          </cell>
          <cell r="J2583">
            <v>0</v>
          </cell>
          <cell r="W2583">
            <v>0</v>
          </cell>
          <cell r="AH2583">
            <v>400</v>
          </cell>
          <cell r="AJ2583">
            <v>400</v>
          </cell>
          <cell r="AW2583">
            <v>0</v>
          </cell>
        </row>
        <row r="2584">
          <cell r="B2584">
            <v>6083</v>
          </cell>
          <cell r="C2584" t="str">
            <v>CL_35_</v>
          </cell>
          <cell r="D2584" t="str">
            <v>Rancho La Cuchilla No. 35</v>
          </cell>
          <cell r="E2584" t="str">
            <v>Mendoza</v>
          </cell>
          <cell r="F2584">
            <v>150</v>
          </cell>
          <cell r="G2584">
            <v>1</v>
          </cell>
          <cell r="H2584">
            <v>450</v>
          </cell>
          <cell r="I2584">
            <v>41609</v>
          </cell>
          <cell r="J2584">
            <v>0</v>
          </cell>
          <cell r="W2584">
            <v>0</v>
          </cell>
          <cell r="AA2584">
            <v>150</v>
          </cell>
          <cell r="AB2584">
            <v>150</v>
          </cell>
          <cell r="AC2584">
            <v>150</v>
          </cell>
          <cell r="AJ2584">
            <v>450</v>
          </cell>
          <cell r="AW2584">
            <v>0</v>
          </cell>
        </row>
        <row r="2585">
          <cell r="B2585">
            <v>6084</v>
          </cell>
          <cell r="C2585" t="str">
            <v>UP_42_</v>
          </cell>
          <cell r="D2585" t="str">
            <v>Rancho Upácuaro No. 42</v>
          </cell>
          <cell r="E2585" t="str">
            <v>García Ramírez</v>
          </cell>
          <cell r="F2585">
            <v>300</v>
          </cell>
          <cell r="G2585">
            <v>1</v>
          </cell>
          <cell r="H2585">
            <v>700</v>
          </cell>
          <cell r="I2585">
            <v>41609</v>
          </cell>
          <cell r="J2585">
            <v>0</v>
          </cell>
          <cell r="W2585">
            <v>0</v>
          </cell>
          <cell r="AF2585">
            <v>300</v>
          </cell>
          <cell r="AG2585">
            <v>400</v>
          </cell>
          <cell r="AJ2585">
            <v>700</v>
          </cell>
          <cell r="AW2585">
            <v>0</v>
          </cell>
        </row>
        <row r="2586">
          <cell r="B2586">
            <v>6085</v>
          </cell>
          <cell r="C2586" t="str">
            <v>CL_86_</v>
          </cell>
          <cell r="D2586" t="str">
            <v>Rancho La Cuchilla No. 86</v>
          </cell>
          <cell r="E2586" t="str">
            <v>Del Villar</v>
          </cell>
          <cell r="F2586">
            <v>300</v>
          </cell>
          <cell r="G2586">
            <v>1</v>
          </cell>
          <cell r="H2586">
            <v>800</v>
          </cell>
          <cell r="I2586">
            <v>41609</v>
          </cell>
          <cell r="J2586">
            <v>0</v>
          </cell>
          <cell r="W2586">
            <v>0</v>
          </cell>
          <cell r="AH2586">
            <v>400</v>
          </cell>
          <cell r="AI2586">
            <v>400</v>
          </cell>
          <cell r="AJ2586">
            <v>800</v>
          </cell>
          <cell r="AW2586">
            <v>0</v>
          </cell>
        </row>
        <row r="2587">
          <cell r="B2587">
            <v>6086</v>
          </cell>
          <cell r="D2587" t="str">
            <v/>
          </cell>
          <cell r="E2587" t="str">
            <v/>
          </cell>
          <cell r="F2587" t="str">
            <v/>
          </cell>
          <cell r="I2587">
            <v>41609</v>
          </cell>
          <cell r="J2587" t="str">
            <v>NO SUMA</v>
          </cell>
          <cell r="W2587">
            <v>0</v>
          </cell>
          <cell r="AJ2587">
            <v>0</v>
          </cell>
          <cell r="AW2587">
            <v>0</v>
          </cell>
        </row>
        <row r="2588">
          <cell r="B2588">
            <v>6087</v>
          </cell>
          <cell r="D2588" t="str">
            <v/>
          </cell>
          <cell r="E2588" t="str">
            <v/>
          </cell>
          <cell r="F2588" t="str">
            <v/>
          </cell>
          <cell r="G2588">
            <v>1</v>
          </cell>
          <cell r="H2588">
            <v>400</v>
          </cell>
          <cell r="I2588">
            <v>41609</v>
          </cell>
          <cell r="J2588">
            <v>-400</v>
          </cell>
          <cell r="W2588">
            <v>0</v>
          </cell>
          <cell r="AJ2588">
            <v>0</v>
          </cell>
          <cell r="AW2588">
            <v>0</v>
          </cell>
        </row>
        <row r="2589">
          <cell r="B2589">
            <v>6113</v>
          </cell>
          <cell r="D2589" t="str">
            <v/>
          </cell>
          <cell r="E2589" t="str">
            <v/>
          </cell>
          <cell r="F2589" t="str">
            <v/>
          </cell>
          <cell r="I2589">
            <v>41609</v>
          </cell>
          <cell r="J2589" t="str">
            <v>NO SUMA</v>
          </cell>
          <cell r="W2589">
            <v>0</v>
          </cell>
          <cell r="AJ2589">
            <v>0</v>
          </cell>
          <cell r="AW2589">
            <v>0</v>
          </cell>
        </row>
        <row r="2590">
          <cell r="B2590">
            <v>6114</v>
          </cell>
          <cell r="C2590" t="str">
            <v>UP_79_</v>
          </cell>
          <cell r="D2590" t="str">
            <v>Rancho Upácuaro No. 79</v>
          </cell>
          <cell r="E2590" t="str">
            <v>Macías</v>
          </cell>
          <cell r="F2590">
            <v>300</v>
          </cell>
          <cell r="G2590">
            <v>1</v>
          </cell>
          <cell r="H2590">
            <v>900</v>
          </cell>
          <cell r="I2590">
            <v>41616</v>
          </cell>
          <cell r="J2590">
            <v>0</v>
          </cell>
          <cell r="W2590">
            <v>0</v>
          </cell>
          <cell r="AH2590">
            <v>300</v>
          </cell>
          <cell r="AI2590">
            <v>300</v>
          </cell>
          <cell r="AJ2590">
            <v>600</v>
          </cell>
          <cell r="AK2590">
            <v>300</v>
          </cell>
          <cell r="AW2590">
            <v>300</v>
          </cell>
        </row>
        <row r="2591">
          <cell r="B2591">
            <v>6115</v>
          </cell>
          <cell r="C2591" t="str">
            <v>EZ_99_</v>
          </cell>
          <cell r="D2591" t="str">
            <v>Rancho Estanzuela No. 99</v>
          </cell>
          <cell r="E2591" t="str">
            <v>García López</v>
          </cell>
          <cell r="F2591">
            <v>300</v>
          </cell>
          <cell r="G2591">
            <v>1</v>
          </cell>
          <cell r="H2591">
            <v>800</v>
          </cell>
          <cell r="I2591">
            <v>41616</v>
          </cell>
          <cell r="J2591">
            <v>0</v>
          </cell>
          <cell r="W2591">
            <v>0</v>
          </cell>
          <cell r="AH2591">
            <v>400</v>
          </cell>
          <cell r="AI2591">
            <v>400</v>
          </cell>
          <cell r="AJ2591">
            <v>800</v>
          </cell>
          <cell r="AW2591">
            <v>0</v>
          </cell>
        </row>
        <row r="2592">
          <cell r="B2592">
            <v>6116</v>
          </cell>
          <cell r="C2592" t="str">
            <v>CL_36_</v>
          </cell>
          <cell r="D2592" t="str">
            <v>Rancho La Cuchilla No. 36</v>
          </cell>
          <cell r="E2592" t="str">
            <v>Castillo</v>
          </cell>
          <cell r="F2592">
            <v>300</v>
          </cell>
          <cell r="G2592">
            <v>1</v>
          </cell>
          <cell r="H2592">
            <v>400</v>
          </cell>
          <cell r="I2592">
            <v>41616</v>
          </cell>
          <cell r="J2592">
            <v>0</v>
          </cell>
          <cell r="W2592">
            <v>0</v>
          </cell>
          <cell r="AJ2592">
            <v>0</v>
          </cell>
          <cell r="AK2592">
            <v>400</v>
          </cell>
          <cell r="AW2592">
            <v>400</v>
          </cell>
        </row>
        <row r="2593">
          <cell r="B2593">
            <v>6117</v>
          </cell>
          <cell r="C2593" t="str">
            <v>RM_10_A</v>
          </cell>
          <cell r="D2593" t="str">
            <v>Rancho Romeral No. 10, A</v>
          </cell>
          <cell r="E2593" t="str">
            <v>Casillas Álvarez</v>
          </cell>
          <cell r="F2593">
            <v>150</v>
          </cell>
          <cell r="G2593">
            <v>1</v>
          </cell>
          <cell r="H2593">
            <v>200</v>
          </cell>
          <cell r="I2593">
            <v>41616</v>
          </cell>
          <cell r="J2593">
            <v>0</v>
          </cell>
          <cell r="W2593">
            <v>0</v>
          </cell>
          <cell r="AJ2593">
            <v>0</v>
          </cell>
          <cell r="AK2593">
            <v>200</v>
          </cell>
          <cell r="AW2593">
            <v>200</v>
          </cell>
        </row>
        <row r="2594">
          <cell r="B2594">
            <v>6118</v>
          </cell>
          <cell r="C2594" t="str">
            <v>CL_73_</v>
          </cell>
          <cell r="D2594" t="str">
            <v>Rancho La Cuchilla No. 73</v>
          </cell>
          <cell r="E2594" t="str">
            <v>Cooper</v>
          </cell>
          <cell r="F2594">
            <v>300</v>
          </cell>
          <cell r="G2594">
            <v>1</v>
          </cell>
          <cell r="H2594">
            <v>1200</v>
          </cell>
          <cell r="I2594">
            <v>41616</v>
          </cell>
          <cell r="J2594">
            <v>0</v>
          </cell>
          <cell r="W2594">
            <v>0</v>
          </cell>
          <cell r="AF2594">
            <v>300</v>
          </cell>
          <cell r="AG2594">
            <v>300</v>
          </cell>
          <cell r="AH2594">
            <v>300</v>
          </cell>
          <cell r="AI2594">
            <v>300</v>
          </cell>
          <cell r="AJ2594">
            <v>1200</v>
          </cell>
          <cell r="AW2594">
            <v>0</v>
          </cell>
        </row>
        <row r="2595">
          <cell r="B2595">
            <v>6119</v>
          </cell>
          <cell r="C2595" t="str">
            <v>UP_93_</v>
          </cell>
          <cell r="D2595" t="str">
            <v>Rancho Upácuaro No. 93</v>
          </cell>
          <cell r="E2595" t="str">
            <v>Valdés</v>
          </cell>
          <cell r="F2595">
            <v>300</v>
          </cell>
          <cell r="G2595">
            <v>1</v>
          </cell>
          <cell r="H2595">
            <v>800</v>
          </cell>
          <cell r="I2595">
            <v>41616</v>
          </cell>
          <cell r="J2595">
            <v>0</v>
          </cell>
          <cell r="W2595">
            <v>0</v>
          </cell>
          <cell r="AI2595">
            <v>400</v>
          </cell>
          <cell r="AJ2595">
            <v>400</v>
          </cell>
          <cell r="AK2595">
            <v>400</v>
          </cell>
          <cell r="AW2595">
            <v>400</v>
          </cell>
        </row>
        <row r="2596">
          <cell r="B2596">
            <v>6120</v>
          </cell>
          <cell r="C2596" t="str">
            <v>LD_94_</v>
          </cell>
          <cell r="D2596" t="str">
            <v>Rancho Landero No. 94</v>
          </cell>
          <cell r="E2596" t="str">
            <v>Medina</v>
          </cell>
          <cell r="F2596">
            <v>150</v>
          </cell>
          <cell r="G2596">
            <v>1</v>
          </cell>
          <cell r="H2596">
            <v>300</v>
          </cell>
          <cell r="I2596">
            <v>41616</v>
          </cell>
          <cell r="J2596">
            <v>0</v>
          </cell>
          <cell r="W2596">
            <v>0</v>
          </cell>
          <cell r="AG2596">
            <v>150</v>
          </cell>
          <cell r="AH2596">
            <v>150</v>
          </cell>
          <cell r="AJ2596">
            <v>300</v>
          </cell>
          <cell r="AW2596">
            <v>0</v>
          </cell>
        </row>
        <row r="2597">
          <cell r="B2597">
            <v>6121</v>
          </cell>
          <cell r="C2597" t="str">
            <v>CL_18_</v>
          </cell>
          <cell r="D2597" t="str">
            <v>Rancho La Cuchilla No. 18</v>
          </cell>
          <cell r="E2597" t="str">
            <v>Aldana Sánchez</v>
          </cell>
          <cell r="F2597">
            <v>300</v>
          </cell>
          <cell r="G2597">
            <v>1</v>
          </cell>
          <cell r="H2597">
            <v>400</v>
          </cell>
          <cell r="I2597">
            <v>41616</v>
          </cell>
          <cell r="J2597">
            <v>0</v>
          </cell>
          <cell r="W2597">
            <v>0</v>
          </cell>
          <cell r="AI2597">
            <v>400</v>
          </cell>
          <cell r="AJ2597">
            <v>400</v>
          </cell>
          <cell r="AW2597">
            <v>0</v>
          </cell>
        </row>
        <row r="2598">
          <cell r="B2598">
            <v>6121</v>
          </cell>
          <cell r="C2598" t="str">
            <v>CL_18_</v>
          </cell>
          <cell r="D2598" t="str">
            <v>Rancho La Cuchilla No. 18</v>
          </cell>
          <cell r="E2598" t="str">
            <v>Aldana Sánchez</v>
          </cell>
          <cell r="F2598">
            <v>300</v>
          </cell>
          <cell r="G2598">
            <v>3</v>
          </cell>
          <cell r="H2598">
            <v>160</v>
          </cell>
          <cell r="I2598">
            <v>41616</v>
          </cell>
          <cell r="J2598" t="str">
            <v>NO SUMA</v>
          </cell>
          <cell r="W2598">
            <v>0</v>
          </cell>
          <cell r="AJ2598">
            <v>0</v>
          </cell>
          <cell r="AW2598">
            <v>0</v>
          </cell>
        </row>
        <row r="2599">
          <cell r="B2599">
            <v>6122</v>
          </cell>
          <cell r="C2599" t="str">
            <v>UP_87_</v>
          </cell>
          <cell r="D2599" t="str">
            <v>Rancho Upácuaro No. 87</v>
          </cell>
          <cell r="E2599" t="str">
            <v>Rodríguez Parés</v>
          </cell>
          <cell r="F2599">
            <v>300</v>
          </cell>
          <cell r="G2599">
            <v>1</v>
          </cell>
          <cell r="H2599">
            <v>400</v>
          </cell>
          <cell r="I2599">
            <v>41616</v>
          </cell>
          <cell r="J2599">
            <v>0</v>
          </cell>
          <cell r="W2599">
            <v>0</v>
          </cell>
          <cell r="AI2599">
            <v>400</v>
          </cell>
          <cell r="AJ2599">
            <v>400</v>
          </cell>
          <cell r="AW2599">
            <v>0</v>
          </cell>
        </row>
        <row r="2600">
          <cell r="B2600">
            <v>6123</v>
          </cell>
          <cell r="C2600" t="str">
            <v>CL_43_B</v>
          </cell>
          <cell r="D2600" t="str">
            <v>Rancho La Cuchilla No. 43, B</v>
          </cell>
          <cell r="E2600" t="str">
            <v>Luna Albertano</v>
          </cell>
          <cell r="F2600">
            <v>125</v>
          </cell>
          <cell r="G2600">
            <v>1</v>
          </cell>
          <cell r="H2600">
            <v>120</v>
          </cell>
          <cell r="I2600">
            <v>41616</v>
          </cell>
          <cell r="J2600">
            <v>0</v>
          </cell>
          <cell r="W2600">
            <v>0</v>
          </cell>
          <cell r="AI2600">
            <v>120</v>
          </cell>
          <cell r="AJ2600">
            <v>120</v>
          </cell>
          <cell r="AW2600">
            <v>0</v>
          </cell>
        </row>
        <row r="2601">
          <cell r="B2601">
            <v>6124</v>
          </cell>
          <cell r="C2601" t="str">
            <v>CL_112_PB</v>
          </cell>
          <cell r="D2601" t="str">
            <v>Rancho La Cuchilla No. 112, PB</v>
          </cell>
          <cell r="E2601" t="str">
            <v>Soreque</v>
          </cell>
          <cell r="F2601">
            <v>150</v>
          </cell>
          <cell r="G2601">
            <v>1</v>
          </cell>
          <cell r="H2601">
            <v>200</v>
          </cell>
          <cell r="I2601">
            <v>41616</v>
          </cell>
          <cell r="J2601">
            <v>0</v>
          </cell>
          <cell r="W2601">
            <v>0</v>
          </cell>
          <cell r="AI2601">
            <v>200</v>
          </cell>
          <cell r="AJ2601">
            <v>200</v>
          </cell>
          <cell r="AW2601">
            <v>0</v>
          </cell>
        </row>
        <row r="2602">
          <cell r="B2602">
            <v>6125</v>
          </cell>
          <cell r="C2602" t="str">
            <v>ZB_44_</v>
          </cell>
          <cell r="D2602" t="str">
            <v>Rancho Zinamba No. 44</v>
          </cell>
          <cell r="E2602" t="str">
            <v>Canales</v>
          </cell>
          <cell r="F2602">
            <v>300</v>
          </cell>
          <cell r="G2602">
            <v>1</v>
          </cell>
          <cell r="H2602">
            <v>400</v>
          </cell>
          <cell r="I2602">
            <v>41616</v>
          </cell>
          <cell r="J2602">
            <v>0</v>
          </cell>
          <cell r="W2602">
            <v>0</v>
          </cell>
          <cell r="AI2602">
            <v>400</v>
          </cell>
          <cell r="AJ2602">
            <v>400</v>
          </cell>
          <cell r="AW2602">
            <v>0</v>
          </cell>
        </row>
        <row r="2603">
          <cell r="B2603">
            <v>6126</v>
          </cell>
          <cell r="C2603" t="str">
            <v>EZ_101_</v>
          </cell>
          <cell r="D2603" t="str">
            <v>Rancho Estanzuela No. 101</v>
          </cell>
          <cell r="E2603" t="str">
            <v>Calderón Celis</v>
          </cell>
          <cell r="F2603">
            <v>300</v>
          </cell>
          <cell r="G2603">
            <v>1</v>
          </cell>
          <cell r="H2603">
            <v>1200</v>
          </cell>
          <cell r="I2603">
            <v>41616</v>
          </cell>
          <cell r="J2603">
            <v>0</v>
          </cell>
          <cell r="W2603">
            <v>0</v>
          </cell>
          <cell r="AG2603">
            <v>400</v>
          </cell>
          <cell r="AH2603">
            <v>400</v>
          </cell>
          <cell r="AI2603">
            <v>400</v>
          </cell>
          <cell r="AJ2603">
            <v>1200</v>
          </cell>
          <cell r="AW2603">
            <v>0</v>
          </cell>
        </row>
        <row r="2604">
          <cell r="B2604">
            <v>6127</v>
          </cell>
          <cell r="C2604" t="str">
            <v>EZ_89_</v>
          </cell>
          <cell r="D2604" t="str">
            <v>Rancho Estanzuela No. 89</v>
          </cell>
          <cell r="E2604" t="str">
            <v>Romero Ortiz</v>
          </cell>
          <cell r="F2604">
            <v>300</v>
          </cell>
          <cell r="G2604">
            <v>1</v>
          </cell>
          <cell r="H2604">
            <v>400</v>
          </cell>
          <cell r="I2604">
            <v>41616</v>
          </cell>
          <cell r="J2604">
            <v>0</v>
          </cell>
          <cell r="W2604">
            <v>0</v>
          </cell>
          <cell r="AI2604">
            <v>400</v>
          </cell>
          <cell r="AJ2604">
            <v>400</v>
          </cell>
          <cell r="AW2604">
            <v>0</v>
          </cell>
        </row>
        <row r="2605">
          <cell r="B2605">
            <v>6128</v>
          </cell>
          <cell r="C2605" t="str">
            <v>ZB_50_</v>
          </cell>
          <cell r="D2605" t="str">
            <v>Rancho Zinamba No. 50</v>
          </cell>
          <cell r="E2605" t="str">
            <v>Del Castillo</v>
          </cell>
          <cell r="F2605">
            <v>300</v>
          </cell>
          <cell r="G2605">
            <v>1</v>
          </cell>
          <cell r="H2605">
            <v>400</v>
          </cell>
          <cell r="I2605">
            <v>41616</v>
          </cell>
          <cell r="J2605">
            <v>0</v>
          </cell>
          <cell r="W2605">
            <v>0</v>
          </cell>
          <cell r="AH2605">
            <v>400</v>
          </cell>
          <cell r="AJ2605">
            <v>400</v>
          </cell>
          <cell r="AW2605">
            <v>0</v>
          </cell>
        </row>
        <row r="2606">
          <cell r="B2606">
            <v>6129</v>
          </cell>
          <cell r="C2606" t="str">
            <v>ZB_88_</v>
          </cell>
          <cell r="D2606" t="str">
            <v>Rancho Zinamba No. 88</v>
          </cell>
          <cell r="E2606" t="str">
            <v>Martínez</v>
          </cell>
          <cell r="F2606">
            <v>250</v>
          </cell>
          <cell r="G2606">
            <v>1</v>
          </cell>
          <cell r="H2606">
            <v>350</v>
          </cell>
          <cell r="I2606">
            <v>41616</v>
          </cell>
          <cell r="J2606">
            <v>0</v>
          </cell>
          <cell r="W2606">
            <v>0</v>
          </cell>
          <cell r="AH2606">
            <v>350</v>
          </cell>
          <cell r="AJ2606">
            <v>350</v>
          </cell>
          <cell r="AW2606">
            <v>0</v>
          </cell>
        </row>
        <row r="2607">
          <cell r="B2607">
            <v>6130</v>
          </cell>
          <cell r="C2607" t="str">
            <v>CL_72_</v>
          </cell>
          <cell r="D2607" t="str">
            <v>Rancho La Cuchilla No. 72</v>
          </cell>
          <cell r="E2607" t="str">
            <v>Ortiz González</v>
          </cell>
          <cell r="F2607">
            <v>300</v>
          </cell>
          <cell r="G2607">
            <v>1</v>
          </cell>
          <cell r="H2607">
            <v>400</v>
          </cell>
          <cell r="I2607">
            <v>41616</v>
          </cell>
          <cell r="J2607">
            <v>0</v>
          </cell>
          <cell r="W2607">
            <v>0</v>
          </cell>
          <cell r="AI2607">
            <v>400</v>
          </cell>
          <cell r="AJ2607">
            <v>400</v>
          </cell>
          <cell r="AW2607">
            <v>0</v>
          </cell>
        </row>
        <row r="2608">
          <cell r="B2608">
            <v>6131</v>
          </cell>
          <cell r="C2608" t="str">
            <v>EZ_151_</v>
          </cell>
          <cell r="D2608" t="str">
            <v>Rancho Estanzuela No. 151</v>
          </cell>
          <cell r="E2608" t="str">
            <v>Pérez Salazar</v>
          </cell>
          <cell r="F2608">
            <v>300</v>
          </cell>
          <cell r="G2608">
            <v>1</v>
          </cell>
          <cell r="H2608">
            <v>400</v>
          </cell>
          <cell r="I2608">
            <v>41616</v>
          </cell>
          <cell r="J2608">
            <v>0</v>
          </cell>
          <cell r="W2608">
            <v>0</v>
          </cell>
          <cell r="AI2608">
            <v>400</v>
          </cell>
          <cell r="AJ2608">
            <v>400</v>
          </cell>
          <cell r="AW2608">
            <v>0</v>
          </cell>
        </row>
        <row r="2609">
          <cell r="B2609">
            <v>6132</v>
          </cell>
          <cell r="C2609" t="str">
            <v>CL_7_102</v>
          </cell>
          <cell r="D2609" t="str">
            <v>Rancho La Cuchilla No. 7, 102</v>
          </cell>
          <cell r="E2609" t="str">
            <v>García Moreno</v>
          </cell>
          <cell r="F2609">
            <v>100</v>
          </cell>
          <cell r="G2609">
            <v>1</v>
          </cell>
          <cell r="H2609">
            <v>100</v>
          </cell>
          <cell r="I2609">
            <v>41616</v>
          </cell>
          <cell r="J2609">
            <v>0</v>
          </cell>
          <cell r="W2609">
            <v>0</v>
          </cell>
          <cell r="AI2609">
            <v>100</v>
          </cell>
          <cell r="AJ2609">
            <v>100</v>
          </cell>
          <cell r="AW2609">
            <v>0</v>
          </cell>
        </row>
        <row r="2610">
          <cell r="B2610">
            <v>6133</v>
          </cell>
          <cell r="C2610" t="str">
            <v>CL_7_202</v>
          </cell>
          <cell r="D2610" t="str">
            <v>Rancho La Cuchilla No. 7, 202</v>
          </cell>
          <cell r="E2610" t="str">
            <v>Carbajal Zayas</v>
          </cell>
          <cell r="F2610">
            <v>100</v>
          </cell>
          <cell r="G2610">
            <v>1</v>
          </cell>
          <cell r="H2610">
            <v>200</v>
          </cell>
          <cell r="I2610">
            <v>41616</v>
          </cell>
          <cell r="J2610">
            <v>0</v>
          </cell>
          <cell r="W2610">
            <v>0</v>
          </cell>
          <cell r="AH2610">
            <v>100</v>
          </cell>
          <cell r="AI2610">
            <v>100</v>
          </cell>
          <cell r="AJ2610">
            <v>200</v>
          </cell>
          <cell r="AW2610">
            <v>0</v>
          </cell>
        </row>
        <row r="2611">
          <cell r="B2611">
            <v>6133</v>
          </cell>
          <cell r="C2611" t="str">
            <v>CL_7_202</v>
          </cell>
          <cell r="D2611" t="str">
            <v>Rancho La Cuchilla No. 7, 202</v>
          </cell>
          <cell r="E2611" t="str">
            <v>Carbajal Zayas</v>
          </cell>
          <cell r="F2611">
            <v>100</v>
          </cell>
          <cell r="G2611">
            <v>3</v>
          </cell>
          <cell r="H2611">
            <v>160</v>
          </cell>
          <cell r="I2611">
            <v>41616</v>
          </cell>
          <cell r="J2611" t="str">
            <v>NO SUMA</v>
          </cell>
          <cell r="W2611">
            <v>0</v>
          </cell>
          <cell r="AJ2611">
            <v>0</v>
          </cell>
          <cell r="AW2611">
            <v>0</v>
          </cell>
        </row>
        <row r="2612">
          <cell r="B2612">
            <v>6134</v>
          </cell>
          <cell r="C2612" t="str">
            <v>ZB_34_</v>
          </cell>
          <cell r="D2612" t="str">
            <v>Rancho Zinamba No. 34</v>
          </cell>
          <cell r="E2612" t="str">
            <v>Torres Zavala</v>
          </cell>
          <cell r="F2612">
            <v>300</v>
          </cell>
          <cell r="G2612">
            <v>1</v>
          </cell>
          <cell r="H2612">
            <v>800</v>
          </cell>
          <cell r="I2612">
            <v>41616</v>
          </cell>
          <cell r="J2612">
            <v>0</v>
          </cell>
          <cell r="W2612">
            <v>0</v>
          </cell>
          <cell r="AH2612">
            <v>400</v>
          </cell>
          <cell r="AI2612">
            <v>400</v>
          </cell>
          <cell r="AJ2612">
            <v>800</v>
          </cell>
          <cell r="AW2612">
            <v>0</v>
          </cell>
        </row>
        <row r="2613">
          <cell r="B2613">
            <v>6135</v>
          </cell>
          <cell r="C2613" t="str">
            <v>UP_23_</v>
          </cell>
          <cell r="D2613" t="str">
            <v>Rancho Upácuaro No. 23</v>
          </cell>
          <cell r="E2613" t="str">
            <v>Arredondo</v>
          </cell>
          <cell r="F2613">
            <v>300</v>
          </cell>
          <cell r="G2613">
            <v>1</v>
          </cell>
          <cell r="H2613">
            <v>350</v>
          </cell>
          <cell r="I2613">
            <v>41616</v>
          </cell>
          <cell r="J2613">
            <v>0</v>
          </cell>
          <cell r="W2613">
            <v>0</v>
          </cell>
          <cell r="AI2613">
            <v>350</v>
          </cell>
          <cell r="AJ2613">
            <v>350</v>
          </cell>
          <cell r="AW2613">
            <v>0</v>
          </cell>
        </row>
        <row r="2614">
          <cell r="B2614">
            <v>6135</v>
          </cell>
          <cell r="C2614" t="str">
            <v>UP_23_</v>
          </cell>
          <cell r="D2614" t="str">
            <v>Rancho Upácuaro No. 23</v>
          </cell>
          <cell r="E2614" t="str">
            <v>Arredondo</v>
          </cell>
          <cell r="F2614">
            <v>300</v>
          </cell>
          <cell r="G2614">
            <v>2</v>
          </cell>
          <cell r="H2614">
            <v>300</v>
          </cell>
          <cell r="I2614">
            <v>41616</v>
          </cell>
          <cell r="J2614" t="str">
            <v>NO SUMA</v>
          </cell>
          <cell r="W2614">
            <v>0</v>
          </cell>
          <cell r="AJ2614">
            <v>0</v>
          </cell>
          <cell r="AW2614">
            <v>0</v>
          </cell>
        </row>
        <row r="2615">
          <cell r="B2615">
            <v>6136</v>
          </cell>
          <cell r="C2615" t="str">
            <v>CL_81_A</v>
          </cell>
          <cell r="D2615" t="str">
            <v>Rancho La Cuchilla No. 81, A</v>
          </cell>
          <cell r="E2615" t="str">
            <v>Barrientos López</v>
          </cell>
          <cell r="F2615">
            <v>300</v>
          </cell>
          <cell r="G2615">
            <v>1</v>
          </cell>
          <cell r="H2615">
            <v>400</v>
          </cell>
          <cell r="I2615">
            <v>41616</v>
          </cell>
          <cell r="J2615">
            <v>0</v>
          </cell>
          <cell r="W2615">
            <v>0</v>
          </cell>
          <cell r="AI2615">
            <v>400</v>
          </cell>
          <cell r="AJ2615">
            <v>400</v>
          </cell>
          <cell r="AW2615">
            <v>0</v>
          </cell>
        </row>
        <row r="2616">
          <cell r="B2616">
            <v>6137</v>
          </cell>
          <cell r="C2616" t="str">
            <v>CL_127_</v>
          </cell>
          <cell r="D2616" t="str">
            <v>Rancho La Cuchilla No. 127</v>
          </cell>
          <cell r="E2616" t="str">
            <v>Quiñones</v>
          </cell>
          <cell r="F2616">
            <v>300</v>
          </cell>
          <cell r="G2616">
            <v>1</v>
          </cell>
          <cell r="H2616">
            <v>600</v>
          </cell>
          <cell r="I2616">
            <v>41616</v>
          </cell>
          <cell r="J2616">
            <v>0</v>
          </cell>
          <cell r="W2616">
            <v>0</v>
          </cell>
          <cell r="AH2616">
            <v>300</v>
          </cell>
          <cell r="AI2616">
            <v>300</v>
          </cell>
          <cell r="AJ2616">
            <v>600</v>
          </cell>
          <cell r="AW2616">
            <v>0</v>
          </cell>
        </row>
        <row r="2617">
          <cell r="B2617">
            <v>6138</v>
          </cell>
          <cell r="C2617" t="str">
            <v>ZB_62_</v>
          </cell>
          <cell r="D2617" t="str">
            <v>Rancho Zinamba No. 62</v>
          </cell>
          <cell r="E2617" t="str">
            <v>Martínez León</v>
          </cell>
          <cell r="F2617">
            <v>250</v>
          </cell>
          <cell r="G2617">
            <v>1</v>
          </cell>
          <cell r="H2617">
            <v>1000</v>
          </cell>
          <cell r="I2617">
            <v>41616</v>
          </cell>
          <cell r="J2617">
            <v>0</v>
          </cell>
          <cell r="W2617">
            <v>0</v>
          </cell>
          <cell r="AF2617">
            <v>250</v>
          </cell>
          <cell r="AG2617">
            <v>250</v>
          </cell>
          <cell r="AH2617">
            <v>250</v>
          </cell>
          <cell r="AI2617">
            <v>250</v>
          </cell>
          <cell r="AJ2617">
            <v>1000</v>
          </cell>
          <cell r="AW2617">
            <v>0</v>
          </cell>
        </row>
        <row r="2618">
          <cell r="B2618">
            <v>6138</v>
          </cell>
          <cell r="C2618" t="str">
            <v>ZB_62_</v>
          </cell>
          <cell r="D2618" t="str">
            <v>Rancho Zinamba No. 62</v>
          </cell>
          <cell r="E2618" t="str">
            <v>Martínez León</v>
          </cell>
          <cell r="F2618">
            <v>250</v>
          </cell>
          <cell r="G2618">
            <v>4</v>
          </cell>
          <cell r="H2618">
            <v>160</v>
          </cell>
          <cell r="I2618">
            <v>41616</v>
          </cell>
          <cell r="J2618" t="str">
            <v>NO SUMA</v>
          </cell>
          <cell r="W2618">
            <v>0</v>
          </cell>
          <cell r="AJ2618">
            <v>0</v>
          </cell>
          <cell r="AW2618">
            <v>0</v>
          </cell>
        </row>
        <row r="2619">
          <cell r="B2619">
            <v>6139</v>
          </cell>
          <cell r="C2619" t="str">
            <v>RV_175_B</v>
          </cell>
          <cell r="D2619" t="str">
            <v>Rancho Recoveco No. 175, B</v>
          </cell>
          <cell r="E2619" t="str">
            <v>García Calderón</v>
          </cell>
          <cell r="F2619">
            <v>150</v>
          </cell>
          <cell r="G2619">
            <v>1</v>
          </cell>
          <cell r="H2619">
            <v>200</v>
          </cell>
          <cell r="I2619">
            <v>41616</v>
          </cell>
          <cell r="J2619">
            <v>0</v>
          </cell>
          <cell r="W2619">
            <v>0</v>
          </cell>
          <cell r="AI2619">
            <v>200</v>
          </cell>
          <cell r="AJ2619">
            <v>200</v>
          </cell>
          <cell r="AW2619">
            <v>0</v>
          </cell>
        </row>
        <row r="2620">
          <cell r="B2620">
            <v>6140</v>
          </cell>
          <cell r="C2620" t="str">
            <v>LD_58_</v>
          </cell>
          <cell r="D2620" t="str">
            <v>Rancho Landero No. 58</v>
          </cell>
          <cell r="E2620" t="str">
            <v>Valero</v>
          </cell>
          <cell r="F2620">
            <v>300</v>
          </cell>
          <cell r="G2620">
            <v>1</v>
          </cell>
          <cell r="H2620">
            <v>400</v>
          </cell>
          <cell r="I2620">
            <v>41616</v>
          </cell>
          <cell r="J2620">
            <v>0</v>
          </cell>
          <cell r="W2620">
            <v>0</v>
          </cell>
          <cell r="AI2620">
            <v>400</v>
          </cell>
          <cell r="AJ2620">
            <v>400</v>
          </cell>
          <cell r="AW2620">
            <v>0</v>
          </cell>
        </row>
        <row r="2621">
          <cell r="B2621">
            <v>6141</v>
          </cell>
          <cell r="C2621" t="str">
            <v>CL_41_</v>
          </cell>
          <cell r="D2621" t="str">
            <v>Rancho La Cuchilla No. 41</v>
          </cell>
          <cell r="E2621" t="str">
            <v>Arriaga Lemus</v>
          </cell>
          <cell r="F2621">
            <v>250</v>
          </cell>
          <cell r="G2621">
            <v>1</v>
          </cell>
          <cell r="H2621">
            <v>400</v>
          </cell>
          <cell r="I2621">
            <v>41616</v>
          </cell>
          <cell r="J2621">
            <v>0</v>
          </cell>
          <cell r="W2621">
            <v>0</v>
          </cell>
          <cell r="AI2621">
            <v>400</v>
          </cell>
          <cell r="AJ2621">
            <v>400</v>
          </cell>
          <cell r="AW2621">
            <v>0</v>
          </cell>
        </row>
        <row r="2622">
          <cell r="B2622">
            <v>6142</v>
          </cell>
          <cell r="C2622" t="str">
            <v>LD_51_</v>
          </cell>
          <cell r="D2622" t="str">
            <v>Rancho Landero No. 51</v>
          </cell>
          <cell r="E2622" t="str">
            <v>H. Robles Tamayo</v>
          </cell>
          <cell r="F2622">
            <v>300</v>
          </cell>
          <cell r="G2622">
            <v>1</v>
          </cell>
          <cell r="H2622">
            <v>700</v>
          </cell>
          <cell r="I2622">
            <v>41616</v>
          </cell>
          <cell r="J2622">
            <v>0</v>
          </cell>
          <cell r="W2622">
            <v>0</v>
          </cell>
          <cell r="AG2622">
            <v>300</v>
          </cell>
          <cell r="AH2622">
            <v>400</v>
          </cell>
          <cell r="AJ2622">
            <v>700</v>
          </cell>
          <cell r="AW2622">
            <v>0</v>
          </cell>
        </row>
        <row r="2623">
          <cell r="B2623">
            <v>6143</v>
          </cell>
          <cell r="C2623" t="str">
            <v>UP_73_A</v>
          </cell>
          <cell r="D2623" t="str">
            <v>Rancho Upácuaro No. 73, A</v>
          </cell>
          <cell r="E2623" t="str">
            <v>Ortega</v>
          </cell>
          <cell r="F2623">
            <v>150</v>
          </cell>
          <cell r="G2623">
            <v>1</v>
          </cell>
          <cell r="H2623">
            <v>150</v>
          </cell>
          <cell r="I2623">
            <v>41616</v>
          </cell>
          <cell r="J2623">
            <v>0</v>
          </cell>
          <cell r="W2623">
            <v>0</v>
          </cell>
          <cell r="AI2623">
            <v>150</v>
          </cell>
          <cell r="AJ2623">
            <v>150</v>
          </cell>
          <cell r="AW2623">
            <v>0</v>
          </cell>
        </row>
        <row r="2624">
          <cell r="B2624">
            <v>6144</v>
          </cell>
          <cell r="C2624" t="str">
            <v>CL_129_</v>
          </cell>
          <cell r="D2624" t="str">
            <v>Rancho La Cuchilla No. 129</v>
          </cell>
          <cell r="E2624" t="str">
            <v>Gamboa Rueda</v>
          </cell>
          <cell r="F2624">
            <v>200</v>
          </cell>
          <cell r="G2624">
            <v>1</v>
          </cell>
          <cell r="H2624">
            <v>300</v>
          </cell>
          <cell r="I2624">
            <v>41616</v>
          </cell>
          <cell r="J2624">
            <v>0</v>
          </cell>
          <cell r="W2624">
            <v>0</v>
          </cell>
          <cell r="AI2624">
            <v>300</v>
          </cell>
          <cell r="AJ2624">
            <v>300</v>
          </cell>
          <cell r="AW2624">
            <v>0</v>
          </cell>
        </row>
        <row r="2625">
          <cell r="B2625">
            <v>6145</v>
          </cell>
          <cell r="C2625" t="str">
            <v>EZ_55_</v>
          </cell>
          <cell r="D2625" t="str">
            <v>Rancho Estanzuela No. 55</v>
          </cell>
          <cell r="E2625" t="str">
            <v>Rodríguez Acevedo</v>
          </cell>
          <cell r="F2625">
            <v>300</v>
          </cell>
          <cell r="G2625">
            <v>1</v>
          </cell>
          <cell r="H2625">
            <v>400</v>
          </cell>
          <cell r="I2625">
            <v>41616</v>
          </cell>
          <cell r="J2625">
            <v>0</v>
          </cell>
          <cell r="W2625">
            <v>0</v>
          </cell>
          <cell r="AI2625">
            <v>400</v>
          </cell>
          <cell r="AJ2625">
            <v>400</v>
          </cell>
          <cell r="AW2625">
            <v>0</v>
          </cell>
        </row>
        <row r="2626">
          <cell r="B2626">
            <v>6146</v>
          </cell>
          <cell r="C2626" t="str">
            <v>ZB_56_</v>
          </cell>
          <cell r="D2626" t="str">
            <v>Rancho Zinamba No. 56</v>
          </cell>
          <cell r="E2626" t="str">
            <v>Aguado</v>
          </cell>
          <cell r="F2626">
            <v>250</v>
          </cell>
          <cell r="G2626">
            <v>1</v>
          </cell>
          <cell r="H2626">
            <v>350</v>
          </cell>
          <cell r="I2626">
            <v>41616</v>
          </cell>
          <cell r="J2626">
            <v>0</v>
          </cell>
          <cell r="W2626">
            <v>0</v>
          </cell>
          <cell r="AI2626">
            <v>350</v>
          </cell>
          <cell r="AJ2626">
            <v>350</v>
          </cell>
          <cell r="AW2626">
            <v>0</v>
          </cell>
        </row>
        <row r="2627">
          <cell r="B2627">
            <v>6147</v>
          </cell>
          <cell r="C2627" t="str">
            <v>RV_179_</v>
          </cell>
          <cell r="D2627" t="str">
            <v>Rancho Recoveco No. 179</v>
          </cell>
          <cell r="E2627" t="str">
            <v>Flores Delgado</v>
          </cell>
          <cell r="F2627">
            <v>300</v>
          </cell>
          <cell r="G2627">
            <v>1</v>
          </cell>
          <cell r="H2627">
            <v>400</v>
          </cell>
          <cell r="I2627">
            <v>41616</v>
          </cell>
          <cell r="J2627">
            <v>0</v>
          </cell>
          <cell r="W2627">
            <v>0</v>
          </cell>
          <cell r="AI2627">
            <v>400</v>
          </cell>
          <cell r="AJ2627">
            <v>400</v>
          </cell>
          <cell r="AW2627">
            <v>0</v>
          </cell>
        </row>
        <row r="2628">
          <cell r="B2628">
            <v>6148</v>
          </cell>
          <cell r="C2628" t="str">
            <v>CL_71_</v>
          </cell>
          <cell r="D2628" t="str">
            <v>Rancho La Cuchilla No. 71</v>
          </cell>
          <cell r="E2628" t="str">
            <v>Pulido</v>
          </cell>
          <cell r="F2628">
            <v>300</v>
          </cell>
          <cell r="G2628">
            <v>1</v>
          </cell>
          <cell r="H2628">
            <v>600</v>
          </cell>
          <cell r="I2628">
            <v>41616</v>
          </cell>
          <cell r="J2628">
            <v>0</v>
          </cell>
          <cell r="W2628">
            <v>0</v>
          </cell>
          <cell r="AH2628">
            <v>300</v>
          </cell>
          <cell r="AI2628">
            <v>300</v>
          </cell>
          <cell r="AJ2628">
            <v>600</v>
          </cell>
          <cell r="AW2628">
            <v>0</v>
          </cell>
        </row>
        <row r="2629">
          <cell r="B2629">
            <v>6149</v>
          </cell>
          <cell r="C2629" t="str">
            <v>CL_75_</v>
          </cell>
          <cell r="D2629" t="str">
            <v>Rancho La Cuchilla No. 75</v>
          </cell>
          <cell r="E2629" t="str">
            <v>Sosa Lucio</v>
          </cell>
          <cell r="F2629">
            <v>300</v>
          </cell>
          <cell r="G2629">
            <v>1</v>
          </cell>
          <cell r="H2629">
            <v>400</v>
          </cell>
          <cell r="I2629">
            <v>41616</v>
          </cell>
          <cell r="J2629">
            <v>0</v>
          </cell>
          <cell r="W2629">
            <v>0</v>
          </cell>
          <cell r="AI2629">
            <v>400</v>
          </cell>
          <cell r="AJ2629">
            <v>400</v>
          </cell>
          <cell r="AW2629">
            <v>0</v>
          </cell>
        </row>
        <row r="2630">
          <cell r="B2630">
            <v>6150</v>
          </cell>
          <cell r="C2630" t="str">
            <v>UP_19_</v>
          </cell>
          <cell r="D2630" t="str">
            <v>Rancho Upácuaro No. 19</v>
          </cell>
          <cell r="E2630" t="str">
            <v>Peña Inclán</v>
          </cell>
          <cell r="F2630">
            <v>200</v>
          </cell>
          <cell r="G2630">
            <v>1</v>
          </cell>
          <cell r="H2630">
            <v>300</v>
          </cell>
          <cell r="I2630">
            <v>41616</v>
          </cell>
          <cell r="J2630">
            <v>0</v>
          </cell>
          <cell r="W2630">
            <v>0</v>
          </cell>
          <cell r="AI2630">
            <v>300</v>
          </cell>
          <cell r="AJ2630">
            <v>300</v>
          </cell>
          <cell r="AW2630">
            <v>0</v>
          </cell>
        </row>
        <row r="2631">
          <cell r="B2631">
            <v>6151</v>
          </cell>
          <cell r="C2631" t="str">
            <v>UP_108_</v>
          </cell>
          <cell r="D2631" t="str">
            <v>Rancho Upácuaro No. 108</v>
          </cell>
          <cell r="E2631" t="str">
            <v>Mejía</v>
          </cell>
          <cell r="F2631">
            <v>300</v>
          </cell>
          <cell r="G2631">
            <v>1</v>
          </cell>
          <cell r="H2631">
            <v>300</v>
          </cell>
          <cell r="I2631">
            <v>41619</v>
          </cell>
          <cell r="J2631">
            <v>0</v>
          </cell>
          <cell r="W2631">
            <v>0</v>
          </cell>
          <cell r="AI2631">
            <v>300</v>
          </cell>
          <cell r="AJ2631">
            <v>300</v>
          </cell>
          <cell r="AW2631">
            <v>0</v>
          </cell>
        </row>
        <row r="2632">
          <cell r="B2632">
            <v>6152</v>
          </cell>
          <cell r="C2632" t="str">
            <v>LD_1_A</v>
          </cell>
          <cell r="D2632" t="str">
            <v>Rancho Landero No. 1, A</v>
          </cell>
          <cell r="E2632" t="str">
            <v>Ebysos</v>
          </cell>
          <cell r="F2632">
            <v>300</v>
          </cell>
          <cell r="G2632">
            <v>1</v>
          </cell>
          <cell r="H2632">
            <v>400</v>
          </cell>
          <cell r="I2632">
            <v>41619</v>
          </cell>
          <cell r="J2632">
            <v>0</v>
          </cell>
          <cell r="W2632">
            <v>0</v>
          </cell>
          <cell r="AI2632">
            <v>400</v>
          </cell>
          <cell r="AJ2632">
            <v>400</v>
          </cell>
          <cell r="AW2632">
            <v>0</v>
          </cell>
        </row>
        <row r="2633">
          <cell r="B2633">
            <v>6153</v>
          </cell>
          <cell r="C2633" t="str">
            <v>LD_25_</v>
          </cell>
          <cell r="D2633" t="str">
            <v>Rancho Landero No. 25</v>
          </cell>
          <cell r="E2633" t="str">
            <v>Escamilla Martínez</v>
          </cell>
          <cell r="F2633">
            <v>300</v>
          </cell>
          <cell r="G2633">
            <v>1</v>
          </cell>
          <cell r="H2633">
            <v>800</v>
          </cell>
          <cell r="I2633">
            <v>41623</v>
          </cell>
          <cell r="J2633">
            <v>0</v>
          </cell>
          <cell r="W2633">
            <v>0</v>
          </cell>
          <cell r="AG2633">
            <v>400</v>
          </cell>
          <cell r="AH2633">
            <v>400</v>
          </cell>
          <cell r="AJ2633">
            <v>800</v>
          </cell>
          <cell r="AW2633">
            <v>0</v>
          </cell>
        </row>
        <row r="2634">
          <cell r="B2634">
            <v>6158</v>
          </cell>
          <cell r="C2634" t="str">
            <v>LD_93_</v>
          </cell>
          <cell r="D2634" t="str">
            <v>Rancho Landero No. 93</v>
          </cell>
          <cell r="E2634" t="str">
            <v>Ortega López</v>
          </cell>
          <cell r="F2634">
            <v>300</v>
          </cell>
          <cell r="G2634">
            <v>1</v>
          </cell>
          <cell r="H2634">
            <v>1300</v>
          </cell>
          <cell r="I2634">
            <v>41623</v>
          </cell>
          <cell r="J2634">
            <v>0</v>
          </cell>
          <cell r="W2634">
            <v>0</v>
          </cell>
          <cell r="AD2634">
            <v>300</v>
          </cell>
          <cell r="AE2634">
            <v>300</v>
          </cell>
          <cell r="AF2634">
            <v>300</v>
          </cell>
          <cell r="AG2634">
            <v>400</v>
          </cell>
          <cell r="AJ2634">
            <v>1300</v>
          </cell>
          <cell r="AW2634">
            <v>0</v>
          </cell>
        </row>
        <row r="2635">
          <cell r="B2635">
            <v>6159</v>
          </cell>
          <cell r="C2635" t="str">
            <v>UP_69_</v>
          </cell>
          <cell r="D2635" t="str">
            <v>Rancho Upácuaro No. 69</v>
          </cell>
          <cell r="E2635" t="str">
            <v>Gómez</v>
          </cell>
          <cell r="F2635">
            <v>300</v>
          </cell>
          <cell r="G2635">
            <v>1</v>
          </cell>
          <cell r="H2635">
            <v>1800</v>
          </cell>
          <cell r="I2635">
            <v>41623</v>
          </cell>
          <cell r="J2635">
            <v>0</v>
          </cell>
          <cell r="W2635">
            <v>0</v>
          </cell>
          <cell r="AE2635">
            <v>300</v>
          </cell>
          <cell r="AF2635">
            <v>300</v>
          </cell>
          <cell r="AG2635">
            <v>400</v>
          </cell>
          <cell r="AH2635">
            <v>400</v>
          </cell>
          <cell r="AI2635">
            <v>400</v>
          </cell>
          <cell r="AJ2635">
            <v>1800</v>
          </cell>
          <cell r="AW2635">
            <v>0</v>
          </cell>
        </row>
        <row r="2636">
          <cell r="B2636">
            <v>6160</v>
          </cell>
          <cell r="C2636" t="str">
            <v>LD_47_</v>
          </cell>
          <cell r="D2636" t="str">
            <v>Rancho Landero No. 47</v>
          </cell>
          <cell r="E2636" t="str">
            <v>García González</v>
          </cell>
          <cell r="F2636">
            <v>300</v>
          </cell>
          <cell r="G2636">
            <v>1</v>
          </cell>
          <cell r="H2636">
            <v>400</v>
          </cell>
          <cell r="I2636">
            <v>41623</v>
          </cell>
          <cell r="J2636">
            <v>0</v>
          </cell>
          <cell r="W2636">
            <v>0</v>
          </cell>
          <cell r="AI2636">
            <v>400</v>
          </cell>
          <cell r="AJ2636">
            <v>400</v>
          </cell>
          <cell r="AW2636">
            <v>0</v>
          </cell>
        </row>
        <row r="2637">
          <cell r="B2637">
            <v>6161</v>
          </cell>
          <cell r="C2637" t="str">
            <v>CL_33_</v>
          </cell>
          <cell r="D2637" t="str">
            <v>Rancho La Cuchilla No. 33</v>
          </cell>
          <cell r="E2637" t="str">
            <v>Tanús</v>
          </cell>
          <cell r="F2637">
            <v>300</v>
          </cell>
          <cell r="G2637">
            <v>1</v>
          </cell>
          <cell r="H2637">
            <v>400</v>
          </cell>
          <cell r="I2637">
            <v>41623</v>
          </cell>
          <cell r="J2637">
            <v>0</v>
          </cell>
          <cell r="W2637">
            <v>0</v>
          </cell>
          <cell r="AI2637">
            <v>400</v>
          </cell>
          <cell r="AJ2637">
            <v>400</v>
          </cell>
          <cell r="AW2637">
            <v>0</v>
          </cell>
        </row>
        <row r="2638">
          <cell r="B2638">
            <v>6162</v>
          </cell>
          <cell r="C2638" t="str">
            <v>CL_111_</v>
          </cell>
          <cell r="D2638" t="str">
            <v>Rancho La Cuchilla No. 111</v>
          </cell>
          <cell r="E2638" t="str">
            <v>García Santos Ofelia</v>
          </cell>
          <cell r="F2638">
            <v>150</v>
          </cell>
          <cell r="G2638">
            <v>1</v>
          </cell>
          <cell r="H2638">
            <v>200</v>
          </cell>
          <cell r="I2638">
            <v>41623</v>
          </cell>
          <cell r="J2638">
            <v>0</v>
          </cell>
          <cell r="W2638">
            <v>0</v>
          </cell>
          <cell r="AI2638">
            <v>200</v>
          </cell>
          <cell r="AJ2638">
            <v>200</v>
          </cell>
          <cell r="AW2638">
            <v>0</v>
          </cell>
        </row>
        <row r="2639">
          <cell r="B2639">
            <v>6163</v>
          </cell>
          <cell r="C2639" t="str">
            <v>CL_111_</v>
          </cell>
          <cell r="D2639" t="str">
            <v>Rancho La Cuchilla No. 111</v>
          </cell>
          <cell r="E2639" t="str">
            <v>García Santos Ofelia</v>
          </cell>
          <cell r="F2639">
            <v>150</v>
          </cell>
          <cell r="G2639">
            <v>3</v>
          </cell>
          <cell r="H2639">
            <v>160</v>
          </cell>
          <cell r="I2639">
            <v>41623</v>
          </cell>
          <cell r="J2639" t="str">
            <v>NO SUMA</v>
          </cell>
          <cell r="W2639">
            <v>0</v>
          </cell>
          <cell r="AJ2639">
            <v>0</v>
          </cell>
          <cell r="AW2639">
            <v>0</v>
          </cell>
        </row>
        <row r="2640">
          <cell r="B2640">
            <v>6164</v>
          </cell>
          <cell r="C2640" t="str">
            <v>CL_14_</v>
          </cell>
          <cell r="D2640" t="str">
            <v>Rancho La Cuchilla No. 14</v>
          </cell>
          <cell r="E2640" t="str">
            <v>Chávez Lara</v>
          </cell>
          <cell r="F2640">
            <v>300</v>
          </cell>
          <cell r="G2640">
            <v>1</v>
          </cell>
          <cell r="H2640">
            <v>800</v>
          </cell>
          <cell r="I2640">
            <v>41623</v>
          </cell>
          <cell r="J2640">
            <v>0</v>
          </cell>
          <cell r="W2640">
            <v>0</v>
          </cell>
          <cell r="AH2640">
            <v>400</v>
          </cell>
          <cell r="AI2640">
            <v>400</v>
          </cell>
          <cell r="AJ2640">
            <v>800</v>
          </cell>
          <cell r="AW2640">
            <v>0</v>
          </cell>
        </row>
        <row r="2641">
          <cell r="B2641">
            <v>6165</v>
          </cell>
          <cell r="C2641" t="str">
            <v>RV_175_A</v>
          </cell>
          <cell r="D2641" t="str">
            <v>Rancho Recoveco No. 175, A</v>
          </cell>
          <cell r="E2641" t="str">
            <v>Pérez</v>
          </cell>
          <cell r="F2641">
            <v>300</v>
          </cell>
          <cell r="G2641">
            <v>1</v>
          </cell>
          <cell r="H2641">
            <v>400</v>
          </cell>
          <cell r="I2641">
            <v>41623</v>
          </cell>
          <cell r="J2641">
            <v>0</v>
          </cell>
          <cell r="W2641">
            <v>0</v>
          </cell>
          <cell r="AI2641">
            <v>400</v>
          </cell>
          <cell r="AJ2641">
            <v>400</v>
          </cell>
          <cell r="AW2641">
            <v>0</v>
          </cell>
        </row>
        <row r="2642">
          <cell r="B2642">
            <v>6166</v>
          </cell>
          <cell r="C2642" t="str">
            <v>UP_114_</v>
          </cell>
          <cell r="D2642" t="str">
            <v>Rancho Upácuaro No. 114</v>
          </cell>
          <cell r="E2642" t="str">
            <v>Hernández Cornejo</v>
          </cell>
          <cell r="F2642">
            <v>300</v>
          </cell>
          <cell r="G2642">
            <v>1</v>
          </cell>
          <cell r="H2642">
            <v>400</v>
          </cell>
          <cell r="I2642">
            <v>41623</v>
          </cell>
          <cell r="J2642">
            <v>0</v>
          </cell>
          <cell r="W2642">
            <v>0</v>
          </cell>
          <cell r="AI2642">
            <v>400</v>
          </cell>
          <cell r="AJ2642">
            <v>400</v>
          </cell>
          <cell r="AW2642">
            <v>0</v>
          </cell>
        </row>
        <row r="2643">
          <cell r="B2643">
            <v>6167</v>
          </cell>
          <cell r="C2643" t="str">
            <v>CL_66_</v>
          </cell>
          <cell r="D2643" t="str">
            <v>Rancho La Cuchilla No. 66</v>
          </cell>
          <cell r="E2643" t="str">
            <v>Prieto</v>
          </cell>
          <cell r="F2643">
            <v>300</v>
          </cell>
          <cell r="G2643">
            <v>1</v>
          </cell>
          <cell r="H2643">
            <v>1200</v>
          </cell>
          <cell r="I2643">
            <v>41623</v>
          </cell>
          <cell r="J2643">
            <v>0</v>
          </cell>
          <cell r="W2643">
            <v>0</v>
          </cell>
          <cell r="AH2643">
            <v>400</v>
          </cell>
          <cell r="AI2643">
            <v>400</v>
          </cell>
          <cell r="AJ2643">
            <v>800</v>
          </cell>
          <cell r="AK2643">
            <v>400</v>
          </cell>
          <cell r="AW2643">
            <v>400</v>
          </cell>
        </row>
        <row r="2644">
          <cell r="B2644">
            <v>6168</v>
          </cell>
          <cell r="C2644" t="str">
            <v>LD_99_</v>
          </cell>
          <cell r="D2644" t="str">
            <v>Rancho Landero No. 99</v>
          </cell>
          <cell r="E2644" t="str">
            <v>Rangel</v>
          </cell>
          <cell r="F2644">
            <v>300</v>
          </cell>
          <cell r="G2644">
            <v>1</v>
          </cell>
          <cell r="H2644">
            <v>300</v>
          </cell>
          <cell r="I2644">
            <v>41623</v>
          </cell>
          <cell r="J2644">
            <v>0</v>
          </cell>
          <cell r="W2644">
            <v>0</v>
          </cell>
          <cell r="AH2644">
            <v>300</v>
          </cell>
          <cell r="AJ2644">
            <v>300</v>
          </cell>
          <cell r="AW2644">
            <v>0</v>
          </cell>
        </row>
        <row r="2645">
          <cell r="B2645">
            <v>6169</v>
          </cell>
          <cell r="C2645" t="str">
            <v>UP_48_</v>
          </cell>
          <cell r="D2645" t="str">
            <v>Rancho Upácuaro No. 48</v>
          </cell>
          <cell r="E2645" t="str">
            <v>Bernal</v>
          </cell>
          <cell r="F2645">
            <v>200</v>
          </cell>
          <cell r="G2645">
            <v>1</v>
          </cell>
          <cell r="H2645">
            <v>1000</v>
          </cell>
          <cell r="I2645">
            <v>41623</v>
          </cell>
          <cell r="J2645">
            <v>0</v>
          </cell>
          <cell r="W2645">
            <v>0</v>
          </cell>
          <cell r="AD2645">
            <v>200</v>
          </cell>
          <cell r="AE2645">
            <v>200</v>
          </cell>
          <cell r="AF2645">
            <v>200</v>
          </cell>
          <cell r="AG2645">
            <v>200</v>
          </cell>
          <cell r="AH2645">
            <v>200</v>
          </cell>
          <cell r="AJ2645">
            <v>1000</v>
          </cell>
          <cell r="AW2645">
            <v>0</v>
          </cell>
        </row>
        <row r="2646">
          <cell r="B2646">
            <v>6170</v>
          </cell>
          <cell r="C2646" t="str">
            <v>UP_70_</v>
          </cell>
          <cell r="D2646" t="str">
            <v>Rancho Upácuaro No. 70</v>
          </cell>
          <cell r="E2646" t="str">
            <v>Ramírez Tejeda</v>
          </cell>
          <cell r="F2646">
            <v>300</v>
          </cell>
          <cell r="G2646">
            <v>3</v>
          </cell>
          <cell r="H2646">
            <v>160</v>
          </cell>
          <cell r="I2646">
            <v>41623</v>
          </cell>
          <cell r="J2646" t="str">
            <v>NO SUMA</v>
          </cell>
          <cell r="W2646">
            <v>0</v>
          </cell>
          <cell r="AJ2646">
            <v>0</v>
          </cell>
          <cell r="AW2646">
            <v>0</v>
          </cell>
        </row>
        <row r="2647">
          <cell r="B2647">
            <v>6171</v>
          </cell>
          <cell r="C2647" t="str">
            <v>UP_69_</v>
          </cell>
          <cell r="D2647" t="str">
            <v>Rancho Upácuaro No. 69</v>
          </cell>
          <cell r="E2647" t="str">
            <v>Gómez</v>
          </cell>
          <cell r="F2647">
            <v>300</v>
          </cell>
          <cell r="G2647">
            <v>4</v>
          </cell>
          <cell r="H2647">
            <v>160</v>
          </cell>
          <cell r="I2647">
            <v>41623</v>
          </cell>
          <cell r="J2647" t="str">
            <v>NO SUMA</v>
          </cell>
          <cell r="W2647">
            <v>0</v>
          </cell>
          <cell r="AJ2647">
            <v>0</v>
          </cell>
          <cell r="AW2647">
            <v>0</v>
          </cell>
        </row>
        <row r="2648">
          <cell r="B2648">
            <v>6172</v>
          </cell>
          <cell r="C2648" t="str">
            <v>UP_47_</v>
          </cell>
          <cell r="D2648" t="str">
            <v>Rancho Upácuaro No. 47</v>
          </cell>
          <cell r="E2648" t="str">
            <v>Flores Muñoz</v>
          </cell>
          <cell r="F2648">
            <v>300</v>
          </cell>
          <cell r="G2648">
            <v>1</v>
          </cell>
          <cell r="H2648">
            <v>400</v>
          </cell>
          <cell r="I2648">
            <v>41623</v>
          </cell>
          <cell r="J2648">
            <v>0</v>
          </cell>
          <cell r="W2648">
            <v>0</v>
          </cell>
          <cell r="AI2648">
            <v>400</v>
          </cell>
          <cell r="AJ2648">
            <v>400</v>
          </cell>
          <cell r="AW2648">
            <v>0</v>
          </cell>
        </row>
        <row r="2649">
          <cell r="B2649">
            <v>6172</v>
          </cell>
          <cell r="C2649" t="str">
            <v>UP_47_</v>
          </cell>
          <cell r="D2649" t="str">
            <v>Rancho Upácuaro No. 47</v>
          </cell>
          <cell r="E2649" t="str">
            <v>Flores Muñoz</v>
          </cell>
          <cell r="F2649">
            <v>300</v>
          </cell>
          <cell r="G2649">
            <v>4</v>
          </cell>
          <cell r="H2649">
            <v>160</v>
          </cell>
          <cell r="I2649">
            <v>41623</v>
          </cell>
          <cell r="J2649" t="str">
            <v>NO SUMA</v>
          </cell>
          <cell r="W2649">
            <v>0</v>
          </cell>
          <cell r="AJ2649">
            <v>0</v>
          </cell>
          <cell r="AW2649">
            <v>0</v>
          </cell>
        </row>
        <row r="2650">
          <cell r="B2650">
            <v>6173</v>
          </cell>
          <cell r="C2650" t="str">
            <v>LD_83_</v>
          </cell>
          <cell r="D2650" t="str">
            <v>Rancho Landero No. 83</v>
          </cell>
          <cell r="E2650" t="str">
            <v>Aguilar</v>
          </cell>
          <cell r="F2650">
            <v>300</v>
          </cell>
          <cell r="G2650">
            <v>1</v>
          </cell>
          <cell r="H2650">
            <v>350</v>
          </cell>
          <cell r="I2650">
            <v>41623</v>
          </cell>
          <cell r="J2650">
            <v>0</v>
          </cell>
          <cell r="W2650">
            <v>0</v>
          </cell>
          <cell r="AI2650">
            <v>350</v>
          </cell>
          <cell r="AJ2650">
            <v>350</v>
          </cell>
          <cell r="AW2650">
            <v>0</v>
          </cell>
        </row>
        <row r="2651">
          <cell r="B2651">
            <v>6174</v>
          </cell>
          <cell r="C2651" t="str">
            <v>CL_45_</v>
          </cell>
          <cell r="D2651" t="str">
            <v>Rancho La Cuchilla No. 45</v>
          </cell>
          <cell r="E2651" t="str">
            <v>Estévez Hernández</v>
          </cell>
          <cell r="F2651">
            <v>300</v>
          </cell>
          <cell r="G2651">
            <v>1</v>
          </cell>
          <cell r="H2651">
            <v>400</v>
          </cell>
          <cell r="I2651">
            <v>41623</v>
          </cell>
          <cell r="J2651">
            <v>0</v>
          </cell>
          <cell r="W2651">
            <v>0</v>
          </cell>
          <cell r="AI2651">
            <v>400</v>
          </cell>
          <cell r="AJ2651">
            <v>400</v>
          </cell>
          <cell r="AW2651">
            <v>0</v>
          </cell>
        </row>
        <row r="2652">
          <cell r="B2652">
            <v>6175</v>
          </cell>
          <cell r="C2652" t="str">
            <v>EZ_47_</v>
          </cell>
          <cell r="D2652" t="str">
            <v>Rancho Estanzuela No. 47</v>
          </cell>
          <cell r="E2652" t="str">
            <v>Bussey García</v>
          </cell>
          <cell r="F2652">
            <v>300</v>
          </cell>
          <cell r="G2652">
            <v>1</v>
          </cell>
          <cell r="H2652">
            <v>400</v>
          </cell>
          <cell r="I2652">
            <v>41623</v>
          </cell>
          <cell r="J2652">
            <v>0</v>
          </cell>
          <cell r="W2652">
            <v>0</v>
          </cell>
          <cell r="AI2652">
            <v>400</v>
          </cell>
          <cell r="AJ2652">
            <v>400</v>
          </cell>
          <cell r="AW2652">
            <v>0</v>
          </cell>
        </row>
        <row r="2653">
          <cell r="B2653">
            <v>6176</v>
          </cell>
          <cell r="C2653" t="str">
            <v>UP_63_</v>
          </cell>
          <cell r="D2653" t="str">
            <v>Rancho Upácuaro No. 63</v>
          </cell>
          <cell r="E2653" t="str">
            <v>González Benavides</v>
          </cell>
          <cell r="F2653">
            <v>300</v>
          </cell>
          <cell r="G2653">
            <v>1</v>
          </cell>
          <cell r="H2653">
            <v>800</v>
          </cell>
          <cell r="I2653">
            <v>41623</v>
          </cell>
          <cell r="J2653">
            <v>0</v>
          </cell>
          <cell r="W2653">
            <v>0</v>
          </cell>
          <cell r="AH2653">
            <v>400</v>
          </cell>
          <cell r="AI2653">
            <v>400</v>
          </cell>
          <cell r="AJ2653">
            <v>800</v>
          </cell>
          <cell r="AW2653">
            <v>0</v>
          </cell>
        </row>
        <row r="2654">
          <cell r="B2654">
            <v>6177</v>
          </cell>
          <cell r="C2654" t="str">
            <v>CL_107_</v>
          </cell>
          <cell r="D2654" t="str">
            <v>Rancho La Cuchilla No. 107</v>
          </cell>
          <cell r="E2654" t="str">
            <v>Olivares Rivera</v>
          </cell>
          <cell r="F2654">
            <v>300</v>
          </cell>
          <cell r="G2654">
            <v>1</v>
          </cell>
          <cell r="H2654">
            <v>400</v>
          </cell>
          <cell r="I2654">
            <v>41623</v>
          </cell>
          <cell r="J2654">
            <v>0</v>
          </cell>
          <cell r="W2654">
            <v>0</v>
          </cell>
          <cell r="AI2654">
            <v>400</v>
          </cell>
          <cell r="AJ2654">
            <v>400</v>
          </cell>
          <cell r="AW2654">
            <v>0</v>
          </cell>
        </row>
        <row r="2655">
          <cell r="B2655">
            <v>6178</v>
          </cell>
          <cell r="C2655" t="str">
            <v>RM_33_</v>
          </cell>
          <cell r="D2655" t="str">
            <v>Rancho Romeral No. 33</v>
          </cell>
          <cell r="E2655" t="str">
            <v>Juárez Alva</v>
          </cell>
          <cell r="F2655">
            <v>300</v>
          </cell>
          <cell r="G2655">
            <v>1</v>
          </cell>
          <cell r="H2655">
            <v>1200</v>
          </cell>
          <cell r="I2655">
            <v>41623</v>
          </cell>
          <cell r="J2655">
            <v>0</v>
          </cell>
          <cell r="W2655">
            <v>0</v>
          </cell>
          <cell r="AG2655">
            <v>400</v>
          </cell>
          <cell r="AH2655">
            <v>400</v>
          </cell>
          <cell r="AI2655">
            <v>400</v>
          </cell>
          <cell r="AJ2655">
            <v>1200</v>
          </cell>
          <cell r="AW2655">
            <v>0</v>
          </cell>
        </row>
        <row r="2656">
          <cell r="B2656">
            <v>6179</v>
          </cell>
          <cell r="C2656" t="str">
            <v>CL_131_</v>
          </cell>
          <cell r="D2656" t="str">
            <v>Rancho La Cuchilla No. 131</v>
          </cell>
          <cell r="E2656" t="str">
            <v>Cabrera Marquez</v>
          </cell>
          <cell r="F2656">
            <v>300</v>
          </cell>
          <cell r="G2656">
            <v>1</v>
          </cell>
          <cell r="H2656">
            <v>400</v>
          </cell>
          <cell r="I2656">
            <v>41623</v>
          </cell>
          <cell r="J2656">
            <v>0</v>
          </cell>
          <cell r="W2656">
            <v>0</v>
          </cell>
          <cell r="AI2656">
            <v>400</v>
          </cell>
          <cell r="AJ2656">
            <v>400</v>
          </cell>
          <cell r="AW2656">
            <v>0</v>
          </cell>
        </row>
        <row r="2657">
          <cell r="B2657">
            <v>6180</v>
          </cell>
          <cell r="C2657" t="str">
            <v>LD_30_</v>
          </cell>
          <cell r="D2657" t="str">
            <v>Rancho Landero No. 30</v>
          </cell>
          <cell r="E2657" t="str">
            <v>Torres Guzmán</v>
          </cell>
          <cell r="F2657">
            <v>300</v>
          </cell>
          <cell r="G2657">
            <v>4</v>
          </cell>
          <cell r="H2657">
            <v>160</v>
          </cell>
          <cell r="I2657">
            <v>41623</v>
          </cell>
          <cell r="J2657" t="str">
            <v>NO SUMA</v>
          </cell>
          <cell r="W2657">
            <v>0</v>
          </cell>
          <cell r="AJ2657">
            <v>0</v>
          </cell>
          <cell r="AW2657">
            <v>0</v>
          </cell>
        </row>
        <row r="2658">
          <cell r="B2658">
            <v>6181</v>
          </cell>
          <cell r="C2658" t="str">
            <v>EZ_139_</v>
          </cell>
          <cell r="D2658" t="str">
            <v>Rancho Estanzuela No. 139</v>
          </cell>
          <cell r="E2658" t="str">
            <v>Ortiz</v>
          </cell>
          <cell r="F2658">
            <v>300</v>
          </cell>
          <cell r="G2658">
            <v>1</v>
          </cell>
          <cell r="H2658">
            <v>600</v>
          </cell>
          <cell r="I2658">
            <v>41623</v>
          </cell>
          <cell r="J2658">
            <v>0</v>
          </cell>
          <cell r="W2658">
            <v>0</v>
          </cell>
          <cell r="AH2658">
            <v>300</v>
          </cell>
          <cell r="AI2658">
            <v>300</v>
          </cell>
          <cell r="AJ2658">
            <v>600</v>
          </cell>
          <cell r="AW2658">
            <v>0</v>
          </cell>
        </row>
        <row r="2659">
          <cell r="B2659">
            <v>6182</v>
          </cell>
          <cell r="C2659" t="str">
            <v>EZ_69_</v>
          </cell>
          <cell r="D2659" t="str">
            <v>Rancho Estanzuela No. 69</v>
          </cell>
          <cell r="E2659" t="str">
            <v>Apaez</v>
          </cell>
          <cell r="F2659">
            <v>300</v>
          </cell>
          <cell r="G2659">
            <v>1</v>
          </cell>
          <cell r="H2659">
            <v>400</v>
          </cell>
          <cell r="I2659">
            <v>41623</v>
          </cell>
          <cell r="J2659">
            <v>0</v>
          </cell>
          <cell r="W2659">
            <v>0</v>
          </cell>
          <cell r="AI2659">
            <v>400</v>
          </cell>
          <cell r="AJ2659">
            <v>400</v>
          </cell>
          <cell r="AW2659">
            <v>0</v>
          </cell>
        </row>
        <row r="2660">
          <cell r="B2660">
            <v>6183</v>
          </cell>
          <cell r="C2660" t="str">
            <v>CL_80_</v>
          </cell>
          <cell r="D2660" t="str">
            <v>Rancho La Cuchilla No. 80</v>
          </cell>
          <cell r="E2660" t="str">
            <v>Aparicio</v>
          </cell>
          <cell r="F2660">
            <v>300</v>
          </cell>
          <cell r="G2660">
            <v>3</v>
          </cell>
          <cell r="H2660">
            <v>160</v>
          </cell>
          <cell r="I2660">
            <v>41623</v>
          </cell>
          <cell r="J2660" t="str">
            <v>NO SUMA</v>
          </cell>
          <cell r="W2660">
            <v>0</v>
          </cell>
          <cell r="AJ2660">
            <v>0</v>
          </cell>
          <cell r="AW2660">
            <v>0</v>
          </cell>
        </row>
        <row r="2661">
          <cell r="B2661">
            <v>6184</v>
          </cell>
          <cell r="C2661" t="str">
            <v>ZB_38_</v>
          </cell>
          <cell r="D2661" t="str">
            <v>Rancho Zinamba No. 38</v>
          </cell>
          <cell r="E2661" t="str">
            <v>Ramírez Díaz</v>
          </cell>
          <cell r="F2661">
            <v>300</v>
          </cell>
          <cell r="G2661">
            <v>1</v>
          </cell>
          <cell r="H2661">
            <v>400</v>
          </cell>
          <cell r="I2661">
            <v>41623</v>
          </cell>
          <cell r="J2661">
            <v>0</v>
          </cell>
          <cell r="W2661">
            <v>0</v>
          </cell>
          <cell r="AI2661">
            <v>400</v>
          </cell>
          <cell r="AJ2661">
            <v>400</v>
          </cell>
          <cell r="AW2661">
            <v>0</v>
          </cell>
        </row>
        <row r="2662">
          <cell r="B2662">
            <v>6185</v>
          </cell>
          <cell r="C2662" t="str">
            <v>EZ_7_A</v>
          </cell>
          <cell r="D2662" t="str">
            <v>Rancho Estanzuela No. 7, A</v>
          </cell>
          <cell r="E2662" t="str">
            <v>Herrera Izquierdo</v>
          </cell>
          <cell r="F2662">
            <v>150</v>
          </cell>
          <cell r="G2662">
            <v>1</v>
          </cell>
          <cell r="H2662">
            <v>200</v>
          </cell>
          <cell r="I2662">
            <v>41623</v>
          </cell>
          <cell r="J2662">
            <v>0</v>
          </cell>
          <cell r="W2662">
            <v>0</v>
          </cell>
          <cell r="AI2662">
            <v>200</v>
          </cell>
          <cell r="AJ2662">
            <v>200</v>
          </cell>
          <cell r="AW2662">
            <v>0</v>
          </cell>
        </row>
        <row r="2663">
          <cell r="B2663">
            <v>6186</v>
          </cell>
          <cell r="C2663" t="str">
            <v>UP_95_</v>
          </cell>
          <cell r="D2663" t="str">
            <v>Rancho Upácuaro No. 95</v>
          </cell>
          <cell r="E2663" t="str">
            <v>Flores</v>
          </cell>
          <cell r="F2663">
            <v>300</v>
          </cell>
          <cell r="G2663">
            <v>1</v>
          </cell>
          <cell r="H2663">
            <v>400</v>
          </cell>
          <cell r="I2663">
            <v>41623</v>
          </cell>
          <cell r="J2663">
            <v>0</v>
          </cell>
          <cell r="W2663">
            <v>0</v>
          </cell>
          <cell r="AI2663">
            <v>400</v>
          </cell>
          <cell r="AJ2663">
            <v>400</v>
          </cell>
          <cell r="AW2663">
            <v>0</v>
          </cell>
        </row>
        <row r="2664">
          <cell r="B2664">
            <v>6187</v>
          </cell>
          <cell r="C2664" t="str">
            <v>LD_85_</v>
          </cell>
          <cell r="D2664" t="str">
            <v>Rancho Landero No. 85</v>
          </cell>
          <cell r="E2664" t="str">
            <v>Martínez Olague</v>
          </cell>
          <cell r="F2664">
            <v>300</v>
          </cell>
          <cell r="G2664">
            <v>1</v>
          </cell>
          <cell r="H2664">
            <v>400</v>
          </cell>
          <cell r="I2664">
            <v>41625</v>
          </cell>
          <cell r="J2664">
            <v>0</v>
          </cell>
          <cell r="W2664">
            <v>0</v>
          </cell>
          <cell r="AI2664">
            <v>400</v>
          </cell>
          <cell r="AJ2664">
            <v>400</v>
          </cell>
          <cell r="AW2664">
            <v>0</v>
          </cell>
        </row>
        <row r="2665">
          <cell r="B2665">
            <v>6188</v>
          </cell>
          <cell r="C2665" t="str">
            <v>ZB_12_</v>
          </cell>
          <cell r="D2665" t="str">
            <v>Rancho Zinamba No. 12</v>
          </cell>
          <cell r="E2665" t="str">
            <v>S.P.Endoscopic</v>
          </cell>
          <cell r="F2665">
            <v>400</v>
          </cell>
          <cell r="G2665">
            <v>1</v>
          </cell>
          <cell r="H2665">
            <v>400</v>
          </cell>
          <cell r="I2665">
            <v>41625</v>
          </cell>
          <cell r="J2665">
            <v>0</v>
          </cell>
          <cell r="W2665">
            <v>0</v>
          </cell>
          <cell r="AI2665">
            <v>400</v>
          </cell>
          <cell r="AJ2665">
            <v>400</v>
          </cell>
          <cell r="AW2665">
            <v>0</v>
          </cell>
        </row>
        <row r="2666">
          <cell r="B2666">
            <v>6189</v>
          </cell>
          <cell r="C2666" t="str">
            <v>CL_149_</v>
          </cell>
          <cell r="D2666" t="str">
            <v>Rancho La Cuchilla No. 149</v>
          </cell>
          <cell r="E2666" t="str">
            <v>Montes Irineos</v>
          </cell>
          <cell r="F2666">
            <v>300</v>
          </cell>
          <cell r="G2666">
            <v>4</v>
          </cell>
          <cell r="H2666">
            <v>160</v>
          </cell>
          <cell r="I2666">
            <v>41626</v>
          </cell>
          <cell r="J2666" t="str">
            <v>NO SUMA</v>
          </cell>
          <cell r="W2666">
            <v>0</v>
          </cell>
          <cell r="AJ2666">
            <v>0</v>
          </cell>
          <cell r="AW2666">
            <v>0</v>
          </cell>
        </row>
        <row r="2667">
          <cell r="B2667">
            <v>6190</v>
          </cell>
          <cell r="C2667" t="str">
            <v>CL_97_</v>
          </cell>
          <cell r="D2667" t="str">
            <v>Rancho La Cuchilla No. 97</v>
          </cell>
          <cell r="E2667" t="str">
            <v>López Ruiz</v>
          </cell>
          <cell r="F2667">
            <v>300</v>
          </cell>
          <cell r="G2667">
            <v>1</v>
          </cell>
          <cell r="H2667">
            <v>600</v>
          </cell>
          <cell r="I2667">
            <v>41626</v>
          </cell>
          <cell r="J2667">
            <v>0</v>
          </cell>
          <cell r="W2667">
            <v>0</v>
          </cell>
          <cell r="AH2667">
            <v>300</v>
          </cell>
          <cell r="AI2667">
            <v>300</v>
          </cell>
          <cell r="AJ2667">
            <v>600</v>
          </cell>
          <cell r="AW2667">
            <v>0</v>
          </cell>
        </row>
        <row r="2668">
          <cell r="B2668">
            <v>6191</v>
          </cell>
          <cell r="C2668" t="str">
            <v>LD_14_</v>
          </cell>
          <cell r="D2668" t="str">
            <v>Rancho Landero No. 14</v>
          </cell>
          <cell r="E2668" t="str">
            <v>Rivera</v>
          </cell>
          <cell r="F2668">
            <v>300</v>
          </cell>
          <cell r="G2668">
            <v>1</v>
          </cell>
          <cell r="H2668">
            <v>3900</v>
          </cell>
          <cell r="I2668">
            <v>41627</v>
          </cell>
          <cell r="J2668">
            <v>0</v>
          </cell>
          <cell r="W2668">
            <v>0</v>
          </cell>
          <cell r="X2668">
            <v>300</v>
          </cell>
          <cell r="Y2668">
            <v>300</v>
          </cell>
          <cell r="Z2668">
            <v>300</v>
          </cell>
          <cell r="AA2668">
            <v>300</v>
          </cell>
          <cell r="AB2668">
            <v>300</v>
          </cell>
          <cell r="AC2668">
            <v>300</v>
          </cell>
          <cell r="AD2668">
            <v>300</v>
          </cell>
          <cell r="AE2668">
            <v>300</v>
          </cell>
          <cell r="AF2668">
            <v>300</v>
          </cell>
          <cell r="AG2668">
            <v>400</v>
          </cell>
          <cell r="AH2668">
            <v>400</v>
          </cell>
          <cell r="AI2668">
            <v>400</v>
          </cell>
          <cell r="AJ2668">
            <v>3900</v>
          </cell>
          <cell r="AW2668">
            <v>0</v>
          </cell>
        </row>
        <row r="2669">
          <cell r="B2669">
            <v>6192</v>
          </cell>
          <cell r="C2669" t="str">
            <v>LD_76_</v>
          </cell>
          <cell r="D2669" t="str">
            <v>Rancho Landero No. 76</v>
          </cell>
          <cell r="E2669" t="str">
            <v>Ugarte</v>
          </cell>
          <cell r="F2669">
            <v>300</v>
          </cell>
          <cell r="G2669">
            <v>1</v>
          </cell>
          <cell r="H2669">
            <v>400</v>
          </cell>
          <cell r="I2669">
            <v>41630</v>
          </cell>
          <cell r="J2669">
            <v>0</v>
          </cell>
          <cell r="W2669">
            <v>0</v>
          </cell>
          <cell r="AI2669">
            <v>400</v>
          </cell>
          <cell r="AJ2669">
            <v>400</v>
          </cell>
          <cell r="AW2669">
            <v>0</v>
          </cell>
        </row>
        <row r="2670">
          <cell r="B2670">
            <v>6193</v>
          </cell>
          <cell r="C2670" t="str">
            <v>LD_96_</v>
          </cell>
          <cell r="D2670" t="str">
            <v>Rancho Landero No. 96</v>
          </cell>
          <cell r="E2670" t="str">
            <v>Espinoza Aguirre</v>
          </cell>
          <cell r="F2670">
            <v>300</v>
          </cell>
          <cell r="G2670">
            <v>1</v>
          </cell>
          <cell r="H2670">
            <v>800</v>
          </cell>
          <cell r="I2670">
            <v>41630</v>
          </cell>
          <cell r="J2670">
            <v>0</v>
          </cell>
          <cell r="W2670">
            <v>0</v>
          </cell>
          <cell r="AH2670">
            <v>400</v>
          </cell>
          <cell r="AI2670">
            <v>400</v>
          </cell>
          <cell r="AJ2670">
            <v>800</v>
          </cell>
          <cell r="AW2670">
            <v>0</v>
          </cell>
        </row>
        <row r="2671">
          <cell r="B2671">
            <v>6194</v>
          </cell>
          <cell r="C2671" t="str">
            <v>UP_104_</v>
          </cell>
          <cell r="D2671" t="str">
            <v>Rancho Upácuaro No. 104</v>
          </cell>
          <cell r="E2671" t="str">
            <v>Jiménez Almazo</v>
          </cell>
          <cell r="F2671">
            <v>300</v>
          </cell>
          <cell r="G2671">
            <v>1</v>
          </cell>
          <cell r="H2671">
            <v>800</v>
          </cell>
          <cell r="I2671">
            <v>41630</v>
          </cell>
          <cell r="J2671">
            <v>0</v>
          </cell>
          <cell r="W2671">
            <v>0</v>
          </cell>
          <cell r="AI2671">
            <v>400</v>
          </cell>
          <cell r="AJ2671">
            <v>400</v>
          </cell>
          <cell r="AK2671">
            <v>400</v>
          </cell>
          <cell r="AW2671">
            <v>400</v>
          </cell>
        </row>
        <row r="2672">
          <cell r="B2672">
            <v>6195</v>
          </cell>
          <cell r="C2672" t="str">
            <v>UP_136_</v>
          </cell>
          <cell r="D2672" t="str">
            <v>Rancho Upácuaro No. 136</v>
          </cell>
          <cell r="E2672" t="str">
            <v>López Lena</v>
          </cell>
          <cell r="F2672">
            <v>300</v>
          </cell>
          <cell r="G2672">
            <v>1</v>
          </cell>
          <cell r="H2672">
            <v>400</v>
          </cell>
          <cell r="I2672">
            <v>41630</v>
          </cell>
          <cell r="J2672">
            <v>0</v>
          </cell>
          <cell r="W2672">
            <v>0</v>
          </cell>
          <cell r="AI2672">
            <v>400</v>
          </cell>
          <cell r="AJ2672">
            <v>400</v>
          </cell>
          <cell r="AW2672">
            <v>0</v>
          </cell>
        </row>
        <row r="2673">
          <cell r="B2673">
            <v>6196</v>
          </cell>
          <cell r="C2673" t="str">
            <v>LD_71_</v>
          </cell>
          <cell r="D2673" t="str">
            <v>Rancho Landero No. 71</v>
          </cell>
          <cell r="E2673" t="str">
            <v>Cabrera Balcázar</v>
          </cell>
          <cell r="F2673">
            <v>300</v>
          </cell>
          <cell r="G2673">
            <v>1</v>
          </cell>
          <cell r="H2673">
            <v>400</v>
          </cell>
          <cell r="I2673">
            <v>41630</v>
          </cell>
          <cell r="J2673">
            <v>0</v>
          </cell>
          <cell r="W2673">
            <v>0</v>
          </cell>
          <cell r="AI2673">
            <v>400</v>
          </cell>
          <cell r="AJ2673">
            <v>400</v>
          </cell>
          <cell r="AW2673">
            <v>0</v>
          </cell>
        </row>
        <row r="2674">
          <cell r="B2674">
            <v>6197</v>
          </cell>
          <cell r="C2674" t="str">
            <v>CL_92_</v>
          </cell>
          <cell r="D2674" t="str">
            <v>Rancho La Cuchilla No. 92</v>
          </cell>
          <cell r="E2674" t="str">
            <v>Cabrera</v>
          </cell>
          <cell r="F2674">
            <v>300</v>
          </cell>
          <cell r="G2674">
            <v>1</v>
          </cell>
          <cell r="H2674">
            <v>400</v>
          </cell>
          <cell r="I2674">
            <v>41630</v>
          </cell>
          <cell r="J2674">
            <v>0</v>
          </cell>
          <cell r="W2674">
            <v>0</v>
          </cell>
          <cell r="AI2674">
            <v>400</v>
          </cell>
          <cell r="AJ2674">
            <v>400</v>
          </cell>
          <cell r="AW2674">
            <v>0</v>
          </cell>
        </row>
        <row r="2675">
          <cell r="B2675">
            <v>6198</v>
          </cell>
          <cell r="C2675" t="str">
            <v>UP_134_</v>
          </cell>
          <cell r="D2675" t="str">
            <v>Rancho Upácuaro No. 134</v>
          </cell>
          <cell r="E2675" t="str">
            <v>Flores Pérez</v>
          </cell>
          <cell r="F2675">
            <v>300</v>
          </cell>
          <cell r="G2675">
            <v>1</v>
          </cell>
          <cell r="H2675">
            <v>800</v>
          </cell>
          <cell r="I2675">
            <v>41630</v>
          </cell>
          <cell r="J2675">
            <v>0</v>
          </cell>
          <cell r="W2675">
            <v>0</v>
          </cell>
          <cell r="AH2675">
            <v>400</v>
          </cell>
          <cell r="AI2675">
            <v>400</v>
          </cell>
          <cell r="AJ2675">
            <v>800</v>
          </cell>
          <cell r="AW2675">
            <v>0</v>
          </cell>
        </row>
        <row r="2676">
          <cell r="B2676">
            <v>6199</v>
          </cell>
          <cell r="C2676" t="str">
            <v>LD_89_</v>
          </cell>
          <cell r="D2676" t="str">
            <v>Rancho Landero No. 89</v>
          </cell>
          <cell r="E2676" t="str">
            <v>Del Pozo Solís</v>
          </cell>
          <cell r="F2676">
            <v>300</v>
          </cell>
          <cell r="G2676">
            <v>1</v>
          </cell>
          <cell r="H2676">
            <v>300</v>
          </cell>
          <cell r="I2676">
            <v>41630</v>
          </cell>
          <cell r="J2676">
            <v>0</v>
          </cell>
          <cell r="W2676">
            <v>0</v>
          </cell>
          <cell r="AI2676">
            <v>300</v>
          </cell>
          <cell r="AJ2676">
            <v>300</v>
          </cell>
          <cell r="AW2676">
            <v>0</v>
          </cell>
        </row>
        <row r="2677">
          <cell r="B2677">
            <v>6200</v>
          </cell>
          <cell r="C2677" t="str">
            <v>UP_21_</v>
          </cell>
          <cell r="D2677" t="str">
            <v>Rancho Upácuaro No. 21</v>
          </cell>
          <cell r="E2677" t="str">
            <v>Fierro Betancourt</v>
          </cell>
          <cell r="F2677">
            <v>150</v>
          </cell>
          <cell r="G2677">
            <v>1</v>
          </cell>
          <cell r="H2677">
            <v>200</v>
          </cell>
          <cell r="I2677">
            <v>41630</v>
          </cell>
          <cell r="J2677">
            <v>0</v>
          </cell>
          <cell r="W2677">
            <v>0</v>
          </cell>
          <cell r="AI2677">
            <v>200</v>
          </cell>
          <cell r="AJ2677">
            <v>200</v>
          </cell>
          <cell r="AW2677">
            <v>0</v>
          </cell>
        </row>
        <row r="2678">
          <cell r="B2678">
            <v>6201</v>
          </cell>
          <cell r="C2678" t="str">
            <v>EP_22_A</v>
          </cell>
          <cell r="D2678" t="str">
            <v>Rancho Estopila No. 22, A</v>
          </cell>
          <cell r="E2678" t="str">
            <v>Ayala Carranza</v>
          </cell>
          <cell r="F2678">
            <v>150</v>
          </cell>
          <cell r="G2678">
            <v>1</v>
          </cell>
          <cell r="H2678">
            <v>200</v>
          </cell>
          <cell r="I2678">
            <v>41630</v>
          </cell>
          <cell r="J2678">
            <v>0</v>
          </cell>
          <cell r="W2678">
            <v>0</v>
          </cell>
          <cell r="AI2678">
            <v>200</v>
          </cell>
          <cell r="AJ2678">
            <v>200</v>
          </cell>
          <cell r="AW2678">
            <v>0</v>
          </cell>
        </row>
        <row r="2679">
          <cell r="B2679">
            <v>6202</v>
          </cell>
          <cell r="C2679" t="str">
            <v>UP_116_</v>
          </cell>
          <cell r="D2679" t="str">
            <v>Rancho Upácuaro No. 116</v>
          </cell>
          <cell r="E2679" t="str">
            <v>García Zamudio</v>
          </cell>
          <cell r="F2679">
            <v>300</v>
          </cell>
          <cell r="G2679">
            <v>1</v>
          </cell>
          <cell r="H2679">
            <v>800</v>
          </cell>
          <cell r="I2679">
            <v>41630</v>
          </cell>
          <cell r="J2679">
            <v>0</v>
          </cell>
          <cell r="W2679">
            <v>0</v>
          </cell>
          <cell r="AH2679">
            <v>400</v>
          </cell>
          <cell r="AI2679">
            <v>400</v>
          </cell>
          <cell r="AJ2679">
            <v>800</v>
          </cell>
          <cell r="AW2679">
            <v>0</v>
          </cell>
        </row>
        <row r="2680">
          <cell r="B2680">
            <v>6203</v>
          </cell>
          <cell r="C2680" t="str">
            <v>CL_61_</v>
          </cell>
          <cell r="D2680" t="str">
            <v>Rancho La Cuchilla No. 61</v>
          </cell>
          <cell r="E2680" t="str">
            <v>Rivera</v>
          </cell>
          <cell r="F2680">
            <v>300</v>
          </cell>
          <cell r="G2680">
            <v>1</v>
          </cell>
          <cell r="H2680">
            <v>800</v>
          </cell>
          <cell r="I2680">
            <v>41630</v>
          </cell>
          <cell r="J2680">
            <v>0</v>
          </cell>
          <cell r="W2680">
            <v>0</v>
          </cell>
          <cell r="AH2680">
            <v>400</v>
          </cell>
          <cell r="AI2680">
            <v>400</v>
          </cell>
          <cell r="AJ2680">
            <v>800</v>
          </cell>
          <cell r="AW2680">
            <v>0</v>
          </cell>
        </row>
        <row r="2681">
          <cell r="B2681">
            <v>6204</v>
          </cell>
          <cell r="C2681" t="str">
            <v>RV_3_</v>
          </cell>
          <cell r="D2681" t="str">
            <v>Rancho Recoveco No. 3</v>
          </cell>
          <cell r="E2681" t="str">
            <v>Garduño</v>
          </cell>
          <cell r="F2681">
            <v>300</v>
          </cell>
          <cell r="G2681">
            <v>1</v>
          </cell>
          <cell r="H2681">
            <v>300</v>
          </cell>
          <cell r="I2681">
            <v>41630</v>
          </cell>
          <cell r="J2681">
            <v>0</v>
          </cell>
          <cell r="W2681">
            <v>0</v>
          </cell>
          <cell r="AI2681">
            <v>300</v>
          </cell>
          <cell r="AJ2681">
            <v>300</v>
          </cell>
          <cell r="AW2681">
            <v>0</v>
          </cell>
        </row>
        <row r="2682">
          <cell r="B2682">
            <v>6205</v>
          </cell>
          <cell r="C2682" t="str">
            <v>LD_87_</v>
          </cell>
          <cell r="D2682" t="str">
            <v>Rancho Landero No. 87</v>
          </cell>
          <cell r="E2682" t="str">
            <v>Fey Lafferla</v>
          </cell>
          <cell r="F2682">
            <v>300</v>
          </cell>
          <cell r="G2682">
            <v>1</v>
          </cell>
          <cell r="H2682">
            <v>600</v>
          </cell>
          <cell r="I2682">
            <v>41630</v>
          </cell>
          <cell r="J2682">
            <v>0</v>
          </cell>
          <cell r="W2682">
            <v>0</v>
          </cell>
          <cell r="AH2682">
            <v>300</v>
          </cell>
          <cell r="AI2682">
            <v>300</v>
          </cell>
          <cell r="AJ2682">
            <v>600</v>
          </cell>
          <cell r="AW2682">
            <v>0</v>
          </cell>
        </row>
        <row r="2683">
          <cell r="B2683">
            <v>6206</v>
          </cell>
          <cell r="C2683" t="str">
            <v>ZB_88_</v>
          </cell>
          <cell r="D2683" t="str">
            <v>Rancho Zinamba No. 88</v>
          </cell>
          <cell r="E2683" t="str">
            <v>Martínez</v>
          </cell>
          <cell r="F2683">
            <v>250</v>
          </cell>
          <cell r="G2683">
            <v>1</v>
          </cell>
          <cell r="H2683">
            <v>350</v>
          </cell>
          <cell r="I2683">
            <v>41630</v>
          </cell>
          <cell r="J2683">
            <v>0</v>
          </cell>
          <cell r="W2683">
            <v>0</v>
          </cell>
          <cell r="AI2683">
            <v>350</v>
          </cell>
          <cell r="AJ2683">
            <v>350</v>
          </cell>
          <cell r="AW2683">
            <v>0</v>
          </cell>
        </row>
        <row r="2684">
          <cell r="B2684">
            <v>6207</v>
          </cell>
          <cell r="C2684" t="str">
            <v>CL_12_</v>
          </cell>
          <cell r="D2684" t="str">
            <v>Rancho La Cuchilla No. 12</v>
          </cell>
          <cell r="E2684" t="str">
            <v>Rivera Flores</v>
          </cell>
          <cell r="F2684">
            <v>300</v>
          </cell>
          <cell r="G2684">
            <v>1</v>
          </cell>
          <cell r="H2684">
            <v>350</v>
          </cell>
          <cell r="I2684">
            <v>41630</v>
          </cell>
          <cell r="J2684">
            <v>0</v>
          </cell>
          <cell r="W2684">
            <v>0</v>
          </cell>
          <cell r="AH2684">
            <v>350</v>
          </cell>
          <cell r="AJ2684">
            <v>350</v>
          </cell>
          <cell r="AW2684">
            <v>0</v>
          </cell>
        </row>
        <row r="2685">
          <cell r="B2685">
            <v>6208</v>
          </cell>
          <cell r="C2685" t="str">
            <v>ZB_24_</v>
          </cell>
          <cell r="D2685" t="str">
            <v>Rancho Zinamba No. 24</v>
          </cell>
          <cell r="E2685" t="str">
            <v>Monroy García</v>
          </cell>
          <cell r="F2685">
            <v>300</v>
          </cell>
          <cell r="G2685">
            <v>1</v>
          </cell>
          <cell r="H2685">
            <v>400</v>
          </cell>
          <cell r="I2685">
            <v>41630</v>
          </cell>
          <cell r="J2685">
            <v>0</v>
          </cell>
          <cell r="W2685">
            <v>0</v>
          </cell>
          <cell r="AI2685">
            <v>400</v>
          </cell>
          <cell r="AJ2685">
            <v>400</v>
          </cell>
          <cell r="AW2685">
            <v>0</v>
          </cell>
        </row>
        <row r="2686">
          <cell r="B2686">
            <v>6209</v>
          </cell>
          <cell r="C2686" t="str">
            <v>CL_43_A</v>
          </cell>
          <cell r="D2686" t="str">
            <v>Rancho La Cuchilla No. 43, A</v>
          </cell>
          <cell r="E2686" t="str">
            <v>De la Rosa</v>
          </cell>
          <cell r="F2686">
            <v>200</v>
          </cell>
          <cell r="G2686">
            <v>1</v>
          </cell>
          <cell r="H2686">
            <v>400</v>
          </cell>
          <cell r="I2686">
            <v>41630</v>
          </cell>
          <cell r="J2686">
            <v>0</v>
          </cell>
          <cell r="W2686">
            <v>0</v>
          </cell>
          <cell r="AI2686">
            <v>400</v>
          </cell>
          <cell r="AJ2686">
            <v>400</v>
          </cell>
          <cell r="AW2686">
            <v>0</v>
          </cell>
        </row>
        <row r="2687">
          <cell r="B2687">
            <v>6210</v>
          </cell>
          <cell r="C2687" t="str">
            <v>LD_22_</v>
          </cell>
          <cell r="D2687" t="str">
            <v>Rancho Landero No. 22</v>
          </cell>
          <cell r="E2687" t="str">
            <v>Reyes</v>
          </cell>
          <cell r="F2687">
            <v>150</v>
          </cell>
          <cell r="G2687">
            <v>1</v>
          </cell>
          <cell r="H2687">
            <v>200</v>
          </cell>
          <cell r="I2687">
            <v>41630</v>
          </cell>
          <cell r="J2687">
            <v>0</v>
          </cell>
          <cell r="W2687">
            <v>0</v>
          </cell>
          <cell r="AI2687">
            <v>200</v>
          </cell>
          <cell r="AJ2687">
            <v>200</v>
          </cell>
          <cell r="AW2687">
            <v>0</v>
          </cell>
        </row>
        <row r="2688">
          <cell r="B2688">
            <v>5210</v>
          </cell>
          <cell r="C2688" t="str">
            <v>LD_22_</v>
          </cell>
          <cell r="D2688" t="str">
            <v>Rancho Landero No. 22</v>
          </cell>
          <cell r="E2688" t="str">
            <v>Reyes</v>
          </cell>
          <cell r="F2688">
            <v>150</v>
          </cell>
          <cell r="G2688">
            <v>4</v>
          </cell>
          <cell r="H2688">
            <v>160</v>
          </cell>
          <cell r="I2688">
            <v>41630</v>
          </cell>
          <cell r="J2688" t="str">
            <v>NO SUMA</v>
          </cell>
          <cell r="W2688">
            <v>0</v>
          </cell>
          <cell r="AJ2688">
            <v>0</v>
          </cell>
          <cell r="AW2688">
            <v>0</v>
          </cell>
        </row>
        <row r="2689">
          <cell r="B2689">
            <v>6210</v>
          </cell>
          <cell r="C2689" t="str">
            <v>LD_22_</v>
          </cell>
          <cell r="D2689" t="str">
            <v>Rancho Landero No. 22</v>
          </cell>
          <cell r="E2689" t="str">
            <v>Reyes</v>
          </cell>
          <cell r="F2689">
            <v>150</v>
          </cell>
          <cell r="G2689">
            <v>3</v>
          </cell>
          <cell r="H2689">
            <v>160</v>
          </cell>
          <cell r="I2689">
            <v>41630</v>
          </cell>
          <cell r="J2689" t="str">
            <v>NO SUMA</v>
          </cell>
          <cell r="W2689">
            <v>0</v>
          </cell>
          <cell r="AJ2689">
            <v>0</v>
          </cell>
          <cell r="AW2689">
            <v>0</v>
          </cell>
        </row>
        <row r="2690">
          <cell r="B2690">
            <v>6211</v>
          </cell>
          <cell r="C2690" t="str">
            <v>CL_12_</v>
          </cell>
          <cell r="D2690" t="str">
            <v>Rancho La Cuchilla No. 12</v>
          </cell>
          <cell r="E2690" t="str">
            <v>Rivera Flores</v>
          </cell>
          <cell r="F2690">
            <v>300</v>
          </cell>
          <cell r="G2690">
            <v>1</v>
          </cell>
          <cell r="H2690">
            <v>350</v>
          </cell>
          <cell r="I2690">
            <v>41630</v>
          </cell>
          <cell r="J2690">
            <v>0</v>
          </cell>
          <cell r="W2690">
            <v>0</v>
          </cell>
          <cell r="AI2690">
            <v>350</v>
          </cell>
          <cell r="AJ2690">
            <v>350</v>
          </cell>
          <cell r="AW2690">
            <v>0</v>
          </cell>
        </row>
        <row r="2691">
          <cell r="B2691">
            <v>6212</v>
          </cell>
          <cell r="C2691" t="str">
            <v>LD_84_</v>
          </cell>
          <cell r="D2691" t="str">
            <v>Rancho Landero No. 84</v>
          </cell>
          <cell r="E2691" t="str">
            <v>Alcántara</v>
          </cell>
          <cell r="F2691">
            <v>300</v>
          </cell>
          <cell r="G2691">
            <v>1</v>
          </cell>
          <cell r="H2691">
            <v>300</v>
          </cell>
          <cell r="I2691">
            <v>41630</v>
          </cell>
          <cell r="J2691">
            <v>0</v>
          </cell>
          <cell r="W2691">
            <v>0</v>
          </cell>
          <cell r="AI2691">
            <v>300</v>
          </cell>
          <cell r="AJ2691">
            <v>300</v>
          </cell>
          <cell r="AW2691">
            <v>0</v>
          </cell>
        </row>
        <row r="2692">
          <cell r="B2692">
            <v>6213</v>
          </cell>
          <cell r="C2692" t="str">
            <v>LD_70_</v>
          </cell>
          <cell r="D2692" t="str">
            <v>Rancho Landero No. 70</v>
          </cell>
          <cell r="E2692" t="str">
            <v>Olguín</v>
          </cell>
          <cell r="F2692">
            <v>100</v>
          </cell>
          <cell r="G2692">
            <v>1</v>
          </cell>
          <cell r="H2692">
            <v>100</v>
          </cell>
          <cell r="I2692">
            <v>41630</v>
          </cell>
          <cell r="J2692">
            <v>0</v>
          </cell>
          <cell r="W2692">
            <v>0</v>
          </cell>
          <cell r="AI2692">
            <v>100</v>
          </cell>
          <cell r="AJ2692">
            <v>100</v>
          </cell>
          <cell r="AW2692">
            <v>0</v>
          </cell>
        </row>
        <row r="2693">
          <cell r="B2693">
            <v>6214</v>
          </cell>
          <cell r="C2693" t="str">
            <v>CL_35_</v>
          </cell>
          <cell r="D2693" t="str">
            <v>Rancho La Cuchilla No. 35</v>
          </cell>
          <cell r="E2693" t="str">
            <v>Mendoza</v>
          </cell>
          <cell r="F2693">
            <v>150</v>
          </cell>
          <cell r="G2693">
            <v>1</v>
          </cell>
          <cell r="H2693">
            <v>750</v>
          </cell>
          <cell r="I2693">
            <v>41630</v>
          </cell>
          <cell r="J2693">
            <v>0</v>
          </cell>
          <cell r="W2693">
            <v>0</v>
          </cell>
          <cell r="AD2693">
            <v>150</v>
          </cell>
          <cell r="AE2693">
            <v>150</v>
          </cell>
          <cell r="AF2693">
            <v>150</v>
          </cell>
          <cell r="AG2693">
            <v>150</v>
          </cell>
          <cell r="AH2693">
            <v>150</v>
          </cell>
          <cell r="AJ2693">
            <v>750</v>
          </cell>
          <cell r="AW2693">
            <v>0</v>
          </cell>
        </row>
        <row r="2694">
          <cell r="B2694">
            <v>6215</v>
          </cell>
          <cell r="C2694" t="str">
            <v>UP_40_</v>
          </cell>
          <cell r="D2694" t="str">
            <v>Rancho Upácuaro No. 40</v>
          </cell>
          <cell r="E2694" t="str">
            <v>López Ramírez</v>
          </cell>
          <cell r="F2694">
            <v>300</v>
          </cell>
          <cell r="G2694">
            <v>1</v>
          </cell>
          <cell r="H2694">
            <v>300</v>
          </cell>
          <cell r="I2694">
            <v>41630</v>
          </cell>
          <cell r="J2694">
            <v>0</v>
          </cell>
          <cell r="W2694">
            <v>0</v>
          </cell>
          <cell r="AG2694">
            <v>300</v>
          </cell>
          <cell r="AJ2694">
            <v>300</v>
          </cell>
          <cell r="AW2694">
            <v>0</v>
          </cell>
        </row>
        <row r="2695">
          <cell r="B2695">
            <v>6216</v>
          </cell>
          <cell r="C2695" t="str">
            <v>CL_94_</v>
          </cell>
          <cell r="D2695" t="str">
            <v>Rancho La Cuchilla No. 94</v>
          </cell>
          <cell r="E2695" t="str">
            <v>Sánchez Márquez</v>
          </cell>
          <cell r="F2695">
            <v>300</v>
          </cell>
          <cell r="G2695">
            <v>1</v>
          </cell>
          <cell r="H2695">
            <v>1200</v>
          </cell>
          <cell r="I2695">
            <v>41630</v>
          </cell>
          <cell r="J2695">
            <v>0</v>
          </cell>
          <cell r="W2695">
            <v>0</v>
          </cell>
          <cell r="AG2695">
            <v>400</v>
          </cell>
          <cell r="AH2695">
            <v>400</v>
          </cell>
          <cell r="AI2695">
            <v>400</v>
          </cell>
          <cell r="AJ2695">
            <v>1200</v>
          </cell>
          <cell r="AW2695">
            <v>0</v>
          </cell>
        </row>
        <row r="2696">
          <cell r="B2696">
            <v>6217</v>
          </cell>
          <cell r="C2696" t="str">
            <v>UP_64_</v>
          </cell>
          <cell r="D2696" t="str">
            <v>Rancho Upácuaro No. 64</v>
          </cell>
          <cell r="E2696" t="str">
            <v>Méndez Oliva</v>
          </cell>
          <cell r="F2696">
            <v>300</v>
          </cell>
          <cell r="G2696">
            <v>1</v>
          </cell>
          <cell r="H2696">
            <v>300</v>
          </cell>
          <cell r="I2696">
            <v>41631</v>
          </cell>
          <cell r="J2696">
            <v>0</v>
          </cell>
          <cell r="W2696">
            <v>0</v>
          </cell>
          <cell r="AI2696">
            <v>300</v>
          </cell>
          <cell r="AJ2696">
            <v>300</v>
          </cell>
          <cell r="AW2696">
            <v>0</v>
          </cell>
        </row>
        <row r="2697">
          <cell r="B2697">
            <v>6218</v>
          </cell>
          <cell r="C2697" t="str">
            <v>EZ_129_</v>
          </cell>
          <cell r="D2697" t="str">
            <v>Rancho Estanzuela No. 129</v>
          </cell>
          <cell r="E2697" t="str">
            <v>González</v>
          </cell>
          <cell r="F2697">
            <v>300</v>
          </cell>
          <cell r="G2697">
            <v>1</v>
          </cell>
          <cell r="H2697">
            <v>250</v>
          </cell>
          <cell r="I2697">
            <v>41632</v>
          </cell>
          <cell r="J2697">
            <v>0</v>
          </cell>
          <cell r="W2697">
            <v>0</v>
          </cell>
          <cell r="AI2697">
            <v>250</v>
          </cell>
          <cell r="AJ2697">
            <v>250</v>
          </cell>
          <cell r="AW2697">
            <v>0</v>
          </cell>
        </row>
        <row r="2698">
          <cell r="B2698">
            <v>6219</v>
          </cell>
          <cell r="C2698" t="str">
            <v>CL_15_</v>
          </cell>
          <cell r="D2698" t="str">
            <v>Rancho La Cuchilla No. 15</v>
          </cell>
          <cell r="E2698" t="str">
            <v>Guerrero Ponce</v>
          </cell>
          <cell r="F2698">
            <v>300</v>
          </cell>
          <cell r="G2698">
            <v>1</v>
          </cell>
          <cell r="H2698">
            <v>600</v>
          </cell>
          <cell r="I2698">
            <v>41637</v>
          </cell>
          <cell r="J2698">
            <v>0</v>
          </cell>
          <cell r="W2698">
            <v>0</v>
          </cell>
          <cell r="AH2698">
            <v>300</v>
          </cell>
          <cell r="AI2698">
            <v>300</v>
          </cell>
          <cell r="AJ2698">
            <v>600</v>
          </cell>
          <cell r="AW2698">
            <v>0</v>
          </cell>
        </row>
        <row r="2699">
          <cell r="B2699">
            <v>6220</v>
          </cell>
          <cell r="C2699" t="str">
            <v>UP_146_</v>
          </cell>
          <cell r="D2699" t="str">
            <v>Rancho Upácuaro No. 146</v>
          </cell>
          <cell r="E2699" t="str">
            <v>Islas</v>
          </cell>
          <cell r="F2699">
            <v>300</v>
          </cell>
          <cell r="G2699">
            <v>1</v>
          </cell>
          <cell r="H2699">
            <v>400</v>
          </cell>
          <cell r="I2699">
            <v>41637</v>
          </cell>
          <cell r="J2699">
            <v>0</v>
          </cell>
          <cell r="W2699">
            <v>0</v>
          </cell>
          <cell r="AI2699">
            <v>400</v>
          </cell>
          <cell r="AJ2699">
            <v>400</v>
          </cell>
          <cell r="AW2699">
            <v>0</v>
          </cell>
        </row>
        <row r="2700">
          <cell r="B2700">
            <v>6221</v>
          </cell>
          <cell r="C2700" t="str">
            <v>CL_55_</v>
          </cell>
          <cell r="D2700" t="str">
            <v>Rancho La Cuchilla No. 55</v>
          </cell>
          <cell r="E2700" t="str">
            <v>López Velázquez</v>
          </cell>
          <cell r="F2700">
            <v>300</v>
          </cell>
          <cell r="G2700">
            <v>1</v>
          </cell>
          <cell r="H2700">
            <v>900</v>
          </cell>
          <cell r="I2700">
            <v>41637</v>
          </cell>
          <cell r="J2700">
            <v>0</v>
          </cell>
          <cell r="W2700">
            <v>0</v>
          </cell>
          <cell r="AG2700">
            <v>300</v>
          </cell>
          <cell r="AH2700">
            <v>300</v>
          </cell>
          <cell r="AI2700">
            <v>300</v>
          </cell>
          <cell r="AJ2700">
            <v>900</v>
          </cell>
          <cell r="AW2700">
            <v>0</v>
          </cell>
        </row>
        <row r="2701">
          <cell r="B2701">
            <v>6222</v>
          </cell>
          <cell r="C2701" t="str">
            <v>UP_80_</v>
          </cell>
          <cell r="D2701" t="str">
            <v>Rancho Upácuaro No. 80</v>
          </cell>
          <cell r="E2701" t="str">
            <v>De los Ríos</v>
          </cell>
          <cell r="F2701">
            <v>300</v>
          </cell>
          <cell r="G2701">
            <v>1</v>
          </cell>
          <cell r="H2701">
            <v>400</v>
          </cell>
          <cell r="I2701">
            <v>41637</v>
          </cell>
          <cell r="J2701">
            <v>0</v>
          </cell>
          <cell r="W2701">
            <v>0</v>
          </cell>
          <cell r="AI2701">
            <v>400</v>
          </cell>
          <cell r="AJ2701">
            <v>400</v>
          </cell>
          <cell r="AW2701">
            <v>0</v>
          </cell>
        </row>
        <row r="2702">
          <cell r="B2702">
            <v>6222</v>
          </cell>
          <cell r="C2702" t="str">
            <v>UP_80_</v>
          </cell>
          <cell r="D2702" t="str">
            <v>Rancho Upácuaro No. 80</v>
          </cell>
          <cell r="E2702" t="str">
            <v>De los Ríos</v>
          </cell>
          <cell r="F2702">
            <v>300</v>
          </cell>
          <cell r="G2702">
            <v>3</v>
          </cell>
          <cell r="H2702">
            <v>160</v>
          </cell>
          <cell r="I2702">
            <v>41637</v>
          </cell>
          <cell r="J2702" t="str">
            <v>NO SUMA</v>
          </cell>
          <cell r="W2702">
            <v>0</v>
          </cell>
          <cell r="AJ2702">
            <v>0</v>
          </cell>
          <cell r="AW2702">
            <v>0</v>
          </cell>
        </row>
        <row r="2703">
          <cell r="B2703">
            <v>6223</v>
          </cell>
          <cell r="C2703" t="str">
            <v>LD_62_</v>
          </cell>
          <cell r="D2703" t="str">
            <v>Rancho Landero No. 62</v>
          </cell>
          <cell r="E2703" t="str">
            <v>Narvaez Sara</v>
          </cell>
          <cell r="F2703">
            <v>300</v>
          </cell>
          <cell r="G2703">
            <v>1</v>
          </cell>
          <cell r="H2703">
            <v>400</v>
          </cell>
          <cell r="I2703">
            <v>41637</v>
          </cell>
          <cell r="J2703">
            <v>0</v>
          </cell>
          <cell r="W2703">
            <v>0</v>
          </cell>
          <cell r="AI2703">
            <v>400</v>
          </cell>
          <cell r="AJ2703">
            <v>400</v>
          </cell>
          <cell r="AW2703">
            <v>0</v>
          </cell>
        </row>
        <row r="2704">
          <cell r="B2704">
            <v>6224</v>
          </cell>
          <cell r="C2704" t="str">
            <v>UP_45_</v>
          </cell>
          <cell r="D2704" t="str">
            <v>Rancho Upácuaro No. 45</v>
          </cell>
          <cell r="E2704" t="str">
            <v>Enrique Vázquez</v>
          </cell>
          <cell r="F2704">
            <v>300</v>
          </cell>
          <cell r="G2704">
            <v>1</v>
          </cell>
          <cell r="H2704">
            <v>500</v>
          </cell>
          <cell r="I2704">
            <v>41637</v>
          </cell>
          <cell r="J2704">
            <v>0</v>
          </cell>
          <cell r="W2704">
            <v>0</v>
          </cell>
          <cell r="AA2704">
            <v>100</v>
          </cell>
          <cell r="AB2704">
            <v>100</v>
          </cell>
          <cell r="AC2704">
            <v>100</v>
          </cell>
          <cell r="AD2704">
            <v>100</v>
          </cell>
          <cell r="AE2704">
            <v>100</v>
          </cell>
          <cell r="AJ2704">
            <v>500</v>
          </cell>
          <cell r="AW2704">
            <v>0</v>
          </cell>
        </row>
        <row r="2705">
          <cell r="B2705">
            <v>6225</v>
          </cell>
          <cell r="C2705" t="str">
            <v>EZ_57_</v>
          </cell>
          <cell r="D2705" t="str">
            <v>Rancho Estanzuela No. 57</v>
          </cell>
          <cell r="E2705" t="str">
            <v>Olivares</v>
          </cell>
          <cell r="F2705">
            <v>300</v>
          </cell>
          <cell r="G2705">
            <v>1</v>
          </cell>
          <cell r="H2705">
            <v>1200</v>
          </cell>
          <cell r="I2705">
            <v>41637</v>
          </cell>
          <cell r="J2705">
            <v>0</v>
          </cell>
          <cell r="W2705">
            <v>0</v>
          </cell>
          <cell r="AG2705">
            <v>400</v>
          </cell>
          <cell r="AH2705">
            <v>400</v>
          </cell>
          <cell r="AI2705">
            <v>400</v>
          </cell>
          <cell r="AJ2705">
            <v>1200</v>
          </cell>
          <cell r="AW2705">
            <v>0</v>
          </cell>
        </row>
        <row r="2706">
          <cell r="B2706">
            <v>6226</v>
          </cell>
          <cell r="C2706" t="str">
            <v>LD_21_</v>
          </cell>
          <cell r="D2706" t="str">
            <v>Rancho Landero No. 21</v>
          </cell>
          <cell r="E2706" t="str">
            <v>Meza</v>
          </cell>
          <cell r="F2706">
            <v>300</v>
          </cell>
          <cell r="G2706">
            <v>1</v>
          </cell>
          <cell r="H2706">
            <v>400</v>
          </cell>
          <cell r="I2706">
            <v>41637</v>
          </cell>
          <cell r="J2706">
            <v>0</v>
          </cell>
          <cell r="W2706">
            <v>0</v>
          </cell>
          <cell r="AI2706">
            <v>400</v>
          </cell>
          <cell r="AJ2706">
            <v>400</v>
          </cell>
          <cell r="AW2706">
            <v>0</v>
          </cell>
        </row>
        <row r="2707">
          <cell r="B2707">
            <v>6227</v>
          </cell>
          <cell r="C2707" t="str">
            <v>UP_45_</v>
          </cell>
          <cell r="D2707" t="str">
            <v>Rancho Upácuaro No. 45</v>
          </cell>
          <cell r="E2707" t="str">
            <v>Enrique Vázquez</v>
          </cell>
          <cell r="F2707">
            <v>300</v>
          </cell>
          <cell r="G2707">
            <v>1</v>
          </cell>
          <cell r="H2707">
            <v>400</v>
          </cell>
          <cell r="I2707">
            <v>41637</v>
          </cell>
          <cell r="J2707">
            <v>0</v>
          </cell>
          <cell r="W2707">
            <v>0</v>
          </cell>
          <cell r="AF2707">
            <v>100</v>
          </cell>
          <cell r="AG2707">
            <v>100</v>
          </cell>
          <cell r="AH2707">
            <v>100</v>
          </cell>
          <cell r="AI2707">
            <v>100</v>
          </cell>
          <cell r="AJ2707">
            <v>400</v>
          </cell>
          <cell r="AW2707">
            <v>0</v>
          </cell>
        </row>
        <row r="2708">
          <cell r="B2708">
            <v>6227</v>
          </cell>
          <cell r="C2708" t="str">
            <v>UP_45_</v>
          </cell>
          <cell r="D2708" t="str">
            <v>Rancho Upácuaro No. 45</v>
          </cell>
          <cell r="E2708" t="str">
            <v>Enrique Vázquez</v>
          </cell>
          <cell r="F2708">
            <v>300</v>
          </cell>
          <cell r="G2708">
            <v>4</v>
          </cell>
          <cell r="H2708">
            <v>160</v>
          </cell>
          <cell r="I2708">
            <v>41630</v>
          </cell>
          <cell r="J2708" t="str">
            <v>NO SUMA</v>
          </cell>
          <cell r="W2708">
            <v>0</v>
          </cell>
          <cell r="AJ2708">
            <v>0</v>
          </cell>
          <cell r="AW2708">
            <v>0</v>
          </cell>
        </row>
        <row r="2709">
          <cell r="B2709">
            <v>6228</v>
          </cell>
          <cell r="C2709" t="str">
            <v>LD_77_</v>
          </cell>
          <cell r="D2709" t="str">
            <v>Rancho Landero No. 77</v>
          </cell>
          <cell r="E2709" t="str">
            <v>Muñoz</v>
          </cell>
          <cell r="F2709">
            <v>300</v>
          </cell>
          <cell r="G2709">
            <v>1</v>
          </cell>
          <cell r="H2709">
            <v>800</v>
          </cell>
          <cell r="I2709">
            <v>41630</v>
          </cell>
          <cell r="J2709">
            <v>0</v>
          </cell>
          <cell r="W2709">
            <v>0</v>
          </cell>
          <cell r="AG2709">
            <v>400</v>
          </cell>
          <cell r="AH2709">
            <v>400</v>
          </cell>
          <cell r="AJ2709">
            <v>800</v>
          </cell>
          <cell r="AW2709">
            <v>0</v>
          </cell>
        </row>
        <row r="2710">
          <cell r="B2710">
            <v>6229</v>
          </cell>
          <cell r="C2710" t="str">
            <v>CL_148_</v>
          </cell>
          <cell r="D2710" t="str">
            <v>Rancho La Cuchilla No. 148</v>
          </cell>
          <cell r="E2710" t="str">
            <v>Vázquez Vázquez</v>
          </cell>
          <cell r="F2710">
            <v>300</v>
          </cell>
          <cell r="G2710">
            <v>1</v>
          </cell>
          <cell r="H2710">
            <v>800</v>
          </cell>
          <cell r="I2710">
            <v>41630</v>
          </cell>
          <cell r="J2710">
            <v>0</v>
          </cell>
          <cell r="W2710">
            <v>0</v>
          </cell>
          <cell r="AH2710">
            <v>400</v>
          </cell>
          <cell r="AI2710">
            <v>400</v>
          </cell>
          <cell r="AJ2710">
            <v>800</v>
          </cell>
          <cell r="AW2710">
            <v>0</v>
          </cell>
        </row>
        <row r="2711">
          <cell r="B2711">
            <v>6230</v>
          </cell>
          <cell r="C2711" t="str">
            <v>LD_90_</v>
          </cell>
          <cell r="D2711" t="str">
            <v>Rancho Landero No. 90</v>
          </cell>
          <cell r="E2711" t="str">
            <v>Córdova Reséndiz</v>
          </cell>
          <cell r="F2711">
            <v>300</v>
          </cell>
          <cell r="G2711">
            <v>1</v>
          </cell>
          <cell r="H2711">
            <v>600</v>
          </cell>
          <cell r="I2711">
            <v>41631</v>
          </cell>
          <cell r="J2711">
            <v>0</v>
          </cell>
          <cell r="W2711">
            <v>0</v>
          </cell>
          <cell r="AI2711">
            <v>300</v>
          </cell>
          <cell r="AJ2711">
            <v>300</v>
          </cell>
          <cell r="AK2711">
            <v>300</v>
          </cell>
          <cell r="AW2711">
            <v>300</v>
          </cell>
        </row>
        <row r="2712">
          <cell r="B2712">
            <v>6230</v>
          </cell>
          <cell r="C2712" t="str">
            <v>LD_90_</v>
          </cell>
          <cell r="D2712" t="str">
            <v>Rancho Landero No. 90</v>
          </cell>
          <cell r="E2712" t="str">
            <v>Córdova Reséndiz</v>
          </cell>
          <cell r="F2712">
            <v>300</v>
          </cell>
          <cell r="G2712">
            <v>3</v>
          </cell>
          <cell r="H2712">
            <v>160</v>
          </cell>
          <cell r="I2712">
            <v>41632</v>
          </cell>
          <cell r="J2712" t="str">
            <v>NO SUMA</v>
          </cell>
          <cell r="W2712">
            <v>0</v>
          </cell>
          <cell r="AJ2712">
            <v>0</v>
          </cell>
          <cell r="AW2712">
            <v>0</v>
          </cell>
        </row>
        <row r="2713">
          <cell r="B2713">
            <v>6231</v>
          </cell>
          <cell r="C2713" t="str">
            <v>CL_35_</v>
          </cell>
          <cell r="D2713" t="str">
            <v>Rancho La Cuchilla No. 35</v>
          </cell>
          <cell r="E2713" t="str">
            <v>Mendoza</v>
          </cell>
          <cell r="F2713">
            <v>150</v>
          </cell>
          <cell r="G2713">
            <v>1</v>
          </cell>
          <cell r="H2713">
            <v>150</v>
          </cell>
          <cell r="I2713">
            <v>41637</v>
          </cell>
          <cell r="J2713">
            <v>0</v>
          </cell>
          <cell r="W2713">
            <v>0</v>
          </cell>
          <cell r="AI2713">
            <v>150</v>
          </cell>
          <cell r="AJ2713">
            <v>150</v>
          </cell>
          <cell r="AW2713">
            <v>0</v>
          </cell>
        </row>
        <row r="2714">
          <cell r="B2714">
            <v>6232</v>
          </cell>
          <cell r="C2714" t="str">
            <v>RV_197_</v>
          </cell>
          <cell r="D2714" t="str">
            <v>Rancho Recoveco No. 197</v>
          </cell>
          <cell r="E2714" t="str">
            <v>Colín González</v>
          </cell>
          <cell r="F2714">
            <v>300</v>
          </cell>
          <cell r="G2714">
            <v>1</v>
          </cell>
          <cell r="H2714">
            <v>400</v>
          </cell>
          <cell r="I2714">
            <v>41637</v>
          </cell>
          <cell r="J2714">
            <v>0</v>
          </cell>
          <cell r="W2714">
            <v>0</v>
          </cell>
          <cell r="AJ2714">
            <v>0</v>
          </cell>
          <cell r="AK2714">
            <v>400</v>
          </cell>
          <cell r="AW2714">
            <v>400</v>
          </cell>
        </row>
        <row r="2715">
          <cell r="B2715">
            <v>6233</v>
          </cell>
          <cell r="C2715" t="str">
            <v>LD_93_</v>
          </cell>
          <cell r="D2715" t="str">
            <v>Rancho Landero No. 93</v>
          </cell>
          <cell r="E2715" t="str">
            <v>Ortega López</v>
          </cell>
          <cell r="F2715">
            <v>300</v>
          </cell>
          <cell r="G2715">
            <v>1</v>
          </cell>
          <cell r="H2715">
            <v>800</v>
          </cell>
          <cell r="I2715">
            <v>41637</v>
          </cell>
          <cell r="J2715">
            <v>0</v>
          </cell>
          <cell r="W2715">
            <v>0</v>
          </cell>
          <cell r="AH2715">
            <v>400</v>
          </cell>
          <cell r="AI2715">
            <v>400</v>
          </cell>
          <cell r="AJ2715">
            <v>800</v>
          </cell>
          <cell r="AW2715">
            <v>0</v>
          </cell>
        </row>
        <row r="2716">
          <cell r="B2716">
            <v>6234</v>
          </cell>
          <cell r="C2716" t="str">
            <v>CL_93_</v>
          </cell>
          <cell r="D2716" t="str">
            <v>Rancho La Cuchilla No. 93</v>
          </cell>
          <cell r="E2716" t="str">
            <v>Alcántara Silva</v>
          </cell>
          <cell r="F2716">
            <v>300</v>
          </cell>
          <cell r="G2716">
            <v>1</v>
          </cell>
          <cell r="H2716">
            <v>400</v>
          </cell>
          <cell r="I2716">
            <v>41637</v>
          </cell>
          <cell r="J2716">
            <v>0</v>
          </cell>
          <cell r="W2716">
            <v>0</v>
          </cell>
          <cell r="AI2716">
            <v>400</v>
          </cell>
          <cell r="AJ2716">
            <v>400</v>
          </cell>
          <cell r="AW2716">
            <v>0</v>
          </cell>
        </row>
        <row r="2717">
          <cell r="B2717">
            <v>6235</v>
          </cell>
          <cell r="C2717" t="str">
            <v>LD_33_</v>
          </cell>
          <cell r="D2717" t="str">
            <v>Rancho Landero No. 33</v>
          </cell>
          <cell r="E2717" t="str">
            <v>González Uribe</v>
          </cell>
          <cell r="F2717">
            <v>300</v>
          </cell>
          <cell r="G2717">
            <v>1</v>
          </cell>
          <cell r="H2717">
            <v>800</v>
          </cell>
          <cell r="I2717">
            <v>41637</v>
          </cell>
          <cell r="J2717">
            <v>0</v>
          </cell>
          <cell r="W2717">
            <v>0</v>
          </cell>
          <cell r="AI2717">
            <v>400</v>
          </cell>
          <cell r="AJ2717">
            <v>400</v>
          </cell>
          <cell r="AK2717">
            <v>400</v>
          </cell>
          <cell r="AW2717">
            <v>400</v>
          </cell>
        </row>
        <row r="2718">
          <cell r="B2718">
            <v>6236</v>
          </cell>
          <cell r="C2718" t="str">
            <v>EZ_111_</v>
          </cell>
          <cell r="D2718" t="str">
            <v>Rancho Estanzuela No. 111</v>
          </cell>
          <cell r="E2718" t="str">
            <v>Flores Pérez</v>
          </cell>
          <cell r="F2718">
            <v>300</v>
          </cell>
          <cell r="G2718">
            <v>1</v>
          </cell>
          <cell r="H2718">
            <v>400</v>
          </cell>
          <cell r="I2718">
            <v>41639</v>
          </cell>
          <cell r="J2718">
            <v>0</v>
          </cell>
          <cell r="W2718">
            <v>0</v>
          </cell>
          <cell r="AI2718">
            <v>400</v>
          </cell>
          <cell r="AJ2718">
            <v>400</v>
          </cell>
          <cell r="AW2718">
            <v>0</v>
          </cell>
        </row>
        <row r="2719">
          <cell r="C2719" t="str">
            <v>EZ_149_</v>
          </cell>
          <cell r="D2719" t="str">
            <v>Rancho Estanzuela No. 149</v>
          </cell>
          <cell r="E2719" t="str">
            <v>Sala</v>
          </cell>
          <cell r="F2719">
            <v>300</v>
          </cell>
          <cell r="G2719">
            <v>7</v>
          </cell>
          <cell r="H2719">
            <v>9943</v>
          </cell>
          <cell r="I2719">
            <v>41639</v>
          </cell>
          <cell r="J2719" t="str">
            <v>NO SUMA</v>
          </cell>
          <cell r="W2719">
            <v>0</v>
          </cell>
          <cell r="AJ2719">
            <v>0</v>
          </cell>
          <cell r="AW2719">
            <v>0</v>
          </cell>
        </row>
        <row r="2720">
          <cell r="B2720">
            <v>8138</v>
          </cell>
          <cell r="C2720" t="str">
            <v>UP_46_</v>
          </cell>
          <cell r="D2720" t="str">
            <v>Rancho Upácuaro No. 46</v>
          </cell>
          <cell r="E2720" t="str">
            <v>Fuentes</v>
          </cell>
          <cell r="F2720">
            <v>300</v>
          </cell>
          <cell r="G2720">
            <v>1</v>
          </cell>
          <cell r="H2720">
            <v>300</v>
          </cell>
          <cell r="I2720">
            <v>41612</v>
          </cell>
          <cell r="J2720">
            <v>0</v>
          </cell>
          <cell r="W2720">
            <v>0</v>
          </cell>
          <cell r="AI2720">
            <v>300</v>
          </cell>
          <cell r="AJ2720">
            <v>300</v>
          </cell>
          <cell r="AW2720">
            <v>0</v>
          </cell>
        </row>
        <row r="2721">
          <cell r="B2721">
            <v>8141</v>
          </cell>
          <cell r="C2721" t="str">
            <v>CL_29_</v>
          </cell>
          <cell r="D2721" t="str">
            <v>Rancho La Cuchilla No. 29</v>
          </cell>
          <cell r="E2721" t="str">
            <v>Vega Sánchez C.</v>
          </cell>
          <cell r="F2721">
            <v>300</v>
          </cell>
          <cell r="G2721">
            <v>1</v>
          </cell>
          <cell r="H2721">
            <v>300</v>
          </cell>
          <cell r="I2721">
            <v>41617</v>
          </cell>
          <cell r="J2721">
            <v>0</v>
          </cell>
          <cell r="W2721">
            <v>0</v>
          </cell>
          <cell r="AI2721">
            <v>300</v>
          </cell>
          <cell r="AJ2721">
            <v>300</v>
          </cell>
          <cell r="AW2721">
            <v>0</v>
          </cell>
        </row>
        <row r="2722">
          <cell r="C2722" t="str">
            <v>CM_130_A</v>
          </cell>
          <cell r="D2722" t="str">
            <v>Rancho Estanzuela No. 130, A</v>
          </cell>
          <cell r="E2722" t="str">
            <v>Colegio Carmel</v>
          </cell>
          <cell r="F2722">
            <v>10000</v>
          </cell>
          <cell r="G2722">
            <v>1</v>
          </cell>
          <cell r="H2722">
            <v>10000</v>
          </cell>
          <cell r="I2722">
            <v>41621</v>
          </cell>
          <cell r="J2722">
            <v>0</v>
          </cell>
          <cell r="W2722">
            <v>0</v>
          </cell>
          <cell r="AI2722">
            <v>10000</v>
          </cell>
          <cell r="AJ2722">
            <v>10000</v>
          </cell>
          <cell r="AW2722">
            <v>0</v>
          </cell>
        </row>
        <row r="2723">
          <cell r="B2723" t="str">
            <v>NÚMERO</v>
          </cell>
          <cell r="C2723" t="str">
            <v>CASA</v>
          </cell>
          <cell r="D2723" t="str">
            <v>DOMICILIO</v>
          </cell>
          <cell r="E2723" t="str">
            <v>FAMILIA</v>
          </cell>
          <cell r="F2723" t="str">
            <v>CUOTA</v>
          </cell>
          <cell r="G2723" t="str">
            <v>C_ING</v>
          </cell>
          <cell r="H2723" t="str">
            <v>IMPORTE</v>
          </cell>
          <cell r="I2723" t="str">
            <v>FECHA</v>
          </cell>
          <cell r="J2723" t="str">
            <v>CHK</v>
          </cell>
          <cell r="K2723" t="str">
            <v>ENE
2012</v>
          </cell>
          <cell r="L2723" t="str">
            <v>FEB
2012</v>
          </cell>
          <cell r="M2723" t="str">
            <v>MAR
2012</v>
          </cell>
          <cell r="N2723" t="str">
            <v>ABR
2012</v>
          </cell>
          <cell r="O2723" t="str">
            <v>MAY
2012</v>
          </cell>
          <cell r="P2723" t="str">
            <v>JUN
2012</v>
          </cell>
          <cell r="Q2723" t="str">
            <v>JUL
2012</v>
          </cell>
          <cell r="R2723" t="str">
            <v>AGO
2012</v>
          </cell>
          <cell r="S2723" t="str">
            <v>SEP
2012</v>
          </cell>
          <cell r="T2723" t="str">
            <v>OCT
2012</v>
          </cell>
          <cell r="U2723" t="str">
            <v>NOV
2012</v>
          </cell>
          <cell r="V2723" t="str">
            <v>DIC
2012</v>
          </cell>
          <cell r="W2723" t="str">
            <v>SUMA
2012</v>
          </cell>
          <cell r="X2723" t="str">
            <v>ENE
2013</v>
          </cell>
          <cell r="Y2723" t="str">
            <v>FEB
2013</v>
          </cell>
          <cell r="Z2723" t="str">
            <v>MAR
2013</v>
          </cell>
          <cell r="AA2723" t="str">
            <v>ABR
2013</v>
          </cell>
          <cell r="AB2723" t="str">
            <v>MAY
2013</v>
          </cell>
          <cell r="AC2723" t="str">
            <v>JUN
2013</v>
          </cell>
          <cell r="AD2723" t="str">
            <v>JUL
2013</v>
          </cell>
          <cell r="AE2723" t="str">
            <v>AGO
2013</v>
          </cell>
          <cell r="AF2723" t="str">
            <v>SEP
2013</v>
          </cell>
          <cell r="AG2723" t="str">
            <v>OCT
2013</v>
          </cell>
          <cell r="AH2723" t="str">
            <v>NOV
2013</v>
          </cell>
          <cell r="AI2723" t="str">
            <v>DIC
2013</v>
          </cell>
          <cell r="AJ2723" t="str">
            <v>SUMA
2013</v>
          </cell>
          <cell r="AK2723" t="str">
            <v>ENE
2014</v>
          </cell>
          <cell r="AL2723" t="str">
            <v>FEB
2014</v>
          </cell>
          <cell r="AM2723" t="str">
            <v>MAR
2014</v>
          </cell>
          <cell r="AN2723" t="str">
            <v>ABR
2014</v>
          </cell>
          <cell r="AO2723" t="str">
            <v>MAY
2014</v>
          </cell>
          <cell r="AP2723" t="str">
            <v>JUN
2014</v>
          </cell>
          <cell r="AQ2723" t="str">
            <v>JUL
2014</v>
          </cell>
          <cell r="AR2723" t="str">
            <v>AGO
2014</v>
          </cell>
          <cell r="AS2723" t="str">
            <v>SEP
2014</v>
          </cell>
          <cell r="AT2723" t="str">
            <v>OCT
2014</v>
          </cell>
          <cell r="AU2723" t="str">
            <v>NOV
2014</v>
          </cell>
          <cell r="AV2723" t="str">
            <v>DIC
2014</v>
          </cell>
          <cell r="AW2723" t="str">
            <v>SUMA
2014</v>
          </cell>
        </row>
        <row r="2724">
          <cell r="B2724">
            <v>6086</v>
          </cell>
          <cell r="C2724" t="str">
            <v>CL_86_</v>
          </cell>
          <cell r="D2724" t="str">
            <v>Rancho La Cuchilla No. 86</v>
          </cell>
          <cell r="E2724" t="str">
            <v>Del Villar</v>
          </cell>
          <cell r="F2724">
            <v>300</v>
          </cell>
          <cell r="G2724">
            <v>1</v>
          </cell>
          <cell r="H2724">
            <v>400</v>
          </cell>
          <cell r="I2724">
            <v>41647</v>
          </cell>
          <cell r="J2724">
            <v>0</v>
          </cell>
          <cell r="W2724">
            <v>0</v>
          </cell>
          <cell r="AJ2724">
            <v>0</v>
          </cell>
          <cell r="AK2724">
            <v>400</v>
          </cell>
          <cell r="AW2724">
            <v>400</v>
          </cell>
        </row>
        <row r="2725">
          <cell r="B2725">
            <v>6237</v>
          </cell>
          <cell r="C2725" t="str">
            <v>CL_45_</v>
          </cell>
          <cell r="D2725" t="str">
            <v>Rancho La Cuchilla No. 45</v>
          </cell>
          <cell r="E2725" t="str">
            <v>Estévez Hernández</v>
          </cell>
          <cell r="F2725">
            <v>300</v>
          </cell>
          <cell r="G2725">
            <v>1</v>
          </cell>
          <cell r="H2725">
            <v>400</v>
          </cell>
          <cell r="I2725">
            <v>41644</v>
          </cell>
          <cell r="J2725">
            <v>0</v>
          </cell>
          <cell r="W2725">
            <v>0</v>
          </cell>
          <cell r="AJ2725">
            <v>0</v>
          </cell>
          <cell r="AK2725">
            <v>400</v>
          </cell>
          <cell r="AW2725">
            <v>400</v>
          </cell>
        </row>
        <row r="2726">
          <cell r="B2726">
            <v>6238</v>
          </cell>
          <cell r="C2726" t="str">
            <v>UP_93_</v>
          </cell>
          <cell r="D2726" t="str">
            <v>Rancho Upácuaro No. 93</v>
          </cell>
          <cell r="E2726" t="str">
            <v>Valdés</v>
          </cell>
          <cell r="F2726">
            <v>300</v>
          </cell>
          <cell r="G2726">
            <v>1</v>
          </cell>
          <cell r="H2726">
            <v>400</v>
          </cell>
          <cell r="I2726">
            <v>41644</v>
          </cell>
          <cell r="J2726">
            <v>0</v>
          </cell>
          <cell r="W2726">
            <v>0</v>
          </cell>
          <cell r="AJ2726">
            <v>0</v>
          </cell>
          <cell r="AK2726">
            <v>400</v>
          </cell>
          <cell r="AW2726">
            <v>400</v>
          </cell>
        </row>
        <row r="2727">
          <cell r="B2727">
            <v>6239</v>
          </cell>
          <cell r="C2727" t="str">
            <v>LD_91_</v>
          </cell>
          <cell r="D2727" t="str">
            <v>Rancho Landero No. 91</v>
          </cell>
          <cell r="E2727" t="str">
            <v>Llaca</v>
          </cell>
          <cell r="F2727">
            <v>300</v>
          </cell>
          <cell r="G2727">
            <v>1</v>
          </cell>
          <cell r="H2727">
            <v>400</v>
          </cell>
          <cell r="I2727">
            <v>41644</v>
          </cell>
          <cell r="J2727">
            <v>0</v>
          </cell>
          <cell r="W2727">
            <v>0</v>
          </cell>
          <cell r="AJ2727">
            <v>0</v>
          </cell>
          <cell r="AK2727">
            <v>400</v>
          </cell>
          <cell r="AW2727">
            <v>400</v>
          </cell>
        </row>
        <row r="2728">
          <cell r="B2728">
            <v>6240</v>
          </cell>
          <cell r="C2728" t="str">
            <v>UP_8_</v>
          </cell>
          <cell r="D2728" t="str">
            <v>Rancho Upácuaro No. 8</v>
          </cell>
          <cell r="E2728" t="str">
            <v>Ibarra</v>
          </cell>
          <cell r="F2728">
            <v>250</v>
          </cell>
          <cell r="G2728">
            <v>1</v>
          </cell>
          <cell r="H2728">
            <v>3000</v>
          </cell>
          <cell r="I2728">
            <v>41644</v>
          </cell>
          <cell r="J2728">
            <v>0</v>
          </cell>
          <cell r="W2728">
            <v>0</v>
          </cell>
          <cell r="AJ2728">
            <v>0</v>
          </cell>
          <cell r="AK2728">
            <v>250</v>
          </cell>
          <cell r="AL2728">
            <v>250</v>
          </cell>
          <cell r="AM2728">
            <v>250</v>
          </cell>
          <cell r="AN2728">
            <v>250</v>
          </cell>
          <cell r="AO2728">
            <v>250</v>
          </cell>
          <cell r="AP2728">
            <v>250</v>
          </cell>
          <cell r="AQ2728">
            <v>250</v>
          </cell>
          <cell r="AR2728">
            <v>250</v>
          </cell>
          <cell r="AS2728">
            <v>250</v>
          </cell>
          <cell r="AT2728">
            <v>250</v>
          </cell>
          <cell r="AU2728">
            <v>250</v>
          </cell>
          <cell r="AV2728">
            <v>250</v>
          </cell>
          <cell r="AW2728">
            <v>3000</v>
          </cell>
        </row>
        <row r="2729">
          <cell r="B2729">
            <v>6241</v>
          </cell>
          <cell r="C2729" t="str">
            <v>CL_95_</v>
          </cell>
          <cell r="D2729" t="str">
            <v>Rancho La Cuchilla No. 95</v>
          </cell>
          <cell r="E2729" t="str">
            <v>Gutiérrez Sánchez</v>
          </cell>
          <cell r="F2729">
            <v>300</v>
          </cell>
          <cell r="G2729">
            <v>1</v>
          </cell>
          <cell r="H2729">
            <v>1200</v>
          </cell>
          <cell r="I2729">
            <v>41644</v>
          </cell>
          <cell r="J2729">
            <v>0</v>
          </cell>
          <cell r="W2729">
            <v>0</v>
          </cell>
          <cell r="AJ2729">
            <v>0</v>
          </cell>
          <cell r="AK2729">
            <v>400</v>
          </cell>
          <cell r="AL2729">
            <v>400</v>
          </cell>
          <cell r="AM2729">
            <v>400</v>
          </cell>
          <cell r="AW2729">
            <v>1200</v>
          </cell>
        </row>
        <row r="2730">
          <cell r="B2730">
            <v>6242</v>
          </cell>
          <cell r="C2730" t="str">
            <v>UP_8_</v>
          </cell>
          <cell r="D2730" t="str">
            <v>Rancho Upácuaro No. 8</v>
          </cell>
          <cell r="E2730" t="str">
            <v>Ibarra</v>
          </cell>
          <cell r="F2730">
            <v>250</v>
          </cell>
          <cell r="G2730">
            <v>3</v>
          </cell>
          <cell r="H2730">
            <v>160</v>
          </cell>
          <cell r="I2730">
            <v>41644</v>
          </cell>
          <cell r="J2730" t="str">
            <v>NO SUMA</v>
          </cell>
          <cell r="W2730">
            <v>0</v>
          </cell>
          <cell r="AJ2730">
            <v>0</v>
          </cell>
          <cell r="AW2730">
            <v>0</v>
          </cell>
        </row>
        <row r="2731">
          <cell r="B2731">
            <v>6243</v>
          </cell>
          <cell r="C2731" t="str">
            <v>CL_90_</v>
          </cell>
          <cell r="D2731" t="str">
            <v>Rancho La Cuchilla No. 90</v>
          </cell>
          <cell r="E2731" t="str">
            <v>Porras Fuentes</v>
          </cell>
          <cell r="F2731">
            <v>150</v>
          </cell>
          <cell r="G2731">
            <v>1</v>
          </cell>
          <cell r="H2731">
            <v>400</v>
          </cell>
          <cell r="I2731">
            <v>41644</v>
          </cell>
          <cell r="J2731">
            <v>0</v>
          </cell>
          <cell r="W2731">
            <v>0</v>
          </cell>
          <cell r="AH2731">
            <v>200</v>
          </cell>
          <cell r="AI2731">
            <v>200</v>
          </cell>
          <cell r="AJ2731">
            <v>400</v>
          </cell>
          <cell r="AW2731">
            <v>0</v>
          </cell>
        </row>
        <row r="2732">
          <cell r="B2732">
            <v>6244</v>
          </cell>
          <cell r="C2732" t="str">
            <v>LD_65_</v>
          </cell>
          <cell r="D2732" t="str">
            <v>Rancho Landero No. 65</v>
          </cell>
          <cell r="E2732" t="str">
            <v>Alpizar</v>
          </cell>
          <cell r="F2732">
            <v>300</v>
          </cell>
          <cell r="G2732">
            <v>1</v>
          </cell>
          <cell r="H2732">
            <v>800</v>
          </cell>
          <cell r="I2732">
            <v>41644</v>
          </cell>
          <cell r="J2732">
            <v>0</v>
          </cell>
          <cell r="W2732">
            <v>0</v>
          </cell>
          <cell r="AI2732">
            <v>400</v>
          </cell>
          <cell r="AJ2732">
            <v>400</v>
          </cell>
          <cell r="AK2732">
            <v>400</v>
          </cell>
          <cell r="AW2732">
            <v>400</v>
          </cell>
        </row>
        <row r="2733">
          <cell r="B2733">
            <v>6245</v>
          </cell>
          <cell r="C2733" t="str">
            <v>CL_93_</v>
          </cell>
          <cell r="D2733" t="str">
            <v>Rancho La Cuchilla No. 93</v>
          </cell>
          <cell r="E2733" t="str">
            <v>Alcántara Silva</v>
          </cell>
          <cell r="F2733">
            <v>300</v>
          </cell>
          <cell r="G2733">
            <v>1</v>
          </cell>
          <cell r="H2733">
            <v>400</v>
          </cell>
          <cell r="I2733">
            <v>41644</v>
          </cell>
          <cell r="J2733">
            <v>0</v>
          </cell>
          <cell r="W2733">
            <v>0</v>
          </cell>
          <cell r="AJ2733">
            <v>0</v>
          </cell>
          <cell r="AK2733">
            <v>400</v>
          </cell>
          <cell r="AW2733">
            <v>400</v>
          </cell>
        </row>
        <row r="2734">
          <cell r="B2734">
            <v>6246</v>
          </cell>
          <cell r="C2734" t="str">
            <v>LD_42_</v>
          </cell>
          <cell r="D2734" t="str">
            <v>Rancho Landero No. 42</v>
          </cell>
          <cell r="E2734" t="str">
            <v>Ávila Fidel</v>
          </cell>
          <cell r="F2734">
            <v>300</v>
          </cell>
          <cell r="G2734">
            <v>1</v>
          </cell>
          <cell r="H2734">
            <v>400</v>
          </cell>
          <cell r="I2734">
            <v>41644</v>
          </cell>
          <cell r="J2734">
            <v>0</v>
          </cell>
          <cell r="W2734">
            <v>0</v>
          </cell>
          <cell r="AJ2734">
            <v>0</v>
          </cell>
          <cell r="AK2734">
            <v>400</v>
          </cell>
          <cell r="AW2734">
            <v>400</v>
          </cell>
        </row>
        <row r="2735">
          <cell r="B2735">
            <v>6247</v>
          </cell>
          <cell r="C2735" t="str">
            <v>CL_139_</v>
          </cell>
          <cell r="D2735" t="str">
            <v>Rancho La Cuchilla No. 139</v>
          </cell>
          <cell r="E2735" t="str">
            <v>Santos</v>
          </cell>
          <cell r="F2735">
            <v>200</v>
          </cell>
          <cell r="G2735">
            <v>1</v>
          </cell>
          <cell r="H2735">
            <v>200</v>
          </cell>
          <cell r="I2735">
            <v>41644</v>
          </cell>
          <cell r="J2735">
            <v>0</v>
          </cell>
          <cell r="W2735">
            <v>0</v>
          </cell>
          <cell r="AJ2735">
            <v>0</v>
          </cell>
          <cell r="AK2735">
            <v>200</v>
          </cell>
          <cell r="AW2735">
            <v>200</v>
          </cell>
        </row>
        <row r="2736">
          <cell r="B2736">
            <v>6248</v>
          </cell>
          <cell r="C2736" t="str">
            <v>EZ_151_</v>
          </cell>
          <cell r="D2736" t="str">
            <v>Rancho Estanzuela No. 151</v>
          </cell>
          <cell r="E2736" t="str">
            <v>Pérez Salazar</v>
          </cell>
          <cell r="F2736">
            <v>300</v>
          </cell>
          <cell r="G2736">
            <v>1</v>
          </cell>
          <cell r="H2736">
            <v>400</v>
          </cell>
          <cell r="I2736">
            <v>41644</v>
          </cell>
          <cell r="J2736">
            <v>0</v>
          </cell>
          <cell r="W2736">
            <v>0</v>
          </cell>
          <cell r="AJ2736">
            <v>0</v>
          </cell>
          <cell r="AK2736">
            <v>400</v>
          </cell>
          <cell r="AW2736">
            <v>400</v>
          </cell>
        </row>
        <row r="2737">
          <cell r="B2737">
            <v>6249</v>
          </cell>
          <cell r="C2737" t="str">
            <v>UP_101_</v>
          </cell>
          <cell r="D2737" t="str">
            <v>Rancho Upácuaro No. 101</v>
          </cell>
          <cell r="E2737" t="str">
            <v>Chávez, Arturo</v>
          </cell>
          <cell r="F2737">
            <v>300</v>
          </cell>
          <cell r="G2737">
            <v>1</v>
          </cell>
          <cell r="H2737">
            <v>400</v>
          </cell>
          <cell r="I2737">
            <v>41644</v>
          </cell>
          <cell r="J2737">
            <v>0</v>
          </cell>
          <cell r="W2737">
            <v>0</v>
          </cell>
          <cell r="AJ2737">
            <v>0</v>
          </cell>
          <cell r="AK2737">
            <v>400</v>
          </cell>
          <cell r="AW2737">
            <v>400</v>
          </cell>
        </row>
        <row r="2738">
          <cell r="B2738">
            <v>6250</v>
          </cell>
          <cell r="C2738" t="str">
            <v>EZ_89_</v>
          </cell>
          <cell r="D2738" t="str">
            <v>Rancho Estanzuela No. 89</v>
          </cell>
          <cell r="E2738" t="str">
            <v>Romero Ortiz</v>
          </cell>
          <cell r="F2738">
            <v>300</v>
          </cell>
          <cell r="G2738">
            <v>1</v>
          </cell>
          <cell r="H2738">
            <v>400</v>
          </cell>
          <cell r="I2738">
            <v>41644</v>
          </cell>
          <cell r="J2738">
            <v>0</v>
          </cell>
          <cell r="W2738">
            <v>0</v>
          </cell>
          <cell r="AJ2738">
            <v>0</v>
          </cell>
          <cell r="AK2738">
            <v>400</v>
          </cell>
          <cell r="AW2738">
            <v>400</v>
          </cell>
        </row>
        <row r="2739">
          <cell r="B2739">
            <v>6251</v>
          </cell>
          <cell r="C2739" t="str">
            <v>LD_83_</v>
          </cell>
          <cell r="D2739" t="str">
            <v>Rancho Landero No. 83</v>
          </cell>
          <cell r="E2739" t="str">
            <v>Aguilar</v>
          </cell>
          <cell r="F2739">
            <v>300</v>
          </cell>
          <cell r="G2739">
            <v>1</v>
          </cell>
          <cell r="H2739">
            <v>350</v>
          </cell>
          <cell r="I2739">
            <v>41644</v>
          </cell>
          <cell r="J2739">
            <v>0</v>
          </cell>
          <cell r="W2739">
            <v>0</v>
          </cell>
          <cell r="AJ2739">
            <v>0</v>
          </cell>
          <cell r="AK2739">
            <v>350</v>
          </cell>
          <cell r="AW2739">
            <v>350</v>
          </cell>
        </row>
        <row r="2740">
          <cell r="B2740">
            <v>6252</v>
          </cell>
          <cell r="C2740" t="str">
            <v>CL_45_</v>
          </cell>
          <cell r="D2740" t="str">
            <v>Rancho La Cuchilla No. 45</v>
          </cell>
          <cell r="E2740" t="str">
            <v>Estévez Hernández</v>
          </cell>
          <cell r="F2740">
            <v>300</v>
          </cell>
          <cell r="G2740">
            <v>3</v>
          </cell>
          <cell r="H2740">
            <v>160</v>
          </cell>
          <cell r="I2740">
            <v>41644</v>
          </cell>
          <cell r="J2740" t="str">
            <v>NO SUMA</v>
          </cell>
          <cell r="W2740">
            <v>0</v>
          </cell>
          <cell r="AJ2740">
            <v>0</v>
          </cell>
          <cell r="AW2740">
            <v>0</v>
          </cell>
        </row>
        <row r="2741">
          <cell r="B2741">
            <v>6253</v>
          </cell>
          <cell r="C2741" t="str">
            <v>UP_10_</v>
          </cell>
          <cell r="D2741" t="str">
            <v>Rancho Upácuaro No. 10</v>
          </cell>
          <cell r="E2741" t="str">
            <v>Fernández García</v>
          </cell>
          <cell r="F2741">
            <v>300</v>
          </cell>
          <cell r="G2741">
            <v>3</v>
          </cell>
          <cell r="H2741">
            <v>160</v>
          </cell>
          <cell r="I2741">
            <v>41644</v>
          </cell>
          <cell r="J2741" t="str">
            <v>NO SUMA</v>
          </cell>
          <cell r="W2741">
            <v>0</v>
          </cell>
          <cell r="AJ2741">
            <v>0</v>
          </cell>
          <cell r="AW2741">
            <v>0</v>
          </cell>
        </row>
        <row r="2742">
          <cell r="B2742">
            <v>6254</v>
          </cell>
          <cell r="C2742" t="str">
            <v>CL_43_B</v>
          </cell>
          <cell r="D2742" t="str">
            <v>Rancho La Cuchilla No. 43, B</v>
          </cell>
          <cell r="E2742" t="str">
            <v>Luna Albertano</v>
          </cell>
          <cell r="F2742">
            <v>125</v>
          </cell>
          <cell r="G2742">
            <v>1</v>
          </cell>
          <cell r="H2742">
            <v>125</v>
          </cell>
          <cell r="I2742">
            <v>41644</v>
          </cell>
          <cell r="J2742">
            <v>0</v>
          </cell>
          <cell r="W2742">
            <v>0</v>
          </cell>
          <cell r="AJ2742">
            <v>0</v>
          </cell>
          <cell r="AK2742">
            <v>125</v>
          </cell>
          <cell r="AW2742">
            <v>125</v>
          </cell>
        </row>
        <row r="2743">
          <cell r="B2743">
            <v>6255</v>
          </cell>
          <cell r="C2743" t="str">
            <v>UP_18_</v>
          </cell>
          <cell r="D2743" t="str">
            <v>Rancho Upácuaro No. 18</v>
          </cell>
          <cell r="E2743" t="str">
            <v>Guzmán</v>
          </cell>
          <cell r="F2743">
            <v>300</v>
          </cell>
          <cell r="G2743">
            <v>1</v>
          </cell>
          <cell r="H2743">
            <v>300</v>
          </cell>
          <cell r="I2743">
            <v>41644</v>
          </cell>
          <cell r="J2743">
            <v>0</v>
          </cell>
          <cell r="W2743">
            <v>0</v>
          </cell>
          <cell r="AJ2743">
            <v>0</v>
          </cell>
          <cell r="AK2743">
            <v>300</v>
          </cell>
          <cell r="AW2743">
            <v>300</v>
          </cell>
        </row>
        <row r="2744">
          <cell r="B2744">
            <v>6256</v>
          </cell>
          <cell r="C2744" t="str">
            <v>CL_72_</v>
          </cell>
          <cell r="D2744" t="str">
            <v>Rancho La Cuchilla No. 72</v>
          </cell>
          <cell r="E2744" t="str">
            <v>Ortiz González</v>
          </cell>
          <cell r="F2744">
            <v>300</v>
          </cell>
          <cell r="G2744">
            <v>1</v>
          </cell>
          <cell r="H2744">
            <v>400</v>
          </cell>
          <cell r="I2744">
            <v>41644</v>
          </cell>
          <cell r="J2744">
            <v>0</v>
          </cell>
          <cell r="W2744">
            <v>0</v>
          </cell>
          <cell r="AJ2744">
            <v>0</v>
          </cell>
          <cell r="AK2744">
            <v>400</v>
          </cell>
          <cell r="AW2744">
            <v>400</v>
          </cell>
        </row>
        <row r="2745">
          <cell r="B2745">
            <v>6257</v>
          </cell>
          <cell r="C2745" t="str">
            <v>RV_179_</v>
          </cell>
          <cell r="D2745" t="str">
            <v>Rancho Recoveco No. 179</v>
          </cell>
          <cell r="E2745" t="str">
            <v>Flores Delgado</v>
          </cell>
          <cell r="F2745">
            <v>300</v>
          </cell>
          <cell r="G2745">
            <v>1</v>
          </cell>
          <cell r="H2745">
            <v>400</v>
          </cell>
          <cell r="I2745">
            <v>41644</v>
          </cell>
          <cell r="J2745">
            <v>0</v>
          </cell>
          <cell r="W2745">
            <v>0</v>
          </cell>
          <cell r="AJ2745">
            <v>0</v>
          </cell>
          <cell r="AK2745">
            <v>400</v>
          </cell>
          <cell r="AW2745">
            <v>400</v>
          </cell>
        </row>
        <row r="2746">
          <cell r="B2746">
            <v>6258</v>
          </cell>
          <cell r="C2746" t="str">
            <v>ZB_68_</v>
          </cell>
          <cell r="D2746" t="str">
            <v>Rancho Zinamba No. 68</v>
          </cell>
          <cell r="E2746" t="str">
            <v>Rivera Villicaña</v>
          </cell>
          <cell r="F2746">
            <v>300</v>
          </cell>
          <cell r="G2746">
            <v>1</v>
          </cell>
          <cell r="H2746">
            <v>400</v>
          </cell>
          <cell r="I2746">
            <v>41644</v>
          </cell>
          <cell r="J2746">
            <v>0</v>
          </cell>
          <cell r="W2746">
            <v>0</v>
          </cell>
          <cell r="AJ2746">
            <v>0</v>
          </cell>
          <cell r="AK2746">
            <v>400</v>
          </cell>
          <cell r="AW2746">
            <v>400</v>
          </cell>
        </row>
        <row r="2747">
          <cell r="B2747">
            <v>6259</v>
          </cell>
          <cell r="C2747" t="str">
            <v>ZB_44_</v>
          </cell>
          <cell r="D2747" t="str">
            <v>Rancho Zinamba No. 44</v>
          </cell>
          <cell r="E2747" t="str">
            <v>Canales</v>
          </cell>
          <cell r="F2747">
            <v>300</v>
          </cell>
          <cell r="G2747">
            <v>1</v>
          </cell>
          <cell r="H2747">
            <v>400</v>
          </cell>
          <cell r="I2747">
            <v>41644</v>
          </cell>
          <cell r="J2747">
            <v>0</v>
          </cell>
          <cell r="W2747">
            <v>0</v>
          </cell>
          <cell r="AJ2747">
            <v>0</v>
          </cell>
          <cell r="AK2747">
            <v>400</v>
          </cell>
          <cell r="AW2747">
            <v>400</v>
          </cell>
        </row>
        <row r="2748">
          <cell r="B2748">
            <v>6260</v>
          </cell>
          <cell r="C2748" t="str">
            <v>CL_20_</v>
          </cell>
          <cell r="D2748" t="str">
            <v>Rancho La Cuchilla No. 20</v>
          </cell>
          <cell r="E2748" t="str">
            <v>Sánchez López</v>
          </cell>
          <cell r="F2748">
            <v>300</v>
          </cell>
          <cell r="G2748">
            <v>1</v>
          </cell>
          <cell r="H2748">
            <v>400</v>
          </cell>
          <cell r="I2748">
            <v>41644</v>
          </cell>
          <cell r="J2748">
            <v>0</v>
          </cell>
          <cell r="W2748">
            <v>0</v>
          </cell>
          <cell r="AJ2748">
            <v>0</v>
          </cell>
          <cell r="AK2748">
            <v>400</v>
          </cell>
          <cell r="AW2748">
            <v>400</v>
          </cell>
        </row>
        <row r="2749">
          <cell r="B2749">
            <v>6261</v>
          </cell>
          <cell r="C2749" t="str">
            <v>CL_92_</v>
          </cell>
          <cell r="D2749" t="str">
            <v>Rancho La Cuchilla No. 92</v>
          </cell>
          <cell r="E2749" t="str">
            <v>Cabrera</v>
          </cell>
          <cell r="F2749">
            <v>300</v>
          </cell>
          <cell r="G2749">
            <v>1</v>
          </cell>
          <cell r="H2749">
            <v>400</v>
          </cell>
          <cell r="I2749">
            <v>41644</v>
          </cell>
          <cell r="J2749">
            <v>0</v>
          </cell>
          <cell r="W2749">
            <v>0</v>
          </cell>
          <cell r="AJ2749">
            <v>0</v>
          </cell>
          <cell r="AK2749">
            <v>400</v>
          </cell>
          <cell r="AW2749">
            <v>400</v>
          </cell>
        </row>
        <row r="2750">
          <cell r="B2750">
            <v>6262</v>
          </cell>
          <cell r="C2750" t="str">
            <v>LD_30_</v>
          </cell>
          <cell r="D2750" t="str">
            <v>Rancho Landero No. 30</v>
          </cell>
          <cell r="E2750" t="str">
            <v>Torres Guzmán</v>
          </cell>
          <cell r="F2750">
            <v>300</v>
          </cell>
          <cell r="G2750">
            <v>1</v>
          </cell>
          <cell r="H2750">
            <v>400</v>
          </cell>
          <cell r="I2750">
            <v>41644</v>
          </cell>
          <cell r="J2750">
            <v>0</v>
          </cell>
          <cell r="W2750">
            <v>0</v>
          </cell>
          <cell r="AJ2750">
            <v>0</v>
          </cell>
          <cell r="AK2750">
            <v>400</v>
          </cell>
          <cell r="AW2750">
            <v>400</v>
          </cell>
        </row>
        <row r="2751">
          <cell r="B2751">
            <v>6263</v>
          </cell>
          <cell r="C2751" t="str">
            <v>UP_140_</v>
          </cell>
          <cell r="D2751" t="str">
            <v>Rancho Upácuaro No. 140</v>
          </cell>
          <cell r="E2751" t="str">
            <v>Gozain</v>
          </cell>
          <cell r="F2751">
            <v>300</v>
          </cell>
          <cell r="G2751">
            <v>1</v>
          </cell>
          <cell r="H2751">
            <v>400</v>
          </cell>
          <cell r="I2751">
            <v>41644</v>
          </cell>
          <cell r="J2751">
            <v>0</v>
          </cell>
          <cell r="W2751">
            <v>0</v>
          </cell>
          <cell r="AJ2751">
            <v>0</v>
          </cell>
          <cell r="AK2751">
            <v>400</v>
          </cell>
          <cell r="AW2751">
            <v>400</v>
          </cell>
        </row>
        <row r="2752">
          <cell r="B2752">
            <v>6264</v>
          </cell>
          <cell r="C2752" t="str">
            <v>ZB_56_</v>
          </cell>
          <cell r="D2752" t="str">
            <v>Rancho Zinamba No. 56</v>
          </cell>
          <cell r="E2752" t="str">
            <v>Aguado</v>
          </cell>
          <cell r="F2752">
            <v>250</v>
          </cell>
          <cell r="G2752">
            <v>1</v>
          </cell>
          <cell r="H2752">
            <v>350</v>
          </cell>
          <cell r="I2752">
            <v>41644</v>
          </cell>
          <cell r="J2752">
            <v>0</v>
          </cell>
          <cell r="W2752">
            <v>0</v>
          </cell>
          <cell r="AJ2752">
            <v>0</v>
          </cell>
          <cell r="AK2752">
            <v>350</v>
          </cell>
          <cell r="AW2752">
            <v>350</v>
          </cell>
        </row>
        <row r="2753">
          <cell r="B2753">
            <v>6265</v>
          </cell>
          <cell r="C2753" t="str">
            <v>UP_120_</v>
          </cell>
          <cell r="D2753" t="str">
            <v>Rancho Upácuaro No. 120</v>
          </cell>
          <cell r="E2753" t="str">
            <v>Rayas Rivera</v>
          </cell>
          <cell r="F2753">
            <v>300</v>
          </cell>
          <cell r="G2753">
            <v>1</v>
          </cell>
          <cell r="H2753">
            <v>400</v>
          </cell>
          <cell r="I2753">
            <v>41644</v>
          </cell>
          <cell r="J2753">
            <v>0</v>
          </cell>
          <cell r="W2753">
            <v>0</v>
          </cell>
          <cell r="AJ2753">
            <v>0</v>
          </cell>
          <cell r="AK2753">
            <v>400</v>
          </cell>
          <cell r="AW2753">
            <v>400</v>
          </cell>
        </row>
        <row r="2754">
          <cell r="B2754">
            <v>6266</v>
          </cell>
          <cell r="C2754" t="str">
            <v>CL_89_</v>
          </cell>
          <cell r="D2754" t="str">
            <v>Rancho La Cuchilla No. 89</v>
          </cell>
          <cell r="E2754" t="str">
            <v>Gálvez</v>
          </cell>
          <cell r="F2754">
            <v>300</v>
          </cell>
          <cell r="G2754">
            <v>1</v>
          </cell>
          <cell r="H2754">
            <v>400</v>
          </cell>
          <cell r="I2754">
            <v>41644</v>
          </cell>
          <cell r="J2754">
            <v>0</v>
          </cell>
          <cell r="W2754">
            <v>0</v>
          </cell>
          <cell r="AJ2754">
            <v>0</v>
          </cell>
          <cell r="AK2754">
            <v>400</v>
          </cell>
          <cell r="AW2754">
            <v>400</v>
          </cell>
        </row>
        <row r="2755">
          <cell r="B2755">
            <v>6267</v>
          </cell>
          <cell r="C2755" t="str">
            <v>EZ_149_</v>
          </cell>
          <cell r="D2755" t="str">
            <v>Rancho Estanzuela No. 149</v>
          </cell>
          <cell r="E2755" t="str">
            <v>Sala</v>
          </cell>
          <cell r="F2755">
            <v>300</v>
          </cell>
          <cell r="G2755">
            <v>1</v>
          </cell>
          <cell r="H2755">
            <v>400</v>
          </cell>
          <cell r="I2755">
            <v>41644</v>
          </cell>
          <cell r="J2755">
            <v>0</v>
          </cell>
          <cell r="W2755">
            <v>0</v>
          </cell>
          <cell r="AJ2755">
            <v>0</v>
          </cell>
          <cell r="AK2755">
            <v>400</v>
          </cell>
          <cell r="AW2755">
            <v>400</v>
          </cell>
        </row>
        <row r="2756">
          <cell r="B2756">
            <v>6268</v>
          </cell>
          <cell r="C2756" t="str">
            <v>EZ_31_</v>
          </cell>
          <cell r="D2756" t="str">
            <v>Rancho Estanzuela No. 31</v>
          </cell>
          <cell r="E2756" t="str">
            <v>Chávez Valdés</v>
          </cell>
          <cell r="F2756">
            <v>300</v>
          </cell>
          <cell r="G2756">
            <v>1</v>
          </cell>
          <cell r="H2756">
            <v>400</v>
          </cell>
          <cell r="I2756">
            <v>41644</v>
          </cell>
          <cell r="J2756">
            <v>0</v>
          </cell>
          <cell r="W2756">
            <v>0</v>
          </cell>
          <cell r="AJ2756">
            <v>0</v>
          </cell>
          <cell r="AK2756">
            <v>400</v>
          </cell>
          <cell r="AW2756">
            <v>400</v>
          </cell>
        </row>
        <row r="2757">
          <cell r="B2757">
            <v>6269</v>
          </cell>
          <cell r="C2757" t="str">
            <v>UP_75_</v>
          </cell>
          <cell r="D2757" t="str">
            <v>Rancho Upácuaro No. 75</v>
          </cell>
          <cell r="E2757" t="str">
            <v>Montaño Zetina</v>
          </cell>
          <cell r="F2757">
            <v>300</v>
          </cell>
          <cell r="G2757">
            <v>1</v>
          </cell>
          <cell r="H2757">
            <v>1800</v>
          </cell>
          <cell r="I2757">
            <v>41644</v>
          </cell>
          <cell r="J2757">
            <v>0</v>
          </cell>
          <cell r="W2757">
            <v>0</v>
          </cell>
          <cell r="AJ2757">
            <v>0</v>
          </cell>
          <cell r="AK2757">
            <v>300</v>
          </cell>
          <cell r="AL2757">
            <v>300</v>
          </cell>
          <cell r="AM2757">
            <v>300</v>
          </cell>
          <cell r="AN2757">
            <v>300</v>
          </cell>
          <cell r="AO2757">
            <v>300</v>
          </cell>
          <cell r="AP2757">
            <v>300</v>
          </cell>
          <cell r="AW2757">
            <v>1800</v>
          </cell>
        </row>
        <row r="2758">
          <cell r="B2758">
            <v>6270</v>
          </cell>
          <cell r="C2758" t="str">
            <v>UP_65_</v>
          </cell>
          <cell r="D2758" t="str">
            <v>Rancho Upácuaro No. 65</v>
          </cell>
          <cell r="E2758" t="str">
            <v>Olguín</v>
          </cell>
          <cell r="F2758">
            <v>300</v>
          </cell>
          <cell r="G2758">
            <v>1</v>
          </cell>
          <cell r="H2758">
            <v>300</v>
          </cell>
          <cell r="I2758">
            <v>41644</v>
          </cell>
          <cell r="J2758">
            <v>0</v>
          </cell>
          <cell r="W2758">
            <v>0</v>
          </cell>
          <cell r="AJ2758">
            <v>0</v>
          </cell>
          <cell r="AK2758">
            <v>300</v>
          </cell>
          <cell r="AW2758">
            <v>300</v>
          </cell>
        </row>
        <row r="2759">
          <cell r="B2759">
            <v>6271</v>
          </cell>
          <cell r="C2759" t="str">
            <v>UP_132_</v>
          </cell>
          <cell r="D2759" t="str">
            <v>Rancho Upácuaro No. 132</v>
          </cell>
          <cell r="E2759" t="str">
            <v>Tornero Saldaña</v>
          </cell>
          <cell r="F2759">
            <v>300</v>
          </cell>
          <cell r="G2759">
            <v>1</v>
          </cell>
          <cell r="H2759">
            <v>4400</v>
          </cell>
          <cell r="I2759">
            <v>41644</v>
          </cell>
          <cell r="J2759">
            <v>0</v>
          </cell>
          <cell r="W2759">
            <v>0</v>
          </cell>
          <cell r="AJ2759">
            <v>0</v>
          </cell>
          <cell r="AK2759">
            <v>400</v>
          </cell>
          <cell r="AL2759">
            <v>400</v>
          </cell>
          <cell r="AM2759">
            <v>400</v>
          </cell>
          <cell r="AN2759">
            <v>400</v>
          </cell>
          <cell r="AO2759">
            <v>400</v>
          </cell>
          <cell r="AP2759">
            <v>400</v>
          </cell>
          <cell r="AQ2759">
            <v>400</v>
          </cell>
          <cell r="AR2759">
            <v>400</v>
          </cell>
          <cell r="AS2759">
            <v>400</v>
          </cell>
          <cell r="AT2759">
            <v>400</v>
          </cell>
          <cell r="AU2759">
            <v>400</v>
          </cell>
          <cell r="AW2759">
            <v>4400</v>
          </cell>
        </row>
        <row r="2760">
          <cell r="B2760">
            <v>6272</v>
          </cell>
          <cell r="C2760" t="str">
            <v>UP_23_</v>
          </cell>
          <cell r="D2760" t="str">
            <v>Rancho Upácuaro No. 23</v>
          </cell>
          <cell r="E2760" t="str">
            <v>Arredondo</v>
          </cell>
          <cell r="F2760">
            <v>300</v>
          </cell>
          <cell r="G2760">
            <v>1</v>
          </cell>
          <cell r="H2760">
            <v>350</v>
          </cell>
          <cell r="I2760">
            <v>41644</v>
          </cell>
          <cell r="J2760">
            <v>0</v>
          </cell>
          <cell r="W2760">
            <v>0</v>
          </cell>
          <cell r="AJ2760">
            <v>0</v>
          </cell>
          <cell r="AK2760">
            <v>350</v>
          </cell>
          <cell r="AW2760">
            <v>350</v>
          </cell>
        </row>
        <row r="2761">
          <cell r="B2761">
            <v>6273</v>
          </cell>
          <cell r="C2761" t="str">
            <v>CL_33_</v>
          </cell>
          <cell r="D2761" t="str">
            <v>Rancho La Cuchilla No. 33</v>
          </cell>
          <cell r="E2761" t="str">
            <v>Tanús</v>
          </cell>
          <cell r="F2761">
            <v>300</v>
          </cell>
          <cell r="G2761">
            <v>1</v>
          </cell>
          <cell r="H2761">
            <v>400</v>
          </cell>
          <cell r="I2761">
            <v>41644</v>
          </cell>
          <cell r="J2761">
            <v>0</v>
          </cell>
          <cell r="W2761">
            <v>0</v>
          </cell>
          <cell r="AJ2761">
            <v>0</v>
          </cell>
          <cell r="AK2761">
            <v>400</v>
          </cell>
          <cell r="AW2761">
            <v>400</v>
          </cell>
        </row>
        <row r="2762">
          <cell r="B2762">
            <v>6274</v>
          </cell>
          <cell r="C2762" t="str">
            <v>UP_32_</v>
          </cell>
          <cell r="D2762" t="str">
            <v>Rancho Upácuaro No. 32</v>
          </cell>
          <cell r="E2762" t="str">
            <v>Sairafi Carmen</v>
          </cell>
          <cell r="F2762">
            <v>300</v>
          </cell>
          <cell r="G2762">
            <v>1</v>
          </cell>
          <cell r="H2762">
            <v>400</v>
          </cell>
          <cell r="I2762">
            <v>41644</v>
          </cell>
          <cell r="J2762">
            <v>0</v>
          </cell>
          <cell r="W2762">
            <v>0</v>
          </cell>
          <cell r="AJ2762">
            <v>0</v>
          </cell>
          <cell r="AK2762">
            <v>400</v>
          </cell>
          <cell r="AW2762">
            <v>400</v>
          </cell>
        </row>
        <row r="2763">
          <cell r="B2763">
            <v>6275</v>
          </cell>
          <cell r="C2763" t="str">
            <v>UP_33_</v>
          </cell>
          <cell r="D2763" t="str">
            <v>Rancho Upácuaro No. 33</v>
          </cell>
          <cell r="E2763" t="str">
            <v>Ulloa Miranda</v>
          </cell>
          <cell r="F2763">
            <v>300</v>
          </cell>
          <cell r="G2763">
            <v>1</v>
          </cell>
          <cell r="H2763">
            <v>400</v>
          </cell>
          <cell r="I2763">
            <v>41644</v>
          </cell>
          <cell r="J2763">
            <v>0</v>
          </cell>
          <cell r="W2763">
            <v>0</v>
          </cell>
          <cell r="AJ2763">
            <v>0</v>
          </cell>
          <cell r="AK2763">
            <v>400</v>
          </cell>
          <cell r="AW2763">
            <v>400</v>
          </cell>
        </row>
        <row r="2764">
          <cell r="B2764">
            <v>6276</v>
          </cell>
          <cell r="C2764" t="str">
            <v>CL_96_</v>
          </cell>
          <cell r="D2764" t="str">
            <v>Rancho La Cuchilla No. 96</v>
          </cell>
          <cell r="E2764" t="str">
            <v>Valdez Álvarez</v>
          </cell>
          <cell r="F2764">
            <v>300</v>
          </cell>
          <cell r="G2764">
            <v>1</v>
          </cell>
          <cell r="H2764">
            <v>4400</v>
          </cell>
          <cell r="I2764">
            <v>41644</v>
          </cell>
          <cell r="J2764">
            <v>0</v>
          </cell>
          <cell r="W2764">
            <v>0</v>
          </cell>
          <cell r="AJ2764">
            <v>0</v>
          </cell>
          <cell r="AK2764">
            <v>400</v>
          </cell>
          <cell r="AL2764">
            <v>400</v>
          </cell>
          <cell r="AM2764">
            <v>400</v>
          </cell>
          <cell r="AN2764">
            <v>400</v>
          </cell>
          <cell r="AO2764">
            <v>400</v>
          </cell>
          <cell r="AP2764">
            <v>400</v>
          </cell>
          <cell r="AQ2764">
            <v>400</v>
          </cell>
          <cell r="AR2764">
            <v>400</v>
          </cell>
          <cell r="AS2764">
            <v>400</v>
          </cell>
          <cell r="AT2764">
            <v>400</v>
          </cell>
          <cell r="AU2764">
            <v>400</v>
          </cell>
          <cell r="AW2764">
            <v>4400</v>
          </cell>
        </row>
        <row r="2765">
          <cell r="B2765">
            <v>6277</v>
          </cell>
          <cell r="C2765" t="str">
            <v>CL_135_</v>
          </cell>
          <cell r="D2765" t="str">
            <v>Rancho La Cuchilla No. 135</v>
          </cell>
          <cell r="E2765" t="str">
            <v>Juárez Sánchez</v>
          </cell>
          <cell r="F2765">
            <v>300</v>
          </cell>
          <cell r="G2765">
            <v>1</v>
          </cell>
          <cell r="H2765">
            <v>400</v>
          </cell>
          <cell r="I2765">
            <v>41644</v>
          </cell>
          <cell r="J2765">
            <v>0</v>
          </cell>
          <cell r="W2765">
            <v>0</v>
          </cell>
          <cell r="AJ2765">
            <v>0</v>
          </cell>
          <cell r="AK2765">
            <v>400</v>
          </cell>
          <cell r="AW2765">
            <v>400</v>
          </cell>
        </row>
        <row r="2766">
          <cell r="B2766">
            <v>6278</v>
          </cell>
          <cell r="E2766" t="str">
            <v/>
          </cell>
          <cell r="F2766" t="str">
            <v/>
          </cell>
          <cell r="G2766">
            <v>8</v>
          </cell>
          <cell r="I2766">
            <v>41644</v>
          </cell>
          <cell r="J2766" t="str">
            <v>NO SUMA</v>
          </cell>
          <cell r="W2766">
            <v>0</v>
          </cell>
          <cell r="AJ2766">
            <v>0</v>
          </cell>
          <cell r="AW2766">
            <v>0</v>
          </cell>
        </row>
        <row r="2767">
          <cell r="B2767">
            <v>6279</v>
          </cell>
          <cell r="C2767" t="str">
            <v>UP_76_</v>
          </cell>
          <cell r="D2767" t="str">
            <v>Rancho Upácuaro No. 76</v>
          </cell>
          <cell r="E2767" t="str">
            <v>Ruiz de San Pedro</v>
          </cell>
          <cell r="F2767">
            <v>300</v>
          </cell>
          <cell r="G2767">
            <v>1</v>
          </cell>
          <cell r="H2767">
            <v>400</v>
          </cell>
          <cell r="I2767">
            <v>41644</v>
          </cell>
          <cell r="J2767">
            <v>0</v>
          </cell>
          <cell r="W2767">
            <v>0</v>
          </cell>
          <cell r="AJ2767">
            <v>0</v>
          </cell>
          <cell r="AK2767">
            <v>400</v>
          </cell>
          <cell r="AW2767">
            <v>400</v>
          </cell>
        </row>
        <row r="2768">
          <cell r="B2768">
            <v>6280</v>
          </cell>
          <cell r="C2768" t="str">
            <v>EZ_161_1</v>
          </cell>
          <cell r="D2768" t="str">
            <v>Rancho Estanzuela No. 161, 1</v>
          </cell>
          <cell r="E2768" t="str">
            <v>Guevara</v>
          </cell>
          <cell r="F2768">
            <v>150</v>
          </cell>
          <cell r="G2768">
            <v>1</v>
          </cell>
          <cell r="H2768">
            <v>200</v>
          </cell>
          <cell r="I2768">
            <v>41644</v>
          </cell>
          <cell r="J2768">
            <v>0</v>
          </cell>
          <cell r="W2768">
            <v>0</v>
          </cell>
          <cell r="AJ2768">
            <v>0</v>
          </cell>
          <cell r="AK2768">
            <v>200</v>
          </cell>
          <cell r="AW2768">
            <v>200</v>
          </cell>
        </row>
        <row r="2769">
          <cell r="B2769">
            <v>6281</v>
          </cell>
          <cell r="C2769" t="str">
            <v>EZ_91_</v>
          </cell>
          <cell r="D2769" t="str">
            <v>Rancho Estanzuela No. 91</v>
          </cell>
          <cell r="E2769" t="str">
            <v>Lobato Torres</v>
          </cell>
          <cell r="F2769">
            <v>300</v>
          </cell>
          <cell r="G2769">
            <v>1</v>
          </cell>
          <cell r="H2769">
            <v>400</v>
          </cell>
          <cell r="I2769">
            <v>41644</v>
          </cell>
          <cell r="J2769">
            <v>0</v>
          </cell>
          <cell r="W2769">
            <v>0</v>
          </cell>
          <cell r="AJ2769">
            <v>0</v>
          </cell>
          <cell r="AK2769">
            <v>400</v>
          </cell>
          <cell r="AW2769">
            <v>400</v>
          </cell>
        </row>
        <row r="2770">
          <cell r="B2770">
            <v>6281</v>
          </cell>
          <cell r="C2770" t="str">
            <v>EZ_91_</v>
          </cell>
          <cell r="D2770" t="str">
            <v>Rancho Estanzuela No. 91</v>
          </cell>
          <cell r="E2770" t="str">
            <v>Lobato Torres</v>
          </cell>
          <cell r="F2770">
            <v>300</v>
          </cell>
          <cell r="G2770">
            <v>3</v>
          </cell>
          <cell r="H2770">
            <v>160</v>
          </cell>
          <cell r="I2770">
            <v>41644</v>
          </cell>
          <cell r="J2770" t="str">
            <v>NO SUMA</v>
          </cell>
          <cell r="W2770">
            <v>0</v>
          </cell>
          <cell r="AJ2770">
            <v>0</v>
          </cell>
          <cell r="AW2770">
            <v>0</v>
          </cell>
        </row>
        <row r="2771">
          <cell r="B2771">
            <v>6282</v>
          </cell>
          <cell r="C2771" t="str">
            <v>RM_9_B</v>
          </cell>
          <cell r="D2771" t="str">
            <v>Rancho Romeral No. 9, B</v>
          </cell>
          <cell r="E2771" t="str">
            <v>Morales Macías</v>
          </cell>
          <cell r="F2771">
            <v>100</v>
          </cell>
          <cell r="G2771">
            <v>1</v>
          </cell>
          <cell r="H2771">
            <v>200</v>
          </cell>
          <cell r="I2771">
            <v>41644</v>
          </cell>
          <cell r="J2771">
            <v>0</v>
          </cell>
          <cell r="W2771">
            <v>0</v>
          </cell>
          <cell r="AI2771">
            <v>100</v>
          </cell>
          <cell r="AJ2771">
            <v>100</v>
          </cell>
          <cell r="AK2771">
            <v>100</v>
          </cell>
          <cell r="AW2771">
            <v>100</v>
          </cell>
        </row>
        <row r="2772">
          <cell r="B2772">
            <v>6283</v>
          </cell>
          <cell r="C2772" t="str">
            <v>EZ_15_A</v>
          </cell>
          <cell r="D2772" t="str">
            <v>Rancho Estanzuela No. 15, A</v>
          </cell>
          <cell r="E2772" t="str">
            <v>González</v>
          </cell>
          <cell r="F2772">
            <v>150</v>
          </cell>
          <cell r="G2772">
            <v>1</v>
          </cell>
          <cell r="H2772">
            <v>600</v>
          </cell>
          <cell r="I2772">
            <v>41644</v>
          </cell>
          <cell r="J2772">
            <v>0</v>
          </cell>
          <cell r="W2772">
            <v>0</v>
          </cell>
          <cell r="AG2772">
            <v>200</v>
          </cell>
          <cell r="AH2772">
            <v>200</v>
          </cell>
          <cell r="AI2772">
            <v>200</v>
          </cell>
          <cell r="AJ2772">
            <v>600</v>
          </cell>
          <cell r="AW2772">
            <v>0</v>
          </cell>
        </row>
        <row r="2773">
          <cell r="B2773">
            <v>6283</v>
          </cell>
          <cell r="C2773" t="str">
            <v>EZ_15_A</v>
          </cell>
          <cell r="D2773" t="str">
            <v>Rancho Estanzuela No. 15, A</v>
          </cell>
          <cell r="E2773" t="str">
            <v>González</v>
          </cell>
          <cell r="F2773">
            <v>150</v>
          </cell>
          <cell r="G2773">
            <v>4</v>
          </cell>
          <cell r="H2773">
            <v>160</v>
          </cell>
          <cell r="I2773">
            <v>41644</v>
          </cell>
          <cell r="J2773" t="str">
            <v>NO SUMA</v>
          </cell>
          <cell r="W2773">
            <v>0</v>
          </cell>
          <cell r="AJ2773">
            <v>0</v>
          </cell>
          <cell r="AW2773">
            <v>0</v>
          </cell>
        </row>
        <row r="2774">
          <cell r="B2774">
            <v>6284</v>
          </cell>
          <cell r="C2774" t="str">
            <v>CL_81_A</v>
          </cell>
          <cell r="D2774" t="str">
            <v>Rancho La Cuchilla No. 81, A</v>
          </cell>
          <cell r="E2774" t="str">
            <v>Barrientos López</v>
          </cell>
          <cell r="F2774">
            <v>300</v>
          </cell>
          <cell r="G2774">
            <v>1</v>
          </cell>
          <cell r="H2774">
            <v>400</v>
          </cell>
          <cell r="I2774">
            <v>41644</v>
          </cell>
          <cell r="J2774">
            <v>0</v>
          </cell>
          <cell r="W2774">
            <v>0</v>
          </cell>
          <cell r="AJ2774">
            <v>0</v>
          </cell>
          <cell r="AK2774">
            <v>400</v>
          </cell>
          <cell r="AW2774">
            <v>400</v>
          </cell>
        </row>
        <row r="2775">
          <cell r="B2775">
            <v>6285</v>
          </cell>
          <cell r="C2775" t="str">
            <v>ZB_80_</v>
          </cell>
          <cell r="D2775" t="str">
            <v>Rancho Zinamba No. 80</v>
          </cell>
          <cell r="E2775" t="str">
            <v>Vázquez</v>
          </cell>
          <cell r="F2775">
            <v>250</v>
          </cell>
          <cell r="G2775">
            <v>1</v>
          </cell>
          <cell r="H2775">
            <v>600</v>
          </cell>
          <cell r="I2775">
            <v>41644</v>
          </cell>
          <cell r="J2775">
            <v>0</v>
          </cell>
          <cell r="W2775">
            <v>0</v>
          </cell>
          <cell r="AI2775">
            <v>300</v>
          </cell>
          <cell r="AJ2775">
            <v>300</v>
          </cell>
          <cell r="AK2775">
            <v>300</v>
          </cell>
          <cell r="AW2775">
            <v>300</v>
          </cell>
        </row>
        <row r="2776">
          <cell r="B2776">
            <v>6286</v>
          </cell>
          <cell r="C2776" t="str">
            <v>LD_45_</v>
          </cell>
          <cell r="D2776" t="str">
            <v>Rancho Landero No. 45</v>
          </cell>
          <cell r="E2776" t="str">
            <v>Almazán</v>
          </cell>
          <cell r="F2776">
            <v>250</v>
          </cell>
          <cell r="G2776">
            <v>1</v>
          </cell>
          <cell r="H2776">
            <v>800</v>
          </cell>
          <cell r="I2776">
            <v>41644</v>
          </cell>
          <cell r="J2776">
            <v>0</v>
          </cell>
          <cell r="W2776">
            <v>0</v>
          </cell>
          <cell r="AI2776">
            <v>400</v>
          </cell>
          <cell r="AJ2776">
            <v>400</v>
          </cell>
          <cell r="AK2776">
            <v>400</v>
          </cell>
          <cell r="AW2776">
            <v>400</v>
          </cell>
        </row>
        <row r="2777">
          <cell r="B2777">
            <v>6287</v>
          </cell>
          <cell r="C2777" t="str">
            <v>RV_175_0</v>
          </cell>
          <cell r="D2777" t="str">
            <v>Rancho Recoveco No. 175</v>
          </cell>
          <cell r="E2777" t="str">
            <v>Ramírez</v>
          </cell>
          <cell r="F2777">
            <v>300</v>
          </cell>
          <cell r="G2777">
            <v>1</v>
          </cell>
          <cell r="H2777">
            <v>400</v>
          </cell>
          <cell r="I2777">
            <v>41644</v>
          </cell>
          <cell r="J2777">
            <v>0</v>
          </cell>
          <cell r="W2777">
            <v>0</v>
          </cell>
          <cell r="AJ2777">
            <v>0</v>
          </cell>
          <cell r="AK2777">
            <v>400</v>
          </cell>
          <cell r="AW2777">
            <v>400</v>
          </cell>
        </row>
        <row r="2778">
          <cell r="B2778">
            <v>6288</v>
          </cell>
          <cell r="C2778" t="str">
            <v>ZB_26_</v>
          </cell>
          <cell r="D2778" t="str">
            <v>Rancho Zinamba No. 26</v>
          </cell>
          <cell r="E2778" t="str">
            <v>Ayala</v>
          </cell>
          <cell r="F2778">
            <v>300</v>
          </cell>
          <cell r="G2778">
            <v>1</v>
          </cell>
          <cell r="H2778">
            <v>300</v>
          </cell>
          <cell r="I2778">
            <v>41644</v>
          </cell>
          <cell r="J2778">
            <v>0</v>
          </cell>
          <cell r="W2778">
            <v>0</v>
          </cell>
          <cell r="AG2778">
            <v>300</v>
          </cell>
          <cell r="AJ2778">
            <v>300</v>
          </cell>
          <cell r="AW2778">
            <v>0</v>
          </cell>
        </row>
        <row r="2779">
          <cell r="B2779">
            <v>6289</v>
          </cell>
          <cell r="C2779" t="str">
            <v>CL_41_</v>
          </cell>
          <cell r="D2779" t="str">
            <v>Rancho La Cuchilla No. 41</v>
          </cell>
          <cell r="E2779" t="str">
            <v>Arriaga Lemus</v>
          </cell>
          <cell r="F2779">
            <v>250</v>
          </cell>
          <cell r="G2779">
            <v>1</v>
          </cell>
          <cell r="H2779">
            <v>400</v>
          </cell>
          <cell r="I2779">
            <v>41644</v>
          </cell>
          <cell r="J2779">
            <v>0</v>
          </cell>
          <cell r="W2779">
            <v>0</v>
          </cell>
          <cell r="AJ2779">
            <v>0</v>
          </cell>
          <cell r="AK2779">
            <v>400</v>
          </cell>
          <cell r="AW2779">
            <v>400</v>
          </cell>
        </row>
        <row r="2780">
          <cell r="B2780">
            <v>6290</v>
          </cell>
          <cell r="C2780" t="str">
            <v>EZ_143_B</v>
          </cell>
          <cell r="D2780" t="str">
            <v>Rancho Estanzuela No. 143, B</v>
          </cell>
          <cell r="E2780" t="str">
            <v>López</v>
          </cell>
          <cell r="F2780">
            <v>300</v>
          </cell>
          <cell r="G2780">
            <v>1</v>
          </cell>
          <cell r="H2780">
            <v>300</v>
          </cell>
          <cell r="I2780">
            <v>41644</v>
          </cell>
          <cell r="J2780">
            <v>0</v>
          </cell>
          <cell r="W2780">
            <v>0</v>
          </cell>
          <cell r="AJ2780">
            <v>0</v>
          </cell>
          <cell r="AK2780">
            <v>300</v>
          </cell>
          <cell r="AW2780">
            <v>300</v>
          </cell>
        </row>
        <row r="2781">
          <cell r="B2781">
            <v>6291</v>
          </cell>
          <cell r="C2781" t="str">
            <v>CL_31_</v>
          </cell>
          <cell r="D2781" t="str">
            <v>Rancho La Cuchilla No. 31</v>
          </cell>
          <cell r="E2781" t="str">
            <v>Espinoza Serrano</v>
          </cell>
          <cell r="F2781">
            <v>300</v>
          </cell>
          <cell r="G2781">
            <v>1</v>
          </cell>
          <cell r="H2781">
            <v>3300</v>
          </cell>
          <cell r="I2781">
            <v>41644</v>
          </cell>
          <cell r="J2781">
            <v>0</v>
          </cell>
          <cell r="W2781">
            <v>0</v>
          </cell>
          <cell r="AA2781">
            <v>300</v>
          </cell>
          <cell r="AB2781">
            <v>300</v>
          </cell>
          <cell r="AC2781">
            <v>300</v>
          </cell>
          <cell r="AD2781">
            <v>300</v>
          </cell>
          <cell r="AE2781">
            <v>300</v>
          </cell>
          <cell r="AF2781">
            <v>300</v>
          </cell>
          <cell r="AG2781">
            <v>400</v>
          </cell>
          <cell r="AH2781">
            <v>400</v>
          </cell>
          <cell r="AI2781">
            <v>400</v>
          </cell>
          <cell r="AJ2781">
            <v>3000</v>
          </cell>
          <cell r="AK2781">
            <v>300</v>
          </cell>
          <cell r="AW2781">
            <v>300</v>
          </cell>
        </row>
        <row r="2782">
          <cell r="B2782">
            <v>6292</v>
          </cell>
          <cell r="C2782" t="str">
            <v>CL_41_</v>
          </cell>
          <cell r="D2782" t="str">
            <v>Rancho La Cuchilla No. 41</v>
          </cell>
          <cell r="E2782" t="str">
            <v>Arriaga Lemus</v>
          </cell>
          <cell r="F2782">
            <v>250</v>
          </cell>
          <cell r="G2782">
            <v>3</v>
          </cell>
          <cell r="H2782">
            <v>160</v>
          </cell>
          <cell r="I2782">
            <v>41644</v>
          </cell>
          <cell r="J2782" t="str">
            <v>NO SUMA</v>
          </cell>
          <cell r="W2782">
            <v>0</v>
          </cell>
          <cell r="AJ2782">
            <v>0</v>
          </cell>
          <cell r="AW2782">
            <v>0</v>
          </cell>
        </row>
        <row r="2783">
          <cell r="B2783">
            <v>6293</v>
          </cell>
          <cell r="C2783" t="str">
            <v>CL_46_</v>
          </cell>
          <cell r="D2783" t="str">
            <v>Rancho La Cuchilla No. 46</v>
          </cell>
          <cell r="E2783" t="str">
            <v>Cruz López</v>
          </cell>
          <cell r="F2783">
            <v>300</v>
          </cell>
          <cell r="G2783">
            <v>1</v>
          </cell>
          <cell r="H2783">
            <v>1600</v>
          </cell>
          <cell r="I2783">
            <v>41644</v>
          </cell>
          <cell r="J2783">
            <v>0</v>
          </cell>
          <cell r="W2783">
            <v>0</v>
          </cell>
          <cell r="AH2783">
            <v>400</v>
          </cell>
          <cell r="AI2783">
            <v>400</v>
          </cell>
          <cell r="AJ2783">
            <v>800</v>
          </cell>
          <cell r="AK2783">
            <v>400</v>
          </cell>
          <cell r="AL2783">
            <v>400</v>
          </cell>
          <cell r="AW2783">
            <v>800</v>
          </cell>
        </row>
        <row r="2784">
          <cell r="B2784">
            <v>6294</v>
          </cell>
          <cell r="C2784" t="str">
            <v>LD_70_</v>
          </cell>
          <cell r="D2784" t="str">
            <v>Rancho Landero No. 70</v>
          </cell>
          <cell r="E2784" t="str">
            <v>Olguín</v>
          </cell>
          <cell r="F2784">
            <v>100</v>
          </cell>
          <cell r="G2784">
            <v>1</v>
          </cell>
          <cell r="H2784">
            <v>100</v>
          </cell>
          <cell r="I2784">
            <v>41644</v>
          </cell>
          <cell r="J2784">
            <v>0</v>
          </cell>
          <cell r="W2784">
            <v>0</v>
          </cell>
          <cell r="AJ2784">
            <v>0</v>
          </cell>
          <cell r="AK2784">
            <v>100</v>
          </cell>
          <cell r="AW2784">
            <v>100</v>
          </cell>
        </row>
        <row r="2785">
          <cell r="B2785">
            <v>6295</v>
          </cell>
          <cell r="C2785" t="str">
            <v>EZ_55_</v>
          </cell>
          <cell r="D2785" t="str">
            <v>Rancho Estanzuela No. 55</v>
          </cell>
          <cell r="E2785" t="str">
            <v>Rodríguez Acevedo</v>
          </cell>
          <cell r="F2785">
            <v>300</v>
          </cell>
          <cell r="G2785">
            <v>1</v>
          </cell>
          <cell r="H2785">
            <v>400</v>
          </cell>
          <cell r="I2785">
            <v>41651</v>
          </cell>
          <cell r="J2785">
            <v>0</v>
          </cell>
          <cell r="W2785">
            <v>0</v>
          </cell>
          <cell r="AJ2785">
            <v>0</v>
          </cell>
          <cell r="AK2785">
            <v>400</v>
          </cell>
          <cell r="AW2785">
            <v>400</v>
          </cell>
        </row>
        <row r="2786">
          <cell r="B2786">
            <v>6296</v>
          </cell>
          <cell r="C2786" t="str">
            <v>ZB_14_</v>
          </cell>
          <cell r="D2786" t="str">
            <v>Rancho Zinamba No. 14</v>
          </cell>
          <cell r="E2786" t="str">
            <v>Gutiérrez García</v>
          </cell>
          <cell r="F2786">
            <v>300</v>
          </cell>
          <cell r="G2786">
            <v>1</v>
          </cell>
          <cell r="H2786">
            <v>400</v>
          </cell>
          <cell r="I2786">
            <v>41651</v>
          </cell>
          <cell r="J2786">
            <v>0</v>
          </cell>
          <cell r="W2786">
            <v>0</v>
          </cell>
          <cell r="AI2786">
            <v>400</v>
          </cell>
          <cell r="AJ2786">
            <v>400</v>
          </cell>
          <cell r="AW2786">
            <v>0</v>
          </cell>
        </row>
        <row r="2787">
          <cell r="B2787">
            <v>6297</v>
          </cell>
          <cell r="C2787" t="str">
            <v>ZB_36_</v>
          </cell>
          <cell r="D2787" t="str">
            <v>Rancho Zinamba No. 36</v>
          </cell>
          <cell r="E2787" t="str">
            <v>Rodríguez Ortiz</v>
          </cell>
          <cell r="F2787">
            <v>300</v>
          </cell>
          <cell r="G2787">
            <v>1</v>
          </cell>
          <cell r="H2787">
            <v>400</v>
          </cell>
          <cell r="I2787">
            <v>41651</v>
          </cell>
          <cell r="J2787">
            <v>0</v>
          </cell>
          <cell r="W2787">
            <v>0</v>
          </cell>
          <cell r="AJ2787">
            <v>0</v>
          </cell>
          <cell r="AK2787">
            <v>400</v>
          </cell>
          <cell r="AW2787">
            <v>400</v>
          </cell>
        </row>
        <row r="2788">
          <cell r="B2788">
            <v>6298</v>
          </cell>
          <cell r="C2788" t="str">
            <v>CL_81_B</v>
          </cell>
          <cell r="D2788" t="str">
            <v>Rancho La Cuchilla No. 81, B</v>
          </cell>
          <cell r="E2788" t="str">
            <v>Suárez</v>
          </cell>
          <cell r="F2788">
            <v>300</v>
          </cell>
          <cell r="G2788">
            <v>1</v>
          </cell>
          <cell r="H2788">
            <v>300</v>
          </cell>
          <cell r="I2788">
            <v>41651</v>
          </cell>
          <cell r="J2788">
            <v>0</v>
          </cell>
          <cell r="W2788">
            <v>0</v>
          </cell>
          <cell r="AJ2788">
            <v>0</v>
          </cell>
          <cell r="AK2788">
            <v>300</v>
          </cell>
          <cell r="AW2788">
            <v>300</v>
          </cell>
        </row>
        <row r="2789">
          <cell r="B2789">
            <v>6299</v>
          </cell>
          <cell r="C2789" t="str">
            <v>LD_15_</v>
          </cell>
          <cell r="D2789" t="str">
            <v>Rancho Landero No. 15</v>
          </cell>
          <cell r="E2789" t="str">
            <v>Morales D.</v>
          </cell>
          <cell r="F2789">
            <v>300</v>
          </cell>
          <cell r="G2789">
            <v>1</v>
          </cell>
          <cell r="H2789">
            <v>4400</v>
          </cell>
          <cell r="I2789">
            <v>41651</v>
          </cell>
          <cell r="J2789">
            <v>0</v>
          </cell>
          <cell r="W2789">
            <v>0</v>
          </cell>
          <cell r="AJ2789">
            <v>0</v>
          </cell>
          <cell r="AK2789">
            <v>400</v>
          </cell>
          <cell r="AL2789">
            <v>400</v>
          </cell>
          <cell r="AM2789">
            <v>400</v>
          </cell>
          <cell r="AN2789">
            <v>400</v>
          </cell>
          <cell r="AO2789">
            <v>400</v>
          </cell>
          <cell r="AP2789">
            <v>400</v>
          </cell>
          <cell r="AQ2789">
            <v>400</v>
          </cell>
          <cell r="AR2789">
            <v>400</v>
          </cell>
          <cell r="AS2789">
            <v>400</v>
          </cell>
          <cell r="AT2789">
            <v>400</v>
          </cell>
          <cell r="AU2789">
            <v>400</v>
          </cell>
          <cell r="AW2789">
            <v>4400</v>
          </cell>
        </row>
        <row r="2790">
          <cell r="B2790">
            <v>6300</v>
          </cell>
          <cell r="C2790" t="str">
            <v>CL_111_</v>
          </cell>
          <cell r="D2790" t="str">
            <v>Rancho La Cuchilla No. 111</v>
          </cell>
          <cell r="E2790" t="str">
            <v>García Santos Ofelia</v>
          </cell>
          <cell r="F2790">
            <v>150</v>
          </cell>
          <cell r="G2790">
            <v>1</v>
          </cell>
          <cell r="H2790">
            <v>200</v>
          </cell>
          <cell r="I2790">
            <v>41651</v>
          </cell>
          <cell r="J2790">
            <v>0</v>
          </cell>
          <cell r="W2790">
            <v>0</v>
          </cell>
          <cell r="AJ2790">
            <v>0</v>
          </cell>
          <cell r="AK2790">
            <v>200</v>
          </cell>
          <cell r="AW2790">
            <v>200</v>
          </cell>
        </row>
        <row r="2791">
          <cell r="B2791">
            <v>6301</v>
          </cell>
          <cell r="C2791" t="str">
            <v>CL_7_102</v>
          </cell>
          <cell r="D2791" t="str">
            <v>Rancho La Cuchilla No. 7, 102</v>
          </cell>
          <cell r="E2791" t="str">
            <v>García Moreno</v>
          </cell>
          <cell r="F2791">
            <v>100</v>
          </cell>
          <cell r="G2791">
            <v>1</v>
          </cell>
          <cell r="H2791">
            <v>100</v>
          </cell>
          <cell r="I2791">
            <v>41651</v>
          </cell>
          <cell r="J2791">
            <v>0</v>
          </cell>
          <cell r="W2791">
            <v>0</v>
          </cell>
          <cell r="AJ2791">
            <v>0</v>
          </cell>
          <cell r="AK2791">
            <v>100</v>
          </cell>
          <cell r="AW2791">
            <v>100</v>
          </cell>
        </row>
        <row r="2792">
          <cell r="B2792">
            <v>6302</v>
          </cell>
          <cell r="C2792" t="str">
            <v>EZ_95_</v>
          </cell>
          <cell r="D2792" t="str">
            <v>Rancho Estanzuela No. 95</v>
          </cell>
          <cell r="E2792" t="str">
            <v>Castro Puente</v>
          </cell>
          <cell r="F2792">
            <v>300</v>
          </cell>
          <cell r="G2792">
            <v>1</v>
          </cell>
          <cell r="H2792">
            <v>800</v>
          </cell>
          <cell r="I2792">
            <v>41651</v>
          </cell>
          <cell r="J2792">
            <v>0</v>
          </cell>
          <cell r="W2792">
            <v>0</v>
          </cell>
          <cell r="AJ2792">
            <v>0</v>
          </cell>
          <cell r="AK2792">
            <v>400</v>
          </cell>
          <cell r="AL2792">
            <v>400</v>
          </cell>
          <cell r="AW2792">
            <v>800</v>
          </cell>
        </row>
        <row r="2793">
          <cell r="B2793">
            <v>6303</v>
          </cell>
          <cell r="C2793" t="str">
            <v>LD_76_</v>
          </cell>
          <cell r="D2793" t="str">
            <v>Rancho Landero No. 76</v>
          </cell>
          <cell r="E2793" t="str">
            <v>Ugarte</v>
          </cell>
          <cell r="F2793">
            <v>300</v>
          </cell>
          <cell r="G2793">
            <v>1</v>
          </cell>
          <cell r="H2793">
            <v>400</v>
          </cell>
          <cell r="I2793">
            <v>41651</v>
          </cell>
          <cell r="J2793">
            <v>0</v>
          </cell>
          <cell r="W2793">
            <v>0</v>
          </cell>
          <cell r="AJ2793">
            <v>0</v>
          </cell>
          <cell r="AK2793">
            <v>400</v>
          </cell>
          <cell r="AW2793">
            <v>400</v>
          </cell>
        </row>
        <row r="2794">
          <cell r="B2794">
            <v>6304</v>
          </cell>
          <cell r="C2794" t="str">
            <v>UP_47_</v>
          </cell>
          <cell r="D2794" t="str">
            <v>Rancho Upácuaro No. 47</v>
          </cell>
          <cell r="E2794" t="str">
            <v>Flores Muñoz</v>
          </cell>
          <cell r="F2794">
            <v>300</v>
          </cell>
          <cell r="G2794">
            <v>1</v>
          </cell>
          <cell r="H2794">
            <v>400</v>
          </cell>
          <cell r="I2794">
            <v>41651</v>
          </cell>
          <cell r="J2794">
            <v>0</v>
          </cell>
          <cell r="W2794">
            <v>0</v>
          </cell>
          <cell r="AJ2794">
            <v>0</v>
          </cell>
          <cell r="AK2794">
            <v>400</v>
          </cell>
          <cell r="AW2794">
            <v>400</v>
          </cell>
        </row>
        <row r="2795">
          <cell r="B2795">
            <v>6305</v>
          </cell>
          <cell r="C2795" t="str">
            <v>CL_131_</v>
          </cell>
          <cell r="D2795" t="str">
            <v>Rancho La Cuchilla No. 131</v>
          </cell>
          <cell r="E2795" t="str">
            <v>Cabrera Marquez</v>
          </cell>
          <cell r="F2795">
            <v>300</v>
          </cell>
          <cell r="G2795">
            <v>1</v>
          </cell>
          <cell r="H2795">
            <v>400</v>
          </cell>
          <cell r="I2795">
            <v>41651</v>
          </cell>
          <cell r="J2795">
            <v>0</v>
          </cell>
          <cell r="W2795">
            <v>0</v>
          </cell>
          <cell r="AJ2795">
            <v>0</v>
          </cell>
          <cell r="AK2795">
            <v>400</v>
          </cell>
          <cell r="AW2795">
            <v>400</v>
          </cell>
        </row>
        <row r="2796">
          <cell r="B2796">
            <v>6306</v>
          </cell>
          <cell r="C2796" t="str">
            <v>CL_14_</v>
          </cell>
          <cell r="D2796" t="str">
            <v>Rancho La Cuchilla No. 14</v>
          </cell>
          <cell r="E2796" t="str">
            <v>Chávez Lara</v>
          </cell>
          <cell r="F2796">
            <v>300</v>
          </cell>
          <cell r="G2796">
            <v>1</v>
          </cell>
          <cell r="H2796">
            <v>400</v>
          </cell>
          <cell r="I2796">
            <v>41651</v>
          </cell>
          <cell r="J2796">
            <v>0</v>
          </cell>
          <cell r="W2796">
            <v>0</v>
          </cell>
          <cell r="AJ2796">
            <v>0</v>
          </cell>
          <cell r="AK2796">
            <v>400</v>
          </cell>
          <cell r="AW2796">
            <v>400</v>
          </cell>
        </row>
        <row r="2797">
          <cell r="B2797">
            <v>6307</v>
          </cell>
          <cell r="C2797" t="str">
            <v>UP_100_</v>
          </cell>
          <cell r="D2797" t="str">
            <v>Rancho Upácuaro No. 100</v>
          </cell>
          <cell r="E2797" t="str">
            <v>Mancera Rodríguez</v>
          </cell>
          <cell r="F2797">
            <v>300</v>
          </cell>
          <cell r="G2797">
            <v>1</v>
          </cell>
          <cell r="H2797">
            <v>400</v>
          </cell>
          <cell r="I2797">
            <v>41651</v>
          </cell>
          <cell r="J2797">
            <v>0</v>
          </cell>
          <cell r="W2797">
            <v>0</v>
          </cell>
          <cell r="AJ2797">
            <v>0</v>
          </cell>
          <cell r="AK2797">
            <v>400</v>
          </cell>
          <cell r="AW2797">
            <v>400</v>
          </cell>
        </row>
        <row r="2798">
          <cell r="B2798">
            <v>6308</v>
          </cell>
          <cell r="C2798" t="str">
            <v>EZ_47_</v>
          </cell>
          <cell r="D2798" t="str">
            <v>Rancho Estanzuela No. 47</v>
          </cell>
          <cell r="E2798" t="str">
            <v>Bussey García</v>
          </cell>
          <cell r="F2798">
            <v>300</v>
          </cell>
          <cell r="G2798">
            <v>1</v>
          </cell>
          <cell r="H2798">
            <v>400</v>
          </cell>
          <cell r="I2798">
            <v>41651</v>
          </cell>
          <cell r="J2798">
            <v>0</v>
          </cell>
          <cell r="W2798">
            <v>0</v>
          </cell>
          <cell r="AJ2798">
            <v>0</v>
          </cell>
          <cell r="AK2798">
            <v>400</v>
          </cell>
          <cell r="AW2798">
            <v>400</v>
          </cell>
        </row>
        <row r="2799">
          <cell r="B2799">
            <v>6309</v>
          </cell>
          <cell r="C2799" t="str">
            <v>CL_40_</v>
          </cell>
          <cell r="D2799" t="str">
            <v>Rancho La Cuchilla No. 40</v>
          </cell>
          <cell r="E2799" t="str">
            <v>López Pico</v>
          </cell>
          <cell r="F2799">
            <v>300</v>
          </cell>
          <cell r="G2799">
            <v>1</v>
          </cell>
          <cell r="H2799">
            <v>400</v>
          </cell>
          <cell r="I2799">
            <v>41651</v>
          </cell>
          <cell r="J2799">
            <v>0</v>
          </cell>
          <cell r="W2799">
            <v>0</v>
          </cell>
          <cell r="AJ2799">
            <v>0</v>
          </cell>
          <cell r="AK2799">
            <v>400</v>
          </cell>
          <cell r="AW2799">
            <v>400</v>
          </cell>
        </row>
        <row r="2800">
          <cell r="B2800">
            <v>6310</v>
          </cell>
          <cell r="C2800" t="str">
            <v>ZB_38_</v>
          </cell>
          <cell r="D2800" t="str">
            <v>Rancho Zinamba No. 38</v>
          </cell>
          <cell r="E2800" t="str">
            <v>Ramírez Díaz</v>
          </cell>
          <cell r="F2800">
            <v>300</v>
          </cell>
          <cell r="G2800">
            <v>1</v>
          </cell>
          <cell r="H2800">
            <v>400</v>
          </cell>
          <cell r="I2800">
            <v>41651</v>
          </cell>
          <cell r="J2800">
            <v>0</v>
          </cell>
          <cell r="W2800">
            <v>0</v>
          </cell>
          <cell r="AJ2800">
            <v>0</v>
          </cell>
          <cell r="AK2800">
            <v>400</v>
          </cell>
          <cell r="AW2800">
            <v>400</v>
          </cell>
        </row>
        <row r="2801">
          <cell r="B2801">
            <v>6311</v>
          </cell>
          <cell r="C2801" t="str">
            <v>CL_121_</v>
          </cell>
          <cell r="D2801" t="str">
            <v>Rancho La Cuchilla No. 121</v>
          </cell>
          <cell r="E2801" t="str">
            <v>Ramírez Márquez</v>
          </cell>
          <cell r="F2801">
            <v>300</v>
          </cell>
          <cell r="G2801">
            <v>1</v>
          </cell>
          <cell r="H2801">
            <v>1200</v>
          </cell>
          <cell r="I2801">
            <v>41651</v>
          </cell>
          <cell r="J2801">
            <v>0</v>
          </cell>
          <cell r="W2801">
            <v>0</v>
          </cell>
          <cell r="AJ2801">
            <v>0</v>
          </cell>
          <cell r="AK2801">
            <v>400</v>
          </cell>
          <cell r="AL2801">
            <v>400</v>
          </cell>
          <cell r="AM2801">
            <v>400</v>
          </cell>
          <cell r="AW2801">
            <v>1200</v>
          </cell>
        </row>
        <row r="2802">
          <cell r="B2802">
            <v>6312</v>
          </cell>
          <cell r="C2802" t="str">
            <v>EZ_35_</v>
          </cell>
          <cell r="D2802" t="str">
            <v>Rancho Estanzuela No. 35</v>
          </cell>
          <cell r="E2802" t="str">
            <v>Rodríguez</v>
          </cell>
          <cell r="F2802">
            <v>300</v>
          </cell>
          <cell r="G2802">
            <v>1</v>
          </cell>
          <cell r="H2802">
            <v>400</v>
          </cell>
          <cell r="I2802">
            <v>41651</v>
          </cell>
          <cell r="J2802">
            <v>0</v>
          </cell>
          <cell r="W2802">
            <v>0</v>
          </cell>
          <cell r="AJ2802">
            <v>0</v>
          </cell>
          <cell r="AK2802">
            <v>400</v>
          </cell>
          <cell r="AW2802">
            <v>400</v>
          </cell>
        </row>
        <row r="2803">
          <cell r="B2803">
            <v>6313</v>
          </cell>
          <cell r="C2803" t="str">
            <v>CL_141_</v>
          </cell>
          <cell r="D2803" t="str">
            <v>Rancho La Cuchilla No. 141</v>
          </cell>
          <cell r="E2803" t="str">
            <v>Salazar Torres</v>
          </cell>
          <cell r="F2803">
            <v>300</v>
          </cell>
          <cell r="G2803">
            <v>1</v>
          </cell>
          <cell r="H2803">
            <v>4400</v>
          </cell>
          <cell r="I2803">
            <v>41651</v>
          </cell>
          <cell r="J2803">
            <v>0</v>
          </cell>
          <cell r="W2803">
            <v>0</v>
          </cell>
          <cell r="AJ2803">
            <v>0</v>
          </cell>
          <cell r="AK2803">
            <v>400</v>
          </cell>
          <cell r="AL2803">
            <v>400</v>
          </cell>
          <cell r="AM2803">
            <v>400</v>
          </cell>
          <cell r="AN2803">
            <v>400</v>
          </cell>
          <cell r="AO2803">
            <v>400</v>
          </cell>
          <cell r="AP2803">
            <v>400</v>
          </cell>
          <cell r="AQ2803">
            <v>400</v>
          </cell>
          <cell r="AR2803">
            <v>400</v>
          </cell>
          <cell r="AS2803">
            <v>400</v>
          </cell>
          <cell r="AT2803">
            <v>400</v>
          </cell>
          <cell r="AU2803">
            <v>400</v>
          </cell>
          <cell r="AW2803">
            <v>4400</v>
          </cell>
        </row>
        <row r="2804">
          <cell r="B2804">
            <v>6314</v>
          </cell>
          <cell r="C2804" t="str">
            <v>UP_21_</v>
          </cell>
          <cell r="D2804" t="str">
            <v>Rancho Upácuaro No. 21</v>
          </cell>
          <cell r="E2804" t="str">
            <v>Fierro Betancourt</v>
          </cell>
          <cell r="F2804">
            <v>150</v>
          </cell>
          <cell r="G2804">
            <v>1</v>
          </cell>
          <cell r="H2804">
            <v>200</v>
          </cell>
          <cell r="I2804">
            <v>41651</v>
          </cell>
          <cell r="J2804">
            <v>0</v>
          </cell>
          <cell r="W2804">
            <v>0</v>
          </cell>
          <cell r="AJ2804">
            <v>0</v>
          </cell>
          <cell r="AK2804">
            <v>200</v>
          </cell>
          <cell r="AW2804">
            <v>200</v>
          </cell>
        </row>
        <row r="2805">
          <cell r="B2805">
            <v>6315</v>
          </cell>
          <cell r="C2805" t="str">
            <v>LD_24_</v>
          </cell>
          <cell r="D2805" t="str">
            <v>Rancho Landero No. 24</v>
          </cell>
          <cell r="E2805" t="str">
            <v>Vázquez Peralta</v>
          </cell>
          <cell r="F2805">
            <v>300</v>
          </cell>
          <cell r="G2805">
            <v>1</v>
          </cell>
          <cell r="H2805">
            <v>800</v>
          </cell>
          <cell r="I2805">
            <v>41651</v>
          </cell>
          <cell r="J2805">
            <v>0</v>
          </cell>
          <cell r="W2805">
            <v>0</v>
          </cell>
          <cell r="AH2805">
            <v>400</v>
          </cell>
          <cell r="AI2805">
            <v>400</v>
          </cell>
          <cell r="AJ2805">
            <v>800</v>
          </cell>
          <cell r="AW2805">
            <v>0</v>
          </cell>
        </row>
        <row r="2806">
          <cell r="B2806">
            <v>6316</v>
          </cell>
          <cell r="C2806" t="str">
            <v>UP_87_</v>
          </cell>
          <cell r="D2806" t="str">
            <v>Rancho Upácuaro No. 87</v>
          </cell>
          <cell r="E2806" t="str">
            <v>Rodríguez Parés</v>
          </cell>
          <cell r="F2806">
            <v>300</v>
          </cell>
          <cell r="G2806">
            <v>1</v>
          </cell>
          <cell r="H2806">
            <v>400</v>
          </cell>
          <cell r="I2806">
            <v>41651</v>
          </cell>
          <cell r="J2806">
            <v>0</v>
          </cell>
          <cell r="W2806">
            <v>0</v>
          </cell>
          <cell r="AJ2806">
            <v>0</v>
          </cell>
          <cell r="AK2806">
            <v>400</v>
          </cell>
          <cell r="AW2806">
            <v>400</v>
          </cell>
        </row>
        <row r="2807">
          <cell r="B2807">
            <v>6317</v>
          </cell>
          <cell r="C2807" t="str">
            <v>CL_132_</v>
          </cell>
          <cell r="D2807" t="str">
            <v>Rancho La Cuchilla No. 132</v>
          </cell>
          <cell r="E2807" t="str">
            <v>Téllez Girón</v>
          </cell>
          <cell r="F2807">
            <v>300</v>
          </cell>
          <cell r="G2807">
            <v>1</v>
          </cell>
          <cell r="H2807">
            <v>300</v>
          </cell>
          <cell r="I2807">
            <v>41651</v>
          </cell>
          <cell r="J2807">
            <v>0</v>
          </cell>
          <cell r="W2807">
            <v>0</v>
          </cell>
          <cell r="AJ2807">
            <v>0</v>
          </cell>
          <cell r="AK2807">
            <v>300</v>
          </cell>
          <cell r="AW2807">
            <v>300</v>
          </cell>
        </row>
        <row r="2808">
          <cell r="B2808">
            <v>6318</v>
          </cell>
          <cell r="C2808" t="str">
            <v>CL_19_</v>
          </cell>
          <cell r="D2808" t="str">
            <v>Rancho La Cuchilla No. 19</v>
          </cell>
          <cell r="E2808" t="str">
            <v>Tapia Vázquez</v>
          </cell>
          <cell r="F2808">
            <v>300</v>
          </cell>
          <cell r="G2808">
            <v>1</v>
          </cell>
          <cell r="H2808">
            <v>300</v>
          </cell>
          <cell r="I2808">
            <v>41651</v>
          </cell>
          <cell r="J2808">
            <v>0</v>
          </cell>
          <cell r="W2808">
            <v>0</v>
          </cell>
          <cell r="AJ2808">
            <v>0</v>
          </cell>
          <cell r="AK2808">
            <v>300</v>
          </cell>
          <cell r="AW2808">
            <v>300</v>
          </cell>
        </row>
        <row r="2809">
          <cell r="B2809">
            <v>6319</v>
          </cell>
          <cell r="C2809" t="str">
            <v>RV_195_</v>
          </cell>
          <cell r="D2809" t="str">
            <v>Rancho Recoveco No. 195</v>
          </cell>
          <cell r="E2809" t="str">
            <v>Sandoval</v>
          </cell>
          <cell r="F2809">
            <v>300</v>
          </cell>
          <cell r="G2809">
            <v>1</v>
          </cell>
          <cell r="H2809">
            <v>800</v>
          </cell>
          <cell r="I2809">
            <v>41651</v>
          </cell>
          <cell r="J2809">
            <v>0</v>
          </cell>
          <cell r="W2809">
            <v>0</v>
          </cell>
          <cell r="AI2809">
            <v>400</v>
          </cell>
          <cell r="AJ2809">
            <v>400</v>
          </cell>
          <cell r="AK2809">
            <v>400</v>
          </cell>
          <cell r="AW2809">
            <v>400</v>
          </cell>
        </row>
        <row r="2810">
          <cell r="B2810">
            <v>6320</v>
          </cell>
          <cell r="C2810" t="str">
            <v>EZ_159_</v>
          </cell>
          <cell r="D2810" t="str">
            <v>Rancho Estanzuela No. 159</v>
          </cell>
          <cell r="E2810" t="str">
            <v>Reyes Núñez</v>
          </cell>
          <cell r="F2810">
            <v>250</v>
          </cell>
          <cell r="G2810">
            <v>1</v>
          </cell>
          <cell r="H2810">
            <v>600</v>
          </cell>
          <cell r="I2810">
            <v>41651</v>
          </cell>
          <cell r="J2810">
            <v>0</v>
          </cell>
          <cell r="W2810">
            <v>0</v>
          </cell>
          <cell r="AI2810">
            <v>300</v>
          </cell>
          <cell r="AJ2810">
            <v>300</v>
          </cell>
          <cell r="AK2810">
            <v>300</v>
          </cell>
          <cell r="AW2810">
            <v>300</v>
          </cell>
        </row>
        <row r="2811">
          <cell r="B2811">
            <v>6321</v>
          </cell>
          <cell r="C2811" t="str">
            <v>LD_20_</v>
          </cell>
          <cell r="D2811" t="str">
            <v>Rancho Landero No. 20</v>
          </cell>
          <cell r="E2811" t="str">
            <v>Velasco</v>
          </cell>
          <cell r="F2811">
            <v>300</v>
          </cell>
          <cell r="G2811">
            <v>1</v>
          </cell>
          <cell r="H2811">
            <v>900</v>
          </cell>
          <cell r="I2811">
            <v>41651</v>
          </cell>
          <cell r="J2811">
            <v>0</v>
          </cell>
          <cell r="W2811">
            <v>0</v>
          </cell>
          <cell r="AH2811">
            <v>300</v>
          </cell>
          <cell r="AI2811">
            <v>300</v>
          </cell>
          <cell r="AJ2811">
            <v>600</v>
          </cell>
          <cell r="AK2811">
            <v>300</v>
          </cell>
          <cell r="AW2811">
            <v>300</v>
          </cell>
        </row>
        <row r="2812">
          <cell r="B2812">
            <v>6322</v>
          </cell>
          <cell r="C2812" t="str">
            <v>EZ_115_</v>
          </cell>
          <cell r="D2812" t="str">
            <v>Rancho Estanzuela No. 115</v>
          </cell>
          <cell r="E2812" t="str">
            <v>Frías Solórzano</v>
          </cell>
          <cell r="F2812">
            <v>200</v>
          </cell>
          <cell r="G2812">
            <v>1</v>
          </cell>
          <cell r="H2812">
            <v>250</v>
          </cell>
          <cell r="I2812">
            <v>41651</v>
          </cell>
          <cell r="J2812">
            <v>0</v>
          </cell>
          <cell r="W2812">
            <v>0</v>
          </cell>
          <cell r="AJ2812">
            <v>0</v>
          </cell>
          <cell r="AK2812">
            <v>250</v>
          </cell>
          <cell r="AW2812">
            <v>250</v>
          </cell>
        </row>
        <row r="2813">
          <cell r="B2813">
            <v>6323</v>
          </cell>
          <cell r="C2813" t="str">
            <v>EZ_65_</v>
          </cell>
          <cell r="D2813" t="str">
            <v>Rancho Estanzuela No. 65</v>
          </cell>
          <cell r="E2813" t="str">
            <v>López Becerril</v>
          </cell>
          <cell r="F2813">
            <v>300</v>
          </cell>
          <cell r="G2813">
            <v>1</v>
          </cell>
          <cell r="H2813">
            <v>400</v>
          </cell>
          <cell r="I2813">
            <v>41651</v>
          </cell>
          <cell r="J2813">
            <v>0</v>
          </cell>
          <cell r="W2813">
            <v>0</v>
          </cell>
          <cell r="AJ2813">
            <v>0</v>
          </cell>
          <cell r="AK2813">
            <v>400</v>
          </cell>
          <cell r="AW2813">
            <v>400</v>
          </cell>
        </row>
        <row r="2814">
          <cell r="B2814">
            <v>6324</v>
          </cell>
          <cell r="C2814" t="str">
            <v>CL_129_</v>
          </cell>
          <cell r="D2814" t="str">
            <v>Rancho La Cuchilla No. 129</v>
          </cell>
          <cell r="E2814" t="str">
            <v>Gamboa Rueda</v>
          </cell>
          <cell r="F2814">
            <v>200</v>
          </cell>
          <cell r="G2814">
            <v>1</v>
          </cell>
          <cell r="H2814">
            <v>300</v>
          </cell>
          <cell r="I2814">
            <v>41651</v>
          </cell>
          <cell r="J2814">
            <v>0</v>
          </cell>
          <cell r="W2814">
            <v>0</v>
          </cell>
          <cell r="AJ2814">
            <v>0</v>
          </cell>
          <cell r="AK2814">
            <v>300</v>
          </cell>
          <cell r="AW2814">
            <v>300</v>
          </cell>
        </row>
        <row r="2815">
          <cell r="B2815">
            <v>6325</v>
          </cell>
          <cell r="C2815" t="str">
            <v>RM_17_</v>
          </cell>
          <cell r="D2815" t="str">
            <v>Rancho Romeral No. 17</v>
          </cell>
          <cell r="E2815" t="str">
            <v>Aguilar Lomelí</v>
          </cell>
          <cell r="F2815">
            <v>300</v>
          </cell>
          <cell r="G2815">
            <v>1</v>
          </cell>
          <cell r="H2815">
            <v>400</v>
          </cell>
          <cell r="I2815">
            <v>41651</v>
          </cell>
          <cell r="J2815">
            <v>0</v>
          </cell>
          <cell r="W2815">
            <v>0</v>
          </cell>
          <cell r="AJ2815">
            <v>0</v>
          </cell>
          <cell r="AK2815">
            <v>400</v>
          </cell>
          <cell r="AW2815">
            <v>400</v>
          </cell>
        </row>
        <row r="2816">
          <cell r="B2816">
            <v>6326</v>
          </cell>
          <cell r="C2816" t="str">
            <v>LD_7_</v>
          </cell>
          <cell r="D2816" t="str">
            <v>Rancho Landero No. 7</v>
          </cell>
          <cell r="E2816" t="str">
            <v>Robles</v>
          </cell>
          <cell r="F2816">
            <v>150</v>
          </cell>
          <cell r="G2816">
            <v>1</v>
          </cell>
          <cell r="H2816">
            <v>150</v>
          </cell>
          <cell r="I2816">
            <v>41651</v>
          </cell>
          <cell r="J2816">
            <v>0</v>
          </cell>
          <cell r="W2816">
            <v>0</v>
          </cell>
          <cell r="AJ2816">
            <v>0</v>
          </cell>
          <cell r="AK2816">
            <v>150</v>
          </cell>
          <cell r="AW2816">
            <v>150</v>
          </cell>
        </row>
        <row r="2817">
          <cell r="B2817">
            <v>6327</v>
          </cell>
          <cell r="C2817" t="str">
            <v>EZ_119_1</v>
          </cell>
          <cell r="D2817" t="str">
            <v>Rancho Estanzuela No. 119</v>
          </cell>
          <cell r="E2817" t="str">
            <v>López Tovar</v>
          </cell>
          <cell r="F2817">
            <v>300</v>
          </cell>
          <cell r="G2817">
            <v>3</v>
          </cell>
          <cell r="H2817">
            <v>160</v>
          </cell>
          <cell r="I2817">
            <v>41651</v>
          </cell>
          <cell r="J2817" t="str">
            <v>NO SUMA</v>
          </cell>
          <cell r="W2817">
            <v>0</v>
          </cell>
          <cell r="AJ2817">
            <v>0</v>
          </cell>
          <cell r="AW2817">
            <v>0</v>
          </cell>
        </row>
        <row r="2818">
          <cell r="B2818">
            <v>6328</v>
          </cell>
          <cell r="C2818" t="str">
            <v>UP_63_</v>
          </cell>
          <cell r="D2818" t="str">
            <v>Rancho Upácuaro No. 63</v>
          </cell>
          <cell r="E2818" t="str">
            <v>González Benavides</v>
          </cell>
          <cell r="F2818">
            <v>300</v>
          </cell>
          <cell r="G2818">
            <v>1</v>
          </cell>
          <cell r="H2818">
            <v>800</v>
          </cell>
          <cell r="I2818">
            <v>41651</v>
          </cell>
          <cell r="J2818">
            <v>0</v>
          </cell>
          <cell r="W2818">
            <v>0</v>
          </cell>
          <cell r="AJ2818">
            <v>0</v>
          </cell>
          <cell r="AK2818">
            <v>400</v>
          </cell>
          <cell r="AL2818">
            <v>400</v>
          </cell>
          <cell r="AW2818">
            <v>800</v>
          </cell>
        </row>
        <row r="2819">
          <cell r="B2819">
            <v>6329</v>
          </cell>
          <cell r="C2819" t="str">
            <v>LD_87_</v>
          </cell>
          <cell r="D2819" t="str">
            <v>Rancho Landero No. 87</v>
          </cell>
          <cell r="E2819" t="str">
            <v>Fey Lafferla</v>
          </cell>
          <cell r="F2819">
            <v>300</v>
          </cell>
          <cell r="G2819">
            <v>1</v>
          </cell>
          <cell r="H2819">
            <v>150</v>
          </cell>
          <cell r="I2819">
            <v>41651</v>
          </cell>
          <cell r="J2819">
            <v>0</v>
          </cell>
          <cell r="W2819">
            <v>0</v>
          </cell>
          <cell r="AJ2819">
            <v>0</v>
          </cell>
          <cell r="AK2819">
            <v>150</v>
          </cell>
          <cell r="AW2819">
            <v>150</v>
          </cell>
        </row>
        <row r="2820">
          <cell r="B2820">
            <v>6330</v>
          </cell>
          <cell r="C2820" t="str">
            <v>Cl_110_</v>
          </cell>
          <cell r="D2820" t="str">
            <v>Rancho La Cuchilla No. 110</v>
          </cell>
          <cell r="E2820" t="str">
            <v>Domínguez Canudas</v>
          </cell>
          <cell r="F2820">
            <v>300</v>
          </cell>
          <cell r="G2820">
            <v>1</v>
          </cell>
          <cell r="H2820">
            <v>400</v>
          </cell>
          <cell r="I2820">
            <v>41651</v>
          </cell>
          <cell r="J2820">
            <v>0</v>
          </cell>
          <cell r="W2820">
            <v>0</v>
          </cell>
          <cell r="AJ2820">
            <v>0</v>
          </cell>
          <cell r="AK2820">
            <v>400</v>
          </cell>
          <cell r="AW2820">
            <v>400</v>
          </cell>
        </row>
        <row r="2821">
          <cell r="B2821">
            <v>6331</v>
          </cell>
          <cell r="C2821" t="str">
            <v>LD_89_</v>
          </cell>
          <cell r="D2821" t="str">
            <v>Rancho Landero No. 89</v>
          </cell>
          <cell r="E2821" t="str">
            <v>Del Pozo Solís</v>
          </cell>
          <cell r="F2821">
            <v>300</v>
          </cell>
          <cell r="G2821">
            <v>3</v>
          </cell>
          <cell r="H2821">
            <v>160</v>
          </cell>
          <cell r="I2821">
            <v>41651</v>
          </cell>
          <cell r="J2821" t="str">
            <v>NO SUMA</v>
          </cell>
          <cell r="W2821">
            <v>0</v>
          </cell>
          <cell r="AJ2821">
            <v>0</v>
          </cell>
          <cell r="AW2821">
            <v>0</v>
          </cell>
        </row>
        <row r="2822">
          <cell r="B2822">
            <v>6332</v>
          </cell>
          <cell r="C2822" t="str">
            <v>LD_99_</v>
          </cell>
          <cell r="D2822" t="str">
            <v>Rancho Landero No. 99</v>
          </cell>
          <cell r="E2822" t="str">
            <v>Rangel</v>
          </cell>
          <cell r="F2822">
            <v>300</v>
          </cell>
          <cell r="G2822">
            <v>1</v>
          </cell>
          <cell r="H2822">
            <v>300</v>
          </cell>
          <cell r="I2822">
            <v>41651</v>
          </cell>
          <cell r="J2822">
            <v>0</v>
          </cell>
          <cell r="W2822">
            <v>0</v>
          </cell>
          <cell r="AJ2822">
            <v>0</v>
          </cell>
          <cell r="AK2822">
            <v>300</v>
          </cell>
          <cell r="AW2822">
            <v>300</v>
          </cell>
        </row>
        <row r="2823">
          <cell r="B2823">
            <v>6333</v>
          </cell>
          <cell r="C2823" t="str">
            <v>UP_75_</v>
          </cell>
          <cell r="D2823" t="str">
            <v>Rancho Upácuaro No. 75</v>
          </cell>
          <cell r="E2823" t="str">
            <v>Montaño Zetina</v>
          </cell>
          <cell r="F2823">
            <v>250</v>
          </cell>
          <cell r="G2823">
            <v>1</v>
          </cell>
          <cell r="H2823">
            <v>1500</v>
          </cell>
          <cell r="I2823">
            <v>41651</v>
          </cell>
          <cell r="J2823">
            <v>0</v>
          </cell>
          <cell r="W2823">
            <v>0</v>
          </cell>
          <cell r="AD2823">
            <v>250</v>
          </cell>
          <cell r="AE2823">
            <v>250</v>
          </cell>
          <cell r="AF2823">
            <v>250</v>
          </cell>
          <cell r="AG2823">
            <v>250</v>
          </cell>
          <cell r="AH2823">
            <v>250</v>
          </cell>
          <cell r="AI2823">
            <v>250</v>
          </cell>
          <cell r="AJ2823">
            <v>1500</v>
          </cell>
          <cell r="AW2823">
            <v>0</v>
          </cell>
        </row>
        <row r="2824">
          <cell r="B2824">
            <v>6334</v>
          </cell>
          <cell r="C2824" t="str">
            <v>UP_19_</v>
          </cell>
          <cell r="D2824" t="str">
            <v>Rancho Upácuaro No. 19</v>
          </cell>
          <cell r="E2824" t="str">
            <v>Peña Inclán</v>
          </cell>
          <cell r="F2824">
            <v>200</v>
          </cell>
          <cell r="G2824">
            <v>1</v>
          </cell>
          <cell r="H2824">
            <v>300</v>
          </cell>
          <cell r="I2824">
            <v>41651</v>
          </cell>
          <cell r="J2824">
            <v>0</v>
          </cell>
          <cell r="W2824">
            <v>0</v>
          </cell>
          <cell r="AJ2824">
            <v>0</v>
          </cell>
          <cell r="AK2824">
            <v>300</v>
          </cell>
          <cell r="AW2824">
            <v>300</v>
          </cell>
        </row>
        <row r="2825">
          <cell r="B2825">
            <v>6335</v>
          </cell>
          <cell r="C2825" t="str">
            <v>CL_28_</v>
          </cell>
          <cell r="D2825" t="str">
            <v>Rancho La Cuchilla No. 28</v>
          </cell>
          <cell r="E2825" t="str">
            <v>Prado de los S.</v>
          </cell>
          <cell r="F2825">
            <v>300</v>
          </cell>
          <cell r="G2825">
            <v>1</v>
          </cell>
          <cell r="H2825">
            <v>4400</v>
          </cell>
          <cell r="I2825">
            <v>41651</v>
          </cell>
          <cell r="J2825">
            <v>0</v>
          </cell>
          <cell r="W2825">
            <v>0</v>
          </cell>
          <cell r="AJ2825">
            <v>0</v>
          </cell>
          <cell r="AK2825">
            <v>400</v>
          </cell>
          <cell r="AL2825">
            <v>400</v>
          </cell>
          <cell r="AM2825">
            <v>400</v>
          </cell>
          <cell r="AN2825">
            <v>400</v>
          </cell>
          <cell r="AO2825">
            <v>400</v>
          </cell>
          <cell r="AP2825">
            <v>400</v>
          </cell>
          <cell r="AQ2825">
            <v>400</v>
          </cell>
          <cell r="AR2825">
            <v>400</v>
          </cell>
          <cell r="AS2825">
            <v>400</v>
          </cell>
          <cell r="AT2825">
            <v>400</v>
          </cell>
          <cell r="AU2825">
            <v>400</v>
          </cell>
          <cell r="AW2825">
            <v>4400</v>
          </cell>
        </row>
        <row r="2826">
          <cell r="B2826">
            <v>6336</v>
          </cell>
          <cell r="C2826" t="str">
            <v>LD_89_</v>
          </cell>
          <cell r="D2826" t="str">
            <v>Rancho Landero No. 89</v>
          </cell>
          <cell r="E2826" t="str">
            <v>Del Pozo Solís</v>
          </cell>
          <cell r="F2826">
            <v>300</v>
          </cell>
          <cell r="G2826">
            <v>1</v>
          </cell>
          <cell r="H2826">
            <v>300</v>
          </cell>
          <cell r="I2826">
            <v>41651</v>
          </cell>
          <cell r="J2826">
            <v>0</v>
          </cell>
          <cell r="W2826">
            <v>0</v>
          </cell>
          <cell r="AJ2826">
            <v>0</v>
          </cell>
          <cell r="AK2826">
            <v>300</v>
          </cell>
          <cell r="AW2826">
            <v>300</v>
          </cell>
        </row>
        <row r="2827">
          <cell r="B2827">
            <v>6337</v>
          </cell>
          <cell r="C2827" t="str">
            <v>UP_73_B</v>
          </cell>
          <cell r="D2827" t="str">
            <v>Rancho Upácuaro No. 73, B</v>
          </cell>
          <cell r="E2827" t="str">
            <v>Chávez</v>
          </cell>
          <cell r="F2827">
            <v>200</v>
          </cell>
          <cell r="G2827">
            <v>1</v>
          </cell>
          <cell r="H2827">
            <v>800</v>
          </cell>
          <cell r="I2827">
            <v>41651</v>
          </cell>
          <cell r="J2827">
            <v>0</v>
          </cell>
          <cell r="W2827">
            <v>0</v>
          </cell>
          <cell r="AG2827">
            <v>200</v>
          </cell>
          <cell r="AH2827">
            <v>200</v>
          </cell>
          <cell r="AI2827">
            <v>200</v>
          </cell>
          <cell r="AJ2827">
            <v>600</v>
          </cell>
          <cell r="AK2827">
            <v>200</v>
          </cell>
          <cell r="AW2827">
            <v>200</v>
          </cell>
        </row>
        <row r="2828">
          <cell r="B2828">
            <v>6338</v>
          </cell>
          <cell r="C2828" t="str">
            <v>CL_54_</v>
          </cell>
          <cell r="D2828" t="str">
            <v>Rancho La Cuchilla No. 54</v>
          </cell>
          <cell r="E2828" t="str">
            <v>Mendoza León</v>
          </cell>
          <cell r="F2828">
            <v>300</v>
          </cell>
          <cell r="G2828">
            <v>1</v>
          </cell>
          <cell r="H2828">
            <v>800</v>
          </cell>
          <cell r="I2828">
            <v>41651</v>
          </cell>
          <cell r="J2828">
            <v>0</v>
          </cell>
          <cell r="W2828">
            <v>0</v>
          </cell>
          <cell r="AJ2828">
            <v>0</v>
          </cell>
          <cell r="AK2828">
            <v>400</v>
          </cell>
          <cell r="AL2828">
            <v>400</v>
          </cell>
          <cell r="AW2828">
            <v>800</v>
          </cell>
        </row>
        <row r="2829">
          <cell r="B2829">
            <v>6339</v>
          </cell>
          <cell r="C2829" t="str">
            <v>EZ_143_B</v>
          </cell>
          <cell r="D2829" t="str">
            <v>Rancho Estanzuela No. 143, B</v>
          </cell>
          <cell r="E2829" t="str">
            <v>López</v>
          </cell>
          <cell r="F2829">
            <v>300</v>
          </cell>
          <cell r="G2829">
            <v>4</v>
          </cell>
          <cell r="H2829">
            <v>160</v>
          </cell>
          <cell r="I2829">
            <v>41651</v>
          </cell>
          <cell r="J2829" t="str">
            <v>NO SUMA</v>
          </cell>
          <cell r="W2829">
            <v>0</v>
          </cell>
          <cell r="AJ2829">
            <v>0</v>
          </cell>
          <cell r="AW2829">
            <v>0</v>
          </cell>
        </row>
        <row r="2830">
          <cell r="B2830">
            <v>6340</v>
          </cell>
          <cell r="C2830" t="str">
            <v>UP_130_</v>
          </cell>
          <cell r="D2830" t="str">
            <v>Rancho Upácuaro No. 130</v>
          </cell>
          <cell r="E2830" t="str">
            <v>Rodríguez Álvarez</v>
          </cell>
          <cell r="F2830">
            <v>150</v>
          </cell>
          <cell r="G2830">
            <v>1</v>
          </cell>
          <cell r="H2830">
            <v>200</v>
          </cell>
          <cell r="I2830">
            <v>41651</v>
          </cell>
          <cell r="J2830">
            <v>0</v>
          </cell>
          <cell r="W2830">
            <v>0</v>
          </cell>
          <cell r="AI2830">
            <v>200</v>
          </cell>
          <cell r="AJ2830">
            <v>200</v>
          </cell>
          <cell r="AW2830">
            <v>0</v>
          </cell>
        </row>
        <row r="2831">
          <cell r="B2831">
            <v>6341</v>
          </cell>
          <cell r="C2831" t="str">
            <v>ZB_50_</v>
          </cell>
          <cell r="D2831" t="str">
            <v>Rancho Zinamba No. 50</v>
          </cell>
          <cell r="E2831" t="str">
            <v>Del Castillo</v>
          </cell>
          <cell r="F2831">
            <v>300</v>
          </cell>
          <cell r="G2831">
            <v>1</v>
          </cell>
          <cell r="H2831">
            <v>400</v>
          </cell>
          <cell r="I2831">
            <v>41651</v>
          </cell>
          <cell r="J2831">
            <v>0</v>
          </cell>
          <cell r="W2831">
            <v>0</v>
          </cell>
          <cell r="AI2831">
            <v>400</v>
          </cell>
          <cell r="AJ2831">
            <v>400</v>
          </cell>
          <cell r="AW2831">
            <v>0</v>
          </cell>
        </row>
        <row r="2832">
          <cell r="B2832">
            <v>6342</v>
          </cell>
          <cell r="C2832" t="str">
            <v>EZ_69_</v>
          </cell>
          <cell r="D2832" t="str">
            <v>Rancho Estanzuela No. 69</v>
          </cell>
          <cell r="E2832" t="str">
            <v>Apaez</v>
          </cell>
          <cell r="F2832">
            <v>300</v>
          </cell>
          <cell r="G2832">
            <v>1</v>
          </cell>
          <cell r="H2832">
            <v>400</v>
          </cell>
          <cell r="I2832">
            <v>41651</v>
          </cell>
          <cell r="J2832">
            <v>0</v>
          </cell>
          <cell r="W2832">
            <v>0</v>
          </cell>
          <cell r="AJ2832">
            <v>0</v>
          </cell>
          <cell r="AK2832">
            <v>400</v>
          </cell>
          <cell r="AW2832">
            <v>400</v>
          </cell>
        </row>
        <row r="2833">
          <cell r="B2833">
            <v>6343</v>
          </cell>
          <cell r="C2833" t="str">
            <v>LD_94_</v>
          </cell>
          <cell r="D2833" t="str">
            <v>Rancho Landero No. 94</v>
          </cell>
          <cell r="E2833" t="str">
            <v>Medina</v>
          </cell>
          <cell r="F2833">
            <v>150</v>
          </cell>
          <cell r="G2833">
            <v>1</v>
          </cell>
          <cell r="H2833">
            <v>300</v>
          </cell>
          <cell r="I2833">
            <v>41651</v>
          </cell>
          <cell r="J2833">
            <v>0</v>
          </cell>
          <cell r="W2833">
            <v>0</v>
          </cell>
          <cell r="AJ2833">
            <v>0</v>
          </cell>
          <cell r="AK2833">
            <v>150</v>
          </cell>
          <cell r="AL2833">
            <v>150</v>
          </cell>
          <cell r="AW2833">
            <v>300</v>
          </cell>
        </row>
        <row r="2834">
          <cell r="B2834">
            <v>6344</v>
          </cell>
          <cell r="C2834" t="str">
            <v>LD_94_</v>
          </cell>
          <cell r="D2834" t="str">
            <v>Rancho Landero No. 94</v>
          </cell>
          <cell r="E2834" t="str">
            <v>Medina</v>
          </cell>
          <cell r="F2834">
            <v>150</v>
          </cell>
          <cell r="G2834">
            <v>1</v>
          </cell>
          <cell r="H2834">
            <v>150</v>
          </cell>
          <cell r="I2834">
            <v>41651</v>
          </cell>
          <cell r="J2834">
            <v>0</v>
          </cell>
          <cell r="W2834">
            <v>0</v>
          </cell>
          <cell r="AI2834">
            <v>150</v>
          </cell>
          <cell r="AJ2834">
            <v>150</v>
          </cell>
          <cell r="AW2834">
            <v>0</v>
          </cell>
        </row>
        <row r="2835">
          <cell r="B2835">
            <v>6345</v>
          </cell>
          <cell r="C2835" t="str">
            <v>UP_71_</v>
          </cell>
          <cell r="D2835" t="str">
            <v>Rancho Upácuaro No. 71</v>
          </cell>
          <cell r="E2835" t="str">
            <v>Trejo Méndez</v>
          </cell>
          <cell r="F2835">
            <v>300</v>
          </cell>
          <cell r="G2835">
            <v>1</v>
          </cell>
          <cell r="H2835">
            <v>800</v>
          </cell>
          <cell r="I2835">
            <v>41651</v>
          </cell>
          <cell r="J2835">
            <v>0</v>
          </cell>
          <cell r="W2835">
            <v>0</v>
          </cell>
          <cell r="AI2835">
            <v>400</v>
          </cell>
          <cell r="AJ2835">
            <v>400</v>
          </cell>
          <cell r="AK2835">
            <v>400</v>
          </cell>
          <cell r="AW2835">
            <v>400</v>
          </cell>
        </row>
        <row r="2836">
          <cell r="B2836">
            <v>6346</v>
          </cell>
          <cell r="C2836" t="str">
            <v>EZ_103_A</v>
          </cell>
          <cell r="D2836" t="str">
            <v>Rancho Estanzuela No. 103</v>
          </cell>
          <cell r="E2836" t="str">
            <v>Valencia Aranda</v>
          </cell>
          <cell r="F2836">
            <v>300</v>
          </cell>
          <cell r="G2836">
            <v>1</v>
          </cell>
          <cell r="H2836">
            <v>400</v>
          </cell>
          <cell r="I2836">
            <v>41651</v>
          </cell>
          <cell r="J2836">
            <v>0</v>
          </cell>
          <cell r="W2836">
            <v>0</v>
          </cell>
          <cell r="AJ2836">
            <v>0</v>
          </cell>
          <cell r="AK2836">
            <v>400</v>
          </cell>
          <cell r="AW2836">
            <v>400</v>
          </cell>
        </row>
        <row r="2837">
          <cell r="B2837">
            <v>6347</v>
          </cell>
          <cell r="C2837" t="str">
            <v>CL_120_</v>
          </cell>
          <cell r="D2837" t="str">
            <v>Rancho La Cuchilla No. 120</v>
          </cell>
          <cell r="E2837" t="str">
            <v>Pozos Vilchis</v>
          </cell>
          <cell r="F2837">
            <v>300</v>
          </cell>
          <cell r="G2837">
            <v>1</v>
          </cell>
          <cell r="H2837">
            <v>400</v>
          </cell>
          <cell r="I2837">
            <v>41651</v>
          </cell>
          <cell r="J2837">
            <v>0</v>
          </cell>
          <cell r="W2837">
            <v>0</v>
          </cell>
          <cell r="AJ2837">
            <v>0</v>
          </cell>
          <cell r="AK2837">
            <v>400</v>
          </cell>
          <cell r="AW2837">
            <v>400</v>
          </cell>
        </row>
        <row r="2838">
          <cell r="B2838">
            <v>6348</v>
          </cell>
          <cell r="C2838" t="str">
            <v>LD_94_</v>
          </cell>
          <cell r="D2838" t="str">
            <v>Rancho Landero No. 94</v>
          </cell>
          <cell r="E2838" t="str">
            <v>Medina</v>
          </cell>
          <cell r="F2838">
            <v>150</v>
          </cell>
          <cell r="G2838">
            <v>3</v>
          </cell>
          <cell r="H2838">
            <v>160</v>
          </cell>
          <cell r="I2838">
            <v>41651</v>
          </cell>
          <cell r="J2838" t="str">
            <v>NO SUMA</v>
          </cell>
          <cell r="W2838">
            <v>0</v>
          </cell>
          <cell r="AJ2838">
            <v>0</v>
          </cell>
          <cell r="AW2838">
            <v>0</v>
          </cell>
        </row>
        <row r="2839">
          <cell r="B2839">
            <v>6349</v>
          </cell>
          <cell r="C2839" t="str">
            <v>EZ_71_</v>
          </cell>
          <cell r="D2839" t="str">
            <v>Rancho Estanzuela No. 71</v>
          </cell>
          <cell r="E2839" t="str">
            <v>Soriano</v>
          </cell>
          <cell r="F2839">
            <v>300</v>
          </cell>
          <cell r="G2839">
            <v>3</v>
          </cell>
          <cell r="H2839">
            <v>160</v>
          </cell>
          <cell r="I2839">
            <v>41651</v>
          </cell>
          <cell r="J2839" t="str">
            <v>NO SUMA</v>
          </cell>
          <cell r="W2839">
            <v>0</v>
          </cell>
          <cell r="AJ2839">
            <v>0</v>
          </cell>
          <cell r="AW2839">
            <v>0</v>
          </cell>
        </row>
        <row r="2840">
          <cell r="B2840">
            <v>6350</v>
          </cell>
          <cell r="C2840" t="str">
            <v>CL_149_</v>
          </cell>
          <cell r="D2840" t="str">
            <v>Rancho La Cuchilla No. 149</v>
          </cell>
          <cell r="E2840" t="str">
            <v>Montes Irineos</v>
          </cell>
          <cell r="F2840">
            <v>300</v>
          </cell>
          <cell r="G2840">
            <v>1</v>
          </cell>
          <cell r="H2840">
            <v>2400</v>
          </cell>
          <cell r="I2840">
            <v>41652</v>
          </cell>
          <cell r="J2840">
            <v>0</v>
          </cell>
          <cell r="W2840">
            <v>0</v>
          </cell>
          <cell r="AJ2840">
            <v>0</v>
          </cell>
          <cell r="AK2840">
            <v>400</v>
          </cell>
          <cell r="AL2840">
            <v>400</v>
          </cell>
          <cell r="AM2840">
            <v>400</v>
          </cell>
          <cell r="AN2840">
            <v>400</v>
          </cell>
          <cell r="AO2840">
            <v>400</v>
          </cell>
          <cell r="AP2840">
            <v>400</v>
          </cell>
          <cell r="AW2840">
            <v>2400</v>
          </cell>
        </row>
        <row r="2841">
          <cell r="B2841">
            <v>6351</v>
          </cell>
          <cell r="C2841" t="str">
            <v>CL_130_</v>
          </cell>
          <cell r="D2841" t="str">
            <v>Rancho La Cuchilla No. 130</v>
          </cell>
          <cell r="E2841" t="str">
            <v>De la Huerta</v>
          </cell>
          <cell r="F2841">
            <v>300</v>
          </cell>
          <cell r="G2841">
            <v>1</v>
          </cell>
          <cell r="H2841">
            <v>400</v>
          </cell>
          <cell r="I2841">
            <v>41653</v>
          </cell>
          <cell r="J2841">
            <v>0</v>
          </cell>
          <cell r="W2841">
            <v>0</v>
          </cell>
          <cell r="AJ2841">
            <v>0</v>
          </cell>
          <cell r="AK2841">
            <v>400</v>
          </cell>
          <cell r="AW2841">
            <v>400</v>
          </cell>
        </row>
        <row r="2842">
          <cell r="B2842">
            <v>6352</v>
          </cell>
          <cell r="C2842" t="str">
            <v>UP_108_</v>
          </cell>
          <cell r="D2842" t="str">
            <v>Rancho Upácuaro No. 108</v>
          </cell>
          <cell r="E2842" t="str">
            <v>Mejía</v>
          </cell>
          <cell r="F2842">
            <v>300</v>
          </cell>
          <cell r="G2842">
            <v>1</v>
          </cell>
          <cell r="H2842">
            <v>300</v>
          </cell>
          <cell r="I2842">
            <v>41656</v>
          </cell>
          <cell r="J2842">
            <v>0</v>
          </cell>
          <cell r="W2842">
            <v>0</v>
          </cell>
          <cell r="AJ2842">
            <v>0</v>
          </cell>
          <cell r="AK2842">
            <v>300</v>
          </cell>
          <cell r="AW2842">
            <v>300</v>
          </cell>
        </row>
        <row r="2843">
          <cell r="B2843">
            <v>6353</v>
          </cell>
          <cell r="C2843" t="str">
            <v>ZB_10_</v>
          </cell>
          <cell r="D2843" t="str">
            <v>Rancho Zinamba No. 10</v>
          </cell>
          <cell r="E2843" t="str">
            <v>Roy Sánchez</v>
          </cell>
          <cell r="F2843">
            <v>300</v>
          </cell>
          <cell r="G2843">
            <v>1</v>
          </cell>
          <cell r="H2843">
            <v>1200</v>
          </cell>
          <cell r="I2843">
            <v>41657</v>
          </cell>
          <cell r="J2843">
            <v>0</v>
          </cell>
          <cell r="W2843">
            <v>0</v>
          </cell>
          <cell r="AJ2843">
            <v>0</v>
          </cell>
          <cell r="AK2843">
            <v>400</v>
          </cell>
          <cell r="AL2843">
            <v>400</v>
          </cell>
          <cell r="AM2843">
            <v>400</v>
          </cell>
          <cell r="AW2843">
            <v>1200</v>
          </cell>
        </row>
        <row r="2844">
          <cell r="B2844">
            <v>6354</v>
          </cell>
          <cell r="C2844" t="str">
            <v>LD_47_</v>
          </cell>
          <cell r="D2844" t="str">
            <v>Rancho Landero No. 47</v>
          </cell>
          <cell r="E2844" t="str">
            <v>García González</v>
          </cell>
          <cell r="F2844">
            <v>300</v>
          </cell>
          <cell r="G2844">
            <v>1</v>
          </cell>
          <cell r="H2844">
            <v>400</v>
          </cell>
          <cell r="I2844">
            <v>41658</v>
          </cell>
          <cell r="J2844">
            <v>0</v>
          </cell>
          <cell r="W2844">
            <v>0</v>
          </cell>
          <cell r="AJ2844">
            <v>0</v>
          </cell>
          <cell r="AK2844">
            <v>400</v>
          </cell>
          <cell r="AW2844">
            <v>400</v>
          </cell>
        </row>
        <row r="2845">
          <cell r="B2845">
            <v>6355</v>
          </cell>
          <cell r="C2845" t="str">
            <v>CL_117_</v>
          </cell>
          <cell r="D2845" t="str">
            <v>Rancho La Cuchilla No. 117</v>
          </cell>
          <cell r="E2845" t="str">
            <v>Gómez</v>
          </cell>
          <cell r="F2845">
            <v>300</v>
          </cell>
          <cell r="G2845">
            <v>1</v>
          </cell>
          <cell r="H2845">
            <v>1200</v>
          </cell>
          <cell r="I2845">
            <v>41658</v>
          </cell>
          <cell r="J2845">
            <v>0</v>
          </cell>
          <cell r="W2845">
            <v>0</v>
          </cell>
          <cell r="AH2845">
            <v>400</v>
          </cell>
          <cell r="AI2845">
            <v>400</v>
          </cell>
          <cell r="AJ2845">
            <v>800</v>
          </cell>
          <cell r="AK2845">
            <v>400</v>
          </cell>
          <cell r="AW2845">
            <v>400</v>
          </cell>
        </row>
        <row r="2846">
          <cell r="B2846">
            <v>6356</v>
          </cell>
          <cell r="C2846" t="str">
            <v>UP_104_</v>
          </cell>
          <cell r="D2846" t="str">
            <v>Rancho Upácuaro No. 104</v>
          </cell>
          <cell r="E2846" t="str">
            <v>Jiménez Almazo</v>
          </cell>
          <cell r="F2846">
            <v>300</v>
          </cell>
          <cell r="G2846">
            <v>3</v>
          </cell>
          <cell r="H2846">
            <v>160</v>
          </cell>
          <cell r="I2846">
            <v>41658</v>
          </cell>
          <cell r="J2846" t="str">
            <v>NO SUMA</v>
          </cell>
          <cell r="W2846">
            <v>0</v>
          </cell>
          <cell r="AJ2846">
            <v>0</v>
          </cell>
          <cell r="AW2846">
            <v>0</v>
          </cell>
        </row>
        <row r="2847">
          <cell r="B2847">
            <v>6357</v>
          </cell>
          <cell r="C2847" t="str">
            <v>EZ_7_A</v>
          </cell>
          <cell r="D2847" t="str">
            <v>Rancho Estanzuela No. 7, A</v>
          </cell>
          <cell r="E2847" t="str">
            <v>Herrera Izquierdo</v>
          </cell>
          <cell r="F2847">
            <v>150</v>
          </cell>
          <cell r="G2847">
            <v>1</v>
          </cell>
          <cell r="H2847">
            <v>200</v>
          </cell>
          <cell r="I2847">
            <v>41658</v>
          </cell>
          <cell r="J2847">
            <v>0</v>
          </cell>
          <cell r="W2847">
            <v>0</v>
          </cell>
          <cell r="AJ2847">
            <v>0</v>
          </cell>
          <cell r="AK2847">
            <v>200</v>
          </cell>
          <cell r="AW2847">
            <v>200</v>
          </cell>
        </row>
        <row r="2848">
          <cell r="B2848">
            <v>6358</v>
          </cell>
          <cell r="C2848" t="str">
            <v>LD_38_</v>
          </cell>
          <cell r="D2848" t="str">
            <v>Rancho Landero No. 38</v>
          </cell>
          <cell r="E2848" t="str">
            <v>Sánchez Peña</v>
          </cell>
          <cell r="F2848">
            <v>300</v>
          </cell>
          <cell r="G2848">
            <v>1</v>
          </cell>
          <cell r="H2848">
            <v>800</v>
          </cell>
          <cell r="I2848">
            <v>41658</v>
          </cell>
          <cell r="J2848">
            <v>0</v>
          </cell>
          <cell r="W2848">
            <v>0</v>
          </cell>
          <cell r="AJ2848">
            <v>0</v>
          </cell>
          <cell r="AK2848">
            <v>400</v>
          </cell>
          <cell r="AL2848">
            <v>400</v>
          </cell>
          <cell r="AW2848">
            <v>800</v>
          </cell>
        </row>
        <row r="2849">
          <cell r="B2849">
            <v>6359</v>
          </cell>
          <cell r="C2849" t="str">
            <v>UP_88_</v>
          </cell>
          <cell r="D2849" t="str">
            <v>Rancho Upácuaro No. 88</v>
          </cell>
          <cell r="E2849" t="str">
            <v>Millán Núñez</v>
          </cell>
          <cell r="F2849">
            <v>300</v>
          </cell>
          <cell r="G2849">
            <v>1</v>
          </cell>
          <cell r="H2849">
            <v>400</v>
          </cell>
          <cell r="I2849">
            <v>41658</v>
          </cell>
          <cell r="J2849">
            <v>0</v>
          </cell>
          <cell r="W2849">
            <v>0</v>
          </cell>
          <cell r="AJ2849">
            <v>0</v>
          </cell>
          <cell r="AK2849">
            <v>400</v>
          </cell>
          <cell r="AW2849">
            <v>400</v>
          </cell>
        </row>
        <row r="2850">
          <cell r="B2850">
            <v>6360</v>
          </cell>
          <cell r="C2850" t="str">
            <v>UP_80_</v>
          </cell>
          <cell r="D2850" t="str">
            <v>Rancho Upácuaro No. 80</v>
          </cell>
          <cell r="E2850" t="str">
            <v>De los Ríos</v>
          </cell>
          <cell r="F2850">
            <v>300</v>
          </cell>
          <cell r="G2850">
            <v>1</v>
          </cell>
          <cell r="H2850">
            <v>400</v>
          </cell>
          <cell r="I2850">
            <v>41658</v>
          </cell>
          <cell r="J2850">
            <v>0</v>
          </cell>
          <cell r="W2850">
            <v>0</v>
          </cell>
          <cell r="AJ2850">
            <v>0</v>
          </cell>
          <cell r="AK2850">
            <v>400</v>
          </cell>
          <cell r="AW2850">
            <v>400</v>
          </cell>
        </row>
        <row r="2851">
          <cell r="B2851">
            <v>6361</v>
          </cell>
          <cell r="C2851" t="str">
            <v>RM_10_A</v>
          </cell>
          <cell r="D2851" t="str">
            <v>Rancho Romeral No. 10, A</v>
          </cell>
          <cell r="E2851" t="str">
            <v>Casillas Álvarez</v>
          </cell>
          <cell r="F2851">
            <v>150</v>
          </cell>
          <cell r="G2851">
            <v>1</v>
          </cell>
          <cell r="H2851">
            <v>200</v>
          </cell>
          <cell r="I2851">
            <v>41658</v>
          </cell>
          <cell r="J2851">
            <v>0</v>
          </cell>
          <cell r="W2851">
            <v>0</v>
          </cell>
          <cell r="AJ2851">
            <v>0</v>
          </cell>
          <cell r="AL2851">
            <v>200</v>
          </cell>
          <cell r="AW2851">
            <v>200</v>
          </cell>
        </row>
        <row r="2852">
          <cell r="B2852">
            <v>6362</v>
          </cell>
          <cell r="C2852" t="str">
            <v>EZ_129_</v>
          </cell>
          <cell r="D2852" t="str">
            <v>Rancho Estanzuela No. 129</v>
          </cell>
          <cell r="E2852" t="str">
            <v>González</v>
          </cell>
          <cell r="F2852">
            <v>300</v>
          </cell>
          <cell r="G2852">
            <v>1</v>
          </cell>
          <cell r="H2852">
            <v>250</v>
          </cell>
          <cell r="I2852">
            <v>41658</v>
          </cell>
          <cell r="J2852">
            <v>0</v>
          </cell>
          <cell r="W2852">
            <v>0</v>
          </cell>
          <cell r="AJ2852">
            <v>0</v>
          </cell>
          <cell r="AK2852">
            <v>250</v>
          </cell>
          <cell r="AW2852">
            <v>250</v>
          </cell>
        </row>
        <row r="2853">
          <cell r="B2853">
            <v>6363</v>
          </cell>
          <cell r="C2853" t="str">
            <v>LD_68_</v>
          </cell>
          <cell r="D2853" t="str">
            <v>Rancho Landero No. 68</v>
          </cell>
          <cell r="E2853" t="str">
            <v>Moreno</v>
          </cell>
          <cell r="F2853">
            <v>300</v>
          </cell>
          <cell r="G2853">
            <v>1</v>
          </cell>
          <cell r="H2853">
            <v>800</v>
          </cell>
          <cell r="I2853">
            <v>41658</v>
          </cell>
          <cell r="J2853">
            <v>0</v>
          </cell>
          <cell r="W2853">
            <v>0</v>
          </cell>
          <cell r="AH2853">
            <v>400</v>
          </cell>
          <cell r="AI2853">
            <v>400</v>
          </cell>
          <cell r="AJ2853">
            <v>800</v>
          </cell>
          <cell r="AW2853">
            <v>0</v>
          </cell>
        </row>
        <row r="2854">
          <cell r="B2854">
            <v>6364</v>
          </cell>
          <cell r="C2854" t="str">
            <v>EZ_111_</v>
          </cell>
          <cell r="D2854" t="str">
            <v>Rancho Estanzuela No. 111</v>
          </cell>
          <cell r="E2854" t="str">
            <v>Flores Pérez</v>
          </cell>
          <cell r="F2854">
            <v>300</v>
          </cell>
          <cell r="G2854">
            <v>1</v>
          </cell>
          <cell r="H2854">
            <v>400</v>
          </cell>
          <cell r="I2854">
            <v>41658</v>
          </cell>
          <cell r="J2854">
            <v>0</v>
          </cell>
          <cell r="W2854">
            <v>0</v>
          </cell>
          <cell r="AJ2854">
            <v>0</v>
          </cell>
          <cell r="AK2854">
            <v>400</v>
          </cell>
          <cell r="AW2854">
            <v>400</v>
          </cell>
        </row>
        <row r="2855">
          <cell r="B2855">
            <v>6365</v>
          </cell>
          <cell r="C2855" t="str">
            <v>LD_8_</v>
          </cell>
          <cell r="D2855" t="str">
            <v>Rancho Landero No. 8</v>
          </cell>
          <cell r="E2855" t="str">
            <v>Peña Torres</v>
          </cell>
          <cell r="F2855">
            <v>250</v>
          </cell>
          <cell r="G2855">
            <v>1</v>
          </cell>
          <cell r="H2855">
            <v>500</v>
          </cell>
          <cell r="I2855">
            <v>41658</v>
          </cell>
          <cell r="J2855">
            <v>0</v>
          </cell>
          <cell r="W2855">
            <v>0</v>
          </cell>
          <cell r="AJ2855">
            <v>0</v>
          </cell>
          <cell r="AK2855">
            <v>250</v>
          </cell>
          <cell r="AL2855">
            <v>250</v>
          </cell>
          <cell r="AW2855">
            <v>500</v>
          </cell>
        </row>
        <row r="2856">
          <cell r="B2856">
            <v>6366</v>
          </cell>
          <cell r="C2856" t="str">
            <v>LD_58_</v>
          </cell>
          <cell r="D2856" t="str">
            <v>Rancho Landero No. 58</v>
          </cell>
          <cell r="E2856" t="str">
            <v>Valero</v>
          </cell>
          <cell r="F2856">
            <v>300</v>
          </cell>
          <cell r="G2856">
            <v>1</v>
          </cell>
          <cell r="H2856">
            <v>400</v>
          </cell>
          <cell r="I2856">
            <v>41658</v>
          </cell>
          <cell r="J2856">
            <v>0</v>
          </cell>
          <cell r="W2856">
            <v>0</v>
          </cell>
          <cell r="AJ2856">
            <v>0</v>
          </cell>
          <cell r="AK2856">
            <v>400</v>
          </cell>
          <cell r="AW2856">
            <v>400</v>
          </cell>
        </row>
        <row r="2857">
          <cell r="B2857">
            <v>6367</v>
          </cell>
          <cell r="C2857" t="str">
            <v>LD_51_</v>
          </cell>
          <cell r="D2857" t="str">
            <v>Rancho Landero No. 51</v>
          </cell>
          <cell r="E2857" t="str">
            <v>H. Robles Tamayo</v>
          </cell>
          <cell r="F2857">
            <v>300</v>
          </cell>
          <cell r="G2857">
            <v>1</v>
          </cell>
          <cell r="H2857">
            <v>400</v>
          </cell>
          <cell r="I2857">
            <v>41658</v>
          </cell>
          <cell r="J2857">
            <v>0</v>
          </cell>
          <cell r="W2857">
            <v>0</v>
          </cell>
          <cell r="AI2857">
            <v>400</v>
          </cell>
          <cell r="AJ2857">
            <v>400</v>
          </cell>
          <cell r="AW2857">
            <v>0</v>
          </cell>
        </row>
        <row r="2858">
          <cell r="B2858">
            <v>6368</v>
          </cell>
          <cell r="E2858" t="str">
            <v/>
          </cell>
          <cell r="F2858" t="str">
            <v/>
          </cell>
          <cell r="G2858">
            <v>8</v>
          </cell>
          <cell r="I2858">
            <v>41658</v>
          </cell>
          <cell r="J2858" t="str">
            <v>NO SUMA</v>
          </cell>
          <cell r="W2858">
            <v>0</v>
          </cell>
          <cell r="AJ2858">
            <v>0</v>
          </cell>
          <cell r="AW2858">
            <v>0</v>
          </cell>
        </row>
        <row r="2859">
          <cell r="B2859">
            <v>6369</v>
          </cell>
          <cell r="C2859" t="str">
            <v>CL_112_PB</v>
          </cell>
          <cell r="D2859" t="str">
            <v>Rancho La Cuchilla No. 112, PB</v>
          </cell>
          <cell r="E2859" t="str">
            <v>Soreque</v>
          </cell>
          <cell r="F2859">
            <v>150</v>
          </cell>
          <cell r="G2859">
            <v>1</v>
          </cell>
          <cell r="H2859">
            <v>200</v>
          </cell>
          <cell r="I2859">
            <v>41658</v>
          </cell>
          <cell r="J2859">
            <v>0</v>
          </cell>
          <cell r="W2859">
            <v>0</v>
          </cell>
          <cell r="AJ2859">
            <v>0</v>
          </cell>
          <cell r="AK2859">
            <v>200</v>
          </cell>
          <cell r="AW2859">
            <v>200</v>
          </cell>
        </row>
        <row r="2860">
          <cell r="B2860">
            <v>6370</v>
          </cell>
          <cell r="C2860" t="str">
            <v>CL_107_</v>
          </cell>
          <cell r="D2860" t="str">
            <v>Rancho La Cuchilla No. 107</v>
          </cell>
          <cell r="E2860" t="str">
            <v>Olivares Rivera</v>
          </cell>
          <cell r="F2860">
            <v>300</v>
          </cell>
          <cell r="G2860">
            <v>1</v>
          </cell>
          <cell r="H2860">
            <v>400</v>
          </cell>
          <cell r="I2860">
            <v>41658</v>
          </cell>
          <cell r="J2860">
            <v>0</v>
          </cell>
          <cell r="W2860">
            <v>0</v>
          </cell>
          <cell r="AJ2860">
            <v>0</v>
          </cell>
          <cell r="AK2860">
            <v>400</v>
          </cell>
          <cell r="AW2860">
            <v>400</v>
          </cell>
        </row>
        <row r="2861">
          <cell r="B2861">
            <v>6371</v>
          </cell>
          <cell r="C2861" t="str">
            <v>LD_14_</v>
          </cell>
          <cell r="D2861" t="str">
            <v>Rancho Landero No. 14</v>
          </cell>
          <cell r="E2861" t="str">
            <v>Rivera</v>
          </cell>
          <cell r="F2861">
            <v>300</v>
          </cell>
          <cell r="G2861">
            <v>1</v>
          </cell>
          <cell r="H2861">
            <v>400</v>
          </cell>
          <cell r="I2861">
            <v>41658</v>
          </cell>
          <cell r="J2861">
            <v>0</v>
          </cell>
          <cell r="W2861">
            <v>0</v>
          </cell>
          <cell r="AJ2861">
            <v>0</v>
          </cell>
          <cell r="AK2861">
            <v>400</v>
          </cell>
          <cell r="AW2861">
            <v>400</v>
          </cell>
        </row>
        <row r="2862">
          <cell r="B2862">
            <v>6372</v>
          </cell>
          <cell r="C2862" t="str">
            <v>UP_114_</v>
          </cell>
          <cell r="D2862" t="str">
            <v>Rancho Upácuaro No. 114</v>
          </cell>
          <cell r="E2862" t="str">
            <v>Hernández Cornejo</v>
          </cell>
          <cell r="F2862">
            <v>300</v>
          </cell>
          <cell r="G2862">
            <v>1</v>
          </cell>
          <cell r="H2862">
            <v>400</v>
          </cell>
          <cell r="I2862">
            <v>41658</v>
          </cell>
          <cell r="J2862">
            <v>0</v>
          </cell>
          <cell r="W2862">
            <v>0</v>
          </cell>
          <cell r="AJ2862">
            <v>0</v>
          </cell>
          <cell r="AK2862">
            <v>400</v>
          </cell>
          <cell r="AW2862">
            <v>400</v>
          </cell>
        </row>
        <row r="2863">
          <cell r="B2863">
            <v>6373</v>
          </cell>
          <cell r="C2863" t="str">
            <v>LD_71_</v>
          </cell>
          <cell r="D2863" t="str">
            <v>Rancho Landero No. 71</v>
          </cell>
          <cell r="E2863" t="str">
            <v>Cabrera Balcázar</v>
          </cell>
          <cell r="F2863">
            <v>300</v>
          </cell>
          <cell r="G2863">
            <v>1</v>
          </cell>
          <cell r="H2863">
            <v>400</v>
          </cell>
          <cell r="I2863">
            <v>41658</v>
          </cell>
          <cell r="J2863">
            <v>0</v>
          </cell>
          <cell r="W2863">
            <v>0</v>
          </cell>
          <cell r="AJ2863">
            <v>0</v>
          </cell>
          <cell r="AK2863">
            <v>400</v>
          </cell>
          <cell r="AW2863">
            <v>400</v>
          </cell>
        </row>
        <row r="2864">
          <cell r="B2864">
            <v>6374</v>
          </cell>
          <cell r="C2864" t="str">
            <v>RV_175_B</v>
          </cell>
          <cell r="D2864" t="str">
            <v>Rancho Recoveco No. 175, B</v>
          </cell>
          <cell r="E2864" t="str">
            <v>García Calderón</v>
          </cell>
          <cell r="F2864">
            <v>150</v>
          </cell>
          <cell r="G2864">
            <v>1</v>
          </cell>
          <cell r="H2864">
            <v>200</v>
          </cell>
          <cell r="I2864">
            <v>41658</v>
          </cell>
          <cell r="J2864">
            <v>0</v>
          </cell>
          <cell r="W2864">
            <v>0</v>
          </cell>
          <cell r="AJ2864">
            <v>0</v>
          </cell>
          <cell r="AK2864">
            <v>200</v>
          </cell>
          <cell r="AW2864">
            <v>200</v>
          </cell>
        </row>
        <row r="2865">
          <cell r="B2865">
            <v>6375</v>
          </cell>
          <cell r="C2865" t="str">
            <v>CL_52_</v>
          </cell>
          <cell r="D2865" t="str">
            <v>Rancho La Cuchilla No. 52</v>
          </cell>
          <cell r="E2865" t="str">
            <v>Velázquez</v>
          </cell>
          <cell r="F2865">
            <v>300</v>
          </cell>
          <cell r="G2865">
            <v>1</v>
          </cell>
          <cell r="H2865">
            <v>300</v>
          </cell>
          <cell r="I2865">
            <v>41658</v>
          </cell>
          <cell r="J2865">
            <v>0</v>
          </cell>
          <cell r="W2865">
            <v>0</v>
          </cell>
          <cell r="AJ2865">
            <v>0</v>
          </cell>
          <cell r="AK2865">
            <v>300</v>
          </cell>
          <cell r="AW2865">
            <v>300</v>
          </cell>
        </row>
        <row r="2866">
          <cell r="B2866">
            <v>6376</v>
          </cell>
          <cell r="C2866" t="str">
            <v>CL_52_</v>
          </cell>
          <cell r="D2866" t="str">
            <v>Rancho La Cuchilla No. 52</v>
          </cell>
          <cell r="E2866" t="str">
            <v>Velázquez</v>
          </cell>
          <cell r="F2866">
            <v>300</v>
          </cell>
          <cell r="G2866">
            <v>3</v>
          </cell>
          <cell r="H2866">
            <v>160</v>
          </cell>
          <cell r="I2866">
            <v>41658</v>
          </cell>
          <cell r="J2866" t="str">
            <v>NO SUMA</v>
          </cell>
          <cell r="W2866">
            <v>0</v>
          </cell>
          <cell r="AJ2866">
            <v>0</v>
          </cell>
          <cell r="AW2866">
            <v>0</v>
          </cell>
        </row>
        <row r="2867">
          <cell r="B2867">
            <v>6377</v>
          </cell>
          <cell r="C2867" t="str">
            <v>CL_43_A</v>
          </cell>
          <cell r="D2867" t="str">
            <v>Rancho La Cuchilla No. 43, A</v>
          </cell>
          <cell r="E2867" t="str">
            <v>De la Rosa</v>
          </cell>
          <cell r="F2867">
            <v>200</v>
          </cell>
          <cell r="G2867">
            <v>1</v>
          </cell>
          <cell r="H2867">
            <v>400</v>
          </cell>
          <cell r="I2867">
            <v>41658</v>
          </cell>
          <cell r="J2867">
            <v>0</v>
          </cell>
          <cell r="W2867">
            <v>0</v>
          </cell>
          <cell r="AJ2867">
            <v>0</v>
          </cell>
          <cell r="AK2867">
            <v>400</v>
          </cell>
          <cell r="AW2867">
            <v>400</v>
          </cell>
        </row>
        <row r="2868">
          <cell r="B2868">
            <v>6378</v>
          </cell>
          <cell r="C2868" t="str">
            <v>ZB_24_</v>
          </cell>
          <cell r="D2868" t="str">
            <v>Rancho Zinamba No. 24</v>
          </cell>
          <cell r="E2868" t="str">
            <v>Monroy García</v>
          </cell>
          <cell r="F2868">
            <v>300</v>
          </cell>
          <cell r="G2868">
            <v>1</v>
          </cell>
          <cell r="H2868">
            <v>400</v>
          </cell>
          <cell r="I2868">
            <v>41658</v>
          </cell>
          <cell r="J2868">
            <v>0</v>
          </cell>
          <cell r="W2868">
            <v>0</v>
          </cell>
          <cell r="AJ2868">
            <v>0</v>
          </cell>
          <cell r="AK2868">
            <v>400</v>
          </cell>
          <cell r="AW2868">
            <v>400</v>
          </cell>
        </row>
        <row r="2869">
          <cell r="B2869">
            <v>6379</v>
          </cell>
          <cell r="C2869" t="str">
            <v>LD_21_</v>
          </cell>
          <cell r="D2869" t="str">
            <v>Rancho Landero No. 21</v>
          </cell>
          <cell r="E2869" t="str">
            <v>Meza</v>
          </cell>
          <cell r="F2869">
            <v>300</v>
          </cell>
          <cell r="G2869">
            <v>1</v>
          </cell>
          <cell r="H2869">
            <v>400</v>
          </cell>
          <cell r="I2869">
            <v>41658</v>
          </cell>
          <cell r="J2869">
            <v>0</v>
          </cell>
          <cell r="W2869">
            <v>0</v>
          </cell>
          <cell r="AJ2869">
            <v>0</v>
          </cell>
          <cell r="AK2869">
            <v>400</v>
          </cell>
          <cell r="AW2869">
            <v>400</v>
          </cell>
        </row>
        <row r="2870">
          <cell r="B2870">
            <v>6380</v>
          </cell>
          <cell r="C2870" t="str">
            <v>UP_94_</v>
          </cell>
          <cell r="D2870" t="str">
            <v>Rancho Upácuaro No. 94</v>
          </cell>
          <cell r="E2870" t="str">
            <v>Juárez Patiño</v>
          </cell>
          <cell r="F2870">
            <v>300</v>
          </cell>
          <cell r="G2870">
            <v>1</v>
          </cell>
          <cell r="H2870">
            <v>1200</v>
          </cell>
          <cell r="I2870">
            <v>41658</v>
          </cell>
          <cell r="J2870">
            <v>0</v>
          </cell>
          <cell r="W2870">
            <v>0</v>
          </cell>
          <cell r="AJ2870">
            <v>0</v>
          </cell>
          <cell r="AK2870">
            <v>400</v>
          </cell>
          <cell r="AL2870">
            <v>400</v>
          </cell>
          <cell r="AM2870">
            <v>400</v>
          </cell>
          <cell r="AW2870">
            <v>1200</v>
          </cell>
        </row>
        <row r="2871">
          <cell r="B2871">
            <v>6381</v>
          </cell>
          <cell r="C2871" t="str">
            <v>UP_94_</v>
          </cell>
          <cell r="D2871" t="str">
            <v>Rancho Upácuaro No. 94</v>
          </cell>
          <cell r="E2871" t="str">
            <v>Juárez Patiño</v>
          </cell>
          <cell r="F2871">
            <v>300</v>
          </cell>
          <cell r="G2871">
            <v>4</v>
          </cell>
          <cell r="H2871">
            <v>160</v>
          </cell>
          <cell r="I2871">
            <v>41658</v>
          </cell>
          <cell r="J2871" t="str">
            <v>NO SUMA</v>
          </cell>
          <cell r="W2871">
            <v>0</v>
          </cell>
          <cell r="AJ2871">
            <v>0</v>
          </cell>
          <cell r="AW2871">
            <v>0</v>
          </cell>
        </row>
        <row r="2872">
          <cell r="B2872">
            <v>6382</v>
          </cell>
          <cell r="C2872" t="str">
            <v>UP_37_</v>
          </cell>
          <cell r="D2872" t="str">
            <v>Rancho Upácuaro No. 37</v>
          </cell>
          <cell r="E2872" t="str">
            <v>García Valdés</v>
          </cell>
          <cell r="F2872">
            <v>300</v>
          </cell>
          <cell r="G2872">
            <v>1</v>
          </cell>
          <cell r="H2872">
            <v>800</v>
          </cell>
          <cell r="I2872">
            <v>41658</v>
          </cell>
          <cell r="J2872">
            <v>0</v>
          </cell>
          <cell r="W2872">
            <v>0</v>
          </cell>
          <cell r="AI2872">
            <v>400</v>
          </cell>
          <cell r="AJ2872">
            <v>400</v>
          </cell>
          <cell r="AK2872">
            <v>400</v>
          </cell>
          <cell r="AW2872">
            <v>400</v>
          </cell>
        </row>
        <row r="2873">
          <cell r="B2873">
            <v>6382</v>
          </cell>
          <cell r="C2873" t="str">
            <v>UP_37_</v>
          </cell>
          <cell r="D2873" t="str">
            <v>Rancho Upácuaro No. 37</v>
          </cell>
          <cell r="E2873" t="str">
            <v>García Valdés</v>
          </cell>
          <cell r="F2873">
            <v>300</v>
          </cell>
          <cell r="G2873">
            <v>4</v>
          </cell>
          <cell r="H2873">
            <v>160</v>
          </cell>
          <cell r="I2873">
            <v>41658</v>
          </cell>
          <cell r="J2873" t="str">
            <v>NO SUMA</v>
          </cell>
          <cell r="W2873">
            <v>0</v>
          </cell>
          <cell r="AJ2873">
            <v>0</v>
          </cell>
          <cell r="AW2873">
            <v>0</v>
          </cell>
        </row>
        <row r="2874">
          <cell r="B2874">
            <v>6383</v>
          </cell>
          <cell r="C2874" t="str">
            <v>CL_18_</v>
          </cell>
          <cell r="D2874" t="str">
            <v>Rancho La Cuchilla No. 18</v>
          </cell>
          <cell r="E2874" t="str">
            <v>Aldana Sánchez</v>
          </cell>
          <cell r="F2874">
            <v>300</v>
          </cell>
          <cell r="G2874">
            <v>1</v>
          </cell>
          <cell r="H2874">
            <v>400</v>
          </cell>
          <cell r="I2874">
            <v>41658</v>
          </cell>
          <cell r="J2874">
            <v>0</v>
          </cell>
          <cell r="W2874">
            <v>0</v>
          </cell>
          <cell r="AJ2874">
            <v>0</v>
          </cell>
          <cell r="AK2874">
            <v>400</v>
          </cell>
          <cell r="AW2874">
            <v>400</v>
          </cell>
        </row>
        <row r="2875">
          <cell r="B2875">
            <v>6384</v>
          </cell>
          <cell r="C2875" t="str">
            <v>UP_73_A</v>
          </cell>
          <cell r="D2875" t="str">
            <v>Rancho Upácuaro No. 73, A</v>
          </cell>
          <cell r="E2875" t="str">
            <v>Ortega</v>
          </cell>
          <cell r="F2875">
            <v>150</v>
          </cell>
          <cell r="G2875">
            <v>1</v>
          </cell>
          <cell r="H2875">
            <v>200</v>
          </cell>
          <cell r="I2875">
            <v>41658</v>
          </cell>
          <cell r="J2875">
            <v>0</v>
          </cell>
          <cell r="W2875">
            <v>0</v>
          </cell>
          <cell r="AJ2875">
            <v>0</v>
          </cell>
          <cell r="AK2875">
            <v>200</v>
          </cell>
          <cell r="AW2875">
            <v>200</v>
          </cell>
        </row>
        <row r="2876">
          <cell r="B2876">
            <v>6385</v>
          </cell>
          <cell r="C2876" t="str">
            <v>LD_84_</v>
          </cell>
          <cell r="D2876" t="str">
            <v>Rancho Landero No. 84</v>
          </cell>
          <cell r="E2876" t="str">
            <v>Alcántara</v>
          </cell>
          <cell r="F2876">
            <v>300</v>
          </cell>
          <cell r="G2876">
            <v>1</v>
          </cell>
          <cell r="H2876">
            <v>400</v>
          </cell>
          <cell r="I2876">
            <v>41658</v>
          </cell>
          <cell r="J2876">
            <v>0</v>
          </cell>
          <cell r="W2876">
            <v>0</v>
          </cell>
          <cell r="AJ2876">
            <v>0</v>
          </cell>
          <cell r="AK2876">
            <v>400</v>
          </cell>
          <cell r="AW2876">
            <v>400</v>
          </cell>
        </row>
        <row r="2877">
          <cell r="B2877">
            <v>6386</v>
          </cell>
          <cell r="C2877" t="str">
            <v>EZ_75_</v>
          </cell>
          <cell r="D2877" t="str">
            <v>Rancho Estanzuela No. 75</v>
          </cell>
          <cell r="E2877" t="str">
            <v>Candela Pons</v>
          </cell>
          <cell r="F2877">
            <v>150</v>
          </cell>
          <cell r="G2877">
            <v>1</v>
          </cell>
          <cell r="H2877">
            <v>1000</v>
          </cell>
          <cell r="I2877">
            <v>41658</v>
          </cell>
          <cell r="J2877">
            <v>0</v>
          </cell>
          <cell r="W2877">
            <v>0</v>
          </cell>
          <cell r="AF2877">
            <v>200</v>
          </cell>
          <cell r="AG2877">
            <v>200</v>
          </cell>
          <cell r="AH2877">
            <v>200</v>
          </cell>
          <cell r="AI2877">
            <v>200</v>
          </cell>
          <cell r="AJ2877">
            <v>800</v>
          </cell>
          <cell r="AK2877">
            <v>200</v>
          </cell>
          <cell r="AW2877">
            <v>200</v>
          </cell>
        </row>
        <row r="2878">
          <cell r="B2878">
            <v>6387</v>
          </cell>
          <cell r="C2878" t="str">
            <v>LD_80_</v>
          </cell>
          <cell r="D2878" t="str">
            <v>Rancho Landero No. 80</v>
          </cell>
          <cell r="E2878" t="str">
            <v>Villaseñor Sánchez</v>
          </cell>
          <cell r="F2878">
            <v>300</v>
          </cell>
          <cell r="G2878">
            <v>1</v>
          </cell>
          <cell r="H2878">
            <v>400</v>
          </cell>
          <cell r="I2878">
            <v>41658</v>
          </cell>
          <cell r="J2878">
            <v>0</v>
          </cell>
          <cell r="W2878">
            <v>0</v>
          </cell>
          <cell r="AJ2878">
            <v>0</v>
          </cell>
          <cell r="AK2878">
            <v>400</v>
          </cell>
          <cell r="AW2878">
            <v>400</v>
          </cell>
        </row>
        <row r="2879">
          <cell r="B2879">
            <v>6387</v>
          </cell>
          <cell r="C2879" t="str">
            <v>LD_80_</v>
          </cell>
          <cell r="D2879" t="str">
            <v>Rancho Landero No. 80</v>
          </cell>
          <cell r="E2879" t="str">
            <v>Villaseñor Sánchez</v>
          </cell>
          <cell r="F2879">
            <v>300</v>
          </cell>
          <cell r="G2879">
            <v>4</v>
          </cell>
          <cell r="H2879">
            <v>160</v>
          </cell>
          <cell r="I2879">
            <v>41658</v>
          </cell>
          <cell r="J2879" t="str">
            <v>NO SUMA</v>
          </cell>
          <cell r="W2879">
            <v>0</v>
          </cell>
          <cell r="AJ2879">
            <v>0</v>
          </cell>
          <cell r="AW2879">
            <v>0</v>
          </cell>
        </row>
        <row r="2880">
          <cell r="B2880">
            <v>6388</v>
          </cell>
          <cell r="E2880" t="str">
            <v/>
          </cell>
          <cell r="F2880" t="str">
            <v/>
          </cell>
          <cell r="G2880">
            <v>8</v>
          </cell>
          <cell r="I2880">
            <v>41658</v>
          </cell>
          <cell r="J2880" t="str">
            <v>NO SUMA</v>
          </cell>
          <cell r="W2880">
            <v>0</v>
          </cell>
          <cell r="AJ2880">
            <v>0</v>
          </cell>
          <cell r="AW2880">
            <v>0</v>
          </cell>
        </row>
        <row r="2881">
          <cell r="B2881">
            <v>6389</v>
          </cell>
          <cell r="C2881" t="str">
            <v>EZ_75_</v>
          </cell>
          <cell r="D2881" t="str">
            <v>Rancho Estanzuela No. 75</v>
          </cell>
          <cell r="E2881" t="str">
            <v>Candela Pons</v>
          </cell>
          <cell r="F2881">
            <v>150</v>
          </cell>
          <cell r="G2881">
            <v>4</v>
          </cell>
          <cell r="H2881">
            <v>160</v>
          </cell>
          <cell r="I2881">
            <v>41658</v>
          </cell>
          <cell r="J2881" t="str">
            <v>NO SUMA</v>
          </cell>
          <cell r="W2881">
            <v>0</v>
          </cell>
          <cell r="AJ2881">
            <v>0</v>
          </cell>
          <cell r="AW2881">
            <v>0</v>
          </cell>
        </row>
        <row r="2882">
          <cell r="B2882">
            <v>6390</v>
          </cell>
          <cell r="C2882" t="str">
            <v>CL_94_</v>
          </cell>
          <cell r="D2882" t="str">
            <v>Rancho La Cuchilla No. 94</v>
          </cell>
          <cell r="E2882" t="str">
            <v>Sánchez Márquez</v>
          </cell>
          <cell r="F2882">
            <v>300</v>
          </cell>
          <cell r="G2882">
            <v>1</v>
          </cell>
          <cell r="H2882">
            <v>400</v>
          </cell>
          <cell r="I2882">
            <v>41658</v>
          </cell>
          <cell r="J2882">
            <v>0</v>
          </cell>
          <cell r="W2882">
            <v>0</v>
          </cell>
          <cell r="AJ2882">
            <v>0</v>
          </cell>
          <cell r="AK2882">
            <v>400</v>
          </cell>
          <cell r="AW2882">
            <v>400</v>
          </cell>
        </row>
        <row r="2883">
          <cell r="B2883">
            <v>6391</v>
          </cell>
          <cell r="C2883" t="str">
            <v>UP_136_</v>
          </cell>
          <cell r="D2883" t="str">
            <v>Rancho Upácuaro No. 136</v>
          </cell>
          <cell r="E2883" t="str">
            <v>López Lena</v>
          </cell>
          <cell r="F2883">
            <v>300</v>
          </cell>
          <cell r="G2883">
            <v>1</v>
          </cell>
          <cell r="H2883">
            <v>400</v>
          </cell>
          <cell r="I2883">
            <v>41658</v>
          </cell>
          <cell r="J2883">
            <v>0</v>
          </cell>
          <cell r="W2883">
            <v>0</v>
          </cell>
          <cell r="AJ2883">
            <v>0</v>
          </cell>
          <cell r="AK2883">
            <v>400</v>
          </cell>
          <cell r="AW2883">
            <v>400</v>
          </cell>
        </row>
        <row r="2884">
          <cell r="B2884">
            <v>6392</v>
          </cell>
          <cell r="C2884" t="str">
            <v>UP_101_</v>
          </cell>
          <cell r="D2884" t="str">
            <v>Rancho Upácuaro No. 101</v>
          </cell>
          <cell r="E2884" t="str">
            <v>Chávez, Arturo</v>
          </cell>
          <cell r="F2884">
            <v>300</v>
          </cell>
          <cell r="G2884">
            <v>4</v>
          </cell>
          <cell r="H2884">
            <v>160</v>
          </cell>
          <cell r="I2884">
            <v>41658</v>
          </cell>
          <cell r="J2884" t="str">
            <v>NO SUMA</v>
          </cell>
          <cell r="W2884">
            <v>0</v>
          </cell>
          <cell r="AJ2884">
            <v>0</v>
          </cell>
          <cell r="AW2884">
            <v>0</v>
          </cell>
        </row>
        <row r="2885">
          <cell r="B2885">
            <v>6393</v>
          </cell>
          <cell r="C2885" t="str">
            <v>ZB_88_</v>
          </cell>
          <cell r="D2885" t="str">
            <v>Rancho Zinamba No. 88</v>
          </cell>
          <cell r="E2885" t="str">
            <v>Martínez</v>
          </cell>
          <cell r="F2885">
            <v>250</v>
          </cell>
          <cell r="G2885">
            <v>1</v>
          </cell>
          <cell r="H2885">
            <v>350</v>
          </cell>
          <cell r="I2885">
            <v>41658</v>
          </cell>
          <cell r="J2885">
            <v>0</v>
          </cell>
          <cell r="W2885">
            <v>0</v>
          </cell>
          <cell r="AJ2885">
            <v>0</v>
          </cell>
          <cell r="AK2885">
            <v>350</v>
          </cell>
          <cell r="AW2885">
            <v>350</v>
          </cell>
        </row>
        <row r="2886">
          <cell r="B2886">
            <v>6394</v>
          </cell>
          <cell r="C2886" t="str">
            <v>LD_85_</v>
          </cell>
          <cell r="D2886" t="str">
            <v>Rancho Landero No. 85</v>
          </cell>
          <cell r="E2886" t="str">
            <v>Martínez Olague</v>
          </cell>
          <cell r="F2886">
            <v>300</v>
          </cell>
          <cell r="G2886">
            <v>1</v>
          </cell>
          <cell r="H2886">
            <v>400</v>
          </cell>
          <cell r="I2886">
            <v>41658</v>
          </cell>
          <cell r="J2886">
            <v>0</v>
          </cell>
          <cell r="W2886">
            <v>0</v>
          </cell>
          <cell r="AJ2886">
            <v>0</v>
          </cell>
          <cell r="AK2886">
            <v>400</v>
          </cell>
          <cell r="AW2886">
            <v>400</v>
          </cell>
        </row>
        <row r="2887">
          <cell r="B2887">
            <v>6395</v>
          </cell>
          <cell r="C2887" t="str">
            <v>LD_1_A</v>
          </cell>
          <cell r="D2887" t="str">
            <v>Rancho Landero No. 1, A</v>
          </cell>
          <cell r="E2887" t="str">
            <v>Ebysos</v>
          </cell>
          <cell r="F2887">
            <v>300</v>
          </cell>
          <cell r="G2887">
            <v>1</v>
          </cell>
          <cell r="H2887">
            <v>400</v>
          </cell>
          <cell r="I2887">
            <v>41659</v>
          </cell>
          <cell r="J2887">
            <v>0</v>
          </cell>
          <cell r="W2887">
            <v>0</v>
          </cell>
          <cell r="AJ2887">
            <v>0</v>
          </cell>
          <cell r="AK2887">
            <v>400</v>
          </cell>
          <cell r="AW2887">
            <v>400</v>
          </cell>
        </row>
        <row r="2888">
          <cell r="B2888">
            <v>6396</v>
          </cell>
          <cell r="C2888" t="str">
            <v>CL_80_</v>
          </cell>
          <cell r="D2888" t="str">
            <v>Rancho La Cuchilla No. 80</v>
          </cell>
          <cell r="E2888" t="str">
            <v>Aparicio</v>
          </cell>
          <cell r="F2888">
            <v>300</v>
          </cell>
          <cell r="G2888">
            <v>1</v>
          </cell>
          <cell r="H2888">
            <v>4400</v>
          </cell>
          <cell r="I2888">
            <v>41659</v>
          </cell>
          <cell r="J2888">
            <v>0</v>
          </cell>
          <cell r="W2888">
            <v>0</v>
          </cell>
          <cell r="AJ2888">
            <v>0</v>
          </cell>
          <cell r="AK2888">
            <v>400</v>
          </cell>
          <cell r="AL2888">
            <v>400</v>
          </cell>
          <cell r="AM2888">
            <v>400</v>
          </cell>
          <cell r="AN2888">
            <v>400</v>
          </cell>
          <cell r="AO2888">
            <v>400</v>
          </cell>
          <cell r="AP2888">
            <v>400</v>
          </cell>
          <cell r="AQ2888">
            <v>400</v>
          </cell>
          <cell r="AR2888">
            <v>400</v>
          </cell>
          <cell r="AS2888">
            <v>400</v>
          </cell>
          <cell r="AT2888">
            <v>400</v>
          </cell>
          <cell r="AU2888">
            <v>400</v>
          </cell>
          <cell r="AW2888">
            <v>4400</v>
          </cell>
        </row>
        <row r="2889">
          <cell r="B2889">
            <v>6397</v>
          </cell>
          <cell r="C2889" t="str">
            <v>ZB_12_</v>
          </cell>
          <cell r="D2889" t="str">
            <v>Rancho Zinamba No. 12</v>
          </cell>
          <cell r="E2889" t="str">
            <v>S.P.Endoscopic</v>
          </cell>
          <cell r="F2889">
            <v>400</v>
          </cell>
          <cell r="G2889">
            <v>1</v>
          </cell>
          <cell r="H2889">
            <v>400</v>
          </cell>
          <cell r="I2889">
            <v>41659</v>
          </cell>
          <cell r="J2889">
            <v>0</v>
          </cell>
          <cell r="W2889">
            <v>0</v>
          </cell>
          <cell r="AJ2889">
            <v>0</v>
          </cell>
          <cell r="AK2889">
            <v>400</v>
          </cell>
          <cell r="AW2889">
            <v>400</v>
          </cell>
        </row>
        <row r="2890">
          <cell r="B2890">
            <v>6397</v>
          </cell>
          <cell r="C2890" t="str">
            <v>ZB_12_</v>
          </cell>
          <cell r="D2890" t="str">
            <v>Rancho Zinamba No. 12</v>
          </cell>
          <cell r="E2890" t="str">
            <v>S.P.Endoscopic</v>
          </cell>
          <cell r="F2890">
            <v>400</v>
          </cell>
          <cell r="G2890">
            <v>3</v>
          </cell>
          <cell r="H2890">
            <v>160</v>
          </cell>
          <cell r="I2890">
            <v>41660</v>
          </cell>
          <cell r="J2890" t="str">
            <v>NO SUMA</v>
          </cell>
          <cell r="W2890">
            <v>0</v>
          </cell>
          <cell r="AJ2890">
            <v>0</v>
          </cell>
          <cell r="AW2890">
            <v>0</v>
          </cell>
        </row>
        <row r="2891">
          <cell r="B2891">
            <v>6398</v>
          </cell>
          <cell r="C2891" t="str">
            <v>EZ_141_</v>
          </cell>
          <cell r="D2891" t="str">
            <v>Rancho Estanzuela No. 141</v>
          </cell>
          <cell r="E2891" t="str">
            <v>Castillo Toledano</v>
          </cell>
          <cell r="F2891">
            <v>300</v>
          </cell>
          <cell r="G2891">
            <v>1</v>
          </cell>
          <cell r="H2891">
            <v>800</v>
          </cell>
          <cell r="I2891">
            <v>41660</v>
          </cell>
          <cell r="J2891">
            <v>0</v>
          </cell>
          <cell r="W2891">
            <v>0</v>
          </cell>
          <cell r="AJ2891">
            <v>0</v>
          </cell>
          <cell r="AK2891">
            <v>400</v>
          </cell>
          <cell r="AL2891">
            <v>400</v>
          </cell>
          <cell r="AW2891">
            <v>800</v>
          </cell>
        </row>
        <row r="2892">
          <cell r="B2892">
            <v>6399</v>
          </cell>
          <cell r="C2892" t="str">
            <v>LD_54_2</v>
          </cell>
          <cell r="D2892" t="str">
            <v>Rancho Landero No. 54, 2</v>
          </cell>
          <cell r="E2892" t="str">
            <v>Montemayor Santana</v>
          </cell>
          <cell r="F2892">
            <v>300</v>
          </cell>
          <cell r="G2892">
            <v>1</v>
          </cell>
          <cell r="H2892">
            <v>300</v>
          </cell>
          <cell r="I2892">
            <v>41661</v>
          </cell>
          <cell r="J2892">
            <v>0</v>
          </cell>
          <cell r="W2892">
            <v>0</v>
          </cell>
          <cell r="AJ2892">
            <v>0</v>
          </cell>
          <cell r="AK2892">
            <v>300</v>
          </cell>
          <cell r="AW2892">
            <v>300</v>
          </cell>
        </row>
        <row r="2893">
          <cell r="B2893">
            <v>6400</v>
          </cell>
          <cell r="C2893" t="str">
            <v>UP_64_</v>
          </cell>
          <cell r="D2893" t="str">
            <v>Rancho Upácuaro No. 64</v>
          </cell>
          <cell r="E2893" t="str">
            <v>Méndez Oliva</v>
          </cell>
          <cell r="F2893">
            <v>300</v>
          </cell>
          <cell r="G2893">
            <v>1</v>
          </cell>
          <cell r="H2893">
            <v>300</v>
          </cell>
          <cell r="I2893">
            <v>41665</v>
          </cell>
          <cell r="J2893">
            <v>0</v>
          </cell>
          <cell r="W2893">
            <v>0</v>
          </cell>
          <cell r="AJ2893">
            <v>0</v>
          </cell>
          <cell r="AK2893">
            <v>300</v>
          </cell>
          <cell r="AW2893">
            <v>300</v>
          </cell>
        </row>
        <row r="2894">
          <cell r="B2894">
            <v>6401</v>
          </cell>
          <cell r="C2894" t="str">
            <v>LD_83_</v>
          </cell>
          <cell r="D2894" t="str">
            <v>Rancho Landero No. 83</v>
          </cell>
          <cell r="E2894" t="str">
            <v>Aguilar</v>
          </cell>
          <cell r="F2894">
            <v>300</v>
          </cell>
          <cell r="G2894">
            <v>3</v>
          </cell>
          <cell r="H2894">
            <v>160</v>
          </cell>
          <cell r="I2894">
            <v>41661</v>
          </cell>
          <cell r="J2894" t="str">
            <v>NO SUMA</v>
          </cell>
          <cell r="W2894">
            <v>0</v>
          </cell>
          <cell r="AJ2894">
            <v>0</v>
          </cell>
          <cell r="AW2894">
            <v>0</v>
          </cell>
        </row>
        <row r="2895">
          <cell r="B2895">
            <v>6402</v>
          </cell>
          <cell r="C2895" t="str">
            <v>CL_7_201</v>
          </cell>
          <cell r="D2895" t="str">
            <v>Rancho La Cuchilla No. 7, 201</v>
          </cell>
          <cell r="E2895" t="str">
            <v>Solís Susana</v>
          </cell>
          <cell r="F2895">
            <v>100</v>
          </cell>
          <cell r="G2895">
            <v>3</v>
          </cell>
          <cell r="H2895">
            <v>160</v>
          </cell>
          <cell r="I2895">
            <v>41665</v>
          </cell>
          <cell r="J2895" t="str">
            <v>NO SUMA</v>
          </cell>
          <cell r="W2895">
            <v>0</v>
          </cell>
          <cell r="AJ2895">
            <v>0</v>
          </cell>
          <cell r="AW2895">
            <v>0</v>
          </cell>
        </row>
        <row r="2896">
          <cell r="B2896">
            <v>6403</v>
          </cell>
          <cell r="C2896" t="str">
            <v>CL_21_</v>
          </cell>
          <cell r="D2896" t="str">
            <v>Rancho La Cuchilla No. 21</v>
          </cell>
          <cell r="E2896" t="str">
            <v>Solórzano Calderón</v>
          </cell>
          <cell r="F2896">
            <v>300</v>
          </cell>
          <cell r="G2896">
            <v>1</v>
          </cell>
          <cell r="H2896">
            <v>4400</v>
          </cell>
          <cell r="I2896">
            <v>41665</v>
          </cell>
          <cell r="J2896">
            <v>0</v>
          </cell>
          <cell r="W2896">
            <v>0</v>
          </cell>
          <cell r="AJ2896">
            <v>0</v>
          </cell>
          <cell r="AK2896">
            <v>400</v>
          </cell>
          <cell r="AL2896">
            <v>400</v>
          </cell>
          <cell r="AM2896">
            <v>400</v>
          </cell>
          <cell r="AN2896">
            <v>400</v>
          </cell>
          <cell r="AO2896">
            <v>400</v>
          </cell>
          <cell r="AP2896">
            <v>400</v>
          </cell>
          <cell r="AQ2896">
            <v>400</v>
          </cell>
          <cell r="AR2896">
            <v>400</v>
          </cell>
          <cell r="AS2896">
            <v>400</v>
          </cell>
          <cell r="AT2896">
            <v>400</v>
          </cell>
          <cell r="AU2896">
            <v>400</v>
          </cell>
          <cell r="AW2896">
            <v>4400</v>
          </cell>
        </row>
        <row r="2897">
          <cell r="B2897">
            <v>6403</v>
          </cell>
          <cell r="C2897" t="str">
            <v>CL_21_</v>
          </cell>
          <cell r="D2897" t="str">
            <v>Rancho La Cuchilla No. 21</v>
          </cell>
          <cell r="E2897" t="str">
            <v>Solórzano Calderón</v>
          </cell>
          <cell r="F2897">
            <v>300</v>
          </cell>
          <cell r="G2897">
            <v>3</v>
          </cell>
          <cell r="H2897">
            <v>160</v>
          </cell>
          <cell r="I2897">
            <v>41665</v>
          </cell>
          <cell r="J2897" t="str">
            <v>NO SUMA</v>
          </cell>
          <cell r="W2897">
            <v>0</v>
          </cell>
          <cell r="AJ2897">
            <v>0</v>
          </cell>
          <cell r="AW2897">
            <v>0</v>
          </cell>
        </row>
        <row r="2898">
          <cell r="B2898">
            <v>6404</v>
          </cell>
          <cell r="C2898" t="str">
            <v>EZ_31_</v>
          </cell>
          <cell r="D2898" t="str">
            <v>Rancho Estanzuela No. 31</v>
          </cell>
          <cell r="E2898" t="str">
            <v>Chávez Valdés</v>
          </cell>
          <cell r="F2898">
            <v>300</v>
          </cell>
          <cell r="G2898">
            <v>4</v>
          </cell>
          <cell r="H2898">
            <v>160</v>
          </cell>
          <cell r="I2898">
            <v>41665</v>
          </cell>
          <cell r="J2898" t="str">
            <v>NO SUMA</v>
          </cell>
          <cell r="W2898">
            <v>0</v>
          </cell>
          <cell r="AJ2898">
            <v>0</v>
          </cell>
          <cell r="AW2898">
            <v>0</v>
          </cell>
        </row>
        <row r="2899">
          <cell r="B2899">
            <v>6405</v>
          </cell>
          <cell r="C2899" t="str">
            <v>UP_42_</v>
          </cell>
          <cell r="D2899" t="str">
            <v>Rancho Upácuaro No. 42</v>
          </cell>
          <cell r="E2899" t="str">
            <v>García Ramírez</v>
          </cell>
          <cell r="F2899">
            <v>300</v>
          </cell>
          <cell r="G2899">
            <v>1</v>
          </cell>
          <cell r="H2899">
            <v>400</v>
          </cell>
          <cell r="I2899">
            <v>41665</v>
          </cell>
          <cell r="J2899">
            <v>0</v>
          </cell>
          <cell r="W2899">
            <v>0</v>
          </cell>
          <cell r="AJ2899">
            <v>0</v>
          </cell>
          <cell r="AK2899">
            <v>400</v>
          </cell>
          <cell r="AW2899">
            <v>400</v>
          </cell>
        </row>
        <row r="2900">
          <cell r="B2900">
            <v>6406</v>
          </cell>
          <cell r="C2900" t="str">
            <v>EZ_99_</v>
          </cell>
          <cell r="D2900" t="str">
            <v>Rancho Estanzuela No. 99</v>
          </cell>
          <cell r="E2900" t="str">
            <v>García López</v>
          </cell>
          <cell r="F2900">
            <v>300</v>
          </cell>
          <cell r="G2900">
            <v>1</v>
          </cell>
          <cell r="H2900">
            <v>400</v>
          </cell>
          <cell r="I2900">
            <v>41665</v>
          </cell>
          <cell r="J2900">
            <v>0</v>
          </cell>
          <cell r="W2900">
            <v>0</v>
          </cell>
          <cell r="AJ2900">
            <v>0</v>
          </cell>
          <cell r="AK2900">
            <v>400</v>
          </cell>
          <cell r="AW2900">
            <v>400</v>
          </cell>
        </row>
        <row r="2901">
          <cell r="B2901">
            <v>6407</v>
          </cell>
          <cell r="C2901" t="str">
            <v>UP_69_</v>
          </cell>
          <cell r="D2901" t="str">
            <v>Rancho Upácuaro No. 69</v>
          </cell>
          <cell r="E2901" t="str">
            <v>Gómez</v>
          </cell>
          <cell r="F2901">
            <v>300</v>
          </cell>
          <cell r="G2901">
            <v>1</v>
          </cell>
          <cell r="H2901">
            <v>400</v>
          </cell>
          <cell r="I2901">
            <v>41665</v>
          </cell>
          <cell r="J2901">
            <v>0</v>
          </cell>
          <cell r="W2901">
            <v>0</v>
          </cell>
          <cell r="AJ2901">
            <v>0</v>
          </cell>
          <cell r="AK2901">
            <v>400</v>
          </cell>
          <cell r="AW2901">
            <v>400</v>
          </cell>
        </row>
        <row r="2902">
          <cell r="B2902">
            <v>6408</v>
          </cell>
          <cell r="C2902" t="str">
            <v>UP_69_</v>
          </cell>
          <cell r="D2902" t="str">
            <v>Rancho Upácuaro No. 69</v>
          </cell>
          <cell r="E2902" t="str">
            <v>Gómez</v>
          </cell>
          <cell r="F2902">
            <v>300</v>
          </cell>
          <cell r="G2902">
            <v>3</v>
          </cell>
          <cell r="H2902">
            <v>160</v>
          </cell>
          <cell r="I2902">
            <v>41665</v>
          </cell>
          <cell r="J2902" t="str">
            <v>NO SUMA</v>
          </cell>
          <cell r="W2902">
            <v>0</v>
          </cell>
          <cell r="AJ2902">
            <v>0</v>
          </cell>
          <cell r="AW2902">
            <v>0</v>
          </cell>
        </row>
        <row r="2903">
          <cell r="B2903">
            <v>6409</v>
          </cell>
          <cell r="C2903" t="str">
            <v>UP_7_</v>
          </cell>
          <cell r="D2903" t="str">
            <v>Rancho Upácuaro No. 7</v>
          </cell>
          <cell r="E2903" t="str">
            <v xml:space="preserve">Troncoso </v>
          </cell>
          <cell r="F2903">
            <v>300</v>
          </cell>
          <cell r="G2903">
            <v>1</v>
          </cell>
          <cell r="H2903">
            <v>3300</v>
          </cell>
          <cell r="I2903">
            <v>41665</v>
          </cell>
          <cell r="J2903">
            <v>0</v>
          </cell>
          <cell r="W2903">
            <v>0</v>
          </cell>
          <cell r="AJ2903">
            <v>0</v>
          </cell>
          <cell r="AK2903">
            <v>300</v>
          </cell>
          <cell r="AL2903">
            <v>300</v>
          </cell>
          <cell r="AM2903">
            <v>300</v>
          </cell>
          <cell r="AN2903">
            <v>300</v>
          </cell>
          <cell r="AO2903">
            <v>300</v>
          </cell>
          <cell r="AP2903">
            <v>300</v>
          </cell>
          <cell r="AQ2903">
            <v>300</v>
          </cell>
          <cell r="AR2903">
            <v>300</v>
          </cell>
          <cell r="AS2903">
            <v>300</v>
          </cell>
          <cell r="AT2903">
            <v>300</v>
          </cell>
          <cell r="AU2903">
            <v>300</v>
          </cell>
          <cell r="AW2903">
            <v>3300</v>
          </cell>
        </row>
        <row r="2904">
          <cell r="B2904">
            <v>6410</v>
          </cell>
          <cell r="C2904" t="str">
            <v>UP_134_</v>
          </cell>
          <cell r="D2904" t="str">
            <v>Rancho Upácuaro No. 134</v>
          </cell>
          <cell r="E2904" t="str">
            <v>Flores Pérez</v>
          </cell>
          <cell r="F2904">
            <v>300</v>
          </cell>
          <cell r="G2904">
            <v>1</v>
          </cell>
          <cell r="H2904">
            <v>400</v>
          </cell>
          <cell r="I2904">
            <v>41665</v>
          </cell>
          <cell r="J2904">
            <v>0</v>
          </cell>
          <cell r="W2904">
            <v>0</v>
          </cell>
          <cell r="AJ2904">
            <v>0</v>
          </cell>
          <cell r="AK2904">
            <v>400</v>
          </cell>
          <cell r="AW2904">
            <v>400</v>
          </cell>
        </row>
        <row r="2905">
          <cell r="B2905">
            <v>6411</v>
          </cell>
          <cell r="C2905" t="str">
            <v>LD_75_</v>
          </cell>
          <cell r="D2905" t="str">
            <v>Rancho Landero No. 75</v>
          </cell>
          <cell r="E2905" t="str">
            <v>Villaseñor Hernández</v>
          </cell>
          <cell r="F2905">
            <v>300</v>
          </cell>
          <cell r="G2905">
            <v>1</v>
          </cell>
          <cell r="H2905">
            <v>1700</v>
          </cell>
          <cell r="I2905">
            <v>41665</v>
          </cell>
          <cell r="J2905">
            <v>0</v>
          </cell>
          <cell r="W2905">
            <v>0</v>
          </cell>
          <cell r="AG2905">
            <v>300</v>
          </cell>
          <cell r="AH2905">
            <v>300</v>
          </cell>
          <cell r="AI2905">
            <v>300</v>
          </cell>
          <cell r="AJ2905">
            <v>900</v>
          </cell>
          <cell r="AK2905">
            <v>400</v>
          </cell>
          <cell r="AL2905">
            <v>400</v>
          </cell>
          <cell r="AW2905">
            <v>800</v>
          </cell>
        </row>
        <row r="2906">
          <cell r="B2906">
            <v>6412</v>
          </cell>
          <cell r="C2906" t="str">
            <v>UP_90_</v>
          </cell>
          <cell r="D2906" t="str">
            <v>Rancho Upácuaro No. 90</v>
          </cell>
          <cell r="E2906" t="str">
            <v>Moreno Calderón</v>
          </cell>
          <cell r="F2906">
            <v>150</v>
          </cell>
          <cell r="G2906">
            <v>1</v>
          </cell>
          <cell r="H2906">
            <v>400</v>
          </cell>
          <cell r="I2906">
            <v>41665</v>
          </cell>
          <cell r="J2906">
            <v>0</v>
          </cell>
          <cell r="W2906">
            <v>0</v>
          </cell>
          <cell r="AJ2906">
            <v>0</v>
          </cell>
          <cell r="AK2906">
            <v>200</v>
          </cell>
          <cell r="AL2906">
            <v>200</v>
          </cell>
          <cell r="AW2906">
            <v>400</v>
          </cell>
        </row>
        <row r="2907">
          <cell r="B2907">
            <v>6413</v>
          </cell>
          <cell r="C2907" t="str">
            <v>RM_9_A</v>
          </cell>
          <cell r="D2907" t="str">
            <v>Rancho Romeral No. 9, A</v>
          </cell>
          <cell r="E2907" t="str">
            <v>Quiñones Hernández</v>
          </cell>
          <cell r="F2907">
            <v>300</v>
          </cell>
          <cell r="G2907">
            <v>1</v>
          </cell>
          <cell r="H2907">
            <v>1600</v>
          </cell>
          <cell r="I2907">
            <v>41665</v>
          </cell>
          <cell r="J2907">
            <v>0</v>
          </cell>
          <cell r="W2907">
            <v>0</v>
          </cell>
          <cell r="AG2907">
            <v>400</v>
          </cell>
          <cell r="AH2907">
            <v>400</v>
          </cell>
          <cell r="AI2907">
            <v>400</v>
          </cell>
          <cell r="AJ2907">
            <v>1200</v>
          </cell>
          <cell r="AK2907">
            <v>400</v>
          </cell>
          <cell r="AW2907">
            <v>400</v>
          </cell>
        </row>
        <row r="2908">
          <cell r="B2908">
            <v>6414</v>
          </cell>
          <cell r="C2908" t="str">
            <v>ZB_82_</v>
          </cell>
          <cell r="D2908" t="str">
            <v>Rancho Zinamba No. 82</v>
          </cell>
          <cell r="E2908" t="str">
            <v>Morán Carmona</v>
          </cell>
          <cell r="F2908">
            <v>150</v>
          </cell>
          <cell r="G2908">
            <v>1</v>
          </cell>
          <cell r="H2908">
            <v>600</v>
          </cell>
          <cell r="I2908">
            <v>41665</v>
          </cell>
          <cell r="J2908">
            <v>0</v>
          </cell>
          <cell r="W2908">
            <v>0</v>
          </cell>
          <cell r="AG2908">
            <v>200</v>
          </cell>
          <cell r="AH2908">
            <v>200</v>
          </cell>
          <cell r="AI2908">
            <v>200</v>
          </cell>
          <cell r="AJ2908">
            <v>600</v>
          </cell>
          <cell r="AW2908">
            <v>0</v>
          </cell>
        </row>
        <row r="2909">
          <cell r="B2909">
            <v>6415</v>
          </cell>
          <cell r="C2909" t="str">
            <v>CL_15_</v>
          </cell>
          <cell r="D2909" t="str">
            <v>Rancho La Cuchilla No. 15</v>
          </cell>
          <cell r="E2909" t="str">
            <v>Guerrero Ponce</v>
          </cell>
          <cell r="F2909">
            <v>300</v>
          </cell>
          <cell r="G2909">
            <v>1</v>
          </cell>
          <cell r="H2909">
            <v>300</v>
          </cell>
          <cell r="I2909">
            <v>41665</v>
          </cell>
          <cell r="J2909">
            <v>0</v>
          </cell>
          <cell r="W2909">
            <v>0</v>
          </cell>
          <cell r="AJ2909">
            <v>0</v>
          </cell>
          <cell r="AK2909">
            <v>300</v>
          </cell>
          <cell r="AW2909">
            <v>300</v>
          </cell>
        </row>
        <row r="2910">
          <cell r="B2910">
            <v>6416</v>
          </cell>
          <cell r="C2910" t="str">
            <v>CL_71_</v>
          </cell>
          <cell r="D2910" t="str">
            <v>Rancho La Cuchilla No. 71</v>
          </cell>
          <cell r="E2910" t="str">
            <v>Pulido</v>
          </cell>
          <cell r="F2910">
            <v>300</v>
          </cell>
          <cell r="G2910">
            <v>1</v>
          </cell>
          <cell r="H2910">
            <v>350</v>
          </cell>
          <cell r="I2910">
            <v>41665</v>
          </cell>
          <cell r="J2910">
            <v>0</v>
          </cell>
          <cell r="W2910">
            <v>0</v>
          </cell>
          <cell r="AJ2910">
            <v>0</v>
          </cell>
          <cell r="AK2910">
            <v>350</v>
          </cell>
          <cell r="AW2910">
            <v>350</v>
          </cell>
        </row>
        <row r="2911">
          <cell r="B2911">
            <v>6417</v>
          </cell>
          <cell r="C2911" t="str">
            <v>UP_49_</v>
          </cell>
          <cell r="D2911" t="str">
            <v>Rancho Upácuaro No. 49</v>
          </cell>
          <cell r="E2911" t="str">
            <v>Sánchez Romano</v>
          </cell>
          <cell r="F2911">
            <v>300</v>
          </cell>
          <cell r="G2911">
            <v>1</v>
          </cell>
          <cell r="H2911">
            <v>400</v>
          </cell>
          <cell r="I2911">
            <v>41665</v>
          </cell>
          <cell r="J2911">
            <v>0</v>
          </cell>
          <cell r="W2911">
            <v>0</v>
          </cell>
          <cell r="AJ2911">
            <v>0</v>
          </cell>
          <cell r="AK2911">
            <v>400</v>
          </cell>
          <cell r="AW2911">
            <v>400</v>
          </cell>
        </row>
        <row r="2912">
          <cell r="B2912">
            <v>6418</v>
          </cell>
          <cell r="C2912" t="str">
            <v>EZ_61_</v>
          </cell>
          <cell r="D2912" t="str">
            <v>Rancho Estanzuela No. 61</v>
          </cell>
          <cell r="E2912" t="str">
            <v>González Almazán</v>
          </cell>
          <cell r="F2912">
            <v>300</v>
          </cell>
          <cell r="G2912">
            <v>1</v>
          </cell>
          <cell r="H2912">
            <v>400</v>
          </cell>
          <cell r="I2912">
            <v>41665</v>
          </cell>
          <cell r="J2912">
            <v>0</v>
          </cell>
          <cell r="W2912">
            <v>0</v>
          </cell>
          <cell r="AJ2912">
            <v>0</v>
          </cell>
          <cell r="AK2912">
            <v>400</v>
          </cell>
          <cell r="AW2912">
            <v>400</v>
          </cell>
        </row>
        <row r="2913">
          <cell r="B2913">
            <v>6419</v>
          </cell>
          <cell r="C2913" t="str">
            <v>RV_175_A</v>
          </cell>
          <cell r="D2913" t="str">
            <v>Rancho Recoveco No. 175, A</v>
          </cell>
          <cell r="E2913" t="str">
            <v>Pérez</v>
          </cell>
          <cell r="F2913">
            <v>300</v>
          </cell>
          <cell r="G2913">
            <v>1</v>
          </cell>
          <cell r="H2913">
            <v>400</v>
          </cell>
          <cell r="I2913">
            <v>41665</v>
          </cell>
          <cell r="J2913">
            <v>0</v>
          </cell>
          <cell r="W2913">
            <v>0</v>
          </cell>
          <cell r="AJ2913">
            <v>0</v>
          </cell>
          <cell r="AK2913">
            <v>400</v>
          </cell>
          <cell r="AW2913">
            <v>400</v>
          </cell>
        </row>
        <row r="2914">
          <cell r="B2914">
            <v>6420</v>
          </cell>
          <cell r="C2914" t="str">
            <v>UP_34_</v>
          </cell>
          <cell r="D2914" t="str">
            <v>Rancho Upácuaro No. 34</v>
          </cell>
          <cell r="E2914" t="str">
            <v>Gómez González</v>
          </cell>
          <cell r="F2914">
            <v>300</v>
          </cell>
          <cell r="G2914">
            <v>1</v>
          </cell>
          <cell r="H2914">
            <v>600</v>
          </cell>
          <cell r="I2914">
            <v>41665</v>
          </cell>
          <cell r="J2914">
            <v>0</v>
          </cell>
          <cell r="W2914">
            <v>0</v>
          </cell>
          <cell r="AI2914">
            <v>300</v>
          </cell>
          <cell r="AJ2914">
            <v>300</v>
          </cell>
          <cell r="AK2914">
            <v>300</v>
          </cell>
          <cell r="AW2914">
            <v>300</v>
          </cell>
        </row>
        <row r="2915">
          <cell r="B2915">
            <v>6421</v>
          </cell>
          <cell r="C2915" t="str">
            <v>RV_3_</v>
          </cell>
          <cell r="D2915" t="str">
            <v>Rancho Recoveco No. 3</v>
          </cell>
          <cell r="E2915" t="str">
            <v>Garduño</v>
          </cell>
          <cell r="F2915">
            <v>300</v>
          </cell>
          <cell r="G2915">
            <v>1</v>
          </cell>
          <cell r="H2915">
            <v>300</v>
          </cell>
          <cell r="I2915">
            <v>41665</v>
          </cell>
          <cell r="J2915">
            <v>0</v>
          </cell>
          <cell r="W2915">
            <v>0</v>
          </cell>
          <cell r="AJ2915">
            <v>0</v>
          </cell>
          <cell r="AK2915">
            <v>300</v>
          </cell>
          <cell r="AW2915">
            <v>300</v>
          </cell>
        </row>
        <row r="2916">
          <cell r="B2916">
            <v>6422</v>
          </cell>
          <cell r="C2916" t="str">
            <v>CL_87_</v>
          </cell>
          <cell r="D2916" t="str">
            <v>Rancho La Cuchilla No. 87</v>
          </cell>
          <cell r="E2916" t="str">
            <v>Villanueva S.</v>
          </cell>
          <cell r="F2916">
            <v>300</v>
          </cell>
          <cell r="G2916">
            <v>1</v>
          </cell>
          <cell r="H2916">
            <v>400</v>
          </cell>
          <cell r="I2916">
            <v>41665</v>
          </cell>
          <cell r="J2916">
            <v>0</v>
          </cell>
          <cell r="W2916">
            <v>0</v>
          </cell>
          <cell r="AJ2916">
            <v>0</v>
          </cell>
          <cell r="AK2916">
            <v>400</v>
          </cell>
          <cell r="AW2916">
            <v>400</v>
          </cell>
        </row>
        <row r="2917">
          <cell r="B2917">
            <v>6423</v>
          </cell>
          <cell r="C2917" t="str">
            <v>LD_73_</v>
          </cell>
          <cell r="D2917" t="str">
            <v>Rancho Landero No. 73</v>
          </cell>
          <cell r="E2917" t="str">
            <v>Islas Palacios</v>
          </cell>
          <cell r="F2917">
            <v>300</v>
          </cell>
          <cell r="G2917">
            <v>1</v>
          </cell>
          <cell r="H2917">
            <v>800</v>
          </cell>
          <cell r="I2917">
            <v>41665</v>
          </cell>
          <cell r="J2917">
            <v>0</v>
          </cell>
          <cell r="W2917">
            <v>0</v>
          </cell>
          <cell r="AI2917">
            <v>400</v>
          </cell>
          <cell r="AJ2917">
            <v>400</v>
          </cell>
          <cell r="AK2917">
            <v>400</v>
          </cell>
          <cell r="AW2917">
            <v>400</v>
          </cell>
        </row>
        <row r="2918">
          <cell r="B2918">
            <v>6424</v>
          </cell>
          <cell r="C2918" t="str">
            <v>UP_70_</v>
          </cell>
          <cell r="D2918" t="str">
            <v>Rancho Upácuaro No. 70</v>
          </cell>
          <cell r="E2918" t="str">
            <v>Ramírez Tejeda</v>
          </cell>
          <cell r="F2918">
            <v>300</v>
          </cell>
          <cell r="G2918">
            <v>1</v>
          </cell>
          <cell r="H2918">
            <v>300</v>
          </cell>
          <cell r="I2918">
            <v>41665</v>
          </cell>
          <cell r="J2918">
            <v>0</v>
          </cell>
          <cell r="W2918">
            <v>0</v>
          </cell>
          <cell r="AJ2918">
            <v>0</v>
          </cell>
          <cell r="AK2918">
            <v>300</v>
          </cell>
          <cell r="AW2918">
            <v>300</v>
          </cell>
        </row>
        <row r="2919">
          <cell r="B2919">
            <v>6425</v>
          </cell>
          <cell r="C2919" t="str">
            <v>UP_142_</v>
          </cell>
          <cell r="D2919" t="str">
            <v>Rancho Upácuaro No. 142</v>
          </cell>
          <cell r="E2919" t="str">
            <v>Fierro Villaneda</v>
          </cell>
          <cell r="F2919">
            <v>300</v>
          </cell>
          <cell r="G2919">
            <v>1</v>
          </cell>
          <cell r="H2919">
            <v>800</v>
          </cell>
          <cell r="I2919">
            <v>41665</v>
          </cell>
          <cell r="J2919">
            <v>0</v>
          </cell>
          <cell r="W2919">
            <v>0</v>
          </cell>
          <cell r="AJ2919">
            <v>0</v>
          </cell>
          <cell r="AK2919">
            <v>400</v>
          </cell>
          <cell r="AL2919">
            <v>400</v>
          </cell>
          <cell r="AW2919">
            <v>800</v>
          </cell>
        </row>
        <row r="2920">
          <cell r="B2920">
            <v>6426</v>
          </cell>
          <cell r="C2920" t="str">
            <v>LD_101_</v>
          </cell>
          <cell r="D2920" t="str">
            <v>Rancho Landero No. 101</v>
          </cell>
          <cell r="E2920" t="str">
            <v>Ramírez</v>
          </cell>
          <cell r="F2920">
            <v>300</v>
          </cell>
          <cell r="G2920">
            <v>1</v>
          </cell>
          <cell r="H2920">
            <v>800</v>
          </cell>
          <cell r="I2920">
            <v>41665</v>
          </cell>
          <cell r="J2920">
            <v>0</v>
          </cell>
          <cell r="W2920">
            <v>0</v>
          </cell>
          <cell r="AJ2920">
            <v>0</v>
          </cell>
          <cell r="AK2920">
            <v>400</v>
          </cell>
          <cell r="AL2920">
            <v>400</v>
          </cell>
          <cell r="AW2920">
            <v>800</v>
          </cell>
        </row>
        <row r="2921">
          <cell r="B2921">
            <v>6427</v>
          </cell>
          <cell r="C2921" t="str">
            <v>LD_77_</v>
          </cell>
          <cell r="D2921" t="str">
            <v>Rancho Landero No. 77</v>
          </cell>
          <cell r="E2921" t="str">
            <v>Muñoz</v>
          </cell>
          <cell r="F2921">
            <v>300</v>
          </cell>
          <cell r="G2921">
            <v>1</v>
          </cell>
          <cell r="H2921">
            <v>400</v>
          </cell>
          <cell r="I2921">
            <v>41665</v>
          </cell>
          <cell r="J2921">
            <v>0</v>
          </cell>
          <cell r="W2921">
            <v>0</v>
          </cell>
          <cell r="AI2921">
            <v>400</v>
          </cell>
          <cell r="AJ2921">
            <v>400</v>
          </cell>
          <cell r="AW2921">
            <v>0</v>
          </cell>
        </row>
        <row r="2922">
          <cell r="B2922">
            <v>6428</v>
          </cell>
          <cell r="C2922" t="str">
            <v>UP_87_</v>
          </cell>
          <cell r="D2922" t="str">
            <v>Rancho Upácuaro No. 87</v>
          </cell>
          <cell r="E2922" t="str">
            <v>Rodríguez Parés</v>
          </cell>
          <cell r="F2922">
            <v>300</v>
          </cell>
          <cell r="G2922">
            <v>1</v>
          </cell>
          <cell r="H2922">
            <v>400</v>
          </cell>
          <cell r="I2922">
            <v>41665</v>
          </cell>
          <cell r="J2922">
            <v>0</v>
          </cell>
          <cell r="W2922">
            <v>0</v>
          </cell>
          <cell r="AJ2922">
            <v>0</v>
          </cell>
          <cell r="AL2922">
            <v>400</v>
          </cell>
          <cell r="AW2922">
            <v>400</v>
          </cell>
        </row>
        <row r="2923">
          <cell r="B2923">
            <v>6429</v>
          </cell>
          <cell r="C2923" t="str">
            <v>LD_87_</v>
          </cell>
          <cell r="D2923" t="str">
            <v>Rancho Landero No. 87</v>
          </cell>
          <cell r="E2923" t="str">
            <v>Fey Lafferla</v>
          </cell>
          <cell r="F2923">
            <v>300</v>
          </cell>
          <cell r="G2923">
            <v>1</v>
          </cell>
          <cell r="H2923">
            <v>150</v>
          </cell>
          <cell r="I2923">
            <v>41665</v>
          </cell>
          <cell r="J2923">
            <v>0</v>
          </cell>
          <cell r="W2923">
            <v>0</v>
          </cell>
          <cell r="AJ2923">
            <v>0</v>
          </cell>
          <cell r="AK2923">
            <v>150</v>
          </cell>
          <cell r="AW2923">
            <v>150</v>
          </cell>
        </row>
        <row r="2924">
          <cell r="B2924">
            <v>6430</v>
          </cell>
          <cell r="C2924" t="str">
            <v>EZ_19_</v>
          </cell>
          <cell r="D2924" t="str">
            <v>Rancho Estanzuela No. 19</v>
          </cell>
          <cell r="E2924" t="str">
            <v>Robles</v>
          </cell>
          <cell r="F2924">
            <v>300</v>
          </cell>
          <cell r="G2924">
            <v>1</v>
          </cell>
          <cell r="H2924">
            <v>800</v>
          </cell>
          <cell r="I2924">
            <v>41665</v>
          </cell>
          <cell r="J2924">
            <v>0</v>
          </cell>
          <cell r="W2924">
            <v>0</v>
          </cell>
          <cell r="AI2924">
            <v>400</v>
          </cell>
          <cell r="AJ2924">
            <v>400</v>
          </cell>
          <cell r="AK2924">
            <v>400</v>
          </cell>
          <cell r="AU2924" t="str">
            <v/>
          </cell>
          <cell r="AW2924">
            <v>400</v>
          </cell>
        </row>
        <row r="2925">
          <cell r="B2925">
            <v>6431</v>
          </cell>
          <cell r="C2925" t="str">
            <v>CL_91_</v>
          </cell>
          <cell r="D2925" t="str">
            <v>Rancho La Cuchilla No. 91</v>
          </cell>
          <cell r="E2925" t="str">
            <v>Roldán Flores</v>
          </cell>
          <cell r="F2925">
            <v>300</v>
          </cell>
          <cell r="G2925">
            <v>1</v>
          </cell>
          <cell r="H2925">
            <v>4400</v>
          </cell>
          <cell r="I2925">
            <v>41665</v>
          </cell>
          <cell r="J2925">
            <v>0</v>
          </cell>
          <cell r="W2925">
            <v>0</v>
          </cell>
          <cell r="AJ2925">
            <v>0</v>
          </cell>
          <cell r="AK2925">
            <v>400</v>
          </cell>
          <cell r="AL2925">
            <v>400</v>
          </cell>
          <cell r="AM2925">
            <v>400</v>
          </cell>
          <cell r="AN2925">
            <v>400</v>
          </cell>
          <cell r="AO2925">
            <v>400</v>
          </cell>
          <cell r="AP2925">
            <v>400</v>
          </cell>
          <cell r="AQ2925">
            <v>400</v>
          </cell>
          <cell r="AR2925">
            <v>400</v>
          </cell>
          <cell r="AS2925">
            <v>400</v>
          </cell>
          <cell r="AT2925">
            <v>400</v>
          </cell>
          <cell r="AU2925">
            <v>400</v>
          </cell>
          <cell r="AW2925">
            <v>4400</v>
          </cell>
        </row>
        <row r="2926">
          <cell r="B2926">
            <v>6432</v>
          </cell>
          <cell r="C2926" t="str">
            <v>EZ_149_</v>
          </cell>
          <cell r="D2926" t="str">
            <v>Rancho Estanzuela No. 149</v>
          </cell>
          <cell r="E2926" t="str">
            <v>Sala</v>
          </cell>
          <cell r="F2926">
            <v>300</v>
          </cell>
          <cell r="G2926">
            <v>1</v>
          </cell>
          <cell r="H2926">
            <v>4000</v>
          </cell>
          <cell r="I2926">
            <v>41665</v>
          </cell>
          <cell r="J2926">
            <v>0</v>
          </cell>
          <cell r="W2926">
            <v>0</v>
          </cell>
          <cell r="AJ2926">
            <v>0</v>
          </cell>
          <cell r="AL2926">
            <v>400</v>
          </cell>
          <cell r="AM2926">
            <v>400</v>
          </cell>
          <cell r="AN2926">
            <v>400</v>
          </cell>
          <cell r="AO2926">
            <v>400</v>
          </cell>
          <cell r="AP2926">
            <v>400</v>
          </cell>
          <cell r="AQ2926">
            <v>400</v>
          </cell>
          <cell r="AR2926">
            <v>400</v>
          </cell>
          <cell r="AS2926">
            <v>400</v>
          </cell>
          <cell r="AT2926">
            <v>400</v>
          </cell>
          <cell r="AU2926">
            <v>400</v>
          </cell>
          <cell r="AW2926">
            <v>4000</v>
          </cell>
        </row>
        <row r="2927">
          <cell r="B2927">
            <v>6433</v>
          </cell>
          <cell r="C2927" t="str">
            <v>EZ_25_</v>
          </cell>
          <cell r="D2927" t="str">
            <v>Rancho Estanzuela No. 25</v>
          </cell>
          <cell r="E2927" t="str">
            <v>Contreras Figueroa</v>
          </cell>
          <cell r="F2927">
            <v>300</v>
          </cell>
          <cell r="G2927">
            <v>1</v>
          </cell>
          <cell r="H2927">
            <v>1300</v>
          </cell>
          <cell r="I2927">
            <v>41660</v>
          </cell>
          <cell r="J2927">
            <v>0</v>
          </cell>
          <cell r="W2927">
            <v>0</v>
          </cell>
          <cell r="AG2927">
            <v>300</v>
          </cell>
          <cell r="AH2927">
            <v>300</v>
          </cell>
          <cell r="AI2927">
            <v>300</v>
          </cell>
          <cell r="AJ2927">
            <v>900</v>
          </cell>
          <cell r="AK2927">
            <v>400</v>
          </cell>
          <cell r="AW2927">
            <v>400</v>
          </cell>
        </row>
        <row r="2928">
          <cell r="B2928">
            <v>6434</v>
          </cell>
          <cell r="C2928" t="str">
            <v>RV_173_</v>
          </cell>
          <cell r="D2928" t="str">
            <v>Rancho Recoveco No. 173</v>
          </cell>
          <cell r="E2928" t="str">
            <v>Velarde</v>
          </cell>
          <cell r="F2928">
            <v>300</v>
          </cell>
          <cell r="G2928">
            <v>1</v>
          </cell>
          <cell r="H2928">
            <v>600</v>
          </cell>
          <cell r="I2928">
            <v>41670</v>
          </cell>
          <cell r="J2928">
            <v>0</v>
          </cell>
          <cell r="W2928">
            <v>0</v>
          </cell>
          <cell r="AJ2928">
            <v>0</v>
          </cell>
          <cell r="AK2928">
            <v>300</v>
          </cell>
          <cell r="AL2928">
            <v>300</v>
          </cell>
          <cell r="AW2928">
            <v>600</v>
          </cell>
        </row>
        <row r="2929">
          <cell r="B2929">
            <v>6435</v>
          </cell>
          <cell r="C2929" t="str">
            <v>CL_97_</v>
          </cell>
          <cell r="D2929" t="str">
            <v>Rancho La Cuchilla No. 97</v>
          </cell>
          <cell r="E2929" t="str">
            <v>López Ruiz</v>
          </cell>
          <cell r="F2929">
            <v>300</v>
          </cell>
          <cell r="G2929">
            <v>1</v>
          </cell>
          <cell r="H2929">
            <v>300</v>
          </cell>
          <cell r="I2929">
            <v>41670</v>
          </cell>
          <cell r="J2929">
            <v>0</v>
          </cell>
          <cell r="W2929">
            <v>0</v>
          </cell>
          <cell r="AJ2929">
            <v>0</v>
          </cell>
          <cell r="AK2929">
            <v>300</v>
          </cell>
          <cell r="AW2929">
            <v>300</v>
          </cell>
        </row>
        <row r="2930">
          <cell r="B2930">
            <v>6472</v>
          </cell>
          <cell r="C2930" t="str">
            <v>HS_846_</v>
          </cell>
          <cell r="D2930" t="str">
            <v>Calzada del Hueso No. 846</v>
          </cell>
          <cell r="E2930" t="str">
            <v>Carreño Solís</v>
          </cell>
          <cell r="F2930">
            <v>400</v>
          </cell>
          <cell r="G2930">
            <v>1</v>
          </cell>
          <cell r="H2930">
            <v>400</v>
          </cell>
          <cell r="I2930">
            <v>41644</v>
          </cell>
          <cell r="J2930">
            <v>0</v>
          </cell>
          <cell r="W2930">
            <v>0</v>
          </cell>
          <cell r="AJ2930">
            <v>0</v>
          </cell>
          <cell r="AK2930">
            <v>400</v>
          </cell>
          <cell r="AW2930">
            <v>400</v>
          </cell>
        </row>
        <row r="2931">
          <cell r="B2931">
            <v>6473</v>
          </cell>
          <cell r="C2931" t="str">
            <v>HS_846_</v>
          </cell>
          <cell r="D2931" t="str">
            <v>Calzada del Hueso No. 846</v>
          </cell>
          <cell r="E2931" t="str">
            <v>Carreño Solís</v>
          </cell>
          <cell r="F2931">
            <v>400</v>
          </cell>
          <cell r="G2931">
            <v>1</v>
          </cell>
          <cell r="H2931">
            <v>400</v>
          </cell>
          <cell r="I2931">
            <v>41645</v>
          </cell>
          <cell r="J2931">
            <v>0</v>
          </cell>
          <cell r="W2931">
            <v>0</v>
          </cell>
          <cell r="AJ2931">
            <v>0</v>
          </cell>
          <cell r="AL2931">
            <v>400</v>
          </cell>
          <cell r="AW2931">
            <v>400</v>
          </cell>
        </row>
        <row r="2932">
          <cell r="B2932">
            <v>8138</v>
          </cell>
          <cell r="C2932" t="str">
            <v>UP_46_</v>
          </cell>
          <cell r="D2932" t="str">
            <v>Rancho Upácuaro No. 46</v>
          </cell>
          <cell r="E2932" t="str">
            <v>Fuentes</v>
          </cell>
          <cell r="F2932">
            <v>300</v>
          </cell>
          <cell r="G2932">
            <v>1</v>
          </cell>
          <cell r="H2932">
            <v>300</v>
          </cell>
          <cell r="I2932">
            <v>41647</v>
          </cell>
          <cell r="J2932">
            <v>0</v>
          </cell>
          <cell r="W2932">
            <v>0</v>
          </cell>
          <cell r="AJ2932">
            <v>0</v>
          </cell>
          <cell r="AK2932">
            <v>300</v>
          </cell>
          <cell r="AW2932">
            <v>300</v>
          </cell>
        </row>
        <row r="2933">
          <cell r="B2933">
            <v>8141</v>
          </cell>
          <cell r="C2933" t="str">
            <v>CL_29_</v>
          </cell>
          <cell r="D2933" t="str">
            <v>Rancho La Cuchilla No. 29</v>
          </cell>
          <cell r="E2933" t="str">
            <v>Vega Sánchez C.</v>
          </cell>
          <cell r="F2933">
            <v>300</v>
          </cell>
          <cell r="G2933">
            <v>1</v>
          </cell>
          <cell r="H2933">
            <v>300</v>
          </cell>
          <cell r="I2933">
            <v>41648</v>
          </cell>
          <cell r="J2933">
            <v>0</v>
          </cell>
          <cell r="W2933">
            <v>0</v>
          </cell>
          <cell r="AJ2933">
            <v>0</v>
          </cell>
          <cell r="AK2933">
            <v>300</v>
          </cell>
          <cell r="AW2933">
            <v>300</v>
          </cell>
        </row>
        <row r="2934">
          <cell r="B2934" t="str">
            <v>NÚMERO</v>
          </cell>
          <cell r="C2934" t="str">
            <v>CASA</v>
          </cell>
          <cell r="D2934" t="str">
            <v>DOMICILIO</v>
          </cell>
          <cell r="E2934" t="str">
            <v>FAMILIA</v>
          </cell>
          <cell r="F2934" t="str">
            <v>CUOTA</v>
          </cell>
          <cell r="G2934" t="str">
            <v>C_ING</v>
          </cell>
          <cell r="H2934" t="str">
            <v>IMPORTE</v>
          </cell>
          <cell r="I2934" t="str">
            <v>FECHA</v>
          </cell>
          <cell r="J2934" t="str">
            <v>CHK</v>
          </cell>
          <cell r="K2934" t="str">
            <v>ENE
2012</v>
          </cell>
          <cell r="L2934" t="str">
            <v>FEB
2012</v>
          </cell>
          <cell r="M2934" t="str">
            <v>MAR
2012</v>
          </cell>
          <cell r="N2934" t="str">
            <v>ABR
2012</v>
          </cell>
          <cell r="O2934" t="str">
            <v>MAY
2012</v>
          </cell>
          <cell r="P2934" t="str">
            <v>JUN
2012</v>
          </cell>
          <cell r="Q2934" t="str">
            <v>JUL
2012</v>
          </cell>
          <cell r="R2934" t="str">
            <v>AGO
2012</v>
          </cell>
          <cell r="S2934" t="str">
            <v>SEP
2012</v>
          </cell>
          <cell r="T2934" t="str">
            <v>OCT
2012</v>
          </cell>
          <cell r="U2934" t="str">
            <v>NOV
2012</v>
          </cell>
          <cell r="V2934" t="str">
            <v>DIC
2012</v>
          </cell>
          <cell r="W2934" t="str">
            <v>SUMA
2012</v>
          </cell>
          <cell r="X2934" t="str">
            <v>ENE
2013</v>
          </cell>
          <cell r="Y2934" t="str">
            <v>FEB
2013</v>
          </cell>
          <cell r="Z2934" t="str">
            <v>MAR
2013</v>
          </cell>
          <cell r="AA2934" t="str">
            <v>ABR
2013</v>
          </cell>
          <cell r="AB2934" t="str">
            <v>MAY
2013</v>
          </cell>
          <cell r="AC2934" t="str">
            <v>JUN
2013</v>
          </cell>
          <cell r="AD2934" t="str">
            <v>JUL
2013</v>
          </cell>
          <cell r="AE2934" t="str">
            <v>AGO
2013</v>
          </cell>
          <cell r="AF2934" t="str">
            <v>SEP
2013</v>
          </cell>
          <cell r="AG2934" t="str">
            <v>OCT
2013</v>
          </cell>
          <cell r="AH2934" t="str">
            <v>NOV
2013</v>
          </cell>
          <cell r="AI2934" t="str">
            <v>DIC
2013</v>
          </cell>
          <cell r="AJ2934" t="str">
            <v>SUMA
2013</v>
          </cell>
          <cell r="AK2934" t="str">
            <v>ENE
2014</v>
          </cell>
          <cell r="AL2934" t="str">
            <v>FEB
2014</v>
          </cell>
          <cell r="AM2934" t="str">
            <v>MAR
2014</v>
          </cell>
          <cell r="AN2934" t="str">
            <v>ABR
2014</v>
          </cell>
          <cell r="AO2934" t="str">
            <v>MAY
2014</v>
          </cell>
          <cell r="AP2934" t="str">
            <v>JUN
2014</v>
          </cell>
          <cell r="AQ2934" t="str">
            <v>JUL
2014</v>
          </cell>
          <cell r="AR2934" t="str">
            <v>AGO
2014</v>
          </cell>
          <cell r="AS2934" t="str">
            <v>SEP
2014</v>
          </cell>
          <cell r="AT2934" t="str">
            <v>OCT
2014</v>
          </cell>
          <cell r="AU2934" t="str">
            <v>NOV
2014</v>
          </cell>
          <cell r="AV2934" t="str">
            <v>DIC
2014</v>
          </cell>
          <cell r="AW2934" t="str">
            <v>SUMA
2014</v>
          </cell>
        </row>
        <row r="2935">
          <cell r="B2935">
            <v>6436</v>
          </cell>
          <cell r="C2935" t="str">
            <v>ZB_50_</v>
          </cell>
          <cell r="D2935" t="str">
            <v>Rancho Zinamba No. 50</v>
          </cell>
          <cell r="E2935" t="str">
            <v>Del Castillo</v>
          </cell>
          <cell r="F2935">
            <v>300</v>
          </cell>
          <cell r="G2935">
            <v>1</v>
          </cell>
          <cell r="H2935">
            <v>400</v>
          </cell>
          <cell r="I2935">
            <v>41672</v>
          </cell>
          <cell r="J2935">
            <v>0</v>
          </cell>
          <cell r="W2935">
            <v>0</v>
          </cell>
          <cell r="AJ2935">
            <v>0</v>
          </cell>
          <cell r="AK2935">
            <v>400</v>
          </cell>
          <cell r="AW2935">
            <v>400</v>
          </cell>
        </row>
        <row r="2936">
          <cell r="B2936">
            <v>6437</v>
          </cell>
          <cell r="C2936" t="str">
            <v>UP_32_</v>
          </cell>
          <cell r="D2936" t="str">
            <v>Rancho Upácuaro No. 32</v>
          </cell>
          <cell r="E2936" t="str">
            <v>Sairafi Carmen</v>
          </cell>
          <cell r="F2936">
            <v>300</v>
          </cell>
          <cell r="G2936">
            <v>1</v>
          </cell>
          <cell r="H2936">
            <v>400</v>
          </cell>
          <cell r="I2936">
            <v>41672</v>
          </cell>
          <cell r="J2936">
            <v>0</v>
          </cell>
          <cell r="W2936">
            <v>0</v>
          </cell>
          <cell r="AJ2936">
            <v>0</v>
          </cell>
          <cell r="AL2936">
            <v>400</v>
          </cell>
          <cell r="AW2936">
            <v>400</v>
          </cell>
        </row>
        <row r="2937">
          <cell r="B2937">
            <v>6438</v>
          </cell>
          <cell r="C2937" t="str">
            <v>UP_100_</v>
          </cell>
          <cell r="D2937" t="str">
            <v>Rancho Upácuaro No. 100</v>
          </cell>
          <cell r="E2937" t="str">
            <v>Mancera Rodríguez</v>
          </cell>
          <cell r="F2937">
            <v>300</v>
          </cell>
          <cell r="G2937">
            <v>1</v>
          </cell>
          <cell r="H2937">
            <v>400</v>
          </cell>
          <cell r="I2937">
            <v>41672</v>
          </cell>
          <cell r="J2937">
            <v>0</v>
          </cell>
          <cell r="W2937">
            <v>0</v>
          </cell>
          <cell r="AJ2937">
            <v>0</v>
          </cell>
          <cell r="AL2937">
            <v>400</v>
          </cell>
          <cell r="AW2937">
            <v>400</v>
          </cell>
        </row>
        <row r="2938">
          <cell r="B2938">
            <v>6439</v>
          </cell>
          <cell r="C2938" t="str">
            <v>UP_76_</v>
          </cell>
          <cell r="D2938" t="str">
            <v>Rancho Upácuaro No. 76</v>
          </cell>
          <cell r="E2938" t="str">
            <v>Ruiz de San Pedro</v>
          </cell>
          <cell r="F2938">
            <v>300</v>
          </cell>
          <cell r="G2938">
            <v>1</v>
          </cell>
          <cell r="H2938">
            <v>400</v>
          </cell>
          <cell r="I2938">
            <v>41672</v>
          </cell>
          <cell r="J2938">
            <v>0</v>
          </cell>
          <cell r="W2938">
            <v>0</v>
          </cell>
          <cell r="AJ2938">
            <v>0</v>
          </cell>
          <cell r="AL2938">
            <v>400</v>
          </cell>
          <cell r="AW2938">
            <v>400</v>
          </cell>
        </row>
        <row r="2939">
          <cell r="B2939">
            <v>6440</v>
          </cell>
          <cell r="C2939" t="str">
            <v>CL_20_</v>
          </cell>
          <cell r="D2939" t="str">
            <v>Rancho La Cuchilla No. 20</v>
          </cell>
          <cell r="E2939" t="str">
            <v>Sánchez López</v>
          </cell>
          <cell r="F2939">
            <v>300</v>
          </cell>
          <cell r="G2939">
            <v>1</v>
          </cell>
          <cell r="H2939">
            <v>400</v>
          </cell>
          <cell r="I2939">
            <v>41672</v>
          </cell>
          <cell r="J2939">
            <v>0</v>
          </cell>
          <cell r="W2939">
            <v>0</v>
          </cell>
          <cell r="AJ2939">
            <v>0</v>
          </cell>
          <cell r="AL2939">
            <v>400</v>
          </cell>
          <cell r="AW2939">
            <v>400</v>
          </cell>
        </row>
        <row r="2940">
          <cell r="B2940">
            <v>6441</v>
          </cell>
          <cell r="C2940" t="str">
            <v>CL_87_</v>
          </cell>
          <cell r="D2940" t="str">
            <v>Rancho La Cuchilla No. 87</v>
          </cell>
          <cell r="E2940" t="str">
            <v>Villanueva S.</v>
          </cell>
          <cell r="F2940">
            <v>300</v>
          </cell>
          <cell r="G2940">
            <v>1</v>
          </cell>
          <cell r="H2940">
            <v>400</v>
          </cell>
          <cell r="I2940">
            <v>41672</v>
          </cell>
          <cell r="J2940">
            <v>0</v>
          </cell>
          <cell r="W2940">
            <v>0</v>
          </cell>
          <cell r="AJ2940">
            <v>0</v>
          </cell>
          <cell r="AL2940">
            <v>400</v>
          </cell>
          <cell r="AW2940">
            <v>400</v>
          </cell>
        </row>
        <row r="2941">
          <cell r="B2941">
            <v>6442</v>
          </cell>
          <cell r="C2941" t="str">
            <v>LD_91_</v>
          </cell>
          <cell r="D2941" t="str">
            <v>Rancho Landero No. 91</v>
          </cell>
          <cell r="E2941" t="str">
            <v>Llaca</v>
          </cell>
          <cell r="F2941">
            <v>300</v>
          </cell>
          <cell r="G2941">
            <v>1</v>
          </cell>
          <cell r="H2941">
            <v>400</v>
          </cell>
          <cell r="I2941">
            <v>41672</v>
          </cell>
          <cell r="J2941">
            <v>0</v>
          </cell>
          <cell r="W2941">
            <v>0</v>
          </cell>
          <cell r="AJ2941">
            <v>0</v>
          </cell>
          <cell r="AL2941">
            <v>400</v>
          </cell>
          <cell r="AW2941">
            <v>400</v>
          </cell>
        </row>
        <row r="2942">
          <cell r="B2942">
            <v>6443</v>
          </cell>
          <cell r="C2942" t="str">
            <v>LD_30_</v>
          </cell>
          <cell r="D2942" t="str">
            <v>Rancho Landero No. 30</v>
          </cell>
          <cell r="E2942" t="str">
            <v>Torres Guzmán</v>
          </cell>
          <cell r="F2942">
            <v>300</v>
          </cell>
          <cell r="G2942">
            <v>1</v>
          </cell>
          <cell r="H2942">
            <v>800</v>
          </cell>
          <cell r="I2942">
            <v>41672</v>
          </cell>
          <cell r="J2942">
            <v>0</v>
          </cell>
          <cell r="W2942">
            <v>0</v>
          </cell>
          <cell r="AJ2942">
            <v>0</v>
          </cell>
          <cell r="AL2942">
            <v>400</v>
          </cell>
          <cell r="AM2942">
            <v>400</v>
          </cell>
          <cell r="AW2942">
            <v>800</v>
          </cell>
        </row>
        <row r="2943">
          <cell r="B2943">
            <v>6444</v>
          </cell>
          <cell r="C2943" t="str">
            <v>UP_93_</v>
          </cell>
          <cell r="D2943" t="str">
            <v>Rancho Upácuaro No. 93</v>
          </cell>
          <cell r="E2943" t="str">
            <v>Valdés</v>
          </cell>
          <cell r="F2943">
            <v>300</v>
          </cell>
          <cell r="G2943">
            <v>1</v>
          </cell>
          <cell r="H2943">
            <v>400</v>
          </cell>
          <cell r="I2943">
            <v>41672</v>
          </cell>
          <cell r="J2943">
            <v>0</v>
          </cell>
          <cell r="W2943">
            <v>0</v>
          </cell>
          <cell r="AJ2943">
            <v>0</v>
          </cell>
          <cell r="AL2943">
            <v>400</v>
          </cell>
          <cell r="AW2943">
            <v>400</v>
          </cell>
        </row>
        <row r="2944">
          <cell r="B2944">
            <v>6445</v>
          </cell>
          <cell r="C2944" t="str">
            <v>EZ_157_3</v>
          </cell>
          <cell r="D2944" t="str">
            <v>Rancho Estanzuela No. 157, 3</v>
          </cell>
          <cell r="E2944" t="str">
            <v>Conde</v>
          </cell>
          <cell r="F2944">
            <v>300</v>
          </cell>
          <cell r="G2944">
            <v>1</v>
          </cell>
          <cell r="H2944">
            <v>300</v>
          </cell>
          <cell r="I2944">
            <v>41672</v>
          </cell>
          <cell r="J2944">
            <v>0</v>
          </cell>
          <cell r="W2944">
            <v>0</v>
          </cell>
          <cell r="AJ2944">
            <v>0</v>
          </cell>
          <cell r="AK2944">
            <v>150</v>
          </cell>
          <cell r="AL2944">
            <v>150</v>
          </cell>
          <cell r="AW2944">
            <v>300</v>
          </cell>
        </row>
        <row r="2945">
          <cell r="B2945">
            <v>6446</v>
          </cell>
          <cell r="C2945" t="str">
            <v>LD_42_</v>
          </cell>
          <cell r="D2945" t="str">
            <v>Rancho Landero No. 42</v>
          </cell>
          <cell r="E2945" t="str">
            <v>Ávila Fidel</v>
          </cell>
          <cell r="F2945">
            <v>300</v>
          </cell>
          <cell r="G2945">
            <v>1</v>
          </cell>
          <cell r="H2945">
            <v>400</v>
          </cell>
          <cell r="I2945">
            <v>41672</v>
          </cell>
          <cell r="J2945">
            <v>0</v>
          </cell>
          <cell r="W2945">
            <v>0</v>
          </cell>
          <cell r="AJ2945">
            <v>0</v>
          </cell>
          <cell r="AL2945">
            <v>400</v>
          </cell>
          <cell r="AW2945">
            <v>400</v>
          </cell>
        </row>
        <row r="2946">
          <cell r="B2946">
            <v>6447</v>
          </cell>
          <cell r="C2946" t="str">
            <v>CL_40_</v>
          </cell>
          <cell r="D2946" t="str">
            <v>Rancho La Cuchilla No. 40</v>
          </cell>
          <cell r="E2946" t="str">
            <v>López Pico</v>
          </cell>
          <cell r="F2946">
            <v>300</v>
          </cell>
          <cell r="G2946">
            <v>1</v>
          </cell>
          <cell r="H2946">
            <v>400</v>
          </cell>
          <cell r="I2946">
            <v>41672</v>
          </cell>
          <cell r="J2946">
            <v>0</v>
          </cell>
          <cell r="W2946">
            <v>0</v>
          </cell>
          <cell r="AJ2946">
            <v>0</v>
          </cell>
          <cell r="AL2946">
            <v>400</v>
          </cell>
          <cell r="AW2946">
            <v>400</v>
          </cell>
        </row>
        <row r="2947">
          <cell r="B2947">
            <v>6448</v>
          </cell>
          <cell r="C2947" t="str">
            <v>ZB_68_</v>
          </cell>
          <cell r="D2947" t="str">
            <v>Rancho Zinamba No. 68</v>
          </cell>
          <cell r="E2947" t="str">
            <v>Rivera Villicaña</v>
          </cell>
          <cell r="F2947">
            <v>300</v>
          </cell>
          <cell r="G2947">
            <v>1</v>
          </cell>
          <cell r="H2947">
            <v>300</v>
          </cell>
          <cell r="I2947">
            <v>41672</v>
          </cell>
          <cell r="J2947">
            <v>0</v>
          </cell>
          <cell r="W2947">
            <v>0</v>
          </cell>
          <cell r="AJ2947">
            <v>0</v>
          </cell>
          <cell r="AL2947">
            <v>300</v>
          </cell>
          <cell r="AW2947">
            <v>300</v>
          </cell>
        </row>
        <row r="2948">
          <cell r="B2948">
            <v>6449</v>
          </cell>
          <cell r="C2948" t="str">
            <v>LD_25_</v>
          </cell>
          <cell r="D2948" t="str">
            <v>Rancho Landero No. 25</v>
          </cell>
          <cell r="E2948" t="str">
            <v>Escamilla Martínez</v>
          </cell>
          <cell r="F2948">
            <v>300</v>
          </cell>
          <cell r="G2948">
            <v>1</v>
          </cell>
          <cell r="H2948">
            <v>400</v>
          </cell>
          <cell r="I2948">
            <v>41672</v>
          </cell>
          <cell r="J2948">
            <v>0</v>
          </cell>
          <cell r="W2948">
            <v>0</v>
          </cell>
          <cell r="AI2948">
            <v>400</v>
          </cell>
          <cell r="AJ2948">
            <v>400</v>
          </cell>
          <cell r="AW2948">
            <v>0</v>
          </cell>
        </row>
        <row r="2949">
          <cell r="B2949">
            <v>6450</v>
          </cell>
          <cell r="C2949" t="str">
            <v>UP_140_</v>
          </cell>
          <cell r="D2949" t="str">
            <v>Rancho Upácuaro No. 140</v>
          </cell>
          <cell r="E2949" t="str">
            <v>Gozain</v>
          </cell>
          <cell r="F2949">
            <v>300</v>
          </cell>
          <cell r="G2949">
            <v>1</v>
          </cell>
          <cell r="H2949">
            <v>400</v>
          </cell>
          <cell r="I2949">
            <v>41672</v>
          </cell>
          <cell r="J2949">
            <v>0</v>
          </cell>
          <cell r="W2949">
            <v>0</v>
          </cell>
          <cell r="AJ2949">
            <v>0</v>
          </cell>
          <cell r="AL2949">
            <v>400</v>
          </cell>
          <cell r="AW2949">
            <v>400</v>
          </cell>
        </row>
        <row r="2950">
          <cell r="B2950">
            <v>6451</v>
          </cell>
          <cell r="C2950" t="str">
            <v>CL_93_</v>
          </cell>
          <cell r="D2950" t="str">
            <v>Rancho La Cuchilla No. 93</v>
          </cell>
          <cell r="E2950" t="str">
            <v>Alcántara Silva</v>
          </cell>
          <cell r="F2950">
            <v>300</v>
          </cell>
          <cell r="G2950">
            <v>1</v>
          </cell>
          <cell r="H2950">
            <v>400</v>
          </cell>
          <cell r="I2950">
            <v>41672</v>
          </cell>
          <cell r="J2950">
            <v>0</v>
          </cell>
          <cell r="W2950">
            <v>0</v>
          </cell>
          <cell r="AJ2950">
            <v>0</v>
          </cell>
          <cell r="AL2950">
            <v>400</v>
          </cell>
          <cell r="AW2950">
            <v>400</v>
          </cell>
        </row>
        <row r="2951">
          <cell r="B2951">
            <v>6452</v>
          </cell>
          <cell r="C2951" t="str">
            <v>CL_45_</v>
          </cell>
          <cell r="D2951" t="str">
            <v>Rancho La Cuchilla No. 45</v>
          </cell>
          <cell r="E2951" t="str">
            <v>Estévez Hernández</v>
          </cell>
          <cell r="F2951">
            <v>300</v>
          </cell>
          <cell r="G2951">
            <v>1</v>
          </cell>
          <cell r="H2951">
            <v>400</v>
          </cell>
          <cell r="I2951">
            <v>41672</v>
          </cell>
          <cell r="J2951">
            <v>0</v>
          </cell>
          <cell r="W2951">
            <v>0</v>
          </cell>
          <cell r="AJ2951">
            <v>0</v>
          </cell>
          <cell r="AL2951">
            <v>400</v>
          </cell>
          <cell r="AW2951">
            <v>400</v>
          </cell>
        </row>
        <row r="2952">
          <cell r="B2952">
            <v>6453</v>
          </cell>
          <cell r="C2952" t="str">
            <v>ZB_44_</v>
          </cell>
          <cell r="D2952" t="str">
            <v>Rancho Zinamba No. 44</v>
          </cell>
          <cell r="E2952" t="str">
            <v>Canales</v>
          </cell>
          <cell r="F2952">
            <v>300</v>
          </cell>
          <cell r="G2952">
            <v>1</v>
          </cell>
          <cell r="H2952">
            <v>400</v>
          </cell>
          <cell r="I2952">
            <v>41672</v>
          </cell>
          <cell r="J2952">
            <v>0</v>
          </cell>
          <cell r="W2952">
            <v>0</v>
          </cell>
          <cell r="AJ2952">
            <v>0</v>
          </cell>
          <cell r="AL2952">
            <v>400</v>
          </cell>
          <cell r="AW2952">
            <v>400</v>
          </cell>
        </row>
        <row r="2953">
          <cell r="B2953">
            <v>6454</v>
          </cell>
          <cell r="C2953" t="str">
            <v>LD_90_</v>
          </cell>
          <cell r="D2953" t="str">
            <v>Rancho Landero No. 90</v>
          </cell>
          <cell r="E2953" t="str">
            <v>Córdova Reséndiz</v>
          </cell>
          <cell r="F2953">
            <v>300</v>
          </cell>
          <cell r="G2953">
            <v>1</v>
          </cell>
          <cell r="H2953">
            <v>300</v>
          </cell>
          <cell r="I2953">
            <v>41672</v>
          </cell>
          <cell r="J2953">
            <v>0</v>
          </cell>
          <cell r="W2953">
            <v>0</v>
          </cell>
          <cell r="AJ2953">
            <v>0</v>
          </cell>
          <cell r="AL2953">
            <v>300</v>
          </cell>
          <cell r="AW2953">
            <v>300</v>
          </cell>
        </row>
        <row r="2954">
          <cell r="B2954">
            <v>6455</v>
          </cell>
          <cell r="C2954" t="str">
            <v>UP_34_</v>
          </cell>
          <cell r="D2954" t="str">
            <v>Rancho Upácuaro No. 34</v>
          </cell>
          <cell r="E2954" t="str">
            <v>Gómez González</v>
          </cell>
          <cell r="F2954">
            <v>300</v>
          </cell>
          <cell r="G2954">
            <v>1</v>
          </cell>
          <cell r="H2954">
            <v>300</v>
          </cell>
          <cell r="I2954">
            <v>41672</v>
          </cell>
          <cell r="J2954">
            <v>0</v>
          </cell>
          <cell r="W2954">
            <v>0</v>
          </cell>
          <cell r="AJ2954">
            <v>0</v>
          </cell>
          <cell r="AL2954">
            <v>300</v>
          </cell>
          <cell r="AW2954">
            <v>300</v>
          </cell>
        </row>
        <row r="2955">
          <cell r="B2955">
            <v>6456</v>
          </cell>
          <cell r="C2955" t="str">
            <v>UP_70_</v>
          </cell>
          <cell r="D2955" t="str">
            <v>Rancho Upácuaro No. 70</v>
          </cell>
          <cell r="E2955" t="str">
            <v>Ramírez Tejeda</v>
          </cell>
          <cell r="F2955">
            <v>300</v>
          </cell>
          <cell r="G2955">
            <v>1</v>
          </cell>
          <cell r="H2955">
            <v>300</v>
          </cell>
          <cell r="I2955">
            <v>41672</v>
          </cell>
          <cell r="J2955">
            <v>0</v>
          </cell>
          <cell r="W2955">
            <v>0</v>
          </cell>
          <cell r="AJ2955">
            <v>0</v>
          </cell>
          <cell r="AL2955">
            <v>300</v>
          </cell>
          <cell r="AW2955">
            <v>300</v>
          </cell>
        </row>
        <row r="2956">
          <cell r="B2956">
            <v>6457</v>
          </cell>
          <cell r="C2956" t="str">
            <v>CL_139_</v>
          </cell>
          <cell r="D2956" t="str">
            <v>Rancho La Cuchilla No. 139</v>
          </cell>
          <cell r="E2956" t="str">
            <v>Santos</v>
          </cell>
          <cell r="F2956">
            <v>200</v>
          </cell>
          <cell r="G2956">
            <v>1</v>
          </cell>
          <cell r="H2956">
            <v>200</v>
          </cell>
          <cell r="I2956">
            <v>41672</v>
          </cell>
          <cell r="J2956">
            <v>0</v>
          </cell>
          <cell r="W2956">
            <v>0</v>
          </cell>
          <cell r="AJ2956">
            <v>0</v>
          </cell>
          <cell r="AL2956">
            <v>200</v>
          </cell>
          <cell r="AW2956">
            <v>200</v>
          </cell>
        </row>
        <row r="2957">
          <cell r="B2957">
            <v>6458</v>
          </cell>
          <cell r="C2957" t="str">
            <v>RV_193_</v>
          </cell>
          <cell r="D2957" t="str">
            <v>Rancho Recoveco No. 193</v>
          </cell>
          <cell r="E2957" t="str">
            <v>Salazar Pérez</v>
          </cell>
          <cell r="F2957">
            <v>300</v>
          </cell>
          <cell r="G2957">
            <v>1</v>
          </cell>
          <cell r="H2957">
            <v>900</v>
          </cell>
          <cell r="I2957">
            <v>41672</v>
          </cell>
          <cell r="J2957">
            <v>0</v>
          </cell>
          <cell r="W2957">
            <v>0</v>
          </cell>
          <cell r="AH2957">
            <v>300</v>
          </cell>
          <cell r="AI2957">
            <v>300</v>
          </cell>
          <cell r="AJ2957">
            <v>600</v>
          </cell>
          <cell r="AK2957">
            <v>300</v>
          </cell>
          <cell r="AW2957">
            <v>300</v>
          </cell>
        </row>
        <row r="2958">
          <cell r="B2958">
            <v>6459</v>
          </cell>
          <cell r="C2958" t="str">
            <v>CL_36_</v>
          </cell>
          <cell r="D2958" t="str">
            <v>Rancho La Cuchilla No. 36</v>
          </cell>
          <cell r="E2958" t="str">
            <v>Castillo</v>
          </cell>
          <cell r="F2958">
            <v>300</v>
          </cell>
          <cell r="G2958">
            <v>1</v>
          </cell>
          <cell r="H2958">
            <v>400</v>
          </cell>
          <cell r="I2958">
            <v>41672</v>
          </cell>
          <cell r="J2958">
            <v>0</v>
          </cell>
          <cell r="W2958">
            <v>0</v>
          </cell>
          <cell r="AJ2958">
            <v>0</v>
          </cell>
          <cell r="AL2958">
            <v>400</v>
          </cell>
          <cell r="AW2958">
            <v>400</v>
          </cell>
        </row>
        <row r="2959">
          <cell r="B2959">
            <v>6460</v>
          </cell>
          <cell r="C2959" t="str">
            <v>EZ_31_</v>
          </cell>
          <cell r="D2959" t="str">
            <v>Rancho Estanzuela No. 31</v>
          </cell>
          <cell r="E2959" t="str">
            <v>Chávez Valdés</v>
          </cell>
          <cell r="F2959">
            <v>300</v>
          </cell>
          <cell r="G2959">
            <v>1</v>
          </cell>
          <cell r="H2959">
            <v>400</v>
          </cell>
          <cell r="I2959">
            <v>41672</v>
          </cell>
          <cell r="J2959">
            <v>0</v>
          </cell>
          <cell r="W2959">
            <v>0</v>
          </cell>
          <cell r="AJ2959">
            <v>0</v>
          </cell>
          <cell r="AL2959">
            <v>400</v>
          </cell>
          <cell r="AW2959">
            <v>400</v>
          </cell>
        </row>
        <row r="2960">
          <cell r="B2960">
            <v>6460</v>
          </cell>
          <cell r="C2960" t="str">
            <v>EZ_31_</v>
          </cell>
          <cell r="D2960" t="str">
            <v>Rancho Estanzuela No. 31</v>
          </cell>
          <cell r="E2960" t="str">
            <v>Chávez Valdés</v>
          </cell>
          <cell r="F2960">
            <v>300</v>
          </cell>
          <cell r="G2960">
            <v>3</v>
          </cell>
          <cell r="H2960">
            <v>160</v>
          </cell>
          <cell r="I2960">
            <v>41672</v>
          </cell>
          <cell r="J2960" t="str">
            <v>NO SUMA</v>
          </cell>
          <cell r="W2960">
            <v>0</v>
          </cell>
          <cell r="AJ2960">
            <v>0</v>
          </cell>
          <cell r="AW2960">
            <v>0</v>
          </cell>
        </row>
        <row r="2961">
          <cell r="B2961">
            <v>6461</v>
          </cell>
          <cell r="C2961" t="str">
            <v>ZB_18_</v>
          </cell>
          <cell r="D2961" t="str">
            <v>Rancho Zinamba No. 18</v>
          </cell>
          <cell r="E2961" t="str">
            <v>Hernández Castro</v>
          </cell>
          <cell r="F2961">
            <v>300</v>
          </cell>
          <cell r="G2961">
            <v>1</v>
          </cell>
          <cell r="H2961">
            <v>1000</v>
          </cell>
          <cell r="I2961">
            <v>41672</v>
          </cell>
          <cell r="J2961">
            <v>0</v>
          </cell>
          <cell r="W2961">
            <v>0</v>
          </cell>
          <cell r="AC2961">
            <v>200</v>
          </cell>
          <cell r="AD2961">
            <v>200</v>
          </cell>
          <cell r="AE2961">
            <v>200</v>
          </cell>
          <cell r="AH2961">
            <v>200</v>
          </cell>
          <cell r="AI2961">
            <v>200</v>
          </cell>
          <cell r="AJ2961">
            <v>1000</v>
          </cell>
          <cell r="AW2961">
            <v>0</v>
          </cell>
        </row>
        <row r="2962">
          <cell r="B2962">
            <v>6461</v>
          </cell>
          <cell r="C2962" t="str">
            <v>ZB_18_</v>
          </cell>
          <cell r="D2962" t="str">
            <v>Rancho Zinamba No. 18</v>
          </cell>
          <cell r="E2962" t="str">
            <v>Hernández Castro</v>
          </cell>
          <cell r="F2962">
            <v>300</v>
          </cell>
          <cell r="G2962">
            <v>4</v>
          </cell>
          <cell r="H2962">
            <v>160</v>
          </cell>
          <cell r="I2962">
            <v>41672</v>
          </cell>
          <cell r="J2962" t="str">
            <v>NO SUMA</v>
          </cell>
          <cell r="W2962">
            <v>0</v>
          </cell>
          <cell r="AJ2962">
            <v>0</v>
          </cell>
          <cell r="AW2962">
            <v>0</v>
          </cell>
        </row>
        <row r="2963">
          <cell r="B2963">
            <v>6462</v>
          </cell>
          <cell r="C2963" t="str">
            <v>CL_115_</v>
          </cell>
          <cell r="D2963" t="str">
            <v>Rancho La Cuchilla No. 115</v>
          </cell>
          <cell r="E2963" t="str">
            <v>Alfaro</v>
          </cell>
          <cell r="F2963">
            <v>300</v>
          </cell>
          <cell r="G2963">
            <v>1</v>
          </cell>
          <cell r="H2963">
            <v>400</v>
          </cell>
          <cell r="I2963">
            <v>41672</v>
          </cell>
          <cell r="J2963">
            <v>0</v>
          </cell>
          <cell r="W2963">
            <v>0</v>
          </cell>
          <cell r="AI2963">
            <v>400</v>
          </cell>
          <cell r="AJ2963">
            <v>400</v>
          </cell>
          <cell r="AW2963">
            <v>0</v>
          </cell>
        </row>
        <row r="2964">
          <cell r="B2964">
            <v>6463</v>
          </cell>
          <cell r="C2964" t="str">
            <v>EZ_89_</v>
          </cell>
          <cell r="D2964" t="str">
            <v>Rancho Estanzuela No. 89</v>
          </cell>
          <cell r="E2964" t="str">
            <v>Romero Ortiz</v>
          </cell>
          <cell r="F2964">
            <v>300</v>
          </cell>
          <cell r="G2964">
            <v>1</v>
          </cell>
          <cell r="H2964">
            <v>400</v>
          </cell>
          <cell r="I2964">
            <v>41672</v>
          </cell>
          <cell r="J2964">
            <v>0</v>
          </cell>
          <cell r="W2964">
            <v>0</v>
          </cell>
          <cell r="AJ2964">
            <v>0</v>
          </cell>
          <cell r="AL2964">
            <v>400</v>
          </cell>
          <cell r="AW2964">
            <v>400</v>
          </cell>
        </row>
        <row r="2965">
          <cell r="B2965">
            <v>6464</v>
          </cell>
          <cell r="C2965" t="str">
            <v>ZB_36_</v>
          </cell>
          <cell r="D2965" t="str">
            <v>Rancho Zinamba No. 36</v>
          </cell>
          <cell r="E2965" t="str">
            <v>Rodríguez Ortiz</v>
          </cell>
          <cell r="F2965">
            <v>300</v>
          </cell>
          <cell r="G2965">
            <v>1</v>
          </cell>
          <cell r="H2965">
            <v>400</v>
          </cell>
          <cell r="I2965">
            <v>41672</v>
          </cell>
          <cell r="J2965">
            <v>0</v>
          </cell>
          <cell r="W2965">
            <v>0</v>
          </cell>
          <cell r="AJ2965">
            <v>0</v>
          </cell>
          <cell r="AL2965">
            <v>400</v>
          </cell>
          <cell r="AW2965">
            <v>400</v>
          </cell>
        </row>
        <row r="2966">
          <cell r="B2966">
            <v>6465</v>
          </cell>
          <cell r="C2966" t="str">
            <v>UP_96_</v>
          </cell>
          <cell r="D2966" t="str">
            <v>Rancho Upácuaro No. 96</v>
          </cell>
          <cell r="E2966" t="str">
            <v>Daza Gutiérrez</v>
          </cell>
          <cell r="F2966">
            <v>300</v>
          </cell>
          <cell r="G2966">
            <v>1</v>
          </cell>
          <cell r="H2966">
            <v>400</v>
          </cell>
          <cell r="I2966">
            <v>41672</v>
          </cell>
          <cell r="J2966">
            <v>0</v>
          </cell>
          <cell r="W2966">
            <v>0</v>
          </cell>
          <cell r="AJ2966">
            <v>0</v>
          </cell>
          <cell r="AK2966">
            <v>400</v>
          </cell>
          <cell r="AW2966">
            <v>400</v>
          </cell>
        </row>
        <row r="2967">
          <cell r="B2967">
            <v>6466</v>
          </cell>
          <cell r="C2967" t="str">
            <v>UP_18_</v>
          </cell>
          <cell r="D2967" t="str">
            <v>Rancho Upácuaro No. 18</v>
          </cell>
          <cell r="E2967" t="str">
            <v>Guzmán</v>
          </cell>
          <cell r="F2967">
            <v>300</v>
          </cell>
          <cell r="G2967">
            <v>1</v>
          </cell>
          <cell r="H2967">
            <v>300</v>
          </cell>
          <cell r="I2967">
            <v>41672</v>
          </cell>
          <cell r="J2967">
            <v>0</v>
          </cell>
          <cell r="W2967">
            <v>0</v>
          </cell>
          <cell r="AJ2967">
            <v>0</v>
          </cell>
          <cell r="AL2967">
            <v>300</v>
          </cell>
          <cell r="AW2967">
            <v>300</v>
          </cell>
        </row>
        <row r="2968">
          <cell r="B2968">
            <v>6467</v>
          </cell>
          <cell r="C2968" t="str">
            <v>EP_18_</v>
          </cell>
          <cell r="D2968" t="str">
            <v>Rancho Estopila No. 18</v>
          </cell>
          <cell r="E2968" t="str">
            <v>Aguilar Zarmeño</v>
          </cell>
          <cell r="F2968">
            <v>300</v>
          </cell>
          <cell r="G2968">
            <v>1</v>
          </cell>
          <cell r="H2968">
            <v>800</v>
          </cell>
          <cell r="I2968">
            <v>41672</v>
          </cell>
          <cell r="J2968">
            <v>0</v>
          </cell>
          <cell r="W2968">
            <v>0</v>
          </cell>
          <cell r="AJ2968">
            <v>0</v>
          </cell>
          <cell r="AK2968">
            <v>400</v>
          </cell>
          <cell r="AL2968">
            <v>400</v>
          </cell>
          <cell r="AW2968">
            <v>800</v>
          </cell>
        </row>
        <row r="2969">
          <cell r="B2969">
            <v>6468</v>
          </cell>
          <cell r="C2969" t="str">
            <v>LD_7_</v>
          </cell>
          <cell r="D2969" t="str">
            <v>Rancho Landero No. 7</v>
          </cell>
          <cell r="E2969" t="str">
            <v>Robles</v>
          </cell>
          <cell r="F2969">
            <v>150</v>
          </cell>
          <cell r="G2969">
            <v>1</v>
          </cell>
          <cell r="H2969">
            <v>150</v>
          </cell>
          <cell r="I2969">
            <v>41672</v>
          </cell>
          <cell r="J2969">
            <v>0</v>
          </cell>
          <cell r="W2969">
            <v>0</v>
          </cell>
          <cell r="AJ2969">
            <v>0</v>
          </cell>
          <cell r="AL2969">
            <v>150</v>
          </cell>
          <cell r="AW2969">
            <v>150</v>
          </cell>
        </row>
        <row r="2970">
          <cell r="B2970">
            <v>6469</v>
          </cell>
          <cell r="C2970" t="str">
            <v>CL_82_</v>
          </cell>
          <cell r="D2970" t="str">
            <v>Rancho La Cuchilla No. 82</v>
          </cell>
          <cell r="E2970" t="str">
            <v>Cruz</v>
          </cell>
          <cell r="F2970">
            <v>300</v>
          </cell>
          <cell r="G2970">
            <v>1</v>
          </cell>
          <cell r="H2970">
            <v>800</v>
          </cell>
          <cell r="I2970">
            <v>41672</v>
          </cell>
          <cell r="J2970">
            <v>0</v>
          </cell>
          <cell r="W2970">
            <v>0</v>
          </cell>
          <cell r="AJ2970">
            <v>0</v>
          </cell>
          <cell r="AK2970">
            <v>400</v>
          </cell>
          <cell r="AL2970">
            <v>400</v>
          </cell>
          <cell r="AW2970">
            <v>800</v>
          </cell>
        </row>
        <row r="2971">
          <cell r="B2971">
            <v>6470</v>
          </cell>
          <cell r="C2971" t="str">
            <v>CL_120_</v>
          </cell>
          <cell r="D2971" t="str">
            <v>Rancho La Cuchilla No. 120</v>
          </cell>
          <cell r="E2971" t="str">
            <v>Pozos Vilchis</v>
          </cell>
          <cell r="F2971">
            <v>300</v>
          </cell>
          <cell r="G2971">
            <v>1</v>
          </cell>
          <cell r="H2971">
            <v>400</v>
          </cell>
          <cell r="I2971">
            <v>41672</v>
          </cell>
          <cell r="J2971">
            <v>0</v>
          </cell>
          <cell r="W2971">
            <v>0</v>
          </cell>
          <cell r="AJ2971">
            <v>0</v>
          </cell>
          <cell r="AL2971">
            <v>400</v>
          </cell>
          <cell r="AW2971">
            <v>400</v>
          </cell>
        </row>
        <row r="2972">
          <cell r="B2972">
            <v>6471</v>
          </cell>
          <cell r="C2972" t="str">
            <v>LD_37_</v>
          </cell>
          <cell r="D2972" t="str">
            <v>Rancho Landero No. 37</v>
          </cell>
          <cell r="E2972" t="str">
            <v>Hernández</v>
          </cell>
          <cell r="F2972">
            <v>300</v>
          </cell>
          <cell r="G2972">
            <v>1</v>
          </cell>
          <cell r="H2972">
            <v>1500</v>
          </cell>
          <cell r="I2972">
            <v>41672</v>
          </cell>
          <cell r="J2972">
            <v>0</v>
          </cell>
          <cell r="W2972">
            <v>0</v>
          </cell>
          <cell r="AG2972">
            <v>300</v>
          </cell>
          <cell r="AH2972">
            <v>300</v>
          </cell>
          <cell r="AI2972">
            <v>300</v>
          </cell>
          <cell r="AJ2972">
            <v>900</v>
          </cell>
          <cell r="AK2972">
            <v>300</v>
          </cell>
          <cell r="AL2972">
            <v>300</v>
          </cell>
          <cell r="AW2972">
            <v>600</v>
          </cell>
        </row>
        <row r="2973">
          <cell r="B2973">
            <v>6472</v>
          </cell>
          <cell r="C2973" t="str">
            <v>HS_846_</v>
          </cell>
          <cell r="D2973" t="str">
            <v>Calzada del Hueso No. 846</v>
          </cell>
          <cell r="E2973" t="str">
            <v>Carreño Solís</v>
          </cell>
          <cell r="F2973">
            <v>400</v>
          </cell>
          <cell r="G2973">
            <v>1</v>
          </cell>
          <cell r="I2973">
            <v>41675</v>
          </cell>
          <cell r="J2973">
            <v>0</v>
          </cell>
          <cell r="W2973">
            <v>0</v>
          </cell>
          <cell r="AJ2973">
            <v>0</v>
          </cell>
          <cell r="AW2973">
            <v>0</v>
          </cell>
        </row>
        <row r="2974">
          <cell r="B2974">
            <v>6473</v>
          </cell>
          <cell r="C2974" t="str">
            <v>HS_846_</v>
          </cell>
          <cell r="D2974" t="str">
            <v>Calzada del Hueso No. 846</v>
          </cell>
          <cell r="E2974" t="str">
            <v>Carreño Solís</v>
          </cell>
          <cell r="F2974">
            <v>400</v>
          </cell>
          <cell r="G2974">
            <v>1</v>
          </cell>
          <cell r="I2974">
            <v>41676</v>
          </cell>
          <cell r="J2974">
            <v>0</v>
          </cell>
          <cell r="W2974">
            <v>0</v>
          </cell>
          <cell r="AJ2974">
            <v>0</v>
          </cell>
          <cell r="AW2974">
            <v>0</v>
          </cell>
        </row>
        <row r="2975">
          <cell r="B2975">
            <v>6474</v>
          </cell>
          <cell r="C2975" t="str">
            <v>ZB_26_</v>
          </cell>
          <cell r="D2975" t="str">
            <v>Rancho Zinamba No. 26</v>
          </cell>
          <cell r="E2975" t="str">
            <v>Ayala</v>
          </cell>
          <cell r="F2975">
            <v>160</v>
          </cell>
          <cell r="G2975">
            <v>4</v>
          </cell>
          <cell r="H2975">
            <v>160</v>
          </cell>
          <cell r="I2975">
            <v>41672</v>
          </cell>
          <cell r="J2975" t="str">
            <v>NO SUMA</v>
          </cell>
          <cell r="W2975">
            <v>0</v>
          </cell>
          <cell r="AJ2975">
            <v>0</v>
          </cell>
          <cell r="AW2975">
            <v>0</v>
          </cell>
        </row>
        <row r="2976">
          <cell r="B2976">
            <v>6474</v>
          </cell>
          <cell r="C2976" t="str">
            <v>ZB_26_</v>
          </cell>
          <cell r="D2976" t="str">
            <v>Rancho Zinamba No. 26</v>
          </cell>
          <cell r="E2976" t="str">
            <v>Ayala</v>
          </cell>
          <cell r="F2976">
            <v>300</v>
          </cell>
          <cell r="G2976">
            <v>3</v>
          </cell>
          <cell r="H2976">
            <v>160</v>
          </cell>
          <cell r="I2976">
            <v>41672</v>
          </cell>
          <cell r="J2976" t="str">
            <v>NO SUMA</v>
          </cell>
          <cell r="W2976">
            <v>0</v>
          </cell>
          <cell r="AJ2976">
            <v>0</v>
          </cell>
          <cell r="AW2976">
            <v>0</v>
          </cell>
        </row>
        <row r="2977">
          <cell r="B2977">
            <v>6475</v>
          </cell>
          <cell r="C2977" t="str">
            <v>LD_71_</v>
          </cell>
          <cell r="D2977" t="str">
            <v>Rancho Landero No. 71</v>
          </cell>
          <cell r="E2977" t="str">
            <v>Cabrera Balcázar</v>
          </cell>
          <cell r="F2977">
            <v>300</v>
          </cell>
          <cell r="G2977">
            <v>1</v>
          </cell>
          <cell r="H2977">
            <v>400</v>
          </cell>
          <cell r="I2977">
            <v>41679</v>
          </cell>
          <cell r="J2977">
            <v>0</v>
          </cell>
          <cell r="W2977">
            <v>0</v>
          </cell>
          <cell r="AJ2977">
            <v>0</v>
          </cell>
          <cell r="AL2977">
            <v>400</v>
          </cell>
          <cell r="AW2977">
            <v>400</v>
          </cell>
        </row>
        <row r="2978">
          <cell r="B2978">
            <v>6476</v>
          </cell>
          <cell r="C2978" t="str">
            <v>EZ_119_1</v>
          </cell>
          <cell r="D2978" t="str">
            <v>Rancho Estanzuela No. 119</v>
          </cell>
          <cell r="E2978" t="str">
            <v>López Tovar</v>
          </cell>
          <cell r="F2978">
            <v>300</v>
          </cell>
          <cell r="G2978">
            <v>3</v>
          </cell>
          <cell r="H2978">
            <v>160</v>
          </cell>
          <cell r="I2978">
            <v>41679</v>
          </cell>
          <cell r="J2978" t="str">
            <v>NO SUMA</v>
          </cell>
          <cell r="W2978">
            <v>0</v>
          </cell>
          <cell r="AJ2978">
            <v>0</v>
          </cell>
          <cell r="AW2978">
            <v>0</v>
          </cell>
        </row>
        <row r="2979">
          <cell r="B2979">
            <v>6477</v>
          </cell>
          <cell r="C2979" t="str">
            <v>CL_31_</v>
          </cell>
          <cell r="D2979" t="str">
            <v>Rancho La Cuchilla No. 31</v>
          </cell>
          <cell r="E2979" t="str">
            <v>Espinoza Serrano</v>
          </cell>
          <cell r="F2979">
            <v>300</v>
          </cell>
          <cell r="G2979">
            <v>3</v>
          </cell>
          <cell r="H2979">
            <v>160</v>
          </cell>
          <cell r="I2979">
            <v>41679</v>
          </cell>
          <cell r="J2979" t="str">
            <v>NO SUMA</v>
          </cell>
          <cell r="W2979">
            <v>0</v>
          </cell>
          <cell r="AJ2979">
            <v>0</v>
          </cell>
          <cell r="AW2979">
            <v>0</v>
          </cell>
        </row>
        <row r="2980">
          <cell r="B2980">
            <v>6478</v>
          </cell>
          <cell r="C2980" t="str">
            <v>UP_88_</v>
          </cell>
          <cell r="D2980" t="str">
            <v>Rancho Upácuaro No. 88</v>
          </cell>
          <cell r="E2980" t="str">
            <v>Millán Núñez</v>
          </cell>
          <cell r="F2980">
            <v>300</v>
          </cell>
          <cell r="G2980">
            <v>1</v>
          </cell>
          <cell r="H2980">
            <v>400</v>
          </cell>
          <cell r="I2980">
            <v>41679</v>
          </cell>
          <cell r="J2980">
            <v>0</v>
          </cell>
          <cell r="W2980">
            <v>0</v>
          </cell>
          <cell r="AJ2980">
            <v>0</v>
          </cell>
          <cell r="AL2980">
            <v>400</v>
          </cell>
          <cell r="AW2980">
            <v>400</v>
          </cell>
        </row>
        <row r="2981">
          <cell r="B2981">
            <v>6479</v>
          </cell>
          <cell r="C2981" t="str">
            <v>CL_43_B</v>
          </cell>
          <cell r="D2981" t="str">
            <v>Rancho La Cuchilla No. 43, B</v>
          </cell>
          <cell r="E2981" t="str">
            <v>Luna Albertano</v>
          </cell>
          <cell r="F2981">
            <v>125</v>
          </cell>
          <cell r="G2981">
            <v>1</v>
          </cell>
          <cell r="H2981">
            <v>125</v>
          </cell>
          <cell r="I2981">
            <v>41679</v>
          </cell>
          <cell r="J2981">
            <v>0</v>
          </cell>
          <cell r="W2981">
            <v>0</v>
          </cell>
          <cell r="AJ2981">
            <v>0</v>
          </cell>
          <cell r="AL2981">
            <v>125</v>
          </cell>
          <cell r="AW2981">
            <v>125</v>
          </cell>
        </row>
        <row r="2982">
          <cell r="B2982">
            <v>6480</v>
          </cell>
          <cell r="C2982" t="str">
            <v>UP_33_</v>
          </cell>
          <cell r="D2982" t="str">
            <v>Rancho Upácuaro No. 33</v>
          </cell>
          <cell r="E2982" t="str">
            <v>Ulloa Miranda</v>
          </cell>
          <cell r="F2982">
            <v>300</v>
          </cell>
          <cell r="G2982">
            <v>1</v>
          </cell>
          <cell r="H2982">
            <v>400</v>
          </cell>
          <cell r="I2982">
            <v>41679</v>
          </cell>
          <cell r="J2982">
            <v>0</v>
          </cell>
          <cell r="W2982">
            <v>0</v>
          </cell>
          <cell r="AJ2982">
            <v>0</v>
          </cell>
          <cell r="AL2982">
            <v>400</v>
          </cell>
          <cell r="AW2982">
            <v>400</v>
          </cell>
        </row>
        <row r="2983">
          <cell r="B2983">
            <v>6481</v>
          </cell>
          <cell r="C2983" t="str">
            <v>UP_101_</v>
          </cell>
          <cell r="D2983" t="str">
            <v>Rancho Upácuaro No. 101</v>
          </cell>
          <cell r="E2983" t="str">
            <v>Chávez, Arturo</v>
          </cell>
          <cell r="F2983">
            <v>300</v>
          </cell>
          <cell r="G2983">
            <v>1</v>
          </cell>
          <cell r="H2983">
            <v>400</v>
          </cell>
          <cell r="I2983">
            <v>41679</v>
          </cell>
          <cell r="J2983">
            <v>0</v>
          </cell>
          <cell r="W2983">
            <v>0</v>
          </cell>
          <cell r="AJ2983">
            <v>0</v>
          </cell>
          <cell r="AL2983">
            <v>400</v>
          </cell>
          <cell r="AW2983">
            <v>400</v>
          </cell>
        </row>
        <row r="2984">
          <cell r="B2984">
            <v>6482</v>
          </cell>
          <cell r="C2984" t="str">
            <v>UP_65_</v>
          </cell>
          <cell r="D2984" t="str">
            <v>Rancho Upácuaro No. 65</v>
          </cell>
          <cell r="E2984" t="str">
            <v>Olguín</v>
          </cell>
          <cell r="F2984">
            <v>300</v>
          </cell>
          <cell r="G2984">
            <v>1</v>
          </cell>
          <cell r="H2984">
            <v>300</v>
          </cell>
          <cell r="I2984">
            <v>41679</v>
          </cell>
          <cell r="J2984">
            <v>0</v>
          </cell>
          <cell r="W2984">
            <v>0</v>
          </cell>
          <cell r="AJ2984">
            <v>0</v>
          </cell>
          <cell r="AL2984">
            <v>300</v>
          </cell>
          <cell r="AW2984">
            <v>300</v>
          </cell>
        </row>
        <row r="2985">
          <cell r="B2985">
            <v>6483</v>
          </cell>
          <cell r="C2985" t="str">
            <v>UP_120_</v>
          </cell>
          <cell r="D2985" t="str">
            <v>Rancho Upácuaro No. 120</v>
          </cell>
          <cell r="E2985" t="str">
            <v>Rayas Rivera</v>
          </cell>
          <cell r="F2985">
            <v>300</v>
          </cell>
          <cell r="G2985">
            <v>1</v>
          </cell>
          <cell r="H2985">
            <v>400</v>
          </cell>
          <cell r="I2985">
            <v>41679</v>
          </cell>
          <cell r="J2985">
            <v>0</v>
          </cell>
          <cell r="W2985">
            <v>0</v>
          </cell>
          <cell r="AJ2985">
            <v>0</v>
          </cell>
          <cell r="AL2985">
            <v>400</v>
          </cell>
          <cell r="AW2985">
            <v>400</v>
          </cell>
        </row>
        <row r="2986">
          <cell r="B2986">
            <v>6484</v>
          </cell>
          <cell r="C2986" t="str">
            <v>EZ_55_</v>
          </cell>
          <cell r="D2986" t="str">
            <v>Rancho Estanzuela No. 55</v>
          </cell>
          <cell r="E2986" t="str">
            <v>Rodríguez Acevedo</v>
          </cell>
          <cell r="F2986">
            <v>300</v>
          </cell>
          <cell r="G2986">
            <v>1</v>
          </cell>
          <cell r="H2986">
            <v>400</v>
          </cell>
          <cell r="I2986">
            <v>41679</v>
          </cell>
          <cell r="J2986">
            <v>0</v>
          </cell>
          <cell r="W2986">
            <v>0</v>
          </cell>
          <cell r="AJ2986">
            <v>0</v>
          </cell>
          <cell r="AL2986">
            <v>400</v>
          </cell>
          <cell r="AW2986">
            <v>400</v>
          </cell>
        </row>
        <row r="2987">
          <cell r="B2987">
            <v>6485</v>
          </cell>
          <cell r="C2987" t="str">
            <v>EZ_161_1</v>
          </cell>
          <cell r="D2987" t="str">
            <v>Rancho Estanzuela No. 161, 1</v>
          </cell>
          <cell r="E2987" t="str">
            <v>Guevara</v>
          </cell>
          <cell r="F2987">
            <v>150</v>
          </cell>
          <cell r="G2987">
            <v>1</v>
          </cell>
          <cell r="H2987">
            <v>200</v>
          </cell>
          <cell r="I2987">
            <v>41679</v>
          </cell>
          <cell r="J2987">
            <v>0</v>
          </cell>
          <cell r="W2987">
            <v>0</v>
          </cell>
          <cell r="AJ2987">
            <v>0</v>
          </cell>
          <cell r="AL2987">
            <v>200</v>
          </cell>
          <cell r="AW2987">
            <v>200</v>
          </cell>
        </row>
        <row r="2988">
          <cell r="B2988">
            <v>6486</v>
          </cell>
          <cell r="C2988" t="str">
            <v>CL_19_</v>
          </cell>
          <cell r="D2988" t="str">
            <v>Rancho La Cuchilla No. 19</v>
          </cell>
          <cell r="E2988" t="str">
            <v>Tapia Vázquez</v>
          </cell>
          <cell r="F2988">
            <v>300</v>
          </cell>
          <cell r="G2988">
            <v>1</v>
          </cell>
          <cell r="H2988">
            <v>300</v>
          </cell>
          <cell r="I2988">
            <v>41679</v>
          </cell>
          <cell r="J2988">
            <v>0</v>
          </cell>
          <cell r="W2988">
            <v>0</v>
          </cell>
          <cell r="AJ2988">
            <v>0</v>
          </cell>
          <cell r="AL2988">
            <v>300</v>
          </cell>
          <cell r="AW2988">
            <v>300</v>
          </cell>
        </row>
        <row r="2989">
          <cell r="B2989">
            <v>6487</v>
          </cell>
          <cell r="C2989" t="str">
            <v>UP_54_</v>
          </cell>
          <cell r="D2989" t="str">
            <v>Rancho Upácuaro No. 54</v>
          </cell>
          <cell r="E2989" t="str">
            <v>García Rueda</v>
          </cell>
          <cell r="F2989">
            <v>200</v>
          </cell>
          <cell r="G2989">
            <v>1</v>
          </cell>
          <cell r="H2989">
            <v>400</v>
          </cell>
          <cell r="I2989">
            <v>41679</v>
          </cell>
          <cell r="J2989">
            <v>0</v>
          </cell>
          <cell r="W2989">
            <v>0</v>
          </cell>
          <cell r="AJ2989">
            <v>0</v>
          </cell>
          <cell r="AK2989">
            <v>200</v>
          </cell>
          <cell r="AL2989">
            <v>200</v>
          </cell>
          <cell r="AW2989">
            <v>400</v>
          </cell>
        </row>
        <row r="2990">
          <cell r="B2990">
            <v>6488</v>
          </cell>
          <cell r="C2990" t="str">
            <v>EZ_151_</v>
          </cell>
          <cell r="D2990" t="str">
            <v>Rancho Estanzuela No. 151</v>
          </cell>
          <cell r="E2990" t="str">
            <v>Pérez Salazar</v>
          </cell>
          <cell r="F2990">
            <v>300</v>
          </cell>
          <cell r="G2990">
            <v>1</v>
          </cell>
          <cell r="H2990">
            <v>400</v>
          </cell>
          <cell r="I2990">
            <v>41679</v>
          </cell>
          <cell r="J2990">
            <v>0</v>
          </cell>
          <cell r="W2990">
            <v>0</v>
          </cell>
          <cell r="AJ2990">
            <v>0</v>
          </cell>
          <cell r="AL2990">
            <v>400</v>
          </cell>
          <cell r="AW2990">
            <v>400</v>
          </cell>
        </row>
        <row r="2991">
          <cell r="B2991">
            <v>6489</v>
          </cell>
          <cell r="C2991" t="str">
            <v>RV_193_</v>
          </cell>
          <cell r="D2991" t="str">
            <v>Rancho Recoveco No. 193</v>
          </cell>
          <cell r="E2991" t="str">
            <v>Salazar Pérez</v>
          </cell>
          <cell r="F2991">
            <v>300</v>
          </cell>
          <cell r="G2991">
            <v>1</v>
          </cell>
          <cell r="H2991">
            <v>300</v>
          </cell>
          <cell r="I2991">
            <v>41679</v>
          </cell>
          <cell r="J2991">
            <v>0</v>
          </cell>
          <cell r="W2991">
            <v>0</v>
          </cell>
          <cell r="AJ2991">
            <v>0</v>
          </cell>
          <cell r="AL2991">
            <v>300</v>
          </cell>
          <cell r="AW2991">
            <v>300</v>
          </cell>
        </row>
        <row r="2992">
          <cell r="B2992">
            <v>6490</v>
          </cell>
          <cell r="C2992" t="str">
            <v>CL_72_</v>
          </cell>
          <cell r="D2992" t="str">
            <v>Rancho La Cuchilla No. 72</v>
          </cell>
          <cell r="E2992" t="str">
            <v>Ortiz González</v>
          </cell>
          <cell r="F2992">
            <v>300</v>
          </cell>
          <cell r="G2992">
            <v>1</v>
          </cell>
          <cell r="H2992">
            <v>400</v>
          </cell>
          <cell r="I2992">
            <v>41679</v>
          </cell>
          <cell r="J2992">
            <v>0</v>
          </cell>
          <cell r="W2992">
            <v>0</v>
          </cell>
          <cell r="AJ2992">
            <v>0</v>
          </cell>
          <cell r="AL2992">
            <v>400</v>
          </cell>
          <cell r="AW2992">
            <v>400</v>
          </cell>
        </row>
        <row r="2993">
          <cell r="B2993">
            <v>6491</v>
          </cell>
          <cell r="C2993" t="str">
            <v>LD_39_</v>
          </cell>
          <cell r="D2993" t="str">
            <v>Rancho Landero No. 39</v>
          </cell>
          <cell r="E2993" t="str">
            <v>Soto del Cueto</v>
          </cell>
          <cell r="F2993">
            <v>250</v>
          </cell>
          <cell r="G2993">
            <v>1</v>
          </cell>
          <cell r="H2993">
            <v>500</v>
          </cell>
          <cell r="I2993">
            <v>41679</v>
          </cell>
          <cell r="J2993">
            <v>0</v>
          </cell>
          <cell r="W2993">
            <v>0</v>
          </cell>
          <cell r="AJ2993">
            <v>0</v>
          </cell>
          <cell r="AK2993">
            <v>250</v>
          </cell>
          <cell r="AL2993">
            <v>250</v>
          </cell>
          <cell r="AW2993">
            <v>500</v>
          </cell>
        </row>
        <row r="2994">
          <cell r="B2994">
            <v>6492</v>
          </cell>
          <cell r="C2994" t="str">
            <v>CL_32_</v>
          </cell>
          <cell r="D2994" t="str">
            <v>Rancho La Cuchilla No. 32</v>
          </cell>
          <cell r="E2994" t="str">
            <v>Hernández</v>
          </cell>
          <cell r="F2994">
            <v>300</v>
          </cell>
          <cell r="G2994">
            <v>1</v>
          </cell>
          <cell r="H2994">
            <v>800</v>
          </cell>
          <cell r="I2994">
            <v>41679</v>
          </cell>
          <cell r="J2994">
            <v>0</v>
          </cell>
          <cell r="W2994">
            <v>0</v>
          </cell>
          <cell r="AJ2994">
            <v>0</v>
          </cell>
          <cell r="AK2994">
            <v>400</v>
          </cell>
          <cell r="AL2994">
            <v>400</v>
          </cell>
          <cell r="AW2994">
            <v>800</v>
          </cell>
        </row>
        <row r="2995">
          <cell r="B2995">
            <v>6493</v>
          </cell>
          <cell r="C2995" t="str">
            <v>EZ_47_</v>
          </cell>
          <cell r="D2995" t="str">
            <v>Rancho Estanzuela No. 47</v>
          </cell>
          <cell r="E2995" t="str">
            <v>Bussey García</v>
          </cell>
          <cell r="F2995">
            <v>300</v>
          </cell>
          <cell r="G2995">
            <v>1</v>
          </cell>
          <cell r="H2995">
            <v>400</v>
          </cell>
          <cell r="I2995">
            <v>41679</v>
          </cell>
          <cell r="J2995">
            <v>0</v>
          </cell>
          <cell r="W2995">
            <v>0</v>
          </cell>
          <cell r="AJ2995">
            <v>0</v>
          </cell>
          <cell r="AL2995">
            <v>400</v>
          </cell>
          <cell r="AW2995">
            <v>400</v>
          </cell>
        </row>
        <row r="2996">
          <cell r="B2996">
            <v>6494</v>
          </cell>
          <cell r="C2996" t="str">
            <v>CL_127_</v>
          </cell>
          <cell r="D2996" t="str">
            <v>Rancho La Cuchilla No. 127</v>
          </cell>
          <cell r="E2996" t="str">
            <v>Quiñones</v>
          </cell>
          <cell r="F2996">
            <v>300</v>
          </cell>
          <cell r="G2996">
            <v>1</v>
          </cell>
          <cell r="H2996">
            <v>800</v>
          </cell>
          <cell r="I2996">
            <v>41679</v>
          </cell>
          <cell r="J2996">
            <v>0</v>
          </cell>
          <cell r="W2996">
            <v>0</v>
          </cell>
          <cell r="AJ2996">
            <v>0</v>
          </cell>
          <cell r="AK2996">
            <v>400</v>
          </cell>
          <cell r="AL2996">
            <v>400</v>
          </cell>
          <cell r="AW2996">
            <v>800</v>
          </cell>
        </row>
        <row r="2997">
          <cell r="B2997">
            <v>6495</v>
          </cell>
          <cell r="C2997" t="str">
            <v>EP_22_A</v>
          </cell>
          <cell r="D2997" t="str">
            <v>Rancho Estopila No. 22, A</v>
          </cell>
          <cell r="E2997" t="str">
            <v>Ayala Carranza</v>
          </cell>
          <cell r="F2997">
            <v>150</v>
          </cell>
          <cell r="G2997">
            <v>1</v>
          </cell>
          <cell r="H2997">
            <v>200</v>
          </cell>
          <cell r="I2997">
            <v>41679</v>
          </cell>
          <cell r="J2997">
            <v>0</v>
          </cell>
          <cell r="W2997">
            <v>0</v>
          </cell>
          <cell r="AJ2997">
            <v>0</v>
          </cell>
          <cell r="AK2997">
            <v>200</v>
          </cell>
          <cell r="AW2997">
            <v>200</v>
          </cell>
        </row>
        <row r="2998">
          <cell r="B2998">
            <v>6496</v>
          </cell>
          <cell r="C2998" t="str">
            <v>LD_83_</v>
          </cell>
          <cell r="D2998" t="str">
            <v>Rancho Landero No. 83</v>
          </cell>
          <cell r="E2998" t="str">
            <v>Aguilar</v>
          </cell>
          <cell r="F2998">
            <v>300</v>
          </cell>
          <cell r="G2998">
            <v>1</v>
          </cell>
          <cell r="H2998">
            <v>350</v>
          </cell>
          <cell r="I2998">
            <v>41679</v>
          </cell>
          <cell r="J2998">
            <v>0</v>
          </cell>
          <cell r="W2998">
            <v>0</v>
          </cell>
          <cell r="AJ2998">
            <v>0</v>
          </cell>
          <cell r="AL2998">
            <v>350</v>
          </cell>
          <cell r="AW2998">
            <v>350</v>
          </cell>
        </row>
        <row r="2999">
          <cell r="B2999">
            <v>6497</v>
          </cell>
          <cell r="C2999" t="str">
            <v>LD_39_</v>
          </cell>
          <cell r="D2999" t="str">
            <v>Rancho Landero No. 39</v>
          </cell>
          <cell r="E2999" t="str">
            <v>Soto del Cueto</v>
          </cell>
          <cell r="F2999">
            <v>250</v>
          </cell>
          <cell r="G2999">
            <v>3</v>
          </cell>
          <cell r="H2999">
            <v>160</v>
          </cell>
          <cell r="I2999">
            <v>41679</v>
          </cell>
          <cell r="J2999" t="str">
            <v>NO SUMA</v>
          </cell>
          <cell r="W2999">
            <v>0</v>
          </cell>
          <cell r="AJ2999">
            <v>0</v>
          </cell>
          <cell r="AW2999">
            <v>0</v>
          </cell>
        </row>
        <row r="3000">
          <cell r="B3000">
            <v>6498</v>
          </cell>
          <cell r="C3000" t="str">
            <v>EZ_65_</v>
          </cell>
          <cell r="D3000" t="str">
            <v>Rancho Estanzuela No. 65</v>
          </cell>
          <cell r="E3000" t="str">
            <v>López Becerril</v>
          </cell>
          <cell r="F3000">
            <v>300</v>
          </cell>
          <cell r="G3000">
            <v>1</v>
          </cell>
          <cell r="H3000">
            <v>400</v>
          </cell>
          <cell r="I3000">
            <v>41679</v>
          </cell>
          <cell r="J3000">
            <v>0</v>
          </cell>
          <cell r="W3000">
            <v>0</v>
          </cell>
          <cell r="AJ3000">
            <v>0</v>
          </cell>
          <cell r="AL3000">
            <v>400</v>
          </cell>
          <cell r="AW3000">
            <v>400</v>
          </cell>
        </row>
        <row r="3001">
          <cell r="B3001">
            <v>6499</v>
          </cell>
          <cell r="C3001" t="str">
            <v>EZ_115_</v>
          </cell>
          <cell r="D3001" t="str">
            <v>Rancho Estanzuela No. 115</v>
          </cell>
          <cell r="E3001" t="str">
            <v>Frías Solórzano</v>
          </cell>
          <cell r="F3001">
            <v>200</v>
          </cell>
          <cell r="G3001">
            <v>1</v>
          </cell>
          <cell r="H3001">
            <v>500</v>
          </cell>
          <cell r="I3001">
            <v>41679</v>
          </cell>
          <cell r="J3001">
            <v>0</v>
          </cell>
          <cell r="W3001">
            <v>0</v>
          </cell>
          <cell r="AJ3001">
            <v>0</v>
          </cell>
          <cell r="AL3001">
            <v>250</v>
          </cell>
          <cell r="AM3001">
            <v>250</v>
          </cell>
          <cell r="AW3001">
            <v>500</v>
          </cell>
        </row>
        <row r="3002">
          <cell r="B3002">
            <v>6500</v>
          </cell>
          <cell r="C3002" t="str">
            <v>RV_197_</v>
          </cell>
          <cell r="D3002" t="str">
            <v>Rancho Recoveco No. 197</v>
          </cell>
          <cell r="E3002" t="str">
            <v>Colín González</v>
          </cell>
          <cell r="F3002">
            <v>300</v>
          </cell>
          <cell r="G3002">
            <v>1</v>
          </cell>
          <cell r="H3002">
            <v>400</v>
          </cell>
          <cell r="I3002">
            <v>41679</v>
          </cell>
          <cell r="J3002">
            <v>0</v>
          </cell>
          <cell r="W3002">
            <v>0</v>
          </cell>
          <cell r="AJ3002">
            <v>0</v>
          </cell>
          <cell r="AL3002">
            <v>400</v>
          </cell>
          <cell r="AW3002">
            <v>400</v>
          </cell>
        </row>
        <row r="3003">
          <cell r="B3003">
            <v>6501</v>
          </cell>
          <cell r="C3003" t="str">
            <v>UP_110_</v>
          </cell>
          <cell r="D3003" t="str">
            <v>Rancho Upácuaro No. 110</v>
          </cell>
          <cell r="E3003" t="str">
            <v>Ruiz Mijangos</v>
          </cell>
          <cell r="F3003">
            <v>300</v>
          </cell>
          <cell r="G3003">
            <v>1</v>
          </cell>
          <cell r="H3003">
            <v>600</v>
          </cell>
          <cell r="I3003">
            <v>41679</v>
          </cell>
          <cell r="J3003">
            <v>0</v>
          </cell>
          <cell r="W3003">
            <v>0</v>
          </cell>
          <cell r="AJ3003">
            <v>0</v>
          </cell>
          <cell r="AK3003">
            <v>300</v>
          </cell>
          <cell r="AL3003">
            <v>300</v>
          </cell>
          <cell r="AW3003">
            <v>600</v>
          </cell>
        </row>
        <row r="3004">
          <cell r="B3004">
            <v>6502</v>
          </cell>
          <cell r="C3004" t="str">
            <v>UP_86_</v>
          </cell>
          <cell r="D3004" t="str">
            <v>Rancho Upácuaro No. 86</v>
          </cell>
          <cell r="E3004" t="str">
            <v>López Canseco</v>
          </cell>
          <cell r="F3004">
            <v>300</v>
          </cell>
          <cell r="G3004">
            <v>1</v>
          </cell>
          <cell r="H3004">
            <v>4400</v>
          </cell>
          <cell r="I3004">
            <v>41679</v>
          </cell>
          <cell r="J3004">
            <v>0</v>
          </cell>
          <cell r="W3004">
            <v>0</v>
          </cell>
          <cell r="AJ3004">
            <v>0</v>
          </cell>
          <cell r="AK3004">
            <v>400</v>
          </cell>
          <cell r="AL3004">
            <v>400</v>
          </cell>
          <cell r="AM3004">
            <v>400</v>
          </cell>
          <cell r="AN3004">
            <v>400</v>
          </cell>
          <cell r="AO3004">
            <v>400</v>
          </cell>
          <cell r="AP3004">
            <v>400</v>
          </cell>
          <cell r="AQ3004">
            <v>400</v>
          </cell>
          <cell r="AR3004">
            <v>400</v>
          </cell>
          <cell r="AS3004">
            <v>400</v>
          </cell>
          <cell r="AT3004">
            <v>400</v>
          </cell>
          <cell r="AU3004">
            <v>400</v>
          </cell>
          <cell r="AW3004">
            <v>4400</v>
          </cell>
        </row>
        <row r="3005">
          <cell r="B3005">
            <v>6503</v>
          </cell>
          <cell r="C3005" t="str">
            <v>RV_175_B</v>
          </cell>
          <cell r="D3005" t="str">
            <v>Rancho Recoveco No. 175, B</v>
          </cell>
          <cell r="E3005" t="str">
            <v>García Calderón</v>
          </cell>
          <cell r="F3005">
            <v>150</v>
          </cell>
          <cell r="G3005">
            <v>1</v>
          </cell>
          <cell r="H3005">
            <v>200</v>
          </cell>
          <cell r="I3005">
            <v>41679</v>
          </cell>
          <cell r="J3005">
            <v>0</v>
          </cell>
          <cell r="W3005">
            <v>0</v>
          </cell>
          <cell r="AJ3005">
            <v>0</v>
          </cell>
          <cell r="AL3005">
            <v>200</v>
          </cell>
          <cell r="AW3005">
            <v>200</v>
          </cell>
        </row>
        <row r="3006">
          <cell r="B3006">
            <v>6504</v>
          </cell>
          <cell r="C3006" t="str">
            <v>CL_71_</v>
          </cell>
          <cell r="D3006" t="str">
            <v>Rancho La Cuchilla No. 71</v>
          </cell>
          <cell r="E3006" t="str">
            <v>Pulido</v>
          </cell>
          <cell r="F3006">
            <v>300</v>
          </cell>
          <cell r="G3006">
            <v>1</v>
          </cell>
          <cell r="H3006">
            <v>350</v>
          </cell>
          <cell r="I3006">
            <v>41679</v>
          </cell>
          <cell r="J3006">
            <v>0</v>
          </cell>
          <cell r="W3006">
            <v>0</v>
          </cell>
          <cell r="AJ3006">
            <v>0</v>
          </cell>
          <cell r="AL3006">
            <v>350</v>
          </cell>
          <cell r="AW3006">
            <v>350</v>
          </cell>
        </row>
        <row r="3007">
          <cell r="B3007">
            <v>6505</v>
          </cell>
          <cell r="C3007" t="str">
            <v>CL_129_</v>
          </cell>
          <cell r="D3007" t="str">
            <v>Rancho La Cuchilla No. 129</v>
          </cell>
          <cell r="E3007" t="str">
            <v>Gamboa Rueda</v>
          </cell>
          <cell r="F3007">
            <v>200</v>
          </cell>
          <cell r="G3007">
            <v>1</v>
          </cell>
          <cell r="H3007">
            <v>300</v>
          </cell>
          <cell r="I3007">
            <v>41679</v>
          </cell>
          <cell r="J3007">
            <v>0</v>
          </cell>
          <cell r="W3007">
            <v>0</v>
          </cell>
          <cell r="AJ3007">
            <v>0</v>
          </cell>
          <cell r="AL3007">
            <v>300</v>
          </cell>
          <cell r="AW3007">
            <v>300</v>
          </cell>
        </row>
        <row r="3008">
          <cell r="B3008">
            <v>6506</v>
          </cell>
          <cell r="C3008" t="str">
            <v>UP_104_</v>
          </cell>
          <cell r="D3008" t="str">
            <v>Rancho Upácuaro No. 104</v>
          </cell>
          <cell r="E3008" t="str">
            <v>Jiménez Almazo</v>
          </cell>
          <cell r="F3008">
            <v>300</v>
          </cell>
          <cell r="G3008">
            <v>1</v>
          </cell>
          <cell r="H3008">
            <v>400</v>
          </cell>
          <cell r="I3008">
            <v>41679</v>
          </cell>
          <cell r="J3008">
            <v>0</v>
          </cell>
          <cell r="W3008">
            <v>0</v>
          </cell>
          <cell r="AJ3008">
            <v>0</v>
          </cell>
          <cell r="AL3008">
            <v>400</v>
          </cell>
          <cell r="AW3008">
            <v>400</v>
          </cell>
        </row>
        <row r="3009">
          <cell r="B3009">
            <v>6507</v>
          </cell>
          <cell r="C3009" t="str">
            <v>UP_23_</v>
          </cell>
          <cell r="D3009" t="str">
            <v>Rancho Upácuaro No. 23</v>
          </cell>
          <cell r="E3009" t="str">
            <v>Arredondo</v>
          </cell>
          <cell r="F3009">
            <v>300</v>
          </cell>
          <cell r="G3009">
            <v>1</v>
          </cell>
          <cell r="H3009">
            <v>350</v>
          </cell>
          <cell r="I3009">
            <v>41679</v>
          </cell>
          <cell r="J3009">
            <v>0</v>
          </cell>
          <cell r="W3009">
            <v>0</v>
          </cell>
          <cell r="AJ3009">
            <v>0</v>
          </cell>
          <cell r="AL3009">
            <v>350</v>
          </cell>
          <cell r="AW3009">
            <v>350</v>
          </cell>
        </row>
        <row r="3010">
          <cell r="B3010">
            <v>6508</v>
          </cell>
          <cell r="C3010" t="str">
            <v>LD_89_</v>
          </cell>
          <cell r="D3010" t="str">
            <v>Rancho Landero No. 89</v>
          </cell>
          <cell r="E3010" t="str">
            <v>Del Pozo Solís</v>
          </cell>
          <cell r="F3010">
            <v>300</v>
          </cell>
          <cell r="G3010">
            <v>1</v>
          </cell>
          <cell r="H3010">
            <v>300</v>
          </cell>
          <cell r="I3010">
            <v>41679</v>
          </cell>
          <cell r="J3010">
            <v>0</v>
          </cell>
          <cell r="W3010">
            <v>0</v>
          </cell>
          <cell r="AJ3010">
            <v>0</v>
          </cell>
          <cell r="AL3010">
            <v>300</v>
          </cell>
          <cell r="AW3010">
            <v>300</v>
          </cell>
        </row>
        <row r="3011">
          <cell r="B3011">
            <v>6509</v>
          </cell>
          <cell r="E3011" t="str">
            <v/>
          </cell>
          <cell r="F3011" t="str">
            <v/>
          </cell>
          <cell r="G3011">
            <v>8</v>
          </cell>
          <cell r="I3011">
            <v>41679</v>
          </cell>
          <cell r="J3011" t="str">
            <v>NO SUMA</v>
          </cell>
          <cell r="W3011">
            <v>0</v>
          </cell>
          <cell r="AJ3011">
            <v>0</v>
          </cell>
          <cell r="AW3011">
            <v>0</v>
          </cell>
        </row>
        <row r="3012">
          <cell r="B3012">
            <v>6510</v>
          </cell>
          <cell r="C3012" t="str">
            <v>LD_22_</v>
          </cell>
          <cell r="D3012" t="str">
            <v>Rancho Landero No. 22</v>
          </cell>
          <cell r="E3012" t="str">
            <v>Reyes</v>
          </cell>
          <cell r="F3012">
            <v>150</v>
          </cell>
          <cell r="G3012">
            <v>1</v>
          </cell>
          <cell r="H3012">
            <v>400</v>
          </cell>
          <cell r="I3012">
            <v>41679</v>
          </cell>
          <cell r="J3012">
            <v>0</v>
          </cell>
          <cell r="W3012">
            <v>0</v>
          </cell>
          <cell r="AJ3012">
            <v>0</v>
          </cell>
          <cell r="AK3012">
            <v>200</v>
          </cell>
          <cell r="AL3012">
            <v>200</v>
          </cell>
          <cell r="AW3012">
            <v>400</v>
          </cell>
        </row>
        <row r="3013">
          <cell r="B3013">
            <v>6511</v>
          </cell>
          <cell r="C3013" t="str">
            <v>LD_99_</v>
          </cell>
          <cell r="D3013" t="str">
            <v>Rancho Landero No. 99</v>
          </cell>
          <cell r="E3013" t="str">
            <v>Rangel</v>
          </cell>
          <cell r="F3013">
            <v>300</v>
          </cell>
          <cell r="G3013">
            <v>1</v>
          </cell>
          <cell r="H3013">
            <v>300</v>
          </cell>
          <cell r="I3013">
            <v>41679</v>
          </cell>
          <cell r="J3013">
            <v>0</v>
          </cell>
          <cell r="W3013">
            <v>0</v>
          </cell>
          <cell r="AJ3013">
            <v>0</v>
          </cell>
          <cell r="AL3013">
            <v>300</v>
          </cell>
          <cell r="AW3013">
            <v>300</v>
          </cell>
        </row>
        <row r="3014">
          <cell r="B3014">
            <v>6512</v>
          </cell>
          <cell r="E3014" t="str">
            <v/>
          </cell>
          <cell r="F3014" t="str">
            <v/>
          </cell>
          <cell r="G3014">
            <v>8</v>
          </cell>
          <cell r="I3014">
            <v>41679</v>
          </cell>
          <cell r="J3014" t="str">
            <v>NO SUMA</v>
          </cell>
          <cell r="W3014">
            <v>0</v>
          </cell>
          <cell r="AJ3014">
            <v>0</v>
          </cell>
          <cell r="AW3014">
            <v>0</v>
          </cell>
        </row>
        <row r="3015">
          <cell r="B3015">
            <v>6513</v>
          </cell>
          <cell r="C3015" t="str">
            <v>ZB_80_</v>
          </cell>
          <cell r="D3015" t="str">
            <v>Rancho Zinamba No. 80</v>
          </cell>
          <cell r="E3015" t="str">
            <v>Vázquez</v>
          </cell>
          <cell r="F3015">
            <v>250</v>
          </cell>
          <cell r="G3015">
            <v>1</v>
          </cell>
          <cell r="H3015">
            <v>300</v>
          </cell>
          <cell r="I3015">
            <v>41679</v>
          </cell>
          <cell r="J3015">
            <v>0</v>
          </cell>
          <cell r="W3015">
            <v>0</v>
          </cell>
          <cell r="AJ3015">
            <v>0</v>
          </cell>
          <cell r="AL3015">
            <v>300</v>
          </cell>
          <cell r="AW3015">
            <v>300</v>
          </cell>
        </row>
        <row r="3016">
          <cell r="B3016">
            <v>6514</v>
          </cell>
          <cell r="C3016" t="str">
            <v>CL_15_</v>
          </cell>
          <cell r="D3016" t="str">
            <v>Rancho La Cuchilla No. 15</v>
          </cell>
          <cell r="E3016" t="str">
            <v>Guerrero Ponce</v>
          </cell>
          <cell r="F3016">
            <v>300</v>
          </cell>
          <cell r="G3016">
            <v>1</v>
          </cell>
          <cell r="H3016">
            <v>300</v>
          </cell>
          <cell r="I3016">
            <v>41679</v>
          </cell>
          <cell r="J3016">
            <v>0</v>
          </cell>
          <cell r="W3016">
            <v>0</v>
          </cell>
          <cell r="AJ3016">
            <v>0</v>
          </cell>
          <cell r="AL3016">
            <v>300</v>
          </cell>
          <cell r="AW3016">
            <v>300</v>
          </cell>
        </row>
        <row r="3017">
          <cell r="B3017">
            <v>6515</v>
          </cell>
          <cell r="C3017" t="str">
            <v>CL_130_</v>
          </cell>
          <cell r="D3017" t="str">
            <v>Rancho La Cuchilla No. 130</v>
          </cell>
          <cell r="E3017" t="str">
            <v>De la Huerta</v>
          </cell>
          <cell r="F3017">
            <v>300</v>
          </cell>
          <cell r="G3017">
            <v>1</v>
          </cell>
          <cell r="H3017">
            <v>400</v>
          </cell>
          <cell r="I3017">
            <v>41683</v>
          </cell>
          <cell r="J3017">
            <v>0</v>
          </cell>
          <cell r="W3017">
            <v>0</v>
          </cell>
          <cell r="AJ3017">
            <v>0</v>
          </cell>
          <cell r="AL3017">
            <v>400</v>
          </cell>
          <cell r="AW3017">
            <v>400</v>
          </cell>
        </row>
        <row r="3018">
          <cell r="B3018">
            <v>6516</v>
          </cell>
          <cell r="C3018" t="str">
            <v>LD_1_A</v>
          </cell>
          <cell r="D3018" t="str">
            <v>Rancho Landero No. 1, A</v>
          </cell>
          <cell r="E3018" t="str">
            <v>Ebysos</v>
          </cell>
          <cell r="F3018">
            <v>300</v>
          </cell>
          <cell r="G3018">
            <v>1</v>
          </cell>
          <cell r="H3018">
            <v>400</v>
          </cell>
          <cell r="I3018">
            <v>41683</v>
          </cell>
          <cell r="J3018">
            <v>0</v>
          </cell>
          <cell r="W3018">
            <v>0</v>
          </cell>
          <cell r="AJ3018">
            <v>0</v>
          </cell>
          <cell r="AL3018">
            <v>400</v>
          </cell>
          <cell r="AW3018">
            <v>400</v>
          </cell>
        </row>
        <row r="3019">
          <cell r="B3019">
            <v>6517</v>
          </cell>
          <cell r="C3019" t="str">
            <v>LD_85_</v>
          </cell>
          <cell r="D3019" t="str">
            <v>Rancho Landero No. 85</v>
          </cell>
          <cell r="E3019" t="str">
            <v>Martínez Olague</v>
          </cell>
          <cell r="F3019">
            <v>300</v>
          </cell>
          <cell r="G3019">
            <v>1</v>
          </cell>
          <cell r="H3019">
            <v>400</v>
          </cell>
          <cell r="I3019">
            <v>41683</v>
          </cell>
          <cell r="J3019">
            <v>0</v>
          </cell>
          <cell r="W3019">
            <v>0</v>
          </cell>
          <cell r="AJ3019">
            <v>0</v>
          </cell>
          <cell r="AL3019">
            <v>400</v>
          </cell>
          <cell r="AW3019">
            <v>400</v>
          </cell>
        </row>
        <row r="3020">
          <cell r="B3020">
            <v>6518</v>
          </cell>
          <cell r="C3020" t="str">
            <v>RV_187_</v>
          </cell>
          <cell r="D3020" t="str">
            <v>Rancho Recoveco No. 187</v>
          </cell>
          <cell r="E3020" t="str">
            <v>Moreno</v>
          </cell>
          <cell r="F3020">
            <v>300</v>
          </cell>
          <cell r="G3020">
            <v>1</v>
          </cell>
          <cell r="H3020">
            <v>600</v>
          </cell>
          <cell r="I3020">
            <v>41683</v>
          </cell>
          <cell r="J3020">
            <v>0</v>
          </cell>
          <cell r="W3020">
            <v>0</v>
          </cell>
          <cell r="AH3020">
            <v>300</v>
          </cell>
          <cell r="AI3020">
            <v>300</v>
          </cell>
          <cell r="AJ3020">
            <v>600</v>
          </cell>
          <cell r="AW3020">
            <v>0</v>
          </cell>
        </row>
        <row r="3021">
          <cell r="B3021">
            <v>6519</v>
          </cell>
          <cell r="C3021" t="str">
            <v>UP_47_</v>
          </cell>
          <cell r="D3021" t="str">
            <v>Rancho Upácuaro No. 47</v>
          </cell>
          <cell r="E3021" t="str">
            <v>Flores Muñoz</v>
          </cell>
          <cell r="F3021">
            <v>300</v>
          </cell>
          <cell r="G3021">
            <v>1</v>
          </cell>
          <cell r="H3021">
            <v>400</v>
          </cell>
          <cell r="I3021">
            <v>41686</v>
          </cell>
          <cell r="J3021">
            <v>0</v>
          </cell>
          <cell r="W3021">
            <v>0</v>
          </cell>
          <cell r="AJ3021">
            <v>0</v>
          </cell>
          <cell r="AL3021">
            <v>400</v>
          </cell>
          <cell r="AW3021">
            <v>400</v>
          </cell>
        </row>
        <row r="3022">
          <cell r="B3022">
            <v>6520</v>
          </cell>
          <cell r="C3022" t="str">
            <v>CL_89_</v>
          </cell>
          <cell r="D3022" t="str">
            <v>Rancho La Cuchilla No. 89</v>
          </cell>
          <cell r="E3022" t="str">
            <v>Gálvez</v>
          </cell>
          <cell r="F3022">
            <v>300</v>
          </cell>
          <cell r="G3022">
            <v>1</v>
          </cell>
          <cell r="H3022">
            <v>400</v>
          </cell>
          <cell r="I3022">
            <v>41686</v>
          </cell>
          <cell r="J3022">
            <v>0</v>
          </cell>
          <cell r="W3022">
            <v>0</v>
          </cell>
          <cell r="AJ3022">
            <v>0</v>
          </cell>
          <cell r="AL3022">
            <v>400</v>
          </cell>
          <cell r="AW3022">
            <v>400</v>
          </cell>
        </row>
        <row r="3023">
          <cell r="B3023">
            <v>6521</v>
          </cell>
          <cell r="C3023" t="str">
            <v>UP_95_</v>
          </cell>
          <cell r="D3023" t="str">
            <v>Rancho Upácuaro No. 95</v>
          </cell>
          <cell r="E3023" t="str">
            <v>Flores</v>
          </cell>
          <cell r="F3023">
            <v>300</v>
          </cell>
          <cell r="G3023">
            <v>1</v>
          </cell>
          <cell r="H3023">
            <v>800</v>
          </cell>
          <cell r="I3023">
            <v>41686</v>
          </cell>
          <cell r="J3023">
            <v>0</v>
          </cell>
          <cell r="W3023">
            <v>0</v>
          </cell>
          <cell r="AJ3023">
            <v>0</v>
          </cell>
          <cell r="AK3023">
            <v>400</v>
          </cell>
          <cell r="AL3023">
            <v>400</v>
          </cell>
          <cell r="AW3023">
            <v>800</v>
          </cell>
        </row>
        <row r="3024">
          <cell r="B3024">
            <v>6522</v>
          </cell>
          <cell r="C3024" t="str">
            <v>CL_41_</v>
          </cell>
          <cell r="D3024" t="str">
            <v>Rancho La Cuchilla No. 41</v>
          </cell>
          <cell r="E3024" t="str">
            <v>Arriaga Lemus</v>
          </cell>
          <cell r="F3024">
            <v>250</v>
          </cell>
          <cell r="G3024">
            <v>1</v>
          </cell>
          <cell r="H3024">
            <v>400</v>
          </cell>
          <cell r="I3024">
            <v>41686</v>
          </cell>
          <cell r="J3024">
            <v>0</v>
          </cell>
          <cell r="W3024">
            <v>0</v>
          </cell>
          <cell r="AJ3024">
            <v>0</v>
          </cell>
          <cell r="AL3024">
            <v>400</v>
          </cell>
          <cell r="AW3024">
            <v>400</v>
          </cell>
        </row>
        <row r="3025">
          <cell r="B3025">
            <v>6523</v>
          </cell>
          <cell r="C3025" t="str">
            <v>ZB_24_</v>
          </cell>
          <cell r="D3025" t="str">
            <v>Rancho Zinamba No. 24</v>
          </cell>
          <cell r="E3025" t="str">
            <v>Monroy García</v>
          </cell>
          <cell r="F3025">
            <v>300</v>
          </cell>
          <cell r="G3025">
            <v>1</v>
          </cell>
          <cell r="H3025">
            <v>400</v>
          </cell>
          <cell r="I3025">
            <v>41686</v>
          </cell>
          <cell r="J3025">
            <v>0</v>
          </cell>
          <cell r="W3025">
            <v>0</v>
          </cell>
          <cell r="AJ3025">
            <v>0</v>
          </cell>
          <cell r="AL3025">
            <v>400</v>
          </cell>
          <cell r="AW3025">
            <v>400</v>
          </cell>
        </row>
        <row r="3026">
          <cell r="B3026">
            <v>6524</v>
          </cell>
          <cell r="C3026" t="str">
            <v>ZB_76_</v>
          </cell>
          <cell r="D3026" t="str">
            <v>Rancho Zinamba No. 76</v>
          </cell>
          <cell r="E3026" t="str">
            <v>Márquez</v>
          </cell>
          <cell r="F3026">
            <v>300</v>
          </cell>
          <cell r="G3026">
            <v>1</v>
          </cell>
          <cell r="H3026">
            <v>1600</v>
          </cell>
          <cell r="I3026">
            <v>41686</v>
          </cell>
          <cell r="J3026">
            <v>0</v>
          </cell>
          <cell r="W3026">
            <v>0</v>
          </cell>
          <cell r="AH3026">
            <v>400</v>
          </cell>
          <cell r="AI3026">
            <v>400</v>
          </cell>
          <cell r="AJ3026">
            <v>800</v>
          </cell>
          <cell r="AK3026">
            <v>400</v>
          </cell>
          <cell r="AL3026">
            <v>400</v>
          </cell>
          <cell r="AW3026">
            <v>800</v>
          </cell>
        </row>
        <row r="3027">
          <cell r="B3027">
            <v>6525</v>
          </cell>
          <cell r="C3027" t="str">
            <v>CL_110_</v>
          </cell>
          <cell r="D3027" t="str">
            <v>Rancho La Cuchilla No. 110</v>
          </cell>
          <cell r="E3027" t="str">
            <v>Domínguez Canudas</v>
          </cell>
          <cell r="F3027">
            <v>300</v>
          </cell>
          <cell r="G3027">
            <v>1</v>
          </cell>
          <cell r="H3027">
            <v>400</v>
          </cell>
          <cell r="I3027">
            <v>41686</v>
          </cell>
          <cell r="J3027">
            <v>0</v>
          </cell>
          <cell r="W3027">
            <v>0</v>
          </cell>
          <cell r="AJ3027">
            <v>0</v>
          </cell>
          <cell r="AL3027">
            <v>400</v>
          </cell>
          <cell r="AW3027">
            <v>400</v>
          </cell>
        </row>
        <row r="3028">
          <cell r="B3028">
            <v>6526</v>
          </cell>
          <cell r="C3028" t="str">
            <v>UP_48_</v>
          </cell>
          <cell r="D3028" t="str">
            <v>Rancho Upácuaro No. 48</v>
          </cell>
          <cell r="E3028" t="str">
            <v>Bernal</v>
          </cell>
          <cell r="F3028">
            <v>200</v>
          </cell>
          <cell r="G3028">
            <v>1</v>
          </cell>
          <cell r="H3028">
            <v>200</v>
          </cell>
          <cell r="I3028">
            <v>41686</v>
          </cell>
          <cell r="J3028">
            <v>0</v>
          </cell>
          <cell r="W3028">
            <v>0</v>
          </cell>
          <cell r="AJ3028">
            <v>0</v>
          </cell>
          <cell r="AK3028">
            <v>200</v>
          </cell>
          <cell r="AW3028">
            <v>200</v>
          </cell>
        </row>
        <row r="3029">
          <cell r="B3029">
            <v>6527</v>
          </cell>
          <cell r="E3029" t="str">
            <v/>
          </cell>
          <cell r="F3029" t="str">
            <v/>
          </cell>
          <cell r="G3029">
            <v>8</v>
          </cell>
          <cell r="I3029">
            <v>41686</v>
          </cell>
          <cell r="J3029" t="str">
            <v>NO SUMA</v>
          </cell>
          <cell r="W3029">
            <v>0</v>
          </cell>
          <cell r="AJ3029">
            <v>0</v>
          </cell>
          <cell r="AW3029">
            <v>0</v>
          </cell>
        </row>
        <row r="3030">
          <cell r="B3030">
            <v>6528</v>
          </cell>
          <cell r="C3030" t="str">
            <v>ZB_34_</v>
          </cell>
          <cell r="D3030" t="str">
            <v>Rancho Zinamba No. 34</v>
          </cell>
          <cell r="E3030" t="str">
            <v>Torres Zavala</v>
          </cell>
          <cell r="F3030">
            <v>300</v>
          </cell>
          <cell r="G3030">
            <v>1</v>
          </cell>
          <cell r="H3030">
            <v>800</v>
          </cell>
          <cell r="I3030">
            <v>41686</v>
          </cell>
          <cell r="J3030">
            <v>0</v>
          </cell>
          <cell r="W3030">
            <v>0</v>
          </cell>
          <cell r="AJ3030">
            <v>0</v>
          </cell>
          <cell r="AK3030">
            <v>400</v>
          </cell>
          <cell r="AL3030">
            <v>400</v>
          </cell>
          <cell r="AW3030">
            <v>800</v>
          </cell>
        </row>
        <row r="3031">
          <cell r="B3031">
            <v>6529</v>
          </cell>
          <cell r="C3031" t="str">
            <v>CL_94_</v>
          </cell>
          <cell r="D3031" t="str">
            <v>Rancho La Cuchilla No. 94</v>
          </cell>
          <cell r="E3031" t="str">
            <v>Sánchez Márquez</v>
          </cell>
          <cell r="F3031">
            <v>300</v>
          </cell>
          <cell r="G3031">
            <v>1</v>
          </cell>
          <cell r="H3031">
            <v>400</v>
          </cell>
          <cell r="I3031">
            <v>41686</v>
          </cell>
          <cell r="J3031">
            <v>0</v>
          </cell>
          <cell r="W3031">
            <v>0</v>
          </cell>
          <cell r="AJ3031">
            <v>0</v>
          </cell>
          <cell r="AL3031">
            <v>400</v>
          </cell>
          <cell r="AW3031">
            <v>400</v>
          </cell>
        </row>
        <row r="3032">
          <cell r="B3032">
            <v>6530</v>
          </cell>
          <cell r="C3032" t="str">
            <v>CL_81_A</v>
          </cell>
          <cell r="D3032" t="str">
            <v>Rancho La Cuchilla No. 81, A</v>
          </cell>
          <cell r="E3032" t="str">
            <v>Barrientos López</v>
          </cell>
          <cell r="F3032">
            <v>300</v>
          </cell>
          <cell r="G3032">
            <v>1</v>
          </cell>
          <cell r="H3032">
            <v>400</v>
          </cell>
          <cell r="I3032">
            <v>41686</v>
          </cell>
          <cell r="J3032">
            <v>0</v>
          </cell>
          <cell r="W3032">
            <v>0</v>
          </cell>
          <cell r="AJ3032">
            <v>0</v>
          </cell>
          <cell r="AL3032">
            <v>400</v>
          </cell>
          <cell r="AW3032">
            <v>400</v>
          </cell>
        </row>
        <row r="3033">
          <cell r="B3033">
            <v>6531</v>
          </cell>
          <cell r="C3033" t="str">
            <v>CL_135_</v>
          </cell>
          <cell r="D3033" t="str">
            <v>Rancho La Cuchilla No. 135</v>
          </cell>
          <cell r="E3033" t="str">
            <v>Juárez Sánchez</v>
          </cell>
          <cell r="F3033">
            <v>300</v>
          </cell>
          <cell r="G3033">
            <v>3</v>
          </cell>
          <cell r="H3033">
            <v>160</v>
          </cell>
          <cell r="I3033">
            <v>41686</v>
          </cell>
          <cell r="J3033" t="str">
            <v>NO SUMA</v>
          </cell>
          <cell r="W3033">
            <v>0</v>
          </cell>
          <cell r="AJ3033">
            <v>0</v>
          </cell>
          <cell r="AW3033">
            <v>0</v>
          </cell>
        </row>
        <row r="3034">
          <cell r="B3034">
            <v>6532</v>
          </cell>
          <cell r="C3034" t="str">
            <v>EZ_69_</v>
          </cell>
          <cell r="D3034" t="str">
            <v>Rancho Estanzuela No. 69</v>
          </cell>
          <cell r="E3034" t="str">
            <v>Apaez</v>
          </cell>
          <cell r="F3034">
            <v>300</v>
          </cell>
          <cell r="G3034">
            <v>1</v>
          </cell>
          <cell r="H3034">
            <v>400</v>
          </cell>
          <cell r="I3034">
            <v>41686</v>
          </cell>
          <cell r="J3034">
            <v>0</v>
          </cell>
          <cell r="W3034">
            <v>0</v>
          </cell>
          <cell r="AJ3034">
            <v>0</v>
          </cell>
          <cell r="AL3034">
            <v>400</v>
          </cell>
          <cell r="AW3034">
            <v>400</v>
          </cell>
        </row>
        <row r="3035">
          <cell r="B3035">
            <v>6533</v>
          </cell>
          <cell r="C3035" t="str">
            <v>RV_179_</v>
          </cell>
          <cell r="D3035" t="str">
            <v>Rancho Recoveco No. 179</v>
          </cell>
          <cell r="E3035" t="str">
            <v>Flores Delgado</v>
          </cell>
          <cell r="F3035">
            <v>300</v>
          </cell>
          <cell r="G3035">
            <v>1</v>
          </cell>
          <cell r="H3035">
            <v>400</v>
          </cell>
          <cell r="I3035">
            <v>41686</v>
          </cell>
          <cell r="J3035">
            <v>0</v>
          </cell>
          <cell r="W3035">
            <v>0</v>
          </cell>
          <cell r="AJ3035">
            <v>0</v>
          </cell>
          <cell r="AL3035">
            <v>400</v>
          </cell>
          <cell r="AW3035">
            <v>400</v>
          </cell>
        </row>
        <row r="3036">
          <cell r="B3036">
            <v>6534</v>
          </cell>
          <cell r="C3036" t="str">
            <v>RV_195_</v>
          </cell>
          <cell r="D3036" t="str">
            <v>Rancho Recoveco No. 195</v>
          </cell>
          <cell r="E3036" t="str">
            <v>Sandoval</v>
          </cell>
          <cell r="F3036">
            <v>300</v>
          </cell>
          <cell r="G3036">
            <v>1</v>
          </cell>
          <cell r="H3036">
            <v>400</v>
          </cell>
          <cell r="I3036">
            <v>41686</v>
          </cell>
          <cell r="J3036">
            <v>0</v>
          </cell>
          <cell r="W3036">
            <v>0</v>
          </cell>
          <cell r="AJ3036">
            <v>0</v>
          </cell>
          <cell r="AL3036">
            <v>400</v>
          </cell>
          <cell r="AW3036">
            <v>400</v>
          </cell>
        </row>
        <row r="3037">
          <cell r="B3037">
            <v>6535</v>
          </cell>
          <cell r="C3037" t="str">
            <v>EZ_77_</v>
          </cell>
          <cell r="D3037" t="str">
            <v>Rancho Estanzuela No. 77</v>
          </cell>
          <cell r="E3037" t="str">
            <v>De la Rosa Rico</v>
          </cell>
          <cell r="F3037">
            <v>300</v>
          </cell>
          <cell r="G3037">
            <v>1</v>
          </cell>
          <cell r="H3037">
            <v>400</v>
          </cell>
          <cell r="I3037">
            <v>41686</v>
          </cell>
          <cell r="J3037">
            <v>0</v>
          </cell>
          <cell r="W3037">
            <v>0</v>
          </cell>
          <cell r="AH3037">
            <v>400</v>
          </cell>
          <cell r="AJ3037">
            <v>400</v>
          </cell>
          <cell r="AW3037">
            <v>0</v>
          </cell>
        </row>
        <row r="3038">
          <cell r="B3038">
            <v>6536</v>
          </cell>
          <cell r="C3038" t="str">
            <v>CL_92_</v>
          </cell>
          <cell r="D3038" t="str">
            <v>Rancho La Cuchilla No. 92</v>
          </cell>
          <cell r="E3038" t="str">
            <v>Cabrera</v>
          </cell>
          <cell r="F3038">
            <v>300</v>
          </cell>
          <cell r="G3038">
            <v>1</v>
          </cell>
          <cell r="H3038">
            <v>400</v>
          </cell>
          <cell r="I3038">
            <v>41686</v>
          </cell>
          <cell r="J3038">
            <v>0</v>
          </cell>
          <cell r="W3038">
            <v>0</v>
          </cell>
          <cell r="AJ3038">
            <v>0</v>
          </cell>
          <cell r="AL3038">
            <v>400</v>
          </cell>
          <cell r="AW3038">
            <v>400</v>
          </cell>
        </row>
        <row r="3039">
          <cell r="B3039">
            <v>6537</v>
          </cell>
          <cell r="C3039" t="str">
            <v>UP_19_</v>
          </cell>
          <cell r="D3039" t="str">
            <v>Rancho Upácuaro No. 19</v>
          </cell>
          <cell r="E3039" t="str">
            <v>Peña Inclán</v>
          </cell>
          <cell r="F3039">
            <v>200</v>
          </cell>
          <cell r="G3039">
            <v>1</v>
          </cell>
          <cell r="H3039">
            <v>300</v>
          </cell>
          <cell r="I3039">
            <v>41686</v>
          </cell>
          <cell r="J3039">
            <v>0</v>
          </cell>
          <cell r="W3039">
            <v>0</v>
          </cell>
          <cell r="AJ3039">
            <v>0</v>
          </cell>
          <cell r="AL3039">
            <v>300</v>
          </cell>
          <cell r="AW3039">
            <v>300</v>
          </cell>
        </row>
        <row r="3040">
          <cell r="B3040">
            <v>6538</v>
          </cell>
          <cell r="C3040" t="str">
            <v>CL_33_</v>
          </cell>
          <cell r="D3040" t="str">
            <v>Rancho La Cuchilla No. 33</v>
          </cell>
          <cell r="E3040" t="str">
            <v>Tanús</v>
          </cell>
          <cell r="F3040">
            <v>300</v>
          </cell>
          <cell r="G3040">
            <v>1</v>
          </cell>
          <cell r="H3040">
            <v>400</v>
          </cell>
          <cell r="I3040">
            <v>41686</v>
          </cell>
          <cell r="J3040">
            <v>0</v>
          </cell>
          <cell r="W3040">
            <v>0</v>
          </cell>
          <cell r="AJ3040">
            <v>0</v>
          </cell>
          <cell r="AL3040">
            <v>400</v>
          </cell>
          <cell r="AW3040">
            <v>400</v>
          </cell>
        </row>
        <row r="3041">
          <cell r="B3041">
            <v>6539</v>
          </cell>
          <cell r="C3041" t="str">
            <v>CL_107_</v>
          </cell>
          <cell r="D3041" t="str">
            <v>Rancho La Cuchilla No. 107</v>
          </cell>
          <cell r="E3041" t="str">
            <v>Olivares Rivera</v>
          </cell>
          <cell r="F3041">
            <v>300</v>
          </cell>
          <cell r="G3041">
            <v>1</v>
          </cell>
          <cell r="H3041">
            <v>400</v>
          </cell>
          <cell r="I3041">
            <v>41686</v>
          </cell>
          <cell r="J3041">
            <v>0</v>
          </cell>
          <cell r="W3041">
            <v>0</v>
          </cell>
          <cell r="AJ3041">
            <v>0</v>
          </cell>
          <cell r="AL3041">
            <v>400</v>
          </cell>
          <cell r="AW3041">
            <v>400</v>
          </cell>
        </row>
        <row r="3042">
          <cell r="B3042">
            <v>6540</v>
          </cell>
          <cell r="C3042" t="str">
            <v>ZB_26_</v>
          </cell>
          <cell r="D3042" t="str">
            <v>Rancho Zinamba No. 26</v>
          </cell>
          <cell r="E3042" t="str">
            <v>Ayala</v>
          </cell>
          <cell r="F3042">
            <v>300</v>
          </cell>
          <cell r="G3042">
            <v>1</v>
          </cell>
          <cell r="H3042">
            <v>400</v>
          </cell>
          <cell r="I3042">
            <v>41686</v>
          </cell>
          <cell r="J3042">
            <v>0</v>
          </cell>
          <cell r="W3042">
            <v>0</v>
          </cell>
          <cell r="AH3042">
            <v>400</v>
          </cell>
          <cell r="AJ3042">
            <v>400</v>
          </cell>
          <cell r="AW3042">
            <v>0</v>
          </cell>
        </row>
        <row r="3043">
          <cell r="B3043">
            <v>6541</v>
          </cell>
          <cell r="C3043" t="str">
            <v>ZB_26_</v>
          </cell>
          <cell r="D3043" t="str">
            <v>Rancho Zinamba No. 26</v>
          </cell>
          <cell r="E3043" t="str">
            <v>Ayala</v>
          </cell>
          <cell r="F3043">
            <v>300</v>
          </cell>
          <cell r="G3043">
            <v>3</v>
          </cell>
          <cell r="H3043">
            <v>160</v>
          </cell>
          <cell r="I3043">
            <v>41686</v>
          </cell>
          <cell r="J3043" t="str">
            <v>NO SUMA</v>
          </cell>
          <cell r="W3043">
            <v>0</v>
          </cell>
          <cell r="AJ3043">
            <v>0</v>
          </cell>
          <cell r="AW3043">
            <v>0</v>
          </cell>
        </row>
        <row r="3044">
          <cell r="B3044">
            <v>6542</v>
          </cell>
          <cell r="C3044" t="str">
            <v>LD_76_</v>
          </cell>
          <cell r="D3044" t="str">
            <v>Rancho Landero No. 76</v>
          </cell>
          <cell r="E3044" t="str">
            <v>Ugarte</v>
          </cell>
          <cell r="F3044">
            <v>300</v>
          </cell>
          <cell r="G3044">
            <v>1</v>
          </cell>
          <cell r="H3044">
            <v>400</v>
          </cell>
          <cell r="I3044">
            <v>41686</v>
          </cell>
          <cell r="J3044">
            <v>0</v>
          </cell>
          <cell r="W3044">
            <v>0</v>
          </cell>
          <cell r="AJ3044">
            <v>0</v>
          </cell>
          <cell r="AL3044">
            <v>400</v>
          </cell>
          <cell r="AW3044">
            <v>400</v>
          </cell>
        </row>
        <row r="3045">
          <cell r="B3045">
            <v>6543</v>
          </cell>
          <cell r="C3045" t="str">
            <v>LD_84_</v>
          </cell>
          <cell r="D3045" t="str">
            <v>Rancho Landero No. 84</v>
          </cell>
          <cell r="E3045" t="str">
            <v>Alcántara</v>
          </cell>
          <cell r="F3045">
            <v>300</v>
          </cell>
          <cell r="G3045">
            <v>1</v>
          </cell>
          <cell r="H3045">
            <v>400</v>
          </cell>
          <cell r="I3045">
            <v>41686</v>
          </cell>
          <cell r="J3045">
            <v>0</v>
          </cell>
          <cell r="W3045">
            <v>0</v>
          </cell>
          <cell r="AJ3045">
            <v>0</v>
          </cell>
          <cell r="AL3045">
            <v>400</v>
          </cell>
          <cell r="AW3045">
            <v>400</v>
          </cell>
        </row>
        <row r="3046">
          <cell r="B3046">
            <v>6544</v>
          </cell>
          <cell r="C3046" t="str">
            <v>EZ_103_A</v>
          </cell>
          <cell r="D3046" t="str">
            <v>Rancho Estanzuela No. 103</v>
          </cell>
          <cell r="E3046" t="str">
            <v>Valencia Aranda</v>
          </cell>
          <cell r="F3046">
            <v>300</v>
          </cell>
          <cell r="G3046">
            <v>1</v>
          </cell>
          <cell r="H3046">
            <v>400</v>
          </cell>
          <cell r="I3046">
            <v>41686</v>
          </cell>
          <cell r="J3046">
            <v>0</v>
          </cell>
          <cell r="W3046">
            <v>0</v>
          </cell>
          <cell r="AJ3046">
            <v>0</v>
          </cell>
          <cell r="AL3046">
            <v>400</v>
          </cell>
          <cell r="AW3046">
            <v>400</v>
          </cell>
        </row>
        <row r="3047">
          <cell r="B3047">
            <v>6545</v>
          </cell>
          <cell r="C3047" t="str">
            <v>UP_49_</v>
          </cell>
          <cell r="D3047" t="str">
            <v>Rancho Upácuaro No. 49</v>
          </cell>
          <cell r="E3047" t="str">
            <v>Sánchez Romano</v>
          </cell>
          <cell r="F3047">
            <v>300</v>
          </cell>
          <cell r="G3047">
            <v>1</v>
          </cell>
          <cell r="H3047">
            <v>400</v>
          </cell>
          <cell r="I3047">
            <v>41686</v>
          </cell>
          <cell r="J3047">
            <v>0</v>
          </cell>
          <cell r="W3047">
            <v>0</v>
          </cell>
          <cell r="AJ3047">
            <v>0</v>
          </cell>
          <cell r="AL3047">
            <v>400</v>
          </cell>
          <cell r="AW3047">
            <v>400</v>
          </cell>
        </row>
        <row r="3048">
          <cell r="B3048">
            <v>6546</v>
          </cell>
          <cell r="C3048" t="str">
            <v>CL_14_</v>
          </cell>
          <cell r="D3048" t="str">
            <v>Rancho La Cuchilla No. 14</v>
          </cell>
          <cell r="E3048" t="str">
            <v>Chávez Lara</v>
          </cell>
          <cell r="F3048">
            <v>300</v>
          </cell>
          <cell r="G3048">
            <v>1</v>
          </cell>
          <cell r="H3048">
            <v>800</v>
          </cell>
          <cell r="I3048">
            <v>41688</v>
          </cell>
          <cell r="J3048">
            <v>0</v>
          </cell>
          <cell r="W3048">
            <v>0</v>
          </cell>
          <cell r="AJ3048">
            <v>0</v>
          </cell>
          <cell r="AL3048">
            <v>400</v>
          </cell>
          <cell r="AM3048">
            <v>400</v>
          </cell>
          <cell r="AW3048">
            <v>800</v>
          </cell>
        </row>
        <row r="3049">
          <cell r="B3049">
            <v>6547</v>
          </cell>
          <cell r="C3049" t="str">
            <v>UP_14_</v>
          </cell>
          <cell r="D3049" t="str">
            <v>Rancho Upácuaro No. 14</v>
          </cell>
          <cell r="E3049" t="str">
            <v>Guerrero</v>
          </cell>
          <cell r="F3049">
            <v>300</v>
          </cell>
          <cell r="G3049">
            <v>1</v>
          </cell>
          <cell r="H3049">
            <v>2900</v>
          </cell>
          <cell r="I3049">
            <v>41689</v>
          </cell>
          <cell r="J3049">
            <v>0</v>
          </cell>
          <cell r="W3049">
            <v>0</v>
          </cell>
          <cell r="AC3049">
            <v>300</v>
          </cell>
          <cell r="AD3049">
            <v>300</v>
          </cell>
          <cell r="AE3049">
            <v>300</v>
          </cell>
          <cell r="AF3049">
            <v>300</v>
          </cell>
          <cell r="AG3049">
            <v>300</v>
          </cell>
          <cell r="AH3049">
            <v>300</v>
          </cell>
          <cell r="AI3049">
            <v>300</v>
          </cell>
          <cell r="AJ3049">
            <v>2100</v>
          </cell>
          <cell r="AK3049">
            <v>400</v>
          </cell>
          <cell r="AL3049">
            <v>400</v>
          </cell>
          <cell r="AW3049">
            <v>800</v>
          </cell>
        </row>
        <row r="3050">
          <cell r="B3050">
            <v>6548</v>
          </cell>
          <cell r="C3050" t="str">
            <v>ZB_12_</v>
          </cell>
          <cell r="D3050" t="str">
            <v>Rancho Zinamba No. 12</v>
          </cell>
          <cell r="E3050" t="str">
            <v>S.P.Endoscopic</v>
          </cell>
          <cell r="F3050">
            <v>400</v>
          </cell>
          <cell r="G3050">
            <v>1</v>
          </cell>
          <cell r="H3050">
            <v>400</v>
          </cell>
          <cell r="I3050">
            <v>41690</v>
          </cell>
          <cell r="J3050">
            <v>0</v>
          </cell>
          <cell r="W3050">
            <v>0</v>
          </cell>
          <cell r="AJ3050">
            <v>0</v>
          </cell>
          <cell r="AL3050">
            <v>400</v>
          </cell>
          <cell r="AW3050">
            <v>400</v>
          </cell>
        </row>
        <row r="3051">
          <cell r="B3051">
            <v>6549</v>
          </cell>
          <cell r="C3051" t="str">
            <v>LD_54_2</v>
          </cell>
          <cell r="D3051" t="str">
            <v>Rancho Landero No. 54, 2</v>
          </cell>
          <cell r="E3051" t="str">
            <v>Montemayor Santana</v>
          </cell>
          <cell r="F3051">
            <v>300</v>
          </cell>
          <cell r="G3051">
            <v>1</v>
          </cell>
          <cell r="H3051">
            <v>150</v>
          </cell>
          <cell r="I3051">
            <v>41691</v>
          </cell>
          <cell r="J3051">
            <v>0</v>
          </cell>
          <cell r="W3051">
            <v>0</v>
          </cell>
          <cell r="AJ3051">
            <v>0</v>
          </cell>
          <cell r="AL3051">
            <v>150</v>
          </cell>
          <cell r="AW3051">
            <v>150</v>
          </cell>
        </row>
        <row r="3052">
          <cell r="B3052">
            <v>6550</v>
          </cell>
          <cell r="D3052" t="str">
            <v/>
          </cell>
          <cell r="E3052" t="str">
            <v/>
          </cell>
          <cell r="F3052" t="str">
            <v/>
          </cell>
          <cell r="G3052">
            <v>8</v>
          </cell>
          <cell r="I3052">
            <v>41691</v>
          </cell>
          <cell r="J3052" t="str">
            <v>NO SUMA</v>
          </cell>
          <cell r="W3052">
            <v>0</v>
          </cell>
          <cell r="AJ3052">
            <v>0</v>
          </cell>
          <cell r="AW3052">
            <v>0</v>
          </cell>
        </row>
        <row r="3053">
          <cell r="B3053">
            <v>6551</v>
          </cell>
          <cell r="C3053" t="str">
            <v>UP_85_</v>
          </cell>
          <cell r="D3053" t="str">
            <v>Rancho Upácuaro No. 85</v>
          </cell>
          <cell r="E3053" t="str">
            <v>Del Toro Huerta</v>
          </cell>
          <cell r="F3053">
            <v>300</v>
          </cell>
          <cell r="G3053">
            <v>1</v>
          </cell>
          <cell r="H3053">
            <v>400</v>
          </cell>
          <cell r="I3053">
            <v>41693</v>
          </cell>
          <cell r="J3053">
            <v>0</v>
          </cell>
          <cell r="W3053">
            <v>0</v>
          </cell>
          <cell r="AJ3053">
            <v>0</v>
          </cell>
          <cell r="AL3053">
            <v>400</v>
          </cell>
          <cell r="AW3053">
            <v>400</v>
          </cell>
        </row>
        <row r="3054">
          <cell r="B3054">
            <v>6552</v>
          </cell>
          <cell r="C3054" t="str">
            <v>EZ_9_B</v>
          </cell>
          <cell r="D3054" t="str">
            <v>Rancho Estanzuela No. 9, B</v>
          </cell>
          <cell r="E3054" t="str">
            <v>Velasco Rojas</v>
          </cell>
          <cell r="F3054">
            <v>200</v>
          </cell>
          <cell r="G3054">
            <v>1</v>
          </cell>
          <cell r="H3054">
            <v>1000</v>
          </cell>
          <cell r="I3054">
            <v>41693</v>
          </cell>
          <cell r="J3054">
            <v>0</v>
          </cell>
          <cell r="W3054">
            <v>0</v>
          </cell>
          <cell r="AH3054">
            <v>200</v>
          </cell>
          <cell r="AI3054">
            <v>200</v>
          </cell>
          <cell r="AJ3054">
            <v>400</v>
          </cell>
          <cell r="AK3054">
            <v>200</v>
          </cell>
          <cell r="AL3054">
            <v>200</v>
          </cell>
          <cell r="AM3054">
            <v>200</v>
          </cell>
          <cell r="AW3054">
            <v>600</v>
          </cell>
        </row>
        <row r="3055">
          <cell r="B3055">
            <v>6553</v>
          </cell>
          <cell r="C3055" t="str">
            <v>LD_63_</v>
          </cell>
          <cell r="D3055" t="str">
            <v>Rancho Landero No. 63</v>
          </cell>
          <cell r="E3055" t="str">
            <v>Hernández Chávez</v>
          </cell>
          <cell r="F3055">
            <v>300</v>
          </cell>
          <cell r="G3055">
            <v>1</v>
          </cell>
          <cell r="H3055">
            <v>800</v>
          </cell>
          <cell r="I3055">
            <v>41693</v>
          </cell>
          <cell r="J3055">
            <v>0</v>
          </cell>
          <cell r="W3055">
            <v>0</v>
          </cell>
          <cell r="AJ3055">
            <v>0</v>
          </cell>
          <cell r="AK3055">
            <v>400</v>
          </cell>
          <cell r="AL3055">
            <v>400</v>
          </cell>
          <cell r="AW3055">
            <v>800</v>
          </cell>
        </row>
        <row r="3056">
          <cell r="B3056">
            <v>6554</v>
          </cell>
          <cell r="C3056" t="str">
            <v>UP_99_</v>
          </cell>
          <cell r="D3056" t="str">
            <v>Rancho Upácuaro No. 99</v>
          </cell>
          <cell r="E3056" t="str">
            <v>Frías</v>
          </cell>
          <cell r="F3056">
            <v>300</v>
          </cell>
          <cell r="G3056">
            <v>1</v>
          </cell>
          <cell r="H3056">
            <v>1200</v>
          </cell>
          <cell r="I3056">
            <v>41693</v>
          </cell>
          <cell r="J3056">
            <v>0</v>
          </cell>
          <cell r="W3056">
            <v>0</v>
          </cell>
          <cell r="AJ3056">
            <v>0</v>
          </cell>
          <cell r="AK3056">
            <v>400</v>
          </cell>
          <cell r="AL3056">
            <v>400</v>
          </cell>
          <cell r="AM3056">
            <v>400</v>
          </cell>
          <cell r="AW3056">
            <v>1200</v>
          </cell>
        </row>
        <row r="3057">
          <cell r="B3057">
            <v>6555</v>
          </cell>
          <cell r="C3057" t="str">
            <v>LD_58_</v>
          </cell>
          <cell r="D3057" t="str">
            <v>Rancho Landero No. 58</v>
          </cell>
          <cell r="E3057" t="str">
            <v>Valero</v>
          </cell>
          <cell r="F3057">
            <v>300</v>
          </cell>
          <cell r="G3057">
            <v>1</v>
          </cell>
          <cell r="H3057">
            <v>400</v>
          </cell>
          <cell r="I3057">
            <v>41693</v>
          </cell>
          <cell r="J3057">
            <v>0</v>
          </cell>
          <cell r="W3057">
            <v>0</v>
          </cell>
          <cell r="AJ3057">
            <v>0</v>
          </cell>
          <cell r="AL3057">
            <v>400</v>
          </cell>
          <cell r="AW3057">
            <v>400</v>
          </cell>
        </row>
        <row r="3058">
          <cell r="B3058">
            <v>6555</v>
          </cell>
          <cell r="C3058" t="str">
            <v>LD_58_</v>
          </cell>
          <cell r="D3058" t="str">
            <v>Rancho Landero No. 58</v>
          </cell>
          <cell r="E3058" t="str">
            <v>Valero</v>
          </cell>
          <cell r="F3058">
            <v>300</v>
          </cell>
          <cell r="G3058">
            <v>3</v>
          </cell>
          <cell r="H3058">
            <v>160</v>
          </cell>
          <cell r="I3058">
            <v>41693</v>
          </cell>
          <cell r="J3058" t="str">
            <v>NO SUMA</v>
          </cell>
          <cell r="W3058">
            <v>0</v>
          </cell>
          <cell r="AJ3058">
            <v>0</v>
          </cell>
          <cell r="AW3058">
            <v>0</v>
          </cell>
        </row>
        <row r="3059">
          <cell r="B3059">
            <v>6556</v>
          </cell>
          <cell r="C3059" t="str">
            <v>ZB_88_</v>
          </cell>
          <cell r="D3059" t="str">
            <v>Rancho Zinamba No. 88</v>
          </cell>
          <cell r="E3059" t="str">
            <v>Martínez</v>
          </cell>
          <cell r="F3059">
            <v>250</v>
          </cell>
          <cell r="G3059">
            <v>1</v>
          </cell>
          <cell r="H3059">
            <v>350</v>
          </cell>
          <cell r="I3059">
            <v>41693</v>
          </cell>
          <cell r="J3059">
            <v>0</v>
          </cell>
          <cell r="W3059">
            <v>0</v>
          </cell>
          <cell r="AJ3059">
            <v>0</v>
          </cell>
          <cell r="AL3059">
            <v>350</v>
          </cell>
          <cell r="AW3059">
            <v>350</v>
          </cell>
        </row>
        <row r="3060">
          <cell r="B3060">
            <v>6557</v>
          </cell>
          <cell r="C3060" t="str">
            <v>EZ_99_</v>
          </cell>
          <cell r="D3060" t="str">
            <v>Rancho Estanzuela No. 99</v>
          </cell>
          <cell r="E3060" t="str">
            <v>García López</v>
          </cell>
          <cell r="F3060">
            <v>300</v>
          </cell>
          <cell r="G3060">
            <v>1</v>
          </cell>
          <cell r="H3060">
            <v>400</v>
          </cell>
          <cell r="I3060">
            <v>41693</v>
          </cell>
          <cell r="J3060">
            <v>0</v>
          </cell>
          <cell r="W3060">
            <v>0</v>
          </cell>
          <cell r="AJ3060">
            <v>0</v>
          </cell>
          <cell r="AL3060">
            <v>400</v>
          </cell>
          <cell r="AW3060">
            <v>400</v>
          </cell>
        </row>
        <row r="3061">
          <cell r="B3061">
            <v>6558</v>
          </cell>
          <cell r="C3061" t="str">
            <v>CL_42_</v>
          </cell>
          <cell r="D3061" t="str">
            <v>Rancho La Cuchilla No. 42</v>
          </cell>
          <cell r="E3061" t="str">
            <v>Mac Kinney</v>
          </cell>
          <cell r="F3061">
            <v>300</v>
          </cell>
          <cell r="G3061">
            <v>1</v>
          </cell>
          <cell r="H3061">
            <v>800</v>
          </cell>
          <cell r="I3061">
            <v>41693</v>
          </cell>
          <cell r="J3061">
            <v>0</v>
          </cell>
          <cell r="W3061">
            <v>0</v>
          </cell>
          <cell r="AJ3061">
            <v>0</v>
          </cell>
          <cell r="AK3061">
            <v>400</v>
          </cell>
          <cell r="AL3061">
            <v>400</v>
          </cell>
          <cell r="AW3061">
            <v>800</v>
          </cell>
        </row>
        <row r="3062">
          <cell r="B3062">
            <v>6559</v>
          </cell>
          <cell r="C3062" t="str">
            <v>CL_81_B</v>
          </cell>
          <cell r="D3062" t="str">
            <v>Rancho La Cuchilla No. 81, B</v>
          </cell>
          <cell r="E3062" t="str">
            <v>Suárez</v>
          </cell>
          <cell r="F3062">
            <v>300</v>
          </cell>
          <cell r="G3062">
            <v>1</v>
          </cell>
          <cell r="H3062">
            <v>400</v>
          </cell>
          <cell r="I3062">
            <v>41693</v>
          </cell>
          <cell r="J3062">
            <v>0</v>
          </cell>
          <cell r="W3062">
            <v>0</v>
          </cell>
          <cell r="AJ3062">
            <v>0</v>
          </cell>
          <cell r="AL3062">
            <v>400</v>
          </cell>
          <cell r="AW3062">
            <v>400</v>
          </cell>
        </row>
        <row r="3063">
          <cell r="B3063">
            <v>6560</v>
          </cell>
          <cell r="C3063" t="str">
            <v>LD_74_</v>
          </cell>
          <cell r="D3063" t="str">
            <v>Rancho Landero No. 74</v>
          </cell>
          <cell r="E3063">
            <v>0</v>
          </cell>
          <cell r="F3063">
            <v>300</v>
          </cell>
          <cell r="G3063">
            <v>3</v>
          </cell>
          <cell r="H3063">
            <v>160</v>
          </cell>
          <cell r="I3063">
            <v>41693</v>
          </cell>
          <cell r="J3063" t="str">
            <v>NO SUMA</v>
          </cell>
          <cell r="W3063">
            <v>0</v>
          </cell>
          <cell r="AJ3063">
            <v>0</v>
          </cell>
          <cell r="AW3063">
            <v>0</v>
          </cell>
        </row>
        <row r="3064">
          <cell r="B3064">
            <v>6561</v>
          </cell>
          <cell r="C3064" t="str">
            <v>EZ_7_A</v>
          </cell>
          <cell r="D3064" t="str">
            <v>Rancho Estanzuela No. 7, A</v>
          </cell>
          <cell r="E3064" t="str">
            <v>Herrera Izquierdo</v>
          </cell>
          <cell r="F3064">
            <v>150</v>
          </cell>
          <cell r="G3064">
            <v>1</v>
          </cell>
          <cell r="H3064">
            <v>200</v>
          </cell>
          <cell r="I3064">
            <v>41693</v>
          </cell>
          <cell r="J3064">
            <v>0</v>
          </cell>
          <cell r="W3064">
            <v>0</v>
          </cell>
          <cell r="AJ3064">
            <v>0</v>
          </cell>
          <cell r="AL3064">
            <v>200</v>
          </cell>
          <cell r="AW3064">
            <v>200</v>
          </cell>
        </row>
        <row r="3065">
          <cell r="B3065">
            <v>6562</v>
          </cell>
          <cell r="C3065" t="str">
            <v>ZB_84_</v>
          </cell>
          <cell r="D3065" t="str">
            <v>Rancho Zinamba No. 84</v>
          </cell>
          <cell r="E3065" t="str">
            <v>Lobato</v>
          </cell>
          <cell r="F3065">
            <v>300</v>
          </cell>
          <cell r="G3065">
            <v>1</v>
          </cell>
          <cell r="H3065">
            <v>600</v>
          </cell>
          <cell r="I3065">
            <v>41693</v>
          </cell>
          <cell r="J3065">
            <v>0</v>
          </cell>
          <cell r="W3065">
            <v>0</v>
          </cell>
          <cell r="AJ3065">
            <v>0</v>
          </cell>
          <cell r="AK3065">
            <v>300</v>
          </cell>
          <cell r="AL3065">
            <v>300</v>
          </cell>
          <cell r="AW3065">
            <v>600</v>
          </cell>
        </row>
        <row r="3066">
          <cell r="B3066">
            <v>6563</v>
          </cell>
          <cell r="C3066" t="str">
            <v>LD_24_</v>
          </cell>
          <cell r="D3066" t="str">
            <v>Rancho Landero No. 24</v>
          </cell>
          <cell r="E3066" t="str">
            <v>Vázquez Peralta</v>
          </cell>
          <cell r="F3066">
            <v>300</v>
          </cell>
          <cell r="G3066">
            <v>1</v>
          </cell>
          <cell r="H3066">
            <v>400</v>
          </cell>
          <cell r="I3066">
            <v>41693</v>
          </cell>
          <cell r="J3066">
            <v>0</v>
          </cell>
          <cell r="W3066">
            <v>0</v>
          </cell>
          <cell r="AJ3066">
            <v>0</v>
          </cell>
          <cell r="AK3066">
            <v>400</v>
          </cell>
          <cell r="AW3066">
            <v>400</v>
          </cell>
        </row>
        <row r="3067">
          <cell r="B3067">
            <v>6564</v>
          </cell>
          <cell r="C3067" t="str">
            <v>UP_78_</v>
          </cell>
          <cell r="D3067" t="str">
            <v>Rancho Upácuaro No. 78</v>
          </cell>
          <cell r="E3067" t="str">
            <v>Villaseñor Carranza</v>
          </cell>
          <cell r="F3067">
            <v>300</v>
          </cell>
          <cell r="G3067">
            <v>1</v>
          </cell>
          <cell r="H3067">
            <v>4000</v>
          </cell>
          <cell r="I3067">
            <v>41693</v>
          </cell>
          <cell r="J3067">
            <v>0</v>
          </cell>
          <cell r="W3067">
            <v>0</v>
          </cell>
          <cell r="AJ3067">
            <v>0</v>
          </cell>
          <cell r="AK3067">
            <v>400</v>
          </cell>
          <cell r="AL3067">
            <v>400</v>
          </cell>
          <cell r="AM3067">
            <v>400</v>
          </cell>
          <cell r="AN3067">
            <v>400</v>
          </cell>
          <cell r="AO3067">
            <v>400</v>
          </cell>
          <cell r="AP3067">
            <v>400</v>
          </cell>
          <cell r="AQ3067">
            <v>400</v>
          </cell>
          <cell r="AR3067">
            <v>400</v>
          </cell>
          <cell r="AS3067">
            <v>400</v>
          </cell>
          <cell r="AT3067">
            <v>400</v>
          </cell>
          <cell r="AW3067">
            <v>4000</v>
          </cell>
        </row>
        <row r="3068">
          <cell r="B3068">
            <v>6565</v>
          </cell>
          <cell r="C3068" t="str">
            <v>EZ_129_</v>
          </cell>
          <cell r="D3068" t="str">
            <v>Rancho Estanzuela No. 129</v>
          </cell>
          <cell r="E3068" t="str">
            <v>González</v>
          </cell>
          <cell r="F3068">
            <v>300</v>
          </cell>
          <cell r="G3068">
            <v>1</v>
          </cell>
          <cell r="H3068">
            <v>250</v>
          </cell>
          <cell r="I3068">
            <v>41693</v>
          </cell>
          <cell r="J3068">
            <v>0</v>
          </cell>
          <cell r="W3068">
            <v>0</v>
          </cell>
          <cell r="AJ3068">
            <v>0</v>
          </cell>
          <cell r="AL3068">
            <v>250</v>
          </cell>
          <cell r="AW3068">
            <v>250</v>
          </cell>
        </row>
        <row r="3069">
          <cell r="B3069">
            <v>6566</v>
          </cell>
          <cell r="C3069" t="str">
            <v>UP_37_</v>
          </cell>
          <cell r="D3069" t="str">
            <v>Rancho Upácuaro No. 37</v>
          </cell>
          <cell r="E3069" t="str">
            <v>García Valdés</v>
          </cell>
          <cell r="F3069">
            <v>300</v>
          </cell>
          <cell r="G3069">
            <v>1</v>
          </cell>
          <cell r="H3069">
            <v>400</v>
          </cell>
          <cell r="I3069">
            <v>41693</v>
          </cell>
          <cell r="J3069">
            <v>0</v>
          </cell>
          <cell r="W3069">
            <v>0</v>
          </cell>
          <cell r="AJ3069">
            <v>0</v>
          </cell>
          <cell r="AL3069">
            <v>400</v>
          </cell>
          <cell r="AW3069">
            <v>400</v>
          </cell>
        </row>
        <row r="3070">
          <cell r="B3070">
            <v>6567</v>
          </cell>
          <cell r="C3070" t="str">
            <v>EZ_33_</v>
          </cell>
          <cell r="D3070" t="str">
            <v>Rancho Estanzuela No. 33</v>
          </cell>
          <cell r="E3070" t="str">
            <v>Arauz</v>
          </cell>
          <cell r="F3070">
            <v>300</v>
          </cell>
          <cell r="G3070">
            <v>1</v>
          </cell>
          <cell r="H3070">
            <v>4400</v>
          </cell>
          <cell r="I3070">
            <v>41693</v>
          </cell>
          <cell r="J3070">
            <v>0</v>
          </cell>
          <cell r="W3070">
            <v>0</v>
          </cell>
          <cell r="AJ3070">
            <v>0</v>
          </cell>
          <cell r="AK3070">
            <v>400</v>
          </cell>
          <cell r="AL3070">
            <v>400</v>
          </cell>
          <cell r="AM3070">
            <v>400</v>
          </cell>
          <cell r="AN3070">
            <v>400</v>
          </cell>
          <cell r="AO3070">
            <v>400</v>
          </cell>
          <cell r="AP3070">
            <v>400</v>
          </cell>
          <cell r="AQ3070">
            <v>400</v>
          </cell>
          <cell r="AR3070">
            <v>400</v>
          </cell>
          <cell r="AS3070">
            <v>400</v>
          </cell>
          <cell r="AT3070">
            <v>400</v>
          </cell>
          <cell r="AU3070">
            <v>400</v>
          </cell>
          <cell r="AW3070">
            <v>4400</v>
          </cell>
        </row>
        <row r="3071">
          <cell r="B3071">
            <v>6567</v>
          </cell>
          <cell r="C3071" t="str">
            <v>EZ_33_</v>
          </cell>
          <cell r="D3071" t="str">
            <v>Rancho Estanzuela No. 33</v>
          </cell>
          <cell r="E3071" t="str">
            <v>Arauz</v>
          </cell>
          <cell r="F3071">
            <v>300</v>
          </cell>
          <cell r="G3071">
            <v>3</v>
          </cell>
          <cell r="H3071">
            <v>150</v>
          </cell>
          <cell r="I3071">
            <v>41693</v>
          </cell>
          <cell r="J3071" t="str">
            <v>NO SUMA</v>
          </cell>
          <cell r="W3071">
            <v>0</v>
          </cell>
          <cell r="AJ3071">
            <v>0</v>
          </cell>
          <cell r="AK3071">
            <v>0</v>
          </cell>
          <cell r="AM3071">
            <v>0</v>
          </cell>
          <cell r="AN3071">
            <v>0</v>
          </cell>
          <cell r="AO3071">
            <v>0</v>
          </cell>
          <cell r="AP3071">
            <v>0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U3071">
            <v>0</v>
          </cell>
          <cell r="AV3071">
            <v>0</v>
          </cell>
          <cell r="AW3071">
            <v>0</v>
          </cell>
        </row>
        <row r="3072">
          <cell r="B3072">
            <v>6568</v>
          </cell>
          <cell r="C3072" t="str">
            <v>CL_TERRENO_</v>
          </cell>
          <cell r="D3072" t="str">
            <v>Rancho La Cuchilla No. terreno</v>
          </cell>
          <cell r="E3072" t="str">
            <v>Martínez Flores</v>
          </cell>
          <cell r="F3072">
            <v>300</v>
          </cell>
          <cell r="G3072">
            <v>1</v>
          </cell>
          <cell r="H3072">
            <v>900</v>
          </cell>
          <cell r="I3072">
            <v>41693</v>
          </cell>
          <cell r="J3072">
            <v>0</v>
          </cell>
          <cell r="W3072">
            <v>0</v>
          </cell>
          <cell r="AD3072">
            <v>300</v>
          </cell>
          <cell r="AE3072">
            <v>300</v>
          </cell>
          <cell r="AF3072">
            <v>300</v>
          </cell>
          <cell r="AJ3072">
            <v>900</v>
          </cell>
          <cell r="AW3072">
            <v>0</v>
          </cell>
        </row>
        <row r="3073">
          <cell r="B3073">
            <v>6569</v>
          </cell>
          <cell r="C3073" t="str">
            <v>UP_85_</v>
          </cell>
          <cell r="D3073" t="str">
            <v>Rancho Upácuaro No. 85</v>
          </cell>
          <cell r="E3073" t="str">
            <v>Del Toro Huerta</v>
          </cell>
          <cell r="F3073">
            <v>300</v>
          </cell>
          <cell r="G3073">
            <v>1</v>
          </cell>
          <cell r="H3073">
            <v>400</v>
          </cell>
          <cell r="I3073">
            <v>41693</v>
          </cell>
          <cell r="J3073">
            <v>0</v>
          </cell>
          <cell r="W3073">
            <v>0</v>
          </cell>
          <cell r="AJ3073">
            <v>0</v>
          </cell>
          <cell r="AK3073">
            <v>400</v>
          </cell>
          <cell r="AW3073">
            <v>400</v>
          </cell>
        </row>
        <row r="3074">
          <cell r="B3074">
            <v>6570</v>
          </cell>
          <cell r="C3074" t="str">
            <v>ZB_20_</v>
          </cell>
          <cell r="D3074" t="str">
            <v>Rancho Zinamba No. 20</v>
          </cell>
          <cell r="E3074" t="str">
            <v>Alegre Retana</v>
          </cell>
          <cell r="F3074">
            <v>300</v>
          </cell>
          <cell r="G3074">
            <v>1</v>
          </cell>
          <cell r="H3074">
            <v>2000</v>
          </cell>
          <cell r="I3074">
            <v>41693</v>
          </cell>
          <cell r="J3074">
            <v>0</v>
          </cell>
          <cell r="W3074">
            <v>0</v>
          </cell>
          <cell r="AG3074">
            <v>400</v>
          </cell>
          <cell r="AH3074">
            <v>400</v>
          </cell>
          <cell r="AI3074">
            <v>400</v>
          </cell>
          <cell r="AJ3074">
            <v>1200</v>
          </cell>
          <cell r="AK3074">
            <v>400</v>
          </cell>
          <cell r="AL3074">
            <v>400</v>
          </cell>
          <cell r="AW3074">
            <v>800</v>
          </cell>
        </row>
        <row r="3075">
          <cell r="B3075">
            <v>6571</v>
          </cell>
          <cell r="C3075" t="str">
            <v>ZB_62_</v>
          </cell>
          <cell r="D3075" t="str">
            <v>Rancho Zinamba No. 62</v>
          </cell>
          <cell r="E3075" t="str">
            <v>Martínez León</v>
          </cell>
          <cell r="F3075">
            <v>250</v>
          </cell>
          <cell r="G3075">
            <v>1</v>
          </cell>
          <cell r="H3075">
            <v>500</v>
          </cell>
          <cell r="I3075">
            <v>41693</v>
          </cell>
          <cell r="J3075">
            <v>0</v>
          </cell>
          <cell r="W3075">
            <v>0</v>
          </cell>
          <cell r="AJ3075">
            <v>0</v>
          </cell>
          <cell r="AK3075">
            <v>250</v>
          </cell>
          <cell r="AL3075">
            <v>250</v>
          </cell>
          <cell r="AW3075">
            <v>500</v>
          </cell>
        </row>
        <row r="3076">
          <cell r="B3076">
            <v>6572</v>
          </cell>
          <cell r="C3076" t="str">
            <v>CL_111_</v>
          </cell>
          <cell r="D3076" t="str">
            <v>Rancho La Cuchilla No. 111</v>
          </cell>
          <cell r="E3076" t="str">
            <v>García Santos Ofelia</v>
          </cell>
          <cell r="F3076">
            <v>150</v>
          </cell>
          <cell r="G3076">
            <v>1</v>
          </cell>
          <cell r="H3076">
            <v>200</v>
          </cell>
          <cell r="I3076">
            <v>41693</v>
          </cell>
          <cell r="J3076">
            <v>0</v>
          </cell>
          <cell r="W3076">
            <v>0</v>
          </cell>
          <cell r="AJ3076">
            <v>0</v>
          </cell>
          <cell r="AL3076">
            <v>200</v>
          </cell>
          <cell r="AW3076">
            <v>200</v>
          </cell>
        </row>
        <row r="3077">
          <cell r="B3077">
            <v>6573</v>
          </cell>
          <cell r="C3077" t="str">
            <v>UP_79_</v>
          </cell>
          <cell r="D3077" t="str">
            <v>Rancho Upácuaro No. 79</v>
          </cell>
          <cell r="E3077" t="str">
            <v>Macías</v>
          </cell>
          <cell r="F3077">
            <v>300</v>
          </cell>
          <cell r="G3077">
            <v>1</v>
          </cell>
          <cell r="H3077">
            <v>1200</v>
          </cell>
          <cell r="I3077">
            <v>41693</v>
          </cell>
          <cell r="J3077">
            <v>0</v>
          </cell>
          <cell r="W3077">
            <v>0</v>
          </cell>
          <cell r="AJ3077">
            <v>0</v>
          </cell>
          <cell r="AL3077">
            <v>400</v>
          </cell>
          <cell r="AM3077">
            <v>400</v>
          </cell>
          <cell r="AN3077">
            <v>400</v>
          </cell>
          <cell r="AW3077">
            <v>1200</v>
          </cell>
        </row>
        <row r="3078">
          <cell r="B3078">
            <v>6574</v>
          </cell>
          <cell r="C3078" t="str">
            <v>CL_55_</v>
          </cell>
          <cell r="D3078" t="str">
            <v>Rancho La Cuchilla No. 55</v>
          </cell>
          <cell r="E3078" t="str">
            <v>López Velázquez</v>
          </cell>
          <cell r="F3078">
            <v>300</v>
          </cell>
          <cell r="G3078">
            <v>1</v>
          </cell>
          <cell r="H3078">
            <v>800</v>
          </cell>
          <cell r="I3078">
            <v>41693</v>
          </cell>
          <cell r="J3078">
            <v>0</v>
          </cell>
          <cell r="W3078">
            <v>0</v>
          </cell>
          <cell r="AJ3078">
            <v>0</v>
          </cell>
          <cell r="AK3078">
            <v>400</v>
          </cell>
          <cell r="AL3078">
            <v>400</v>
          </cell>
          <cell r="AW3078">
            <v>800</v>
          </cell>
        </row>
        <row r="3079">
          <cell r="B3079">
            <v>6575</v>
          </cell>
          <cell r="C3079" t="str">
            <v>EZ_139_</v>
          </cell>
          <cell r="D3079" t="str">
            <v>Rancho Estanzuela No. 139</v>
          </cell>
          <cell r="E3079" t="str">
            <v>Ortiz</v>
          </cell>
          <cell r="F3079">
            <v>300</v>
          </cell>
          <cell r="G3079">
            <v>1</v>
          </cell>
          <cell r="H3079">
            <v>800</v>
          </cell>
          <cell r="I3079">
            <v>41693</v>
          </cell>
          <cell r="J3079">
            <v>0</v>
          </cell>
          <cell r="W3079">
            <v>0</v>
          </cell>
          <cell r="AJ3079">
            <v>0</v>
          </cell>
          <cell r="AK3079">
            <v>400</v>
          </cell>
          <cell r="AL3079">
            <v>400</v>
          </cell>
          <cell r="AW3079">
            <v>800</v>
          </cell>
        </row>
        <row r="3080">
          <cell r="B3080">
            <v>6576</v>
          </cell>
          <cell r="C3080" t="str">
            <v>EZ_77_</v>
          </cell>
          <cell r="D3080" t="str">
            <v>Rancho Estanzuela No. 77</v>
          </cell>
          <cell r="E3080" t="str">
            <v>De la Rosa Rico</v>
          </cell>
          <cell r="F3080">
            <v>300</v>
          </cell>
          <cell r="G3080">
            <v>1</v>
          </cell>
          <cell r="H3080">
            <v>800</v>
          </cell>
          <cell r="I3080">
            <v>41693</v>
          </cell>
          <cell r="J3080">
            <v>0</v>
          </cell>
          <cell r="W3080">
            <v>0</v>
          </cell>
          <cell r="AI3080">
            <v>400</v>
          </cell>
          <cell r="AJ3080">
            <v>400</v>
          </cell>
          <cell r="AK3080">
            <v>400</v>
          </cell>
          <cell r="AW3080">
            <v>400</v>
          </cell>
        </row>
        <row r="3081">
          <cell r="B3081">
            <v>6577</v>
          </cell>
          <cell r="C3081" t="str">
            <v>ZB_18_</v>
          </cell>
          <cell r="D3081" t="str">
            <v>Rancho Zinamba No. 18</v>
          </cell>
          <cell r="E3081" t="str">
            <v>Hernández Castro</v>
          </cell>
          <cell r="F3081">
            <v>300</v>
          </cell>
          <cell r="G3081">
            <v>1</v>
          </cell>
          <cell r="H3081">
            <v>400</v>
          </cell>
          <cell r="I3081">
            <v>41693</v>
          </cell>
          <cell r="J3081">
            <v>0</v>
          </cell>
          <cell r="W3081">
            <v>0</v>
          </cell>
          <cell r="AJ3081">
            <v>0</v>
          </cell>
          <cell r="AK3081">
            <v>200</v>
          </cell>
          <cell r="AL3081">
            <v>200</v>
          </cell>
          <cell r="AW3081">
            <v>400</v>
          </cell>
        </row>
        <row r="3082">
          <cell r="B3082">
            <v>6578</v>
          </cell>
          <cell r="C3082" t="str">
            <v>ZB_38_</v>
          </cell>
          <cell r="D3082" t="str">
            <v>Rancho Zinamba No. 38</v>
          </cell>
          <cell r="E3082" t="str">
            <v>Ramírez Díaz</v>
          </cell>
          <cell r="F3082">
            <v>300</v>
          </cell>
          <cell r="G3082">
            <v>1</v>
          </cell>
          <cell r="H3082">
            <v>400</v>
          </cell>
          <cell r="I3082">
            <v>41693</v>
          </cell>
          <cell r="J3082">
            <v>0</v>
          </cell>
          <cell r="W3082">
            <v>0</v>
          </cell>
          <cell r="AJ3082">
            <v>0</v>
          </cell>
          <cell r="AL3082">
            <v>400</v>
          </cell>
          <cell r="AW3082">
            <v>400</v>
          </cell>
        </row>
        <row r="3083">
          <cell r="B3083">
            <v>6579</v>
          </cell>
          <cell r="C3083" t="str">
            <v>ZB_82_</v>
          </cell>
          <cell r="D3083" t="str">
            <v>Rancho Zinamba No. 82</v>
          </cell>
          <cell r="E3083" t="str">
            <v>Morán Carmona</v>
          </cell>
          <cell r="F3083">
            <v>150</v>
          </cell>
          <cell r="G3083">
            <v>1</v>
          </cell>
          <cell r="H3083">
            <v>600</v>
          </cell>
          <cell r="I3083">
            <v>41693</v>
          </cell>
          <cell r="J3083">
            <v>0</v>
          </cell>
          <cell r="W3083">
            <v>0</v>
          </cell>
          <cell r="AJ3083">
            <v>0</v>
          </cell>
          <cell r="AK3083">
            <v>200</v>
          </cell>
          <cell r="AL3083">
            <v>200</v>
          </cell>
          <cell r="AM3083">
            <v>200</v>
          </cell>
          <cell r="AW3083">
            <v>600</v>
          </cell>
        </row>
        <row r="3084">
          <cell r="B3084">
            <v>6580</v>
          </cell>
          <cell r="C3084" t="str">
            <v>UP_21_</v>
          </cell>
          <cell r="D3084" t="str">
            <v>Rancho Upácuaro No. 21</v>
          </cell>
          <cell r="E3084" t="str">
            <v>Fierro Betancourt</v>
          </cell>
          <cell r="F3084">
            <v>150</v>
          </cell>
          <cell r="G3084">
            <v>1</v>
          </cell>
          <cell r="H3084">
            <v>200</v>
          </cell>
          <cell r="I3084">
            <v>41693</v>
          </cell>
          <cell r="J3084">
            <v>0</v>
          </cell>
          <cell r="W3084">
            <v>0</v>
          </cell>
          <cell r="AJ3084">
            <v>0</v>
          </cell>
          <cell r="AL3084">
            <v>200</v>
          </cell>
          <cell r="AW3084">
            <v>200</v>
          </cell>
        </row>
        <row r="3085">
          <cell r="B3085">
            <v>6581</v>
          </cell>
          <cell r="C3085" t="str">
            <v>EZ_100_</v>
          </cell>
          <cell r="D3085" t="str">
            <v>Rancho Estanzuela No. 100</v>
          </cell>
          <cell r="E3085" t="str">
            <v>Arias Monter</v>
          </cell>
          <cell r="F3085">
            <v>300</v>
          </cell>
          <cell r="G3085">
            <v>1</v>
          </cell>
          <cell r="H3085">
            <v>1200</v>
          </cell>
          <cell r="I3085">
            <v>41693</v>
          </cell>
          <cell r="J3085">
            <v>0</v>
          </cell>
          <cell r="W3085">
            <v>0</v>
          </cell>
          <cell r="AJ3085">
            <v>0</v>
          </cell>
          <cell r="AK3085">
            <v>400</v>
          </cell>
          <cell r="AL3085">
            <v>400</v>
          </cell>
          <cell r="AM3085">
            <v>400</v>
          </cell>
          <cell r="AW3085">
            <v>1200</v>
          </cell>
        </row>
        <row r="3086">
          <cell r="B3086">
            <v>6582</v>
          </cell>
          <cell r="C3086" t="str">
            <v>EZ_63_</v>
          </cell>
          <cell r="D3086" t="str">
            <v>Rancho Estanzuela No. 63</v>
          </cell>
          <cell r="E3086" t="str">
            <v>Mendoza Q.</v>
          </cell>
          <cell r="F3086">
            <v>200</v>
          </cell>
          <cell r="G3086">
            <v>1</v>
          </cell>
          <cell r="H3086">
            <v>1800</v>
          </cell>
          <cell r="I3086">
            <v>41693</v>
          </cell>
          <cell r="J3086">
            <v>0</v>
          </cell>
          <cell r="W3086">
            <v>0</v>
          </cell>
          <cell r="AJ3086">
            <v>0</v>
          </cell>
          <cell r="AK3086">
            <v>300</v>
          </cell>
          <cell r="AL3086">
            <v>300</v>
          </cell>
          <cell r="AM3086">
            <v>300</v>
          </cell>
          <cell r="AN3086">
            <v>300</v>
          </cell>
          <cell r="AO3086">
            <v>300</v>
          </cell>
          <cell r="AP3086">
            <v>300</v>
          </cell>
          <cell r="AW3086">
            <v>1800</v>
          </cell>
        </row>
        <row r="3087">
          <cell r="B3087">
            <v>6583</v>
          </cell>
          <cell r="C3087" t="str">
            <v>CL_66_</v>
          </cell>
          <cell r="D3087" t="str">
            <v>Rancho La Cuchilla No. 66</v>
          </cell>
          <cell r="E3087" t="str">
            <v>Prieto</v>
          </cell>
          <cell r="F3087">
            <v>300</v>
          </cell>
          <cell r="G3087">
            <v>1</v>
          </cell>
          <cell r="H3087">
            <v>400</v>
          </cell>
          <cell r="I3087">
            <v>41693</v>
          </cell>
          <cell r="J3087">
            <v>0</v>
          </cell>
          <cell r="W3087">
            <v>0</v>
          </cell>
          <cell r="AJ3087">
            <v>0</v>
          </cell>
          <cell r="AL3087">
            <v>400</v>
          </cell>
          <cell r="AW3087">
            <v>400</v>
          </cell>
        </row>
        <row r="3088">
          <cell r="B3088">
            <v>6584</v>
          </cell>
          <cell r="C3088" t="str">
            <v>EZ_159_</v>
          </cell>
          <cell r="D3088" t="str">
            <v>Rancho Estanzuela No. 159</v>
          </cell>
          <cell r="E3088" t="str">
            <v>Reyes Núñez</v>
          </cell>
          <cell r="F3088">
            <v>250</v>
          </cell>
          <cell r="G3088">
            <v>1</v>
          </cell>
          <cell r="H3088">
            <v>300</v>
          </cell>
          <cell r="I3088">
            <v>41693</v>
          </cell>
          <cell r="J3088">
            <v>0</v>
          </cell>
          <cell r="W3088">
            <v>0</v>
          </cell>
          <cell r="AJ3088">
            <v>0</v>
          </cell>
          <cell r="AL3088">
            <v>300</v>
          </cell>
          <cell r="AW3088">
            <v>300</v>
          </cell>
        </row>
        <row r="3089">
          <cell r="B3089">
            <v>6585</v>
          </cell>
          <cell r="C3089" t="str">
            <v>UP_60_</v>
          </cell>
          <cell r="D3089" t="str">
            <v>Rancho Upácuaro No. 60</v>
          </cell>
          <cell r="E3089" t="str">
            <v>Zavala</v>
          </cell>
          <cell r="F3089">
            <v>300</v>
          </cell>
          <cell r="G3089">
            <v>1</v>
          </cell>
          <cell r="H3089">
            <v>800</v>
          </cell>
          <cell r="I3089">
            <v>41693</v>
          </cell>
          <cell r="J3089">
            <v>0</v>
          </cell>
          <cell r="W3089">
            <v>0</v>
          </cell>
          <cell r="AJ3089">
            <v>0</v>
          </cell>
          <cell r="AK3089">
            <v>400</v>
          </cell>
          <cell r="AL3089">
            <v>400</v>
          </cell>
          <cell r="AW3089">
            <v>800</v>
          </cell>
        </row>
        <row r="3090">
          <cell r="B3090">
            <v>6586</v>
          </cell>
          <cell r="C3090" t="str">
            <v>UP_80_</v>
          </cell>
          <cell r="D3090" t="str">
            <v>Rancho Upácuaro No. 80</v>
          </cell>
          <cell r="E3090" t="str">
            <v>De los Ríos</v>
          </cell>
          <cell r="F3090">
            <v>300</v>
          </cell>
          <cell r="G3090">
            <v>1</v>
          </cell>
          <cell r="H3090">
            <v>400</v>
          </cell>
          <cell r="I3090">
            <v>41693</v>
          </cell>
          <cell r="J3090">
            <v>0</v>
          </cell>
          <cell r="W3090">
            <v>0</v>
          </cell>
          <cell r="AJ3090">
            <v>0</v>
          </cell>
          <cell r="AL3090">
            <v>400</v>
          </cell>
          <cell r="AW3090">
            <v>400</v>
          </cell>
        </row>
        <row r="3091">
          <cell r="B3091">
            <v>6587</v>
          </cell>
          <cell r="C3091" t="str">
            <v>LD_19_</v>
          </cell>
          <cell r="D3091" t="str">
            <v>Rancho Landero No. 19</v>
          </cell>
          <cell r="E3091" t="str">
            <v>Jiménez Guadarrama</v>
          </cell>
          <cell r="F3091">
            <v>300</v>
          </cell>
          <cell r="G3091">
            <v>1</v>
          </cell>
          <cell r="H3091">
            <v>900</v>
          </cell>
          <cell r="I3091">
            <v>41693</v>
          </cell>
          <cell r="J3091">
            <v>0</v>
          </cell>
          <cell r="W3091">
            <v>0</v>
          </cell>
          <cell r="AH3091">
            <v>300</v>
          </cell>
          <cell r="AI3091">
            <v>300</v>
          </cell>
          <cell r="AJ3091">
            <v>600</v>
          </cell>
          <cell r="AK3091">
            <v>300</v>
          </cell>
          <cell r="AW3091">
            <v>300</v>
          </cell>
        </row>
        <row r="3092">
          <cell r="B3092">
            <v>6588</v>
          </cell>
          <cell r="C3092" t="str">
            <v>UP_73_A</v>
          </cell>
          <cell r="D3092" t="str">
            <v>Rancho Upácuaro No. 73, A</v>
          </cell>
          <cell r="E3092" t="str">
            <v>Ortega</v>
          </cell>
          <cell r="F3092">
            <v>150</v>
          </cell>
          <cell r="G3092">
            <v>1</v>
          </cell>
          <cell r="H3092">
            <v>200</v>
          </cell>
          <cell r="I3092">
            <v>41693</v>
          </cell>
          <cell r="J3092">
            <v>0</v>
          </cell>
          <cell r="W3092">
            <v>0</v>
          </cell>
          <cell r="AJ3092">
            <v>0</v>
          </cell>
          <cell r="AL3092">
            <v>200</v>
          </cell>
          <cell r="AW3092">
            <v>200</v>
          </cell>
        </row>
        <row r="3093">
          <cell r="B3093">
            <v>6589</v>
          </cell>
          <cell r="C3093" t="str">
            <v>LD_80_</v>
          </cell>
          <cell r="D3093" t="str">
            <v>Rancho Landero No. 80</v>
          </cell>
          <cell r="E3093" t="str">
            <v>Villaseñor Sánchez</v>
          </cell>
          <cell r="F3093">
            <v>300</v>
          </cell>
          <cell r="G3093">
            <v>1</v>
          </cell>
          <cell r="H3093">
            <v>800</v>
          </cell>
          <cell r="I3093">
            <v>41693</v>
          </cell>
          <cell r="J3093">
            <v>0</v>
          </cell>
          <cell r="W3093">
            <v>0</v>
          </cell>
          <cell r="AJ3093">
            <v>0</v>
          </cell>
          <cell r="AL3093">
            <v>400</v>
          </cell>
          <cell r="AM3093">
            <v>400</v>
          </cell>
          <cell r="AW3093">
            <v>800</v>
          </cell>
        </row>
        <row r="3094">
          <cell r="B3094">
            <v>6589</v>
          </cell>
          <cell r="C3094" t="str">
            <v>LD_80_</v>
          </cell>
          <cell r="D3094" t="str">
            <v>Rancho Landero No. 80</v>
          </cell>
          <cell r="E3094" t="str">
            <v>Villaseñor Sánchez</v>
          </cell>
          <cell r="F3094">
            <v>300</v>
          </cell>
          <cell r="G3094">
            <v>4</v>
          </cell>
          <cell r="H3094">
            <v>160</v>
          </cell>
          <cell r="I3094">
            <v>41693</v>
          </cell>
          <cell r="J3094" t="str">
            <v>NO SUMA</v>
          </cell>
          <cell r="W3094">
            <v>0</v>
          </cell>
          <cell r="AJ3094">
            <v>0</v>
          </cell>
          <cell r="AW3094">
            <v>0</v>
          </cell>
        </row>
        <row r="3095">
          <cell r="B3095">
            <v>6590</v>
          </cell>
          <cell r="C3095" t="str">
            <v>CL_112_PB</v>
          </cell>
          <cell r="D3095" t="str">
            <v>Rancho La Cuchilla No. 112, PB</v>
          </cell>
          <cell r="E3095" t="str">
            <v>Soreque</v>
          </cell>
          <cell r="F3095">
            <v>150</v>
          </cell>
          <cell r="G3095">
            <v>1</v>
          </cell>
          <cell r="H3095">
            <v>200</v>
          </cell>
          <cell r="I3095">
            <v>41693</v>
          </cell>
          <cell r="J3095">
            <v>0</v>
          </cell>
          <cell r="W3095">
            <v>0</v>
          </cell>
          <cell r="AJ3095">
            <v>0</v>
          </cell>
          <cell r="AL3095">
            <v>200</v>
          </cell>
          <cell r="AW3095">
            <v>200</v>
          </cell>
        </row>
        <row r="3096">
          <cell r="B3096">
            <v>6591</v>
          </cell>
          <cell r="C3096" t="str">
            <v>UP_114_</v>
          </cell>
          <cell r="D3096" t="str">
            <v>Rancho Upácuaro No. 114</v>
          </cell>
          <cell r="E3096" t="str">
            <v>Hernández Cornejo</v>
          </cell>
          <cell r="F3096">
            <v>300</v>
          </cell>
          <cell r="G3096">
            <v>1</v>
          </cell>
          <cell r="H3096">
            <v>400</v>
          </cell>
          <cell r="I3096">
            <v>41693</v>
          </cell>
          <cell r="J3096">
            <v>0</v>
          </cell>
          <cell r="W3096">
            <v>0</v>
          </cell>
          <cell r="AJ3096">
            <v>0</v>
          </cell>
          <cell r="AL3096">
            <v>400</v>
          </cell>
          <cell r="AW3096">
            <v>400</v>
          </cell>
        </row>
        <row r="3097">
          <cell r="B3097">
            <v>6592</v>
          </cell>
          <cell r="C3097" t="str">
            <v>EZ_67_</v>
          </cell>
          <cell r="D3097" t="str">
            <v>Rancho Estanzuela No. 67</v>
          </cell>
          <cell r="E3097" t="str">
            <v>Carmona Galarza</v>
          </cell>
          <cell r="F3097">
            <v>300</v>
          </cell>
          <cell r="G3097">
            <v>1</v>
          </cell>
          <cell r="H3097">
            <v>800</v>
          </cell>
          <cell r="I3097">
            <v>41693</v>
          </cell>
          <cell r="J3097">
            <v>0</v>
          </cell>
          <cell r="W3097">
            <v>0</v>
          </cell>
          <cell r="AJ3097">
            <v>0</v>
          </cell>
          <cell r="AK3097">
            <v>400</v>
          </cell>
          <cell r="AL3097">
            <v>400</v>
          </cell>
          <cell r="AW3097">
            <v>800</v>
          </cell>
        </row>
        <row r="3098">
          <cell r="B3098">
            <v>6593</v>
          </cell>
          <cell r="C3098" t="str">
            <v>CL_148_</v>
          </cell>
          <cell r="D3098" t="str">
            <v>Rancho La Cuchilla No. 148</v>
          </cell>
          <cell r="E3098" t="str">
            <v>Vázquez Vázquez</v>
          </cell>
          <cell r="F3098">
            <v>300</v>
          </cell>
          <cell r="G3098">
            <v>1</v>
          </cell>
          <cell r="H3098">
            <v>800</v>
          </cell>
          <cell r="I3098">
            <v>41693</v>
          </cell>
          <cell r="J3098">
            <v>0</v>
          </cell>
          <cell r="W3098">
            <v>0</v>
          </cell>
          <cell r="AJ3098">
            <v>0</v>
          </cell>
          <cell r="AK3098">
            <v>400</v>
          </cell>
          <cell r="AL3098">
            <v>400</v>
          </cell>
          <cell r="AW3098">
            <v>800</v>
          </cell>
        </row>
        <row r="3099">
          <cell r="B3099">
            <v>6594</v>
          </cell>
          <cell r="C3099" t="str">
            <v>CL_18_</v>
          </cell>
          <cell r="D3099" t="str">
            <v>Rancho La Cuchilla No. 18</v>
          </cell>
          <cell r="E3099" t="str">
            <v>Aldana Sánchez</v>
          </cell>
          <cell r="F3099">
            <v>300</v>
          </cell>
          <cell r="G3099">
            <v>1</v>
          </cell>
          <cell r="H3099">
            <v>400</v>
          </cell>
          <cell r="I3099">
            <v>41693</v>
          </cell>
          <cell r="J3099">
            <v>0</v>
          </cell>
          <cell r="W3099">
            <v>0</v>
          </cell>
          <cell r="AJ3099">
            <v>0</v>
          </cell>
          <cell r="AL3099">
            <v>400</v>
          </cell>
          <cell r="AW3099">
            <v>400</v>
          </cell>
        </row>
        <row r="3100">
          <cell r="B3100">
            <v>6595</v>
          </cell>
          <cell r="C3100" t="str">
            <v>LD_11_</v>
          </cell>
          <cell r="D3100" t="str">
            <v>Rancho Landero No. 11</v>
          </cell>
          <cell r="E3100" t="str">
            <v>Callejas</v>
          </cell>
          <cell r="F3100">
            <v>300</v>
          </cell>
          <cell r="G3100">
            <v>1</v>
          </cell>
          <cell r="H3100">
            <v>400</v>
          </cell>
          <cell r="I3100">
            <v>41693</v>
          </cell>
          <cell r="J3100">
            <v>0</v>
          </cell>
          <cell r="W3100">
            <v>0</v>
          </cell>
          <cell r="AJ3100">
            <v>0</v>
          </cell>
          <cell r="AK3100">
            <v>400</v>
          </cell>
          <cell r="AW3100">
            <v>400</v>
          </cell>
        </row>
        <row r="3101">
          <cell r="B3101">
            <v>6596</v>
          </cell>
          <cell r="C3101" t="str">
            <v>UP_130_</v>
          </cell>
          <cell r="D3101" t="str">
            <v>Rancho Upácuaro No. 130</v>
          </cell>
          <cell r="E3101" t="str">
            <v>Rodríguez Álvarez</v>
          </cell>
          <cell r="F3101">
            <v>150</v>
          </cell>
          <cell r="G3101">
            <v>1</v>
          </cell>
          <cell r="H3101">
            <v>200</v>
          </cell>
          <cell r="I3101">
            <v>41693</v>
          </cell>
          <cell r="J3101">
            <v>0</v>
          </cell>
          <cell r="W3101">
            <v>0</v>
          </cell>
          <cell r="AJ3101">
            <v>0</v>
          </cell>
          <cell r="AL3101">
            <v>200</v>
          </cell>
          <cell r="AW3101">
            <v>200</v>
          </cell>
        </row>
        <row r="3102">
          <cell r="B3102">
            <v>6597</v>
          </cell>
          <cell r="C3102" t="str">
            <v>UP_130_</v>
          </cell>
          <cell r="D3102" t="str">
            <v>Rancho Upácuaro No. 130</v>
          </cell>
          <cell r="E3102" t="str">
            <v>Rodríguez Álvarez</v>
          </cell>
          <cell r="F3102">
            <v>150</v>
          </cell>
          <cell r="G3102">
            <v>3</v>
          </cell>
          <cell r="H3102">
            <v>160</v>
          </cell>
          <cell r="I3102">
            <v>41693</v>
          </cell>
          <cell r="J3102" t="str">
            <v>NO SUMA</v>
          </cell>
          <cell r="W3102">
            <v>0</v>
          </cell>
          <cell r="AJ3102">
            <v>0</v>
          </cell>
          <cell r="AW3102">
            <v>0</v>
          </cell>
        </row>
        <row r="3103">
          <cell r="B3103">
            <v>6598</v>
          </cell>
          <cell r="C3103" t="str">
            <v>EZ_119_1</v>
          </cell>
          <cell r="D3103" t="str">
            <v>Rancho Estanzuela No. 119</v>
          </cell>
          <cell r="E3103" t="str">
            <v>López Tovar</v>
          </cell>
          <cell r="F3103">
            <v>300</v>
          </cell>
          <cell r="G3103">
            <v>1</v>
          </cell>
          <cell r="H3103">
            <v>800</v>
          </cell>
          <cell r="I3103">
            <v>41693</v>
          </cell>
          <cell r="J3103">
            <v>0</v>
          </cell>
          <cell r="W3103">
            <v>0</v>
          </cell>
          <cell r="AJ3103">
            <v>0</v>
          </cell>
          <cell r="AK3103">
            <v>400</v>
          </cell>
          <cell r="AL3103">
            <v>400</v>
          </cell>
          <cell r="AW3103">
            <v>800</v>
          </cell>
        </row>
        <row r="3104">
          <cell r="B3104">
            <v>6599</v>
          </cell>
          <cell r="C3104" t="str">
            <v>UP_71_</v>
          </cell>
          <cell r="D3104" t="str">
            <v>Rancho Upácuaro No. 71</v>
          </cell>
          <cell r="E3104" t="str">
            <v>Trejo Méndez</v>
          </cell>
          <cell r="F3104">
            <v>300</v>
          </cell>
          <cell r="G3104">
            <v>1</v>
          </cell>
          <cell r="H3104">
            <v>400</v>
          </cell>
          <cell r="I3104">
            <v>41693</v>
          </cell>
          <cell r="J3104">
            <v>0</v>
          </cell>
          <cell r="W3104">
            <v>0</v>
          </cell>
          <cell r="AJ3104">
            <v>0</v>
          </cell>
          <cell r="AL3104">
            <v>400</v>
          </cell>
          <cell r="AW3104">
            <v>400</v>
          </cell>
        </row>
        <row r="3105">
          <cell r="B3105">
            <v>6600</v>
          </cell>
          <cell r="C3105" t="str">
            <v>ZB_42_</v>
          </cell>
          <cell r="D3105" t="str">
            <v>Rancho Zinamba No. 42</v>
          </cell>
          <cell r="E3105" t="str">
            <v>López Aldave</v>
          </cell>
          <cell r="F3105">
            <v>250</v>
          </cell>
          <cell r="G3105">
            <v>1</v>
          </cell>
          <cell r="H3105">
            <v>900</v>
          </cell>
          <cell r="I3105">
            <v>41693</v>
          </cell>
          <cell r="J3105">
            <v>0</v>
          </cell>
          <cell r="W3105">
            <v>0</v>
          </cell>
          <cell r="AJ3105">
            <v>0</v>
          </cell>
          <cell r="AK3105">
            <v>300</v>
          </cell>
          <cell r="AL3105">
            <v>300</v>
          </cell>
          <cell r="AM3105">
            <v>300</v>
          </cell>
          <cell r="AW3105">
            <v>900</v>
          </cell>
        </row>
        <row r="3106">
          <cell r="B3106">
            <v>6601</v>
          </cell>
          <cell r="C3106" t="str">
            <v>RV_3_</v>
          </cell>
          <cell r="D3106" t="str">
            <v>Rancho Recoveco No. 3</v>
          </cell>
          <cell r="E3106" t="str">
            <v>Garduño</v>
          </cell>
          <cell r="F3106">
            <v>300</v>
          </cell>
          <cell r="G3106">
            <v>1</v>
          </cell>
          <cell r="H3106">
            <v>300</v>
          </cell>
          <cell r="I3106">
            <v>41693</v>
          </cell>
          <cell r="J3106">
            <v>0</v>
          </cell>
          <cell r="W3106">
            <v>0</v>
          </cell>
          <cell r="AJ3106">
            <v>0</v>
          </cell>
          <cell r="AL3106">
            <v>300</v>
          </cell>
          <cell r="AW3106">
            <v>300</v>
          </cell>
        </row>
        <row r="3107">
          <cell r="B3107">
            <v>6602</v>
          </cell>
          <cell r="C3107" t="str">
            <v>LD_70_</v>
          </cell>
          <cell r="D3107" t="str">
            <v>Rancho Landero No. 70</v>
          </cell>
          <cell r="E3107" t="str">
            <v>Olguín</v>
          </cell>
          <cell r="F3107">
            <v>100</v>
          </cell>
          <cell r="G3107">
            <v>1</v>
          </cell>
          <cell r="H3107">
            <v>100</v>
          </cell>
          <cell r="I3107">
            <v>41693</v>
          </cell>
          <cell r="J3107">
            <v>0</v>
          </cell>
          <cell r="W3107">
            <v>0</v>
          </cell>
          <cell r="AJ3107">
            <v>0</v>
          </cell>
          <cell r="AL3107">
            <v>100</v>
          </cell>
          <cell r="AW3107">
            <v>100</v>
          </cell>
        </row>
        <row r="3108">
          <cell r="B3108">
            <v>6603</v>
          </cell>
          <cell r="C3108" t="str">
            <v>EZ_127_</v>
          </cell>
          <cell r="D3108" t="str">
            <v>Rancho Estanzuela No. 127</v>
          </cell>
          <cell r="E3108" t="str">
            <v>Luna Zepeda</v>
          </cell>
          <cell r="F3108">
            <v>200</v>
          </cell>
          <cell r="G3108">
            <v>1</v>
          </cell>
          <cell r="H3108">
            <v>150</v>
          </cell>
          <cell r="I3108">
            <v>41693</v>
          </cell>
          <cell r="J3108">
            <v>0</v>
          </cell>
          <cell r="W3108">
            <v>0</v>
          </cell>
          <cell r="AJ3108">
            <v>0</v>
          </cell>
          <cell r="AL3108">
            <v>150</v>
          </cell>
          <cell r="AW3108">
            <v>150</v>
          </cell>
        </row>
        <row r="3109">
          <cell r="B3109">
            <v>6604</v>
          </cell>
          <cell r="C3109" t="str">
            <v>RV_181_</v>
          </cell>
          <cell r="D3109" t="str">
            <v>Rancho Recoveco No. 181</v>
          </cell>
          <cell r="E3109" t="str">
            <v>Paredes</v>
          </cell>
          <cell r="F3109">
            <v>300</v>
          </cell>
          <cell r="G3109">
            <v>1</v>
          </cell>
          <cell r="H3109">
            <v>800</v>
          </cell>
          <cell r="I3109">
            <v>41694</v>
          </cell>
          <cell r="J3109">
            <v>0</v>
          </cell>
          <cell r="W3109">
            <v>0</v>
          </cell>
          <cell r="AJ3109">
            <v>0</v>
          </cell>
          <cell r="AK3109">
            <v>400</v>
          </cell>
          <cell r="AL3109">
            <v>400</v>
          </cell>
          <cell r="AW3109">
            <v>800</v>
          </cell>
        </row>
        <row r="3110">
          <cell r="B3110">
            <v>6605</v>
          </cell>
          <cell r="C3110" t="str">
            <v>ZB_14_</v>
          </cell>
          <cell r="D3110" t="str">
            <v>Rancho Zinamba No. 14</v>
          </cell>
          <cell r="E3110" t="str">
            <v>Gutiérrez García</v>
          </cell>
          <cell r="F3110">
            <v>300</v>
          </cell>
          <cell r="G3110">
            <v>1</v>
          </cell>
          <cell r="H3110">
            <v>400</v>
          </cell>
          <cell r="I3110">
            <v>41694</v>
          </cell>
          <cell r="J3110">
            <v>0</v>
          </cell>
          <cell r="W3110">
            <v>0</v>
          </cell>
          <cell r="AJ3110">
            <v>0</v>
          </cell>
          <cell r="AK3110">
            <v>400</v>
          </cell>
          <cell r="AW3110">
            <v>400</v>
          </cell>
        </row>
        <row r="3111">
          <cell r="B3111">
            <v>6606</v>
          </cell>
          <cell r="C3111" t="str">
            <v>LD_96_</v>
          </cell>
          <cell r="D3111" t="str">
            <v>Rancho Landero No. 96</v>
          </cell>
          <cell r="E3111" t="str">
            <v>Espinoza Aguirre</v>
          </cell>
          <cell r="F3111">
            <v>300</v>
          </cell>
          <cell r="G3111">
            <v>1</v>
          </cell>
          <cell r="H3111">
            <v>800</v>
          </cell>
          <cell r="I3111">
            <v>41694</v>
          </cell>
          <cell r="J3111">
            <v>0</v>
          </cell>
          <cell r="W3111">
            <v>0</v>
          </cell>
          <cell r="AJ3111">
            <v>0</v>
          </cell>
          <cell r="AK3111">
            <v>400</v>
          </cell>
          <cell r="AL3111">
            <v>400</v>
          </cell>
          <cell r="AW3111">
            <v>800</v>
          </cell>
        </row>
        <row r="3112">
          <cell r="B3112">
            <v>6607</v>
          </cell>
          <cell r="C3112" t="str">
            <v>RV_183_</v>
          </cell>
          <cell r="D3112" t="str">
            <v>Rancho Recoveco No. 183</v>
          </cell>
          <cell r="E3112" t="str">
            <v>Atilano Limón</v>
          </cell>
          <cell r="F3112">
            <v>300</v>
          </cell>
          <cell r="G3112">
            <v>1</v>
          </cell>
          <cell r="H3112">
            <v>4400</v>
          </cell>
          <cell r="I3112">
            <v>41694</v>
          </cell>
          <cell r="J3112">
            <v>0</v>
          </cell>
          <cell r="W3112">
            <v>0</v>
          </cell>
          <cell r="AJ3112">
            <v>0</v>
          </cell>
          <cell r="AK3112">
            <v>400</v>
          </cell>
          <cell r="AL3112">
            <v>400</v>
          </cell>
          <cell r="AM3112">
            <v>400</v>
          </cell>
          <cell r="AN3112">
            <v>400</v>
          </cell>
          <cell r="AO3112">
            <v>400</v>
          </cell>
          <cell r="AP3112">
            <v>400</v>
          </cell>
          <cell r="AQ3112">
            <v>400</v>
          </cell>
          <cell r="AR3112">
            <v>400</v>
          </cell>
          <cell r="AS3112">
            <v>400</v>
          </cell>
          <cell r="AT3112">
            <v>400</v>
          </cell>
          <cell r="AU3112">
            <v>400</v>
          </cell>
          <cell r="AW3112">
            <v>4400</v>
          </cell>
        </row>
        <row r="3113">
          <cell r="B3113">
            <v>6608</v>
          </cell>
          <cell r="D3113" t="str">
            <v/>
          </cell>
          <cell r="E3113" t="str">
            <v/>
          </cell>
          <cell r="F3113" t="str">
            <v/>
          </cell>
          <cell r="G3113">
            <v>8</v>
          </cell>
          <cell r="I3113">
            <v>41694</v>
          </cell>
          <cell r="J3113" t="str">
            <v>NO SUMA</v>
          </cell>
          <cell r="W3113">
            <v>0</v>
          </cell>
          <cell r="AJ3113">
            <v>0</v>
          </cell>
          <cell r="AW3113">
            <v>0</v>
          </cell>
        </row>
        <row r="3114">
          <cell r="B3114">
            <v>6609</v>
          </cell>
          <cell r="C3114" t="str">
            <v>EZ_79_</v>
          </cell>
          <cell r="D3114" t="str">
            <v>Rancho Estanzuela No. 79</v>
          </cell>
          <cell r="E3114" t="str">
            <v>Mendoza</v>
          </cell>
          <cell r="F3114">
            <v>300</v>
          </cell>
          <cell r="G3114">
            <v>1</v>
          </cell>
          <cell r="H3114">
            <v>2000</v>
          </cell>
          <cell r="I3114">
            <v>41694</v>
          </cell>
          <cell r="J3114">
            <v>0</v>
          </cell>
          <cell r="W3114">
            <v>0</v>
          </cell>
          <cell r="AF3114">
            <v>300</v>
          </cell>
          <cell r="AG3114">
            <v>300</v>
          </cell>
          <cell r="AH3114">
            <v>300</v>
          </cell>
          <cell r="AI3114">
            <v>300</v>
          </cell>
          <cell r="AJ3114">
            <v>1200</v>
          </cell>
          <cell r="AK3114">
            <v>400</v>
          </cell>
          <cell r="AL3114">
            <v>400</v>
          </cell>
          <cell r="AW3114">
            <v>800</v>
          </cell>
        </row>
        <row r="3115">
          <cell r="B3115">
            <v>6609</v>
          </cell>
          <cell r="C3115" t="str">
            <v>EZ_79_</v>
          </cell>
          <cell r="D3115" t="str">
            <v>Rancho Estanzuela No. 79</v>
          </cell>
          <cell r="E3115" t="str">
            <v>Mendoza</v>
          </cell>
          <cell r="F3115">
            <v>300</v>
          </cell>
          <cell r="G3115">
            <v>3</v>
          </cell>
          <cell r="H3115">
            <v>160</v>
          </cell>
          <cell r="I3115">
            <v>41695</v>
          </cell>
          <cell r="J3115" t="str">
            <v>NO SUMA</v>
          </cell>
          <cell r="W3115">
            <v>0</v>
          </cell>
          <cell r="AJ3115">
            <v>0</v>
          </cell>
          <cell r="AW3115">
            <v>0</v>
          </cell>
        </row>
        <row r="3116">
          <cell r="B3116">
            <v>6610</v>
          </cell>
          <cell r="C3116" t="str">
            <v>EZ_133_</v>
          </cell>
          <cell r="D3116" t="str">
            <v>Rancho Estanzuela No. 133</v>
          </cell>
          <cell r="E3116" t="str">
            <v>Hernández Salazar</v>
          </cell>
          <cell r="F3116">
            <v>250</v>
          </cell>
          <cell r="G3116">
            <v>1</v>
          </cell>
          <cell r="H3116">
            <v>300</v>
          </cell>
          <cell r="I3116">
            <v>41694</v>
          </cell>
          <cell r="J3116">
            <v>0</v>
          </cell>
          <cell r="W3116">
            <v>0</v>
          </cell>
          <cell r="AJ3116">
            <v>0</v>
          </cell>
          <cell r="AK3116">
            <v>300</v>
          </cell>
          <cell r="AW3116">
            <v>300</v>
          </cell>
        </row>
        <row r="3117">
          <cell r="B3117">
            <v>6611</v>
          </cell>
          <cell r="C3117" t="str">
            <v>CL_7_202</v>
          </cell>
          <cell r="D3117" t="str">
            <v>Rancho La Cuchilla No. 7, 202</v>
          </cell>
          <cell r="E3117" t="str">
            <v>Carbajal Zayas</v>
          </cell>
          <cell r="F3117">
            <v>100</v>
          </cell>
          <cell r="G3117">
            <v>1</v>
          </cell>
          <cell r="H3117">
            <v>200</v>
          </cell>
          <cell r="I3117">
            <v>41695</v>
          </cell>
          <cell r="J3117">
            <v>0</v>
          </cell>
          <cell r="W3117">
            <v>0</v>
          </cell>
          <cell r="AJ3117">
            <v>0</v>
          </cell>
          <cell r="AK3117">
            <v>100</v>
          </cell>
          <cell r="AL3117">
            <v>100</v>
          </cell>
          <cell r="AW3117">
            <v>200</v>
          </cell>
        </row>
        <row r="3118">
          <cell r="B3118">
            <v>6612</v>
          </cell>
          <cell r="C3118" t="str">
            <v>CL_149_</v>
          </cell>
          <cell r="D3118" t="str">
            <v>Rancho La Cuchilla No. 149</v>
          </cell>
          <cell r="E3118" t="str">
            <v>Montes Irineos</v>
          </cell>
          <cell r="F3118">
            <v>300</v>
          </cell>
          <cell r="G3118">
            <v>1</v>
          </cell>
          <cell r="H3118">
            <v>2000</v>
          </cell>
          <cell r="I3118">
            <v>41695</v>
          </cell>
          <cell r="J3118">
            <v>0</v>
          </cell>
          <cell r="W3118">
            <v>0</v>
          </cell>
          <cell r="AD3118">
            <v>400</v>
          </cell>
          <cell r="AE3118">
            <v>400</v>
          </cell>
          <cell r="AF3118">
            <v>400</v>
          </cell>
          <cell r="AG3118">
            <v>400</v>
          </cell>
          <cell r="AH3118">
            <v>400</v>
          </cell>
          <cell r="AJ3118">
            <v>2000</v>
          </cell>
          <cell r="AW3118">
            <v>0</v>
          </cell>
        </row>
        <row r="3119">
          <cell r="B3119">
            <v>6613</v>
          </cell>
          <cell r="C3119" t="str">
            <v>ZB_8_</v>
          </cell>
          <cell r="D3119" t="str">
            <v>Rancho Zinamba No. 8</v>
          </cell>
          <cell r="E3119" t="str">
            <v>Florido</v>
          </cell>
          <cell r="F3119">
            <v>300</v>
          </cell>
          <cell r="G3119">
            <v>1</v>
          </cell>
          <cell r="H3119">
            <v>800</v>
          </cell>
          <cell r="I3119">
            <v>41695</v>
          </cell>
          <cell r="J3119">
            <v>0</v>
          </cell>
          <cell r="W3119">
            <v>0</v>
          </cell>
          <cell r="AJ3119">
            <v>0</v>
          </cell>
          <cell r="AK3119">
            <v>400</v>
          </cell>
          <cell r="AL3119">
            <v>400</v>
          </cell>
          <cell r="AW3119">
            <v>800</v>
          </cell>
        </row>
        <row r="3120">
          <cell r="B3120">
            <v>6614</v>
          </cell>
          <cell r="C3120" t="str">
            <v>ZB_46_</v>
          </cell>
          <cell r="D3120" t="str">
            <v>Rancho Zinamba No. 46</v>
          </cell>
          <cell r="E3120" t="str">
            <v>Olguín</v>
          </cell>
          <cell r="F3120">
            <v>300</v>
          </cell>
          <cell r="G3120">
            <v>1</v>
          </cell>
          <cell r="H3120">
            <v>200</v>
          </cell>
          <cell r="I3120">
            <v>41695</v>
          </cell>
          <cell r="J3120">
            <v>0</v>
          </cell>
          <cell r="W3120">
            <v>0</v>
          </cell>
          <cell r="AJ3120">
            <v>0</v>
          </cell>
          <cell r="AL3120">
            <v>200</v>
          </cell>
          <cell r="AW3120">
            <v>200</v>
          </cell>
        </row>
        <row r="3121">
          <cell r="B3121">
            <v>6615</v>
          </cell>
          <cell r="C3121" t="str">
            <v>UP_64_</v>
          </cell>
          <cell r="D3121" t="str">
            <v>Rancho Upácuaro No. 64</v>
          </cell>
          <cell r="E3121" t="str">
            <v>Méndez Oliva</v>
          </cell>
          <cell r="F3121">
            <v>300</v>
          </cell>
          <cell r="G3121">
            <v>1</v>
          </cell>
          <cell r="H3121">
            <v>300</v>
          </cell>
          <cell r="I3121">
            <v>41695</v>
          </cell>
          <cell r="J3121">
            <v>0</v>
          </cell>
          <cell r="W3121">
            <v>0</v>
          </cell>
          <cell r="AJ3121">
            <v>0</v>
          </cell>
          <cell r="AL3121">
            <v>300</v>
          </cell>
          <cell r="AW3121">
            <v>300</v>
          </cell>
        </row>
        <row r="3122">
          <cell r="B3122">
            <v>6616</v>
          </cell>
          <cell r="C3122" t="str">
            <v>UP_91_</v>
          </cell>
          <cell r="D3122" t="str">
            <v>Rancho Upácuaro No. 91</v>
          </cell>
          <cell r="E3122" t="str">
            <v>Mallen Aponte</v>
          </cell>
          <cell r="F3122">
            <v>300</v>
          </cell>
          <cell r="G3122">
            <v>1</v>
          </cell>
          <cell r="H3122">
            <v>400</v>
          </cell>
          <cell r="I3122">
            <v>41695</v>
          </cell>
          <cell r="J3122">
            <v>0</v>
          </cell>
          <cell r="W3122">
            <v>0</v>
          </cell>
          <cell r="AJ3122">
            <v>0</v>
          </cell>
          <cell r="AK3122">
            <v>400</v>
          </cell>
          <cell r="AW3122">
            <v>400</v>
          </cell>
        </row>
        <row r="3123">
          <cell r="B3123">
            <v>6617</v>
          </cell>
          <cell r="C3123" t="str">
            <v>CL_145_</v>
          </cell>
          <cell r="D3123" t="str">
            <v>Rancho La Cuchilla No. 145</v>
          </cell>
          <cell r="E3123" t="str">
            <v>Arámburu C.</v>
          </cell>
          <cell r="F3123">
            <v>300</v>
          </cell>
          <cell r="G3123">
            <v>1</v>
          </cell>
          <cell r="H3123">
            <v>4400</v>
          </cell>
          <cell r="I3123">
            <v>41695</v>
          </cell>
          <cell r="J3123">
            <v>0</v>
          </cell>
          <cell r="W3123">
            <v>0</v>
          </cell>
          <cell r="AJ3123">
            <v>0</v>
          </cell>
          <cell r="AK3123">
            <v>400</v>
          </cell>
          <cell r="AL3123">
            <v>400</v>
          </cell>
          <cell r="AM3123">
            <v>400</v>
          </cell>
          <cell r="AN3123">
            <v>400</v>
          </cell>
          <cell r="AO3123">
            <v>400</v>
          </cell>
          <cell r="AP3123">
            <v>400</v>
          </cell>
          <cell r="AQ3123">
            <v>400</v>
          </cell>
          <cell r="AR3123">
            <v>400</v>
          </cell>
          <cell r="AS3123">
            <v>400</v>
          </cell>
          <cell r="AT3123">
            <v>400</v>
          </cell>
          <cell r="AU3123">
            <v>400</v>
          </cell>
          <cell r="AW3123">
            <v>4400</v>
          </cell>
        </row>
        <row r="3124">
          <cell r="B3124">
            <v>6618</v>
          </cell>
          <cell r="C3124" t="str">
            <v>UP_142_</v>
          </cell>
          <cell r="D3124" t="str">
            <v>Rancho Upácuaro No. 142</v>
          </cell>
          <cell r="E3124" t="str">
            <v>Fierro Villaneda</v>
          </cell>
          <cell r="F3124">
            <v>300</v>
          </cell>
          <cell r="G3124">
            <v>1</v>
          </cell>
          <cell r="H3124">
            <v>400</v>
          </cell>
          <cell r="I3124">
            <v>41695</v>
          </cell>
          <cell r="J3124">
            <v>0</v>
          </cell>
          <cell r="W3124">
            <v>0</v>
          </cell>
          <cell r="AJ3124">
            <v>0</v>
          </cell>
          <cell r="AM3124">
            <v>400</v>
          </cell>
          <cell r="AW3124">
            <v>400</v>
          </cell>
        </row>
        <row r="3125">
          <cell r="B3125">
            <v>6619</v>
          </cell>
          <cell r="C3125" t="str">
            <v>EZ_147_1</v>
          </cell>
          <cell r="D3125" t="str">
            <v>Rancho Estanzuela No. 147, 1</v>
          </cell>
          <cell r="E3125" t="str">
            <v>De la Rosa Enrique</v>
          </cell>
          <cell r="F3125">
            <v>100</v>
          </cell>
          <cell r="G3125">
            <v>1</v>
          </cell>
          <cell r="H3125">
            <v>300</v>
          </cell>
          <cell r="I3125">
            <v>41696</v>
          </cell>
          <cell r="J3125">
            <v>0</v>
          </cell>
          <cell r="W3125">
            <v>0</v>
          </cell>
          <cell r="AJ3125">
            <v>0</v>
          </cell>
          <cell r="AK3125">
            <v>100</v>
          </cell>
          <cell r="AL3125">
            <v>100</v>
          </cell>
          <cell r="AM3125">
            <v>100</v>
          </cell>
          <cell r="AW3125">
            <v>300</v>
          </cell>
        </row>
        <row r="3126">
          <cell r="B3126">
            <v>6620</v>
          </cell>
          <cell r="C3126" t="str">
            <v>HS_828_</v>
          </cell>
          <cell r="D3126" t="str">
            <v>Calzada del Hueso No. 828</v>
          </cell>
          <cell r="E3126" t="str">
            <v>Cervantes, Miguel</v>
          </cell>
          <cell r="F3126">
            <v>300</v>
          </cell>
          <cell r="G3126">
            <v>1</v>
          </cell>
          <cell r="H3126">
            <v>400</v>
          </cell>
          <cell r="I3126">
            <v>41696</v>
          </cell>
          <cell r="J3126">
            <v>0</v>
          </cell>
          <cell r="W3126">
            <v>0</v>
          </cell>
          <cell r="AJ3126">
            <v>0</v>
          </cell>
          <cell r="AK3126">
            <v>400</v>
          </cell>
          <cell r="AW3126">
            <v>400</v>
          </cell>
        </row>
        <row r="3127">
          <cell r="B3127">
            <v>6621</v>
          </cell>
          <cell r="C3127" t="str">
            <v>LD_62_</v>
          </cell>
          <cell r="D3127" t="str">
            <v>Rancho Landero No. 62</v>
          </cell>
          <cell r="E3127" t="str">
            <v>Narvaez Sara</v>
          </cell>
          <cell r="F3127">
            <v>300</v>
          </cell>
          <cell r="G3127">
            <v>1</v>
          </cell>
          <cell r="H3127">
            <v>1200</v>
          </cell>
          <cell r="I3127">
            <v>41696</v>
          </cell>
          <cell r="J3127">
            <v>0</v>
          </cell>
          <cell r="W3127">
            <v>0</v>
          </cell>
          <cell r="AJ3127">
            <v>0</v>
          </cell>
          <cell r="AK3127">
            <v>400</v>
          </cell>
          <cell r="AL3127">
            <v>400</v>
          </cell>
          <cell r="AM3127">
            <v>400</v>
          </cell>
          <cell r="AW3127">
            <v>1200</v>
          </cell>
        </row>
        <row r="3128">
          <cell r="B3128">
            <v>6622</v>
          </cell>
          <cell r="C3128" t="str">
            <v>ZB_30_</v>
          </cell>
          <cell r="D3128" t="str">
            <v>Rancho Zinamba No. 30</v>
          </cell>
          <cell r="E3128" t="str">
            <v xml:space="preserve">Arroyo </v>
          </cell>
          <cell r="F3128">
            <v>300</v>
          </cell>
          <cell r="G3128">
            <v>1</v>
          </cell>
          <cell r="H3128">
            <v>400</v>
          </cell>
          <cell r="I3128">
            <v>41696</v>
          </cell>
          <cell r="J3128">
            <v>0</v>
          </cell>
          <cell r="W3128">
            <v>0</v>
          </cell>
          <cell r="AJ3128">
            <v>0</v>
          </cell>
          <cell r="AK3128">
            <v>400</v>
          </cell>
          <cell r="AW3128">
            <v>400</v>
          </cell>
        </row>
        <row r="3129">
          <cell r="B3129">
            <v>6623</v>
          </cell>
          <cell r="C3129" t="str">
            <v>LD_45_</v>
          </cell>
          <cell r="D3129" t="str">
            <v>Rancho Landero No. 45</v>
          </cell>
          <cell r="E3129" t="str">
            <v>Almazán</v>
          </cell>
          <cell r="F3129">
            <v>250</v>
          </cell>
          <cell r="G3129">
            <v>1</v>
          </cell>
          <cell r="H3129">
            <v>800</v>
          </cell>
          <cell r="I3129">
            <v>41696</v>
          </cell>
          <cell r="J3129">
            <v>0</v>
          </cell>
          <cell r="W3129">
            <v>0</v>
          </cell>
          <cell r="AJ3129">
            <v>0</v>
          </cell>
          <cell r="AL3129">
            <v>400</v>
          </cell>
          <cell r="AM3129">
            <v>400</v>
          </cell>
          <cell r="AW3129">
            <v>800</v>
          </cell>
        </row>
        <row r="3130">
          <cell r="B3130">
            <v>6624</v>
          </cell>
          <cell r="C3130" t="str">
            <v>UP_108_</v>
          </cell>
          <cell r="D3130" t="str">
            <v>Rancho Upácuaro No. 108</v>
          </cell>
          <cell r="E3130" t="str">
            <v>Mejía</v>
          </cell>
          <cell r="F3130">
            <v>300</v>
          </cell>
          <cell r="G3130">
            <v>1</v>
          </cell>
          <cell r="H3130">
            <v>300</v>
          </cell>
          <cell r="I3130">
            <v>41696</v>
          </cell>
          <cell r="J3130">
            <v>0</v>
          </cell>
          <cell r="W3130">
            <v>0</v>
          </cell>
          <cell r="AJ3130">
            <v>0</v>
          </cell>
          <cell r="AL3130">
            <v>300</v>
          </cell>
          <cell r="AW3130">
            <v>300</v>
          </cell>
        </row>
        <row r="3131">
          <cell r="B3131">
            <v>6625</v>
          </cell>
          <cell r="C3131" t="str">
            <v>CL_67_</v>
          </cell>
          <cell r="D3131" t="str">
            <v>Rancho La Cuchilla No. 67</v>
          </cell>
          <cell r="E3131" t="str">
            <v>Quezada Viruega</v>
          </cell>
          <cell r="F3131">
            <v>300</v>
          </cell>
          <cell r="G3131">
            <v>1</v>
          </cell>
          <cell r="H3131">
            <v>800</v>
          </cell>
          <cell r="I3131">
            <v>41696</v>
          </cell>
          <cell r="J3131">
            <v>0</v>
          </cell>
          <cell r="W3131">
            <v>0</v>
          </cell>
          <cell r="AJ3131">
            <v>0</v>
          </cell>
          <cell r="AK3131">
            <v>400</v>
          </cell>
          <cell r="AL3131">
            <v>400</v>
          </cell>
          <cell r="AW3131">
            <v>800</v>
          </cell>
        </row>
        <row r="3132">
          <cell r="B3132">
            <v>6626</v>
          </cell>
          <cell r="C3132" t="str">
            <v>CL_59_</v>
          </cell>
          <cell r="D3132" t="str">
            <v>Rancho La Cuchilla No. 59</v>
          </cell>
          <cell r="E3132" t="str">
            <v>Ortega Vega</v>
          </cell>
          <cell r="F3132">
            <v>300</v>
          </cell>
          <cell r="G3132">
            <v>1</v>
          </cell>
          <cell r="H3132">
            <v>600</v>
          </cell>
          <cell r="I3132">
            <v>41696</v>
          </cell>
          <cell r="J3132">
            <v>0</v>
          </cell>
          <cell r="W3132">
            <v>0</v>
          </cell>
          <cell r="AJ3132">
            <v>0</v>
          </cell>
          <cell r="AK3132">
            <v>300</v>
          </cell>
          <cell r="AL3132">
            <v>300</v>
          </cell>
          <cell r="AW3132">
            <v>600</v>
          </cell>
        </row>
        <row r="3133">
          <cell r="B3133">
            <v>6627</v>
          </cell>
          <cell r="C3133" t="str">
            <v>LD_87_</v>
          </cell>
          <cell r="D3133" t="str">
            <v>Rancho Landero No. 87</v>
          </cell>
          <cell r="E3133" t="str">
            <v>Fey Lafferla</v>
          </cell>
          <cell r="F3133">
            <v>300</v>
          </cell>
          <cell r="G3133">
            <v>1</v>
          </cell>
          <cell r="H3133">
            <v>300</v>
          </cell>
          <cell r="I3133">
            <v>41697</v>
          </cell>
          <cell r="J3133">
            <v>0</v>
          </cell>
          <cell r="W3133">
            <v>0</v>
          </cell>
          <cell r="AJ3133">
            <v>0</v>
          </cell>
          <cell r="AL3133">
            <v>300</v>
          </cell>
          <cell r="AW3133">
            <v>300</v>
          </cell>
        </row>
        <row r="3134">
          <cell r="B3134">
            <v>6628</v>
          </cell>
          <cell r="C3134" t="str">
            <v>LD_73_</v>
          </cell>
          <cell r="D3134" t="str">
            <v>Rancho Landero No. 73</v>
          </cell>
          <cell r="E3134" t="str">
            <v>Islas Palacios</v>
          </cell>
          <cell r="F3134">
            <v>300</v>
          </cell>
          <cell r="G3134">
            <v>1</v>
          </cell>
          <cell r="H3134">
            <v>400</v>
          </cell>
          <cell r="I3134">
            <v>41697</v>
          </cell>
          <cell r="J3134">
            <v>0</v>
          </cell>
          <cell r="W3134">
            <v>0</v>
          </cell>
          <cell r="AJ3134">
            <v>0</v>
          </cell>
          <cell r="AL3134">
            <v>400</v>
          </cell>
          <cell r="AW3134">
            <v>400</v>
          </cell>
        </row>
        <row r="3135">
          <cell r="B3135">
            <v>6629</v>
          </cell>
          <cell r="C3135" t="str">
            <v>EZ_11_B</v>
          </cell>
          <cell r="D3135" t="str">
            <v>Rancho Estanzuela No. 11, B</v>
          </cell>
          <cell r="E3135" t="str">
            <v>Gómez Miguel</v>
          </cell>
          <cell r="F3135">
            <v>200</v>
          </cell>
          <cell r="G3135">
            <v>1</v>
          </cell>
          <cell r="H3135">
            <v>400</v>
          </cell>
          <cell r="I3135">
            <v>41697</v>
          </cell>
          <cell r="J3135">
            <v>0</v>
          </cell>
          <cell r="W3135">
            <v>0</v>
          </cell>
          <cell r="AJ3135">
            <v>0</v>
          </cell>
          <cell r="AK3135">
            <v>200</v>
          </cell>
          <cell r="AL3135">
            <v>200</v>
          </cell>
          <cell r="AW3135">
            <v>400</v>
          </cell>
        </row>
        <row r="3136">
          <cell r="B3136">
            <v>6630</v>
          </cell>
          <cell r="C3136" t="str">
            <v>EZ_25_</v>
          </cell>
          <cell r="D3136" t="str">
            <v>Rancho Estanzuela No. 25</v>
          </cell>
          <cell r="E3136" t="str">
            <v>Contreras Figueroa</v>
          </cell>
          <cell r="F3136">
            <v>300</v>
          </cell>
          <cell r="G3136">
            <v>1</v>
          </cell>
          <cell r="H3136">
            <v>400</v>
          </cell>
          <cell r="I3136">
            <v>41697</v>
          </cell>
          <cell r="J3136">
            <v>0</v>
          </cell>
          <cell r="W3136">
            <v>0</v>
          </cell>
          <cell r="AJ3136">
            <v>0</v>
          </cell>
          <cell r="AL3136">
            <v>400</v>
          </cell>
          <cell r="AW3136">
            <v>400</v>
          </cell>
        </row>
        <row r="3137">
          <cell r="B3137">
            <v>6631</v>
          </cell>
          <cell r="C3137" t="str">
            <v>CM_130_A</v>
          </cell>
          <cell r="D3137" t="str">
            <v>Rancho Estanzuela No. 130, A</v>
          </cell>
          <cell r="E3137" t="str">
            <v>Colegio Carmel</v>
          </cell>
          <cell r="F3137">
            <v>10000</v>
          </cell>
          <cell r="G3137">
            <v>3</v>
          </cell>
          <cell r="H3137">
            <v>160</v>
          </cell>
          <cell r="I3137">
            <v>41698</v>
          </cell>
          <cell r="J3137" t="str">
            <v>NO SUMA</v>
          </cell>
          <cell r="W3137">
            <v>0</v>
          </cell>
          <cell r="AJ3137">
            <v>0</v>
          </cell>
          <cell r="AW3137">
            <v>0</v>
          </cell>
        </row>
        <row r="3138">
          <cell r="B3138">
            <v>6632</v>
          </cell>
          <cell r="C3138" t="str">
            <v>CL_97_</v>
          </cell>
          <cell r="D3138" t="str">
            <v>Rancho La Cuchilla No. 97</v>
          </cell>
          <cell r="E3138" t="str">
            <v>López Ruiz</v>
          </cell>
          <cell r="F3138">
            <v>300</v>
          </cell>
          <cell r="G3138">
            <v>1</v>
          </cell>
          <cell r="H3138">
            <v>300</v>
          </cell>
          <cell r="I3138">
            <v>41698</v>
          </cell>
          <cell r="J3138">
            <v>0</v>
          </cell>
          <cell r="W3138">
            <v>0</v>
          </cell>
          <cell r="AJ3138">
            <v>0</v>
          </cell>
          <cell r="AL3138">
            <v>300</v>
          </cell>
          <cell r="AW3138">
            <v>300</v>
          </cell>
        </row>
        <row r="3139">
          <cell r="B3139">
            <v>6633</v>
          </cell>
          <cell r="C3139" t="str">
            <v>UP_91_</v>
          </cell>
          <cell r="D3139" t="str">
            <v>Rancho Upácuaro No. 91</v>
          </cell>
          <cell r="E3139" t="str">
            <v>Mallen Aponte</v>
          </cell>
          <cell r="F3139">
            <v>300</v>
          </cell>
          <cell r="G3139">
            <v>1</v>
          </cell>
          <cell r="H3139">
            <v>400</v>
          </cell>
          <cell r="I3139">
            <v>41698</v>
          </cell>
          <cell r="J3139">
            <v>0</v>
          </cell>
          <cell r="W3139">
            <v>0</v>
          </cell>
          <cell r="AJ3139">
            <v>0</v>
          </cell>
          <cell r="AL3139">
            <v>400</v>
          </cell>
          <cell r="AW3139">
            <v>400</v>
          </cell>
        </row>
        <row r="3140">
          <cell r="B3140">
            <v>8138</v>
          </cell>
          <cell r="C3140" t="str">
            <v>UP_46_</v>
          </cell>
          <cell r="D3140" t="str">
            <v>Rancho Upácuaro No. 46</v>
          </cell>
          <cell r="E3140" t="str">
            <v>Fuentes</v>
          </cell>
          <cell r="F3140">
            <v>300</v>
          </cell>
          <cell r="G3140">
            <v>1</v>
          </cell>
          <cell r="H3140">
            <v>300</v>
          </cell>
          <cell r="I3140">
            <v>41675</v>
          </cell>
          <cell r="J3140">
            <v>0</v>
          </cell>
          <cell r="W3140">
            <v>0</v>
          </cell>
          <cell r="AJ3140">
            <v>0</v>
          </cell>
          <cell r="AL3140">
            <v>300</v>
          </cell>
          <cell r="AW3140">
            <v>300</v>
          </cell>
        </row>
        <row r="3141">
          <cell r="C3141" t="str">
            <v>CM_130_A</v>
          </cell>
          <cell r="D3141" t="str">
            <v>Rancho Estanzuela No. 130, A</v>
          </cell>
          <cell r="E3141" t="str">
            <v>Colegio Carmel</v>
          </cell>
          <cell r="F3141">
            <v>10000</v>
          </cell>
          <cell r="G3141">
            <v>1</v>
          </cell>
          <cell r="H3141">
            <v>10000</v>
          </cell>
          <cell r="I3141">
            <v>41680</v>
          </cell>
          <cell r="J3141">
            <v>0</v>
          </cell>
          <cell r="W3141">
            <v>0</v>
          </cell>
          <cell r="AJ3141">
            <v>0</v>
          </cell>
          <cell r="AK3141">
            <v>10000</v>
          </cell>
          <cell r="AW3141">
            <v>10000</v>
          </cell>
        </row>
        <row r="3142">
          <cell r="C3142" t="str">
            <v>CM_130_A</v>
          </cell>
          <cell r="D3142" t="str">
            <v>Rancho Estanzuela No. 130, A</v>
          </cell>
          <cell r="E3142" t="str">
            <v>Colegio Carmel</v>
          </cell>
          <cell r="F3142">
            <v>10000</v>
          </cell>
          <cell r="G3142">
            <v>1</v>
          </cell>
          <cell r="H3142">
            <v>10000</v>
          </cell>
          <cell r="I3142">
            <v>41695</v>
          </cell>
          <cell r="J3142">
            <v>0</v>
          </cell>
          <cell r="W3142">
            <v>0</v>
          </cell>
          <cell r="AJ3142">
            <v>0</v>
          </cell>
          <cell r="AL3142">
            <v>10000</v>
          </cell>
          <cell r="AW3142">
            <v>10000</v>
          </cell>
        </row>
        <row r="3143">
          <cell r="B3143" t="str">
            <v>NÚMERO</v>
          </cell>
          <cell r="C3143" t="str">
            <v>CASA</v>
          </cell>
          <cell r="D3143" t="str">
            <v>DOMICILIO</v>
          </cell>
          <cell r="E3143" t="str">
            <v>FAMILIA</v>
          </cell>
          <cell r="F3143" t="str">
            <v>CUOTA</v>
          </cell>
          <cell r="G3143" t="str">
            <v>C_ING</v>
          </cell>
          <cell r="H3143" t="str">
            <v>IMPORTE</v>
          </cell>
          <cell r="I3143" t="str">
            <v>FECHA</v>
          </cell>
          <cell r="J3143" t="str">
            <v>CHK</v>
          </cell>
          <cell r="K3143" t="str">
            <v>ENE
2012</v>
          </cell>
          <cell r="L3143" t="str">
            <v>FEB
2012</v>
          </cell>
          <cell r="M3143" t="str">
            <v>MAR
2012</v>
          </cell>
          <cell r="N3143" t="str">
            <v>ABR
2012</v>
          </cell>
          <cell r="O3143" t="str">
            <v>MAY
2012</v>
          </cell>
          <cell r="P3143" t="str">
            <v>JUN
2012</v>
          </cell>
          <cell r="Q3143" t="str">
            <v>JUL
2012</v>
          </cell>
          <cell r="R3143" t="str">
            <v>AGO
2012</v>
          </cell>
          <cell r="S3143" t="str">
            <v>SEP
2012</v>
          </cell>
          <cell r="T3143" t="str">
            <v>OCT
2012</v>
          </cell>
          <cell r="U3143" t="str">
            <v>NOV
2012</v>
          </cell>
          <cell r="V3143" t="str">
            <v>DIC
2012</v>
          </cell>
          <cell r="W3143" t="str">
            <v>SUMA
2012</v>
          </cell>
          <cell r="X3143" t="str">
            <v>ENE
2013</v>
          </cell>
          <cell r="Y3143" t="str">
            <v>FEB
2013</v>
          </cell>
          <cell r="Z3143" t="str">
            <v>MAR
2013</v>
          </cell>
          <cell r="AA3143" t="str">
            <v>ABR
2013</v>
          </cell>
          <cell r="AB3143" t="str">
            <v>MAY
2013</v>
          </cell>
          <cell r="AC3143" t="str">
            <v>JUN
2013</v>
          </cell>
          <cell r="AD3143" t="str">
            <v>JUL
2013</v>
          </cell>
          <cell r="AE3143" t="str">
            <v>AGO
2013</v>
          </cell>
          <cell r="AF3143" t="str">
            <v>SEP
2013</v>
          </cell>
          <cell r="AG3143" t="str">
            <v>OCT
2013</v>
          </cell>
          <cell r="AH3143" t="str">
            <v>NOV
2013</v>
          </cell>
          <cell r="AI3143" t="str">
            <v>DIC
2013</v>
          </cell>
          <cell r="AJ3143" t="str">
            <v>SUMA
2013</v>
          </cell>
          <cell r="AK3143" t="str">
            <v>ENE
2014</v>
          </cell>
          <cell r="AL3143" t="str">
            <v>FEB
2014</v>
          </cell>
          <cell r="AM3143" t="str">
            <v>MAR
2014</v>
          </cell>
          <cell r="AN3143" t="str">
            <v>ABR
2014</v>
          </cell>
          <cell r="AO3143" t="str">
            <v>MAY
2014</v>
          </cell>
          <cell r="AP3143" t="str">
            <v>JUN
2014</v>
          </cell>
          <cell r="AQ3143" t="str">
            <v>JUL
2014</v>
          </cell>
          <cell r="AR3143" t="str">
            <v>AGO
2014</v>
          </cell>
          <cell r="AS3143" t="str">
            <v>SEP
2014</v>
          </cell>
          <cell r="AT3143" t="str">
            <v>OCT
2014</v>
          </cell>
          <cell r="AU3143" t="str">
            <v>NOV
2014</v>
          </cell>
          <cell r="AV3143" t="str">
            <v>DIC
2014</v>
          </cell>
          <cell r="AW3143" t="str">
            <v>SUMA
2014</v>
          </cell>
        </row>
        <row r="3144">
          <cell r="B3144">
            <v>6634</v>
          </cell>
          <cell r="C3144" t="str">
            <v>EP_18_</v>
          </cell>
          <cell r="D3144" t="str">
            <v>Rancho Estopila No. 18</v>
          </cell>
          <cell r="E3144" t="str">
            <v>Aguilar Zarmeño</v>
          </cell>
          <cell r="F3144">
            <v>300</v>
          </cell>
          <cell r="G3144">
            <v>1</v>
          </cell>
          <cell r="H3144">
            <v>400</v>
          </cell>
          <cell r="I3144">
            <v>41700</v>
          </cell>
          <cell r="J3144">
            <v>0</v>
          </cell>
          <cell r="W3144">
            <v>0</v>
          </cell>
          <cell r="AJ3144">
            <v>0</v>
          </cell>
          <cell r="AM3144">
            <v>400</v>
          </cell>
          <cell r="AW3144">
            <v>400</v>
          </cell>
        </row>
        <row r="3145">
          <cell r="B3145">
            <v>6635</v>
          </cell>
          <cell r="C3145" t="str">
            <v>CL_139_</v>
          </cell>
          <cell r="D3145" t="str">
            <v>Rancho La Cuchilla No. 139</v>
          </cell>
          <cell r="E3145" t="str">
            <v>Santos</v>
          </cell>
          <cell r="F3145">
            <v>200</v>
          </cell>
          <cell r="G3145">
            <v>1</v>
          </cell>
          <cell r="H3145">
            <v>200</v>
          </cell>
          <cell r="I3145">
            <v>41700</v>
          </cell>
          <cell r="J3145">
            <v>0</v>
          </cell>
          <cell r="W3145">
            <v>0</v>
          </cell>
          <cell r="AJ3145">
            <v>0</v>
          </cell>
          <cell r="AM3145">
            <v>200</v>
          </cell>
          <cell r="AW3145">
            <v>200</v>
          </cell>
        </row>
        <row r="3146">
          <cell r="B3146">
            <v>6636</v>
          </cell>
          <cell r="C3146" t="str">
            <v>CL_92_</v>
          </cell>
          <cell r="D3146" t="str">
            <v>Rancho La Cuchilla No. 92</v>
          </cell>
          <cell r="E3146" t="str">
            <v>Cabrera</v>
          </cell>
          <cell r="F3146">
            <v>300</v>
          </cell>
          <cell r="G3146">
            <v>1</v>
          </cell>
          <cell r="H3146">
            <v>400</v>
          </cell>
          <cell r="I3146">
            <v>41700</v>
          </cell>
          <cell r="J3146">
            <v>0</v>
          </cell>
          <cell r="W3146">
            <v>0</v>
          </cell>
          <cell r="AJ3146">
            <v>0</v>
          </cell>
          <cell r="AM3146">
            <v>400</v>
          </cell>
          <cell r="AW3146">
            <v>400</v>
          </cell>
        </row>
        <row r="3147">
          <cell r="B3147">
            <v>6637</v>
          </cell>
          <cell r="C3147" t="str">
            <v>CL_93_</v>
          </cell>
          <cell r="D3147" t="str">
            <v>Rancho La Cuchilla No. 93</v>
          </cell>
          <cell r="E3147" t="str">
            <v>Alcántara Silva</v>
          </cell>
          <cell r="F3147">
            <v>300</v>
          </cell>
          <cell r="G3147">
            <v>1</v>
          </cell>
          <cell r="H3147">
            <v>400</v>
          </cell>
          <cell r="I3147">
            <v>41700</v>
          </cell>
          <cell r="J3147">
            <v>0</v>
          </cell>
          <cell r="W3147">
            <v>0</v>
          </cell>
          <cell r="AJ3147">
            <v>0</v>
          </cell>
          <cell r="AM3147">
            <v>400</v>
          </cell>
          <cell r="AW3147">
            <v>400</v>
          </cell>
        </row>
        <row r="3148">
          <cell r="B3148">
            <v>6638</v>
          </cell>
          <cell r="C3148" t="str">
            <v>CL_135_</v>
          </cell>
          <cell r="D3148" t="str">
            <v>Rancho La Cuchilla No. 135</v>
          </cell>
          <cell r="E3148" t="str">
            <v>Juárez Sánchez</v>
          </cell>
          <cell r="F3148">
            <v>300</v>
          </cell>
          <cell r="G3148">
            <v>3</v>
          </cell>
          <cell r="H3148">
            <v>160</v>
          </cell>
          <cell r="I3148">
            <v>41700</v>
          </cell>
          <cell r="J3148" t="str">
            <v>NO SUMA</v>
          </cell>
          <cell r="W3148">
            <v>0</v>
          </cell>
          <cell r="AJ3148">
            <v>0</v>
          </cell>
          <cell r="AW3148">
            <v>0</v>
          </cell>
        </row>
        <row r="3149">
          <cell r="B3149">
            <v>6639</v>
          </cell>
          <cell r="C3149" t="str">
            <v>EZ_3_</v>
          </cell>
          <cell r="D3149" t="str">
            <v>Rancho Estanzuela No. 3</v>
          </cell>
          <cell r="E3149" t="str">
            <v>Villanueva Nájera</v>
          </cell>
          <cell r="F3149">
            <v>150</v>
          </cell>
          <cell r="G3149">
            <v>1</v>
          </cell>
          <cell r="H3149">
            <v>600</v>
          </cell>
          <cell r="I3149">
            <v>41700</v>
          </cell>
          <cell r="J3149">
            <v>0</v>
          </cell>
          <cell r="W3149">
            <v>0</v>
          </cell>
          <cell r="AJ3149">
            <v>0</v>
          </cell>
          <cell r="AK3149">
            <v>200</v>
          </cell>
          <cell r="AL3149">
            <v>200</v>
          </cell>
          <cell r="AM3149">
            <v>200</v>
          </cell>
          <cell r="AW3149">
            <v>600</v>
          </cell>
        </row>
        <row r="3150">
          <cell r="B3150">
            <v>6640</v>
          </cell>
          <cell r="C3150" t="str">
            <v>CL_90_</v>
          </cell>
          <cell r="D3150" t="str">
            <v>Rancho La Cuchilla No. 90</v>
          </cell>
          <cell r="E3150" t="str">
            <v>Porras Fuentes</v>
          </cell>
          <cell r="F3150">
            <v>150</v>
          </cell>
          <cell r="G3150">
            <v>1</v>
          </cell>
          <cell r="H3150">
            <v>400</v>
          </cell>
          <cell r="I3150">
            <v>41700</v>
          </cell>
          <cell r="J3150">
            <v>0</v>
          </cell>
          <cell r="W3150">
            <v>0</v>
          </cell>
          <cell r="AJ3150">
            <v>0</v>
          </cell>
          <cell r="AK3150">
            <v>200</v>
          </cell>
          <cell r="AL3150">
            <v>200</v>
          </cell>
          <cell r="AW3150">
            <v>400</v>
          </cell>
        </row>
        <row r="3151">
          <cell r="B3151">
            <v>6641</v>
          </cell>
          <cell r="C3151" t="str">
            <v>ZB_68_</v>
          </cell>
          <cell r="D3151" t="str">
            <v>Rancho Zinamba No. 68</v>
          </cell>
          <cell r="E3151" t="str">
            <v>Rivera Villicaña</v>
          </cell>
          <cell r="F3151">
            <v>300</v>
          </cell>
          <cell r="G3151">
            <v>1</v>
          </cell>
          <cell r="H3151">
            <v>300</v>
          </cell>
          <cell r="I3151">
            <v>41700</v>
          </cell>
          <cell r="J3151">
            <v>0</v>
          </cell>
          <cell r="W3151">
            <v>0</v>
          </cell>
          <cell r="AJ3151">
            <v>0</v>
          </cell>
          <cell r="AM3151">
            <v>300</v>
          </cell>
          <cell r="AW3151">
            <v>300</v>
          </cell>
        </row>
        <row r="3152">
          <cell r="B3152">
            <v>6642</v>
          </cell>
          <cell r="C3152" t="str">
            <v>LD_42_</v>
          </cell>
          <cell r="D3152" t="str">
            <v>Rancho Landero No. 42</v>
          </cell>
          <cell r="E3152" t="str">
            <v>Ávila Fidel</v>
          </cell>
          <cell r="F3152">
            <v>300</v>
          </cell>
          <cell r="G3152">
            <v>1</v>
          </cell>
          <cell r="H3152">
            <v>400</v>
          </cell>
          <cell r="I3152">
            <v>41700</v>
          </cell>
          <cell r="J3152">
            <v>0</v>
          </cell>
          <cell r="W3152">
            <v>0</v>
          </cell>
          <cell r="AJ3152">
            <v>0</v>
          </cell>
          <cell r="AM3152">
            <v>400</v>
          </cell>
          <cell r="AW3152">
            <v>400</v>
          </cell>
        </row>
        <row r="3153">
          <cell r="B3153">
            <v>6643</v>
          </cell>
          <cell r="C3153" t="str">
            <v>RM_10_B</v>
          </cell>
          <cell r="D3153" t="str">
            <v>Rancho Romeral No. 10, B</v>
          </cell>
          <cell r="E3153" t="str">
            <v>López Castellano</v>
          </cell>
          <cell r="F3153">
            <v>300</v>
          </cell>
          <cell r="G3153">
            <v>1</v>
          </cell>
          <cell r="H3153">
            <v>2000</v>
          </cell>
          <cell r="I3153">
            <v>41700</v>
          </cell>
          <cell r="J3153">
            <v>0</v>
          </cell>
          <cell r="W3153">
            <v>0</v>
          </cell>
          <cell r="AH3153">
            <v>400</v>
          </cell>
          <cell r="AI3153">
            <v>400</v>
          </cell>
          <cell r="AJ3153">
            <v>800</v>
          </cell>
          <cell r="AK3153">
            <v>400</v>
          </cell>
          <cell r="AL3153">
            <v>400</v>
          </cell>
          <cell r="AM3153">
            <v>400</v>
          </cell>
          <cell r="AW3153">
            <v>1200</v>
          </cell>
        </row>
        <row r="3154">
          <cell r="B3154">
            <v>6644</v>
          </cell>
          <cell r="C3154" t="str">
            <v>LD_93_</v>
          </cell>
          <cell r="D3154" t="str">
            <v>Rancho Landero No. 93</v>
          </cell>
          <cell r="E3154" t="str">
            <v>Ortega López</v>
          </cell>
          <cell r="F3154">
            <v>300</v>
          </cell>
          <cell r="G3154">
            <v>1</v>
          </cell>
          <cell r="H3154">
            <v>800</v>
          </cell>
          <cell r="I3154">
            <v>41700</v>
          </cell>
          <cell r="J3154">
            <v>0</v>
          </cell>
          <cell r="W3154">
            <v>0</v>
          </cell>
          <cell r="AJ3154">
            <v>0</v>
          </cell>
          <cell r="AK3154">
            <v>400</v>
          </cell>
          <cell r="AL3154">
            <v>400</v>
          </cell>
          <cell r="AW3154">
            <v>800</v>
          </cell>
        </row>
        <row r="3155">
          <cell r="B3155">
            <v>6645</v>
          </cell>
          <cell r="C3155" t="str">
            <v>UP_146_</v>
          </cell>
          <cell r="D3155" t="str">
            <v>Rancho Upácuaro No. 146</v>
          </cell>
          <cell r="E3155" t="str">
            <v>Islas</v>
          </cell>
          <cell r="F3155">
            <v>300</v>
          </cell>
          <cell r="G3155">
            <v>1</v>
          </cell>
          <cell r="H3155">
            <v>1200</v>
          </cell>
          <cell r="I3155">
            <v>41700</v>
          </cell>
          <cell r="J3155">
            <v>0</v>
          </cell>
          <cell r="W3155">
            <v>0</v>
          </cell>
          <cell r="AJ3155">
            <v>0</v>
          </cell>
          <cell r="AK3155">
            <v>400</v>
          </cell>
          <cell r="AL3155">
            <v>400</v>
          </cell>
          <cell r="AM3155">
            <v>400</v>
          </cell>
          <cell r="AW3155">
            <v>1200</v>
          </cell>
        </row>
        <row r="3156">
          <cell r="B3156">
            <v>6646</v>
          </cell>
          <cell r="C3156" t="str">
            <v>CL_41_</v>
          </cell>
          <cell r="D3156" t="str">
            <v>Rancho La Cuchilla No. 41</v>
          </cell>
          <cell r="E3156" t="str">
            <v>Arriaga Lemus</v>
          </cell>
          <cell r="F3156">
            <v>250</v>
          </cell>
          <cell r="G3156">
            <v>1</v>
          </cell>
          <cell r="H3156">
            <v>400</v>
          </cell>
          <cell r="I3156">
            <v>41700</v>
          </cell>
          <cell r="J3156">
            <v>0</v>
          </cell>
          <cell r="W3156">
            <v>0</v>
          </cell>
          <cell r="AJ3156">
            <v>0</v>
          </cell>
          <cell r="AM3156">
            <v>400</v>
          </cell>
          <cell r="AW3156">
            <v>400</v>
          </cell>
        </row>
        <row r="3157">
          <cell r="B3157">
            <v>6647</v>
          </cell>
          <cell r="C3157" t="str">
            <v>LD_63_</v>
          </cell>
          <cell r="D3157" t="str">
            <v>Rancho Landero No. 63</v>
          </cell>
          <cell r="E3157" t="str">
            <v>Hernández Chávez</v>
          </cell>
          <cell r="F3157">
            <v>300</v>
          </cell>
          <cell r="G3157">
            <v>1</v>
          </cell>
          <cell r="H3157">
            <v>400</v>
          </cell>
          <cell r="I3157">
            <v>41700</v>
          </cell>
          <cell r="J3157">
            <v>0</v>
          </cell>
          <cell r="W3157">
            <v>0</v>
          </cell>
          <cell r="AJ3157">
            <v>0</v>
          </cell>
          <cell r="AM3157">
            <v>400</v>
          </cell>
          <cell r="AW3157">
            <v>400</v>
          </cell>
        </row>
        <row r="3158">
          <cell r="B3158">
            <v>6648</v>
          </cell>
          <cell r="C3158" t="str">
            <v>UP_101_</v>
          </cell>
          <cell r="D3158" t="str">
            <v>Rancho Upácuaro No. 101</v>
          </cell>
          <cell r="E3158" t="str">
            <v>Chávez, Arturo</v>
          </cell>
          <cell r="F3158">
            <v>300</v>
          </cell>
          <cell r="G3158">
            <v>1</v>
          </cell>
          <cell r="H3158">
            <v>400</v>
          </cell>
          <cell r="I3158">
            <v>41700</v>
          </cell>
          <cell r="J3158">
            <v>0</v>
          </cell>
          <cell r="W3158">
            <v>0</v>
          </cell>
          <cell r="AJ3158">
            <v>0</v>
          </cell>
          <cell r="AM3158">
            <v>400</v>
          </cell>
          <cell r="AW3158">
            <v>400</v>
          </cell>
        </row>
        <row r="3159">
          <cell r="B3159">
            <v>6649</v>
          </cell>
          <cell r="C3159" t="str">
            <v>LD_65_</v>
          </cell>
          <cell r="D3159" t="str">
            <v>Rancho Landero No. 65</v>
          </cell>
          <cell r="E3159" t="str">
            <v>Alpizar</v>
          </cell>
          <cell r="F3159">
            <v>300</v>
          </cell>
          <cell r="G3159">
            <v>1</v>
          </cell>
          <cell r="H3159">
            <v>800</v>
          </cell>
          <cell r="I3159">
            <v>41700</v>
          </cell>
          <cell r="J3159">
            <v>0</v>
          </cell>
          <cell r="W3159">
            <v>0</v>
          </cell>
          <cell r="AJ3159">
            <v>0</v>
          </cell>
          <cell r="AL3159">
            <v>400</v>
          </cell>
          <cell r="AM3159">
            <v>400</v>
          </cell>
          <cell r="AW3159">
            <v>800</v>
          </cell>
        </row>
        <row r="3160">
          <cell r="B3160">
            <v>6650</v>
          </cell>
          <cell r="C3160" t="str">
            <v>RM_10_A</v>
          </cell>
          <cell r="D3160" t="str">
            <v>Rancho Romeral No. 10, A</v>
          </cell>
          <cell r="E3160" t="str">
            <v>Casillas Álvarez</v>
          </cell>
          <cell r="F3160">
            <v>150</v>
          </cell>
          <cell r="G3160">
            <v>1</v>
          </cell>
          <cell r="H3160">
            <v>400</v>
          </cell>
          <cell r="I3160">
            <v>41700</v>
          </cell>
          <cell r="J3160">
            <v>0</v>
          </cell>
          <cell r="W3160">
            <v>0</v>
          </cell>
          <cell r="AJ3160">
            <v>0</v>
          </cell>
          <cell r="AM3160">
            <v>200</v>
          </cell>
          <cell r="AN3160">
            <v>200</v>
          </cell>
          <cell r="AW3160">
            <v>400</v>
          </cell>
        </row>
        <row r="3161">
          <cell r="B3161">
            <v>6651</v>
          </cell>
          <cell r="C3161" t="str">
            <v>CL_130_</v>
          </cell>
          <cell r="D3161" t="str">
            <v>Rancho La Cuchilla No. 130</v>
          </cell>
          <cell r="E3161" t="str">
            <v>De la Huerta</v>
          </cell>
          <cell r="F3161">
            <v>300</v>
          </cell>
          <cell r="G3161">
            <v>1</v>
          </cell>
          <cell r="H3161">
            <v>400</v>
          </cell>
          <cell r="I3161">
            <v>41700</v>
          </cell>
          <cell r="J3161">
            <v>0</v>
          </cell>
          <cell r="W3161">
            <v>0</v>
          </cell>
          <cell r="AJ3161">
            <v>0</v>
          </cell>
          <cell r="AM3161">
            <v>400</v>
          </cell>
          <cell r="AW3161">
            <v>400</v>
          </cell>
        </row>
        <row r="3162">
          <cell r="B3162">
            <v>6652</v>
          </cell>
          <cell r="C3162" t="str">
            <v>ZB_44_</v>
          </cell>
          <cell r="D3162" t="str">
            <v>Rancho Zinamba No. 44</v>
          </cell>
          <cell r="E3162" t="str">
            <v>Canales</v>
          </cell>
          <cell r="F3162">
            <v>300</v>
          </cell>
          <cell r="G3162">
            <v>1</v>
          </cell>
          <cell r="H3162">
            <v>400</v>
          </cell>
          <cell r="I3162">
            <v>41700</v>
          </cell>
          <cell r="J3162">
            <v>0</v>
          </cell>
          <cell r="W3162">
            <v>0</v>
          </cell>
          <cell r="AJ3162">
            <v>0</v>
          </cell>
          <cell r="AM3162">
            <v>400</v>
          </cell>
          <cell r="AW3162">
            <v>400</v>
          </cell>
        </row>
        <row r="3163">
          <cell r="B3163">
            <v>6653</v>
          </cell>
          <cell r="C3163" t="str">
            <v>CL_81_A</v>
          </cell>
          <cell r="D3163" t="str">
            <v>Rancho La Cuchilla No. 81, A</v>
          </cell>
          <cell r="E3163" t="str">
            <v>Barrientos López</v>
          </cell>
          <cell r="F3163">
            <v>300</v>
          </cell>
          <cell r="G3163">
            <v>1</v>
          </cell>
          <cell r="H3163">
            <v>400</v>
          </cell>
          <cell r="I3163">
            <v>41700</v>
          </cell>
          <cell r="J3163">
            <v>0</v>
          </cell>
          <cell r="W3163">
            <v>0</v>
          </cell>
          <cell r="AJ3163">
            <v>0</v>
          </cell>
          <cell r="AM3163">
            <v>400</v>
          </cell>
          <cell r="AW3163">
            <v>400</v>
          </cell>
        </row>
        <row r="3164">
          <cell r="B3164">
            <v>6654</v>
          </cell>
          <cell r="C3164" t="str">
            <v>CL_61_</v>
          </cell>
          <cell r="D3164" t="str">
            <v>Rancho La Cuchilla No. 61</v>
          </cell>
          <cell r="E3164" t="str">
            <v>Rivera</v>
          </cell>
          <cell r="F3164">
            <v>300</v>
          </cell>
          <cell r="G3164">
            <v>1</v>
          </cell>
          <cell r="H3164">
            <v>400</v>
          </cell>
          <cell r="I3164">
            <v>41700</v>
          </cell>
          <cell r="J3164">
            <v>0</v>
          </cell>
          <cell r="W3164">
            <v>0</v>
          </cell>
          <cell r="AJ3164">
            <v>0</v>
          </cell>
          <cell r="AK3164">
            <v>200</v>
          </cell>
          <cell r="AL3164">
            <v>200</v>
          </cell>
          <cell r="AW3164">
            <v>400</v>
          </cell>
        </row>
        <row r="3165">
          <cell r="B3165">
            <v>6655</v>
          </cell>
          <cell r="C3165" t="str">
            <v>EZ_147_2</v>
          </cell>
          <cell r="D3165" t="str">
            <v>Rancho Estanzuela No. 147, 2</v>
          </cell>
          <cell r="E3165" t="str">
            <v>Castrejón Ocampo</v>
          </cell>
          <cell r="F3165">
            <v>300</v>
          </cell>
          <cell r="G3165">
            <v>1</v>
          </cell>
          <cell r="H3165">
            <v>200</v>
          </cell>
          <cell r="I3165">
            <v>41700</v>
          </cell>
          <cell r="J3165">
            <v>0</v>
          </cell>
          <cell r="W3165">
            <v>0</v>
          </cell>
          <cell r="AJ3165">
            <v>0</v>
          </cell>
          <cell r="AK3165">
            <v>100</v>
          </cell>
          <cell r="AL3165">
            <v>100</v>
          </cell>
          <cell r="AW3165">
            <v>200</v>
          </cell>
        </row>
        <row r="3166">
          <cell r="B3166">
            <v>6656</v>
          </cell>
          <cell r="C3166" t="str">
            <v>LD_21_</v>
          </cell>
          <cell r="D3166" t="str">
            <v>Rancho Landero No. 21</v>
          </cell>
          <cell r="E3166" t="str">
            <v>Meza</v>
          </cell>
          <cell r="F3166">
            <v>300</v>
          </cell>
          <cell r="G3166">
            <v>1</v>
          </cell>
          <cell r="H3166">
            <v>800</v>
          </cell>
          <cell r="I3166">
            <v>41700</v>
          </cell>
          <cell r="J3166">
            <v>0</v>
          </cell>
          <cell r="W3166">
            <v>0</v>
          </cell>
          <cell r="AJ3166">
            <v>0</v>
          </cell>
          <cell r="AL3166">
            <v>400</v>
          </cell>
          <cell r="AM3166">
            <v>400</v>
          </cell>
          <cell r="AW3166">
            <v>800</v>
          </cell>
        </row>
        <row r="3167">
          <cell r="B3167">
            <v>6657</v>
          </cell>
          <cell r="C3167" t="str">
            <v>UP_76_</v>
          </cell>
          <cell r="D3167" t="str">
            <v>Rancho Upácuaro No. 76</v>
          </cell>
          <cell r="E3167" t="str">
            <v>Ruiz de San Pedro</v>
          </cell>
          <cell r="F3167">
            <v>300</v>
          </cell>
          <cell r="G3167">
            <v>1</v>
          </cell>
          <cell r="H3167">
            <v>400</v>
          </cell>
          <cell r="I3167">
            <v>41700</v>
          </cell>
          <cell r="J3167">
            <v>0</v>
          </cell>
          <cell r="W3167">
            <v>0</v>
          </cell>
          <cell r="AJ3167">
            <v>0</v>
          </cell>
          <cell r="AM3167">
            <v>400</v>
          </cell>
          <cell r="AW3167">
            <v>400</v>
          </cell>
        </row>
        <row r="3168">
          <cell r="B3168">
            <v>6658</v>
          </cell>
          <cell r="C3168" t="str">
            <v>CL_43_B</v>
          </cell>
          <cell r="D3168" t="str">
            <v>Rancho La Cuchilla No. 43, B</v>
          </cell>
          <cell r="E3168" t="str">
            <v>Luna Albertano</v>
          </cell>
          <cell r="F3168">
            <v>125</v>
          </cell>
          <cell r="G3168">
            <v>1</v>
          </cell>
          <cell r="H3168">
            <v>125</v>
          </cell>
          <cell r="I3168">
            <v>41700</v>
          </cell>
          <cell r="J3168">
            <v>0</v>
          </cell>
          <cell r="W3168">
            <v>0</v>
          </cell>
          <cell r="AJ3168">
            <v>0</v>
          </cell>
          <cell r="AM3168">
            <v>125</v>
          </cell>
          <cell r="AW3168">
            <v>125</v>
          </cell>
        </row>
        <row r="3169">
          <cell r="B3169">
            <v>6659</v>
          </cell>
          <cell r="C3169" t="str">
            <v>UP_106_</v>
          </cell>
          <cell r="D3169" t="str">
            <v>Rancho Upácuaro No. 106</v>
          </cell>
          <cell r="E3169" t="str">
            <v>Hernández Sánchez</v>
          </cell>
          <cell r="F3169">
            <v>300</v>
          </cell>
          <cell r="G3169">
            <v>1</v>
          </cell>
          <cell r="H3169">
            <v>1200</v>
          </cell>
          <cell r="I3169">
            <v>41700</v>
          </cell>
          <cell r="J3169">
            <v>0</v>
          </cell>
          <cell r="W3169">
            <v>0</v>
          </cell>
          <cell r="AG3169">
            <v>400</v>
          </cell>
          <cell r="AH3169">
            <v>400</v>
          </cell>
          <cell r="AI3169">
            <v>400</v>
          </cell>
          <cell r="AJ3169">
            <v>1200</v>
          </cell>
          <cell r="AW3169">
            <v>0</v>
          </cell>
        </row>
        <row r="3170">
          <cell r="B3170">
            <v>6660</v>
          </cell>
          <cell r="C3170" t="str">
            <v>UP_23_</v>
          </cell>
          <cell r="D3170" t="str">
            <v>Rancho Upácuaro No. 23</v>
          </cell>
          <cell r="E3170" t="str">
            <v>Arredondo</v>
          </cell>
          <cell r="F3170">
            <v>300</v>
          </cell>
          <cell r="G3170">
            <v>1</v>
          </cell>
          <cell r="H3170">
            <v>350</v>
          </cell>
          <cell r="I3170">
            <v>41700</v>
          </cell>
          <cell r="J3170">
            <v>0</v>
          </cell>
          <cell r="W3170">
            <v>0</v>
          </cell>
          <cell r="AJ3170">
            <v>0</v>
          </cell>
          <cell r="AM3170">
            <v>350</v>
          </cell>
          <cell r="AW3170">
            <v>350</v>
          </cell>
        </row>
        <row r="3171">
          <cell r="B3171">
            <v>6661</v>
          </cell>
          <cell r="C3171" t="str">
            <v>CL_33_</v>
          </cell>
          <cell r="D3171" t="str">
            <v>Rancho La Cuchilla No. 33</v>
          </cell>
          <cell r="E3171" t="str">
            <v>Tanús</v>
          </cell>
          <cell r="F3171">
            <v>300</v>
          </cell>
          <cell r="G3171">
            <v>1</v>
          </cell>
          <cell r="H3171">
            <v>400</v>
          </cell>
          <cell r="I3171">
            <v>41700</v>
          </cell>
          <cell r="J3171">
            <v>0</v>
          </cell>
          <cell r="W3171">
            <v>0</v>
          </cell>
          <cell r="AJ3171">
            <v>0</v>
          </cell>
          <cell r="AM3171">
            <v>400</v>
          </cell>
          <cell r="AW3171">
            <v>400</v>
          </cell>
        </row>
        <row r="3172">
          <cell r="B3172">
            <v>6662</v>
          </cell>
          <cell r="C3172" t="str">
            <v>LD_76_</v>
          </cell>
          <cell r="D3172" t="str">
            <v>Rancho Landero No. 76</v>
          </cell>
          <cell r="E3172" t="str">
            <v>Ugarte</v>
          </cell>
          <cell r="F3172">
            <v>300</v>
          </cell>
          <cell r="G3172">
            <v>1</v>
          </cell>
          <cell r="H3172">
            <v>400</v>
          </cell>
          <cell r="I3172">
            <v>41700</v>
          </cell>
          <cell r="J3172">
            <v>0</v>
          </cell>
          <cell r="W3172">
            <v>0</v>
          </cell>
          <cell r="AJ3172">
            <v>0</v>
          </cell>
          <cell r="AM3172">
            <v>400</v>
          </cell>
          <cell r="AW3172">
            <v>400</v>
          </cell>
        </row>
        <row r="3173">
          <cell r="B3173">
            <v>6663</v>
          </cell>
          <cell r="C3173" t="str">
            <v>CL_12_</v>
          </cell>
          <cell r="D3173" t="str">
            <v>Rancho La Cuchilla No. 12</v>
          </cell>
          <cell r="E3173" t="str">
            <v>Rivera Flores</v>
          </cell>
          <cell r="F3173">
            <v>300</v>
          </cell>
          <cell r="G3173">
            <v>1</v>
          </cell>
          <cell r="H3173">
            <v>900</v>
          </cell>
          <cell r="I3173">
            <v>41700</v>
          </cell>
          <cell r="J3173">
            <v>0</v>
          </cell>
          <cell r="W3173">
            <v>0</v>
          </cell>
          <cell r="AJ3173">
            <v>0</v>
          </cell>
          <cell r="AK3173">
            <v>300</v>
          </cell>
          <cell r="AL3173">
            <v>300</v>
          </cell>
          <cell r="AM3173">
            <v>300</v>
          </cell>
          <cell r="AW3173">
            <v>900</v>
          </cell>
        </row>
        <row r="3174">
          <cell r="B3174">
            <v>6664</v>
          </cell>
          <cell r="C3174" t="str">
            <v>UP_85_</v>
          </cell>
          <cell r="D3174" t="str">
            <v>Rancho Upácuaro No. 85</v>
          </cell>
          <cell r="E3174" t="str">
            <v>Del Toro Huerta</v>
          </cell>
          <cell r="F3174">
            <v>300</v>
          </cell>
          <cell r="G3174">
            <v>1</v>
          </cell>
          <cell r="H3174">
            <v>400</v>
          </cell>
          <cell r="I3174">
            <v>41700</v>
          </cell>
          <cell r="J3174">
            <v>0</v>
          </cell>
          <cell r="W3174">
            <v>0</v>
          </cell>
          <cell r="AJ3174">
            <v>0</v>
          </cell>
          <cell r="AM3174">
            <v>400</v>
          </cell>
          <cell r="AW3174">
            <v>400</v>
          </cell>
        </row>
        <row r="3175">
          <cell r="B3175">
            <v>6665</v>
          </cell>
          <cell r="C3175" t="str">
            <v>EZ_101_</v>
          </cell>
          <cell r="D3175" t="str">
            <v>Rancho Estanzuela No. 101</v>
          </cell>
          <cell r="E3175" t="str">
            <v>Calderón Celis</v>
          </cell>
          <cell r="F3175">
            <v>300</v>
          </cell>
          <cell r="G3175">
            <v>1</v>
          </cell>
          <cell r="H3175">
            <v>800</v>
          </cell>
          <cell r="I3175">
            <v>41700</v>
          </cell>
          <cell r="J3175">
            <v>0</v>
          </cell>
          <cell r="W3175">
            <v>0</v>
          </cell>
          <cell r="AJ3175">
            <v>0</v>
          </cell>
          <cell r="AK3175">
            <v>400</v>
          </cell>
          <cell r="AL3175">
            <v>400</v>
          </cell>
          <cell r="AW3175">
            <v>800</v>
          </cell>
        </row>
        <row r="3176">
          <cell r="B3176">
            <v>6666</v>
          </cell>
          <cell r="C3176" t="str">
            <v>UP_70_</v>
          </cell>
          <cell r="D3176" t="str">
            <v>Rancho Upácuaro No. 70</v>
          </cell>
          <cell r="E3176" t="str">
            <v>Ramírez Tejeda</v>
          </cell>
          <cell r="F3176">
            <v>300</v>
          </cell>
          <cell r="G3176">
            <v>1</v>
          </cell>
          <cell r="H3176">
            <v>300</v>
          </cell>
          <cell r="I3176">
            <v>41700</v>
          </cell>
          <cell r="J3176">
            <v>0</v>
          </cell>
          <cell r="W3176">
            <v>0</v>
          </cell>
          <cell r="AJ3176">
            <v>0</v>
          </cell>
          <cell r="AM3176">
            <v>300</v>
          </cell>
          <cell r="AW3176">
            <v>300</v>
          </cell>
        </row>
        <row r="3177">
          <cell r="B3177">
            <v>6667</v>
          </cell>
          <cell r="C3177" t="str">
            <v>LD_90_</v>
          </cell>
          <cell r="D3177" t="str">
            <v>Rancho Landero No. 90</v>
          </cell>
          <cell r="E3177" t="str">
            <v>Córdova Reséndiz</v>
          </cell>
          <cell r="F3177">
            <v>300</v>
          </cell>
          <cell r="G3177">
            <v>1</v>
          </cell>
          <cell r="H3177">
            <v>300</v>
          </cell>
          <cell r="I3177">
            <v>41700</v>
          </cell>
          <cell r="J3177">
            <v>0</v>
          </cell>
          <cell r="W3177">
            <v>0</v>
          </cell>
          <cell r="AJ3177">
            <v>0</v>
          </cell>
          <cell r="AM3177">
            <v>300</v>
          </cell>
          <cell r="AW3177">
            <v>300</v>
          </cell>
        </row>
        <row r="3178">
          <cell r="B3178">
            <v>6668</v>
          </cell>
          <cell r="C3178" t="str">
            <v>LD_86_</v>
          </cell>
          <cell r="D3178" t="str">
            <v>Rancho Landero No. 86</v>
          </cell>
          <cell r="E3178" t="str">
            <v>Cuervo</v>
          </cell>
          <cell r="F3178">
            <v>300</v>
          </cell>
          <cell r="G3178">
            <v>1</v>
          </cell>
          <cell r="H3178">
            <v>400</v>
          </cell>
          <cell r="I3178">
            <v>41700</v>
          </cell>
          <cell r="J3178">
            <v>0</v>
          </cell>
          <cell r="W3178">
            <v>0</v>
          </cell>
          <cell r="AJ3178">
            <v>0</v>
          </cell>
          <cell r="AK3178">
            <v>400</v>
          </cell>
          <cell r="AW3178">
            <v>400</v>
          </cell>
        </row>
        <row r="3179">
          <cell r="B3179">
            <v>6669</v>
          </cell>
          <cell r="C3179" t="str">
            <v>LD_7_</v>
          </cell>
          <cell r="D3179" t="str">
            <v>Rancho Landero No. 7</v>
          </cell>
          <cell r="E3179" t="str">
            <v>Robles</v>
          </cell>
          <cell r="F3179">
            <v>150</v>
          </cell>
          <cell r="G3179">
            <v>1</v>
          </cell>
          <cell r="H3179">
            <v>150</v>
          </cell>
          <cell r="I3179">
            <v>41700</v>
          </cell>
          <cell r="J3179">
            <v>0</v>
          </cell>
          <cell r="W3179">
            <v>0</v>
          </cell>
          <cell r="AJ3179">
            <v>0</v>
          </cell>
          <cell r="AM3179">
            <v>150</v>
          </cell>
          <cell r="AW3179">
            <v>150</v>
          </cell>
        </row>
        <row r="3180">
          <cell r="B3180">
            <v>6670</v>
          </cell>
          <cell r="C3180" t="str">
            <v>CL_36_</v>
          </cell>
          <cell r="D3180" t="str">
            <v>Rancho La Cuchilla No. 36</v>
          </cell>
          <cell r="E3180" t="str">
            <v>Castillo</v>
          </cell>
          <cell r="F3180">
            <v>300</v>
          </cell>
          <cell r="G3180">
            <v>1</v>
          </cell>
          <cell r="H3180">
            <v>400</v>
          </cell>
          <cell r="I3180">
            <v>41700</v>
          </cell>
          <cell r="J3180">
            <v>0</v>
          </cell>
          <cell r="W3180">
            <v>0</v>
          </cell>
          <cell r="AJ3180">
            <v>0</v>
          </cell>
          <cell r="AM3180">
            <v>400</v>
          </cell>
          <cell r="AW3180">
            <v>400</v>
          </cell>
        </row>
        <row r="3181">
          <cell r="B3181">
            <v>6671</v>
          </cell>
          <cell r="C3181" t="str">
            <v>UP_33_</v>
          </cell>
          <cell r="D3181" t="str">
            <v>Rancho Upácuaro No. 33</v>
          </cell>
          <cell r="E3181" t="str">
            <v>Ulloa Miranda</v>
          </cell>
          <cell r="F3181">
            <v>300</v>
          </cell>
          <cell r="G3181">
            <v>1</v>
          </cell>
          <cell r="H3181">
            <v>400</v>
          </cell>
          <cell r="I3181">
            <v>41700</v>
          </cell>
          <cell r="J3181">
            <v>0</v>
          </cell>
          <cell r="W3181">
            <v>0</v>
          </cell>
          <cell r="AJ3181">
            <v>0</v>
          </cell>
          <cell r="AM3181">
            <v>400</v>
          </cell>
          <cell r="AW3181">
            <v>400</v>
          </cell>
        </row>
        <row r="3182">
          <cell r="B3182">
            <v>6672</v>
          </cell>
          <cell r="C3182" t="str">
            <v>UP_93_</v>
          </cell>
          <cell r="D3182" t="str">
            <v>Rancho Upácuaro No. 93</v>
          </cell>
          <cell r="E3182" t="str">
            <v>Valdés</v>
          </cell>
          <cell r="F3182">
            <v>300</v>
          </cell>
          <cell r="G3182">
            <v>1</v>
          </cell>
          <cell r="H3182">
            <v>400</v>
          </cell>
          <cell r="I3182">
            <v>41700</v>
          </cell>
          <cell r="J3182">
            <v>0</v>
          </cell>
          <cell r="W3182">
            <v>0</v>
          </cell>
          <cell r="AJ3182">
            <v>0</v>
          </cell>
          <cell r="AM3182">
            <v>400</v>
          </cell>
          <cell r="AW3182">
            <v>400</v>
          </cell>
        </row>
        <row r="3183">
          <cell r="B3183">
            <v>6673</v>
          </cell>
          <cell r="C3183" t="str">
            <v>EZ_157_3</v>
          </cell>
          <cell r="D3183" t="str">
            <v>Rancho Estanzuela No. 157, 3</v>
          </cell>
          <cell r="E3183" t="str">
            <v>Conde</v>
          </cell>
          <cell r="F3183">
            <v>0</v>
          </cell>
          <cell r="G3183">
            <v>1</v>
          </cell>
          <cell r="H3183">
            <v>150</v>
          </cell>
          <cell r="I3183">
            <v>41700</v>
          </cell>
          <cell r="J3183">
            <v>0</v>
          </cell>
          <cell r="W3183">
            <v>0</v>
          </cell>
          <cell r="AJ3183">
            <v>0</v>
          </cell>
          <cell r="AM3183">
            <v>150</v>
          </cell>
          <cell r="AW3183">
            <v>150</v>
          </cell>
        </row>
        <row r="3184">
          <cell r="B3184">
            <v>6674</v>
          </cell>
          <cell r="C3184" t="str">
            <v>ZB_36_</v>
          </cell>
          <cell r="D3184" t="str">
            <v>Rancho Zinamba No. 36</v>
          </cell>
          <cell r="E3184" t="str">
            <v>Rodríguez Ortiz</v>
          </cell>
          <cell r="F3184">
            <v>300</v>
          </cell>
          <cell r="G3184">
            <v>1</v>
          </cell>
          <cell r="H3184">
            <v>400</v>
          </cell>
          <cell r="I3184">
            <v>41700</v>
          </cell>
          <cell r="J3184">
            <v>0</v>
          </cell>
          <cell r="W3184">
            <v>0</v>
          </cell>
          <cell r="AJ3184">
            <v>0</v>
          </cell>
          <cell r="AM3184">
            <v>400</v>
          </cell>
          <cell r="AW3184">
            <v>400</v>
          </cell>
        </row>
        <row r="3185">
          <cell r="B3185">
            <v>6675</v>
          </cell>
          <cell r="C3185" t="str">
            <v>ZB_80_</v>
          </cell>
          <cell r="D3185" t="str">
            <v>Rancho Zinamba No. 80</v>
          </cell>
          <cell r="E3185" t="str">
            <v>Vázquez</v>
          </cell>
          <cell r="F3185">
            <v>250</v>
          </cell>
          <cell r="G3185">
            <v>1</v>
          </cell>
          <cell r="H3185">
            <v>300</v>
          </cell>
          <cell r="I3185">
            <v>41700</v>
          </cell>
          <cell r="J3185">
            <v>0</v>
          </cell>
          <cell r="W3185">
            <v>0</v>
          </cell>
          <cell r="AJ3185">
            <v>0</v>
          </cell>
          <cell r="AM3185">
            <v>300</v>
          </cell>
          <cell r="AW3185">
            <v>300</v>
          </cell>
        </row>
        <row r="3186">
          <cell r="B3186">
            <v>6676</v>
          </cell>
          <cell r="C3186" t="str">
            <v>UP_140_</v>
          </cell>
          <cell r="D3186" t="str">
            <v>Rancho Upácuaro No. 140</v>
          </cell>
          <cell r="E3186" t="str">
            <v>Gozain</v>
          </cell>
          <cell r="F3186">
            <v>300</v>
          </cell>
          <cell r="G3186">
            <v>1</v>
          </cell>
          <cell r="H3186">
            <v>400</v>
          </cell>
          <cell r="I3186">
            <v>41700</v>
          </cell>
          <cell r="J3186">
            <v>0</v>
          </cell>
          <cell r="W3186">
            <v>0</v>
          </cell>
          <cell r="AJ3186">
            <v>0</v>
          </cell>
          <cell r="AM3186">
            <v>400</v>
          </cell>
          <cell r="AW3186">
            <v>400</v>
          </cell>
        </row>
        <row r="3187">
          <cell r="B3187">
            <v>6677</v>
          </cell>
          <cell r="C3187" t="str">
            <v>CL_47_</v>
          </cell>
          <cell r="D3187" t="str">
            <v>Rancho La Cuchilla No. 47</v>
          </cell>
          <cell r="E3187" t="str">
            <v>López</v>
          </cell>
          <cell r="F3187">
            <v>300</v>
          </cell>
          <cell r="G3187">
            <v>1</v>
          </cell>
          <cell r="H3187">
            <v>2000</v>
          </cell>
          <cell r="I3187">
            <v>41700</v>
          </cell>
          <cell r="J3187">
            <v>0</v>
          </cell>
          <cell r="W3187">
            <v>0</v>
          </cell>
          <cell r="AI3187">
            <v>400</v>
          </cell>
          <cell r="AJ3187">
            <v>400</v>
          </cell>
          <cell r="AK3187">
            <v>400</v>
          </cell>
          <cell r="AL3187">
            <v>400</v>
          </cell>
          <cell r="AM3187">
            <v>400</v>
          </cell>
          <cell r="AN3187">
            <v>400</v>
          </cell>
          <cell r="AW3187">
            <v>1600</v>
          </cell>
        </row>
        <row r="3188">
          <cell r="B3188">
            <v>6678</v>
          </cell>
          <cell r="C3188" t="str">
            <v>CL_129_</v>
          </cell>
          <cell r="D3188" t="str">
            <v>Rancho La Cuchilla No. 129</v>
          </cell>
          <cell r="E3188" t="str">
            <v>Gamboa Rueda</v>
          </cell>
          <cell r="F3188">
            <v>200</v>
          </cell>
          <cell r="G3188">
            <v>1</v>
          </cell>
          <cell r="H3188">
            <v>300</v>
          </cell>
          <cell r="I3188">
            <v>41700</v>
          </cell>
          <cell r="J3188">
            <v>0</v>
          </cell>
          <cell r="W3188">
            <v>0</v>
          </cell>
          <cell r="AJ3188">
            <v>0</v>
          </cell>
          <cell r="AM3188">
            <v>300</v>
          </cell>
          <cell r="AW3188">
            <v>300</v>
          </cell>
        </row>
        <row r="3189">
          <cell r="B3189">
            <v>6679</v>
          </cell>
          <cell r="C3189" t="str">
            <v>CL_40_</v>
          </cell>
          <cell r="D3189" t="str">
            <v>Rancho La Cuchilla No. 40</v>
          </cell>
          <cell r="E3189" t="str">
            <v>López Pico</v>
          </cell>
          <cell r="F3189">
            <v>300</v>
          </cell>
          <cell r="G3189">
            <v>1</v>
          </cell>
          <cell r="H3189">
            <v>400</v>
          </cell>
          <cell r="I3189">
            <v>41700</v>
          </cell>
          <cell r="J3189">
            <v>0</v>
          </cell>
          <cell r="W3189">
            <v>0</v>
          </cell>
          <cell r="AJ3189">
            <v>0</v>
          </cell>
          <cell r="AM3189">
            <v>400</v>
          </cell>
          <cell r="AW3189">
            <v>400</v>
          </cell>
        </row>
        <row r="3190">
          <cell r="B3190">
            <v>6680</v>
          </cell>
          <cell r="C3190" t="str">
            <v>RM_33_</v>
          </cell>
          <cell r="D3190" t="str">
            <v>Rancho Romeral No. 33</v>
          </cell>
          <cell r="E3190" t="str">
            <v>Juárez Alva</v>
          </cell>
          <cell r="F3190">
            <v>300</v>
          </cell>
          <cell r="G3190">
            <v>1</v>
          </cell>
          <cell r="H3190">
            <v>800</v>
          </cell>
          <cell r="I3190">
            <v>41700</v>
          </cell>
          <cell r="J3190">
            <v>0</v>
          </cell>
          <cell r="W3190">
            <v>0</v>
          </cell>
          <cell r="AJ3190">
            <v>0</v>
          </cell>
          <cell r="AL3190">
            <v>400</v>
          </cell>
          <cell r="AM3190">
            <v>400</v>
          </cell>
          <cell r="AW3190">
            <v>800</v>
          </cell>
        </row>
        <row r="3191">
          <cell r="B3191">
            <v>6681</v>
          </cell>
          <cell r="C3191" t="str">
            <v>CL_87_</v>
          </cell>
          <cell r="D3191" t="str">
            <v>Rancho La Cuchilla No. 87</v>
          </cell>
          <cell r="E3191" t="str">
            <v>Villanueva S.</v>
          </cell>
          <cell r="F3191">
            <v>300</v>
          </cell>
          <cell r="G3191">
            <v>1</v>
          </cell>
          <cell r="H3191">
            <v>400</v>
          </cell>
          <cell r="I3191">
            <v>41700</v>
          </cell>
          <cell r="J3191">
            <v>0</v>
          </cell>
          <cell r="W3191">
            <v>0</v>
          </cell>
          <cell r="AJ3191">
            <v>0</v>
          </cell>
          <cell r="AM3191">
            <v>400</v>
          </cell>
          <cell r="AW3191">
            <v>400</v>
          </cell>
        </row>
        <row r="3192">
          <cell r="B3192">
            <v>6682</v>
          </cell>
          <cell r="C3192" t="str">
            <v>RM_30_</v>
          </cell>
          <cell r="D3192" t="str">
            <v>Rancho Romeral No. 30</v>
          </cell>
          <cell r="E3192" t="str">
            <v>Osorio</v>
          </cell>
          <cell r="F3192">
            <v>200</v>
          </cell>
          <cell r="G3192">
            <v>1</v>
          </cell>
          <cell r="H3192">
            <v>400</v>
          </cell>
          <cell r="I3192">
            <v>41700</v>
          </cell>
          <cell r="J3192">
            <v>0</v>
          </cell>
          <cell r="W3192">
            <v>0</v>
          </cell>
          <cell r="AJ3192">
            <v>0</v>
          </cell>
          <cell r="AK3192">
            <v>200</v>
          </cell>
          <cell r="AL3192">
            <v>200</v>
          </cell>
          <cell r="AW3192">
            <v>400</v>
          </cell>
        </row>
        <row r="3193">
          <cell r="B3193">
            <v>6683</v>
          </cell>
          <cell r="C3193" t="str">
            <v>LD_8_</v>
          </cell>
          <cell r="D3193" t="str">
            <v>Rancho Landero No. 8</v>
          </cell>
          <cell r="E3193" t="str">
            <v>Peña Torres</v>
          </cell>
          <cell r="F3193">
            <v>250</v>
          </cell>
          <cell r="G3193">
            <v>1</v>
          </cell>
          <cell r="H3193">
            <v>500</v>
          </cell>
          <cell r="I3193">
            <v>41700</v>
          </cell>
          <cell r="J3193">
            <v>0</v>
          </cell>
          <cell r="W3193">
            <v>0</v>
          </cell>
          <cell r="AJ3193">
            <v>0</v>
          </cell>
          <cell r="AM3193">
            <v>250</v>
          </cell>
          <cell r="AN3193">
            <v>250</v>
          </cell>
          <cell r="AW3193">
            <v>500</v>
          </cell>
        </row>
        <row r="3194">
          <cell r="B3194">
            <v>6684</v>
          </cell>
          <cell r="C3194" t="str">
            <v>UP_52_</v>
          </cell>
          <cell r="D3194" t="str">
            <v>Rancho Upácuaro No. 52</v>
          </cell>
          <cell r="E3194" t="str">
            <v>Velázquez V.</v>
          </cell>
          <cell r="F3194">
            <v>300</v>
          </cell>
          <cell r="G3194">
            <v>1</v>
          </cell>
          <cell r="H3194">
            <v>1050</v>
          </cell>
          <cell r="I3194">
            <v>41700</v>
          </cell>
          <cell r="J3194">
            <v>0</v>
          </cell>
          <cell r="W3194">
            <v>0</v>
          </cell>
          <cell r="AJ3194">
            <v>0</v>
          </cell>
          <cell r="AK3194">
            <v>350</v>
          </cell>
          <cell r="AL3194">
            <v>350</v>
          </cell>
          <cell r="AM3194">
            <v>350</v>
          </cell>
          <cell r="AW3194">
            <v>1050</v>
          </cell>
        </row>
        <row r="3195">
          <cell r="B3195">
            <v>6685</v>
          </cell>
          <cell r="C3195" t="str">
            <v>UP_18_</v>
          </cell>
          <cell r="D3195" t="str">
            <v>Rancho Upácuaro No. 18</v>
          </cell>
          <cell r="E3195" t="str">
            <v>Guzmán</v>
          </cell>
          <cell r="F3195">
            <v>300</v>
          </cell>
          <cell r="G3195">
            <v>1</v>
          </cell>
          <cell r="H3195">
            <v>300</v>
          </cell>
          <cell r="I3195">
            <v>41700</v>
          </cell>
          <cell r="J3195">
            <v>0</v>
          </cell>
          <cell r="W3195">
            <v>0</v>
          </cell>
          <cell r="AJ3195">
            <v>0</v>
          </cell>
          <cell r="AM3195">
            <v>300</v>
          </cell>
          <cell r="AW3195">
            <v>300</v>
          </cell>
        </row>
        <row r="3196">
          <cell r="B3196">
            <v>6685</v>
          </cell>
          <cell r="C3196" t="str">
            <v>UP_18_</v>
          </cell>
          <cell r="D3196" t="str">
            <v>Rancho Upácuaro No. 18</v>
          </cell>
          <cell r="E3196" t="str">
            <v>Guzmán</v>
          </cell>
          <cell r="F3196">
            <v>300</v>
          </cell>
          <cell r="G3196">
            <v>3</v>
          </cell>
          <cell r="H3196">
            <v>160</v>
          </cell>
          <cell r="I3196">
            <v>41700</v>
          </cell>
          <cell r="J3196" t="str">
            <v>NO SUMA</v>
          </cell>
          <cell r="W3196">
            <v>0</v>
          </cell>
          <cell r="AJ3196">
            <v>0</v>
          </cell>
          <cell r="AW3196">
            <v>0</v>
          </cell>
        </row>
        <row r="3197">
          <cell r="B3197">
            <v>6686</v>
          </cell>
          <cell r="C3197" t="str">
            <v>CL_45_</v>
          </cell>
          <cell r="D3197" t="str">
            <v>Rancho La Cuchilla No. 45</v>
          </cell>
          <cell r="E3197" t="str">
            <v>Estévez Hernández</v>
          </cell>
          <cell r="F3197">
            <v>300</v>
          </cell>
          <cell r="G3197">
            <v>1</v>
          </cell>
          <cell r="H3197">
            <v>400</v>
          </cell>
          <cell r="I3197">
            <v>41700</v>
          </cell>
          <cell r="J3197">
            <v>0</v>
          </cell>
          <cell r="W3197">
            <v>0</v>
          </cell>
          <cell r="AJ3197">
            <v>0</v>
          </cell>
          <cell r="AM3197">
            <v>400</v>
          </cell>
          <cell r="AW3197">
            <v>400</v>
          </cell>
        </row>
        <row r="3198">
          <cell r="B3198">
            <v>6687</v>
          </cell>
          <cell r="C3198" t="str">
            <v>LD_17_</v>
          </cell>
          <cell r="D3198" t="str">
            <v>Rancho Landero No. 17</v>
          </cell>
          <cell r="E3198" t="str">
            <v>González</v>
          </cell>
          <cell r="F3198">
            <v>300</v>
          </cell>
          <cell r="G3198">
            <v>1</v>
          </cell>
          <cell r="H3198">
            <v>800</v>
          </cell>
          <cell r="I3198">
            <v>41700</v>
          </cell>
          <cell r="J3198">
            <v>0</v>
          </cell>
          <cell r="W3198">
            <v>0</v>
          </cell>
          <cell r="AJ3198">
            <v>0</v>
          </cell>
          <cell r="AK3198">
            <v>400</v>
          </cell>
          <cell r="AL3198">
            <v>400</v>
          </cell>
          <cell r="AW3198">
            <v>800</v>
          </cell>
        </row>
        <row r="3199">
          <cell r="B3199">
            <v>6688</v>
          </cell>
          <cell r="C3199" t="str">
            <v>CL_77_</v>
          </cell>
          <cell r="D3199" t="str">
            <v>Rancho La Cuchilla No. 77</v>
          </cell>
          <cell r="E3199" t="str">
            <v>Loperena</v>
          </cell>
          <cell r="F3199">
            <v>300</v>
          </cell>
          <cell r="G3199">
            <v>1</v>
          </cell>
          <cell r="H3199">
            <v>900</v>
          </cell>
          <cell r="I3199">
            <v>41700</v>
          </cell>
          <cell r="J3199">
            <v>0</v>
          </cell>
          <cell r="W3199">
            <v>0</v>
          </cell>
          <cell r="AJ3199">
            <v>0</v>
          </cell>
          <cell r="AK3199">
            <v>300</v>
          </cell>
          <cell r="AL3199">
            <v>300</v>
          </cell>
          <cell r="AM3199">
            <v>300</v>
          </cell>
          <cell r="AW3199">
            <v>900</v>
          </cell>
        </row>
        <row r="3200">
          <cell r="B3200">
            <v>6689</v>
          </cell>
          <cell r="C3200" t="str">
            <v>LD_35_</v>
          </cell>
          <cell r="D3200" t="str">
            <v>Rancho Landero No. 35</v>
          </cell>
          <cell r="E3200" t="str">
            <v>Loperena</v>
          </cell>
          <cell r="F3200">
            <v>300</v>
          </cell>
          <cell r="G3200">
            <v>1</v>
          </cell>
          <cell r="H3200">
            <v>1200</v>
          </cell>
          <cell r="I3200">
            <v>41700</v>
          </cell>
          <cell r="J3200">
            <v>0</v>
          </cell>
          <cell r="W3200">
            <v>0</v>
          </cell>
          <cell r="AJ3200">
            <v>0</v>
          </cell>
          <cell r="AK3200">
            <v>400</v>
          </cell>
          <cell r="AL3200">
            <v>400</v>
          </cell>
          <cell r="AM3200">
            <v>400</v>
          </cell>
          <cell r="AW3200">
            <v>1200</v>
          </cell>
        </row>
        <row r="3201">
          <cell r="B3201">
            <v>6690</v>
          </cell>
          <cell r="C3201" t="str">
            <v>UP_32_</v>
          </cell>
          <cell r="D3201" t="str">
            <v>Rancho Upácuaro No. 32</v>
          </cell>
          <cell r="E3201" t="str">
            <v>Sairafi Carmen</v>
          </cell>
          <cell r="F3201">
            <v>300</v>
          </cell>
          <cell r="G3201">
            <v>1</v>
          </cell>
          <cell r="H3201">
            <v>400</v>
          </cell>
          <cell r="I3201">
            <v>41700</v>
          </cell>
          <cell r="J3201">
            <v>0</v>
          </cell>
          <cell r="W3201">
            <v>0</v>
          </cell>
          <cell r="AJ3201">
            <v>0</v>
          </cell>
          <cell r="AM3201">
            <v>400</v>
          </cell>
          <cell r="AW3201">
            <v>400</v>
          </cell>
        </row>
        <row r="3202">
          <cell r="B3202">
            <v>6691</v>
          </cell>
          <cell r="C3202" t="str">
            <v>CL_132_</v>
          </cell>
          <cell r="D3202" t="str">
            <v>Rancho La Cuchilla No. 132</v>
          </cell>
          <cell r="E3202" t="str">
            <v>Téllez Girón</v>
          </cell>
          <cell r="F3202">
            <v>300</v>
          </cell>
          <cell r="G3202">
            <v>1</v>
          </cell>
          <cell r="H3202">
            <v>600</v>
          </cell>
          <cell r="I3202">
            <v>41700</v>
          </cell>
          <cell r="J3202">
            <v>0</v>
          </cell>
          <cell r="W3202">
            <v>0</v>
          </cell>
          <cell r="AJ3202">
            <v>0</v>
          </cell>
          <cell r="AL3202">
            <v>300</v>
          </cell>
          <cell r="AM3202">
            <v>300</v>
          </cell>
          <cell r="AW3202">
            <v>600</v>
          </cell>
        </row>
        <row r="3203">
          <cell r="B3203">
            <v>6692</v>
          </cell>
          <cell r="C3203" t="str">
            <v>CL_72_</v>
          </cell>
          <cell r="D3203" t="str">
            <v>Rancho La Cuchilla No. 72</v>
          </cell>
          <cell r="E3203" t="str">
            <v>Ortiz González</v>
          </cell>
          <cell r="F3203">
            <v>300</v>
          </cell>
          <cell r="G3203">
            <v>1</v>
          </cell>
          <cell r="H3203">
            <v>400</v>
          </cell>
          <cell r="I3203">
            <v>41700</v>
          </cell>
          <cell r="J3203">
            <v>0</v>
          </cell>
          <cell r="W3203">
            <v>0</v>
          </cell>
          <cell r="AJ3203">
            <v>0</v>
          </cell>
          <cell r="AM3203">
            <v>400</v>
          </cell>
          <cell r="AW3203">
            <v>400</v>
          </cell>
        </row>
        <row r="3204">
          <cell r="B3204">
            <v>6693</v>
          </cell>
          <cell r="C3204" t="str">
            <v>LD_51_</v>
          </cell>
          <cell r="D3204" t="str">
            <v>Rancho Landero No. 51</v>
          </cell>
          <cell r="E3204" t="str">
            <v>H. Robles Tamayo</v>
          </cell>
          <cell r="F3204">
            <v>300</v>
          </cell>
          <cell r="G3204">
            <v>1</v>
          </cell>
          <cell r="H3204">
            <v>800</v>
          </cell>
          <cell r="I3204">
            <v>41700</v>
          </cell>
          <cell r="J3204">
            <v>0</v>
          </cell>
          <cell r="W3204">
            <v>0</v>
          </cell>
          <cell r="AJ3204">
            <v>0</v>
          </cell>
          <cell r="AK3204">
            <v>400</v>
          </cell>
          <cell r="AL3204">
            <v>400</v>
          </cell>
          <cell r="AW3204">
            <v>800</v>
          </cell>
        </row>
        <row r="3205">
          <cell r="B3205">
            <v>6694</v>
          </cell>
          <cell r="C3205" t="str">
            <v>CL_19_</v>
          </cell>
          <cell r="D3205" t="str">
            <v>Rancho La Cuchilla No. 19</v>
          </cell>
          <cell r="E3205" t="str">
            <v>Tapia Vázquez</v>
          </cell>
          <cell r="F3205">
            <v>300</v>
          </cell>
          <cell r="G3205">
            <v>1</v>
          </cell>
          <cell r="H3205">
            <v>300</v>
          </cell>
          <cell r="I3205">
            <v>41700</v>
          </cell>
          <cell r="J3205">
            <v>0</v>
          </cell>
          <cell r="W3205">
            <v>0</v>
          </cell>
          <cell r="AJ3205">
            <v>0</v>
          </cell>
          <cell r="AM3205">
            <v>300</v>
          </cell>
          <cell r="AW3205">
            <v>300</v>
          </cell>
        </row>
        <row r="3206">
          <cell r="B3206">
            <v>6695</v>
          </cell>
          <cell r="C3206" t="str">
            <v>RV_187_</v>
          </cell>
          <cell r="D3206" t="str">
            <v>Rancho Recoveco No. 187</v>
          </cell>
          <cell r="E3206" t="str">
            <v>Moreno</v>
          </cell>
          <cell r="F3206">
            <v>300</v>
          </cell>
          <cell r="G3206">
            <v>1</v>
          </cell>
          <cell r="H3206">
            <v>800</v>
          </cell>
          <cell r="I3206">
            <v>41700</v>
          </cell>
          <cell r="J3206">
            <v>0</v>
          </cell>
          <cell r="W3206">
            <v>0</v>
          </cell>
          <cell r="AJ3206">
            <v>0</v>
          </cell>
          <cell r="AK3206">
            <v>400</v>
          </cell>
          <cell r="AL3206">
            <v>400</v>
          </cell>
          <cell r="AW3206">
            <v>800</v>
          </cell>
        </row>
        <row r="3207">
          <cell r="B3207">
            <v>6696</v>
          </cell>
          <cell r="C3207" t="str">
            <v>EZ_61_</v>
          </cell>
          <cell r="D3207" t="str">
            <v>Rancho Estanzuela No. 61</v>
          </cell>
          <cell r="E3207" t="str">
            <v>González Almazán</v>
          </cell>
          <cell r="F3207">
            <v>300</v>
          </cell>
          <cell r="G3207">
            <v>1</v>
          </cell>
          <cell r="H3207">
            <v>400</v>
          </cell>
          <cell r="I3207">
            <v>41700</v>
          </cell>
          <cell r="J3207">
            <v>0</v>
          </cell>
          <cell r="W3207">
            <v>0</v>
          </cell>
          <cell r="AJ3207">
            <v>0</v>
          </cell>
          <cell r="AL3207">
            <v>400</v>
          </cell>
          <cell r="AW3207">
            <v>400</v>
          </cell>
        </row>
        <row r="3208">
          <cell r="B3208">
            <v>6697</v>
          </cell>
          <cell r="C3208" t="str">
            <v>EZ_25_</v>
          </cell>
          <cell r="D3208" t="str">
            <v>Rancho Estanzuela No. 25</v>
          </cell>
          <cell r="E3208" t="str">
            <v>Contreras Figueroa</v>
          </cell>
          <cell r="F3208">
            <v>300</v>
          </cell>
          <cell r="G3208">
            <v>1</v>
          </cell>
          <cell r="H3208">
            <v>800</v>
          </cell>
          <cell r="I3208">
            <v>41701</v>
          </cell>
          <cell r="J3208">
            <v>0</v>
          </cell>
          <cell r="W3208">
            <v>0</v>
          </cell>
          <cell r="AJ3208">
            <v>0</v>
          </cell>
          <cell r="AK3208">
            <v>400</v>
          </cell>
          <cell r="AL3208">
            <v>400</v>
          </cell>
          <cell r="AW3208">
            <v>800</v>
          </cell>
        </row>
        <row r="3209">
          <cell r="B3209">
            <v>6698</v>
          </cell>
          <cell r="C3209" t="str">
            <v>LD_25_</v>
          </cell>
          <cell r="D3209" t="str">
            <v>Rancho Landero No. 25</v>
          </cell>
          <cell r="E3209" t="str">
            <v>Escamilla Martínez</v>
          </cell>
          <cell r="F3209">
            <v>300</v>
          </cell>
          <cell r="G3209">
            <v>1</v>
          </cell>
          <cell r="H3209">
            <v>800</v>
          </cell>
          <cell r="I3209">
            <v>41701</v>
          </cell>
          <cell r="J3209">
            <v>0</v>
          </cell>
          <cell r="W3209">
            <v>0</v>
          </cell>
          <cell r="AJ3209">
            <v>0</v>
          </cell>
          <cell r="AL3209">
            <v>400</v>
          </cell>
          <cell r="AM3209">
            <v>400</v>
          </cell>
          <cell r="AW3209">
            <v>800</v>
          </cell>
        </row>
        <row r="3210">
          <cell r="B3210">
            <v>6699</v>
          </cell>
          <cell r="C3210" t="str">
            <v>LD_20_</v>
          </cell>
          <cell r="D3210" t="str">
            <v>Rancho Landero No. 20</v>
          </cell>
          <cell r="E3210" t="str">
            <v>Velasco</v>
          </cell>
          <cell r="F3210">
            <v>300</v>
          </cell>
          <cell r="G3210">
            <v>1</v>
          </cell>
          <cell r="H3210">
            <v>600</v>
          </cell>
          <cell r="I3210">
            <v>41701</v>
          </cell>
          <cell r="J3210">
            <v>0</v>
          </cell>
          <cell r="W3210">
            <v>0</v>
          </cell>
          <cell r="AJ3210">
            <v>0</v>
          </cell>
          <cell r="AL3210">
            <v>300</v>
          </cell>
          <cell r="AM3210">
            <v>300</v>
          </cell>
          <cell r="AW3210">
            <v>600</v>
          </cell>
        </row>
        <row r="3211">
          <cell r="B3211">
            <v>6700</v>
          </cell>
          <cell r="C3211" t="str">
            <v>LD_47_</v>
          </cell>
          <cell r="D3211" t="str">
            <v>Rancho Landero No. 47</v>
          </cell>
          <cell r="E3211" t="str">
            <v>García González</v>
          </cell>
          <cell r="F3211">
            <v>300</v>
          </cell>
          <cell r="G3211">
            <v>1</v>
          </cell>
          <cell r="H3211">
            <v>400</v>
          </cell>
          <cell r="I3211">
            <v>41701</v>
          </cell>
          <cell r="J3211">
            <v>0</v>
          </cell>
          <cell r="W3211">
            <v>0</v>
          </cell>
          <cell r="AJ3211">
            <v>0</v>
          </cell>
          <cell r="AL3211">
            <v>400</v>
          </cell>
          <cell r="AW3211">
            <v>400</v>
          </cell>
        </row>
        <row r="3212">
          <cell r="B3212">
            <v>6701</v>
          </cell>
          <cell r="C3212" t="str">
            <v>LD_18_</v>
          </cell>
          <cell r="D3212" t="str">
            <v>Rancho Landero No. 18</v>
          </cell>
          <cell r="E3212" t="str">
            <v>Rosado</v>
          </cell>
          <cell r="F3212">
            <v>250</v>
          </cell>
          <cell r="G3212">
            <v>1</v>
          </cell>
          <cell r="H3212">
            <v>300</v>
          </cell>
          <cell r="I3212">
            <v>41701</v>
          </cell>
          <cell r="J3212">
            <v>0</v>
          </cell>
          <cell r="W3212">
            <v>0</v>
          </cell>
          <cell r="AJ3212">
            <v>0</v>
          </cell>
          <cell r="AM3212">
            <v>300</v>
          </cell>
          <cell r="AW3212">
            <v>300</v>
          </cell>
        </row>
        <row r="3213">
          <cell r="B3213">
            <v>6702</v>
          </cell>
          <cell r="D3213" t="str">
            <v/>
          </cell>
          <cell r="E3213" t="str">
            <v/>
          </cell>
          <cell r="F3213" t="str">
            <v/>
          </cell>
          <cell r="I3213">
            <v>41701</v>
          </cell>
          <cell r="J3213" t="str">
            <v>NO SUMA</v>
          </cell>
          <cell r="W3213">
            <v>0</v>
          </cell>
          <cell r="AJ3213">
            <v>0</v>
          </cell>
          <cell r="AW3213">
            <v>0</v>
          </cell>
        </row>
        <row r="3214">
          <cell r="B3214">
            <v>6703</v>
          </cell>
          <cell r="C3214" t="str">
            <v>ZB_6_</v>
          </cell>
          <cell r="D3214" t="str">
            <v>Rancho Zinamba No. 6</v>
          </cell>
          <cell r="E3214" t="str">
            <v>Villafaña</v>
          </cell>
          <cell r="F3214">
            <v>300</v>
          </cell>
          <cell r="G3214">
            <v>1</v>
          </cell>
          <cell r="H3214">
            <v>2400</v>
          </cell>
          <cell r="I3214">
            <v>41702</v>
          </cell>
          <cell r="J3214">
            <v>0</v>
          </cell>
          <cell r="W3214">
            <v>0</v>
          </cell>
          <cell r="AJ3214">
            <v>0</v>
          </cell>
          <cell r="AK3214">
            <v>400</v>
          </cell>
          <cell r="AL3214">
            <v>400</v>
          </cell>
          <cell r="AM3214">
            <v>400</v>
          </cell>
          <cell r="AN3214">
            <v>400</v>
          </cell>
          <cell r="AO3214">
            <v>400</v>
          </cell>
          <cell r="AP3214">
            <v>400</v>
          </cell>
          <cell r="AW3214">
            <v>2400</v>
          </cell>
        </row>
        <row r="3215">
          <cell r="B3215">
            <v>6704</v>
          </cell>
          <cell r="C3215" t="str">
            <v>LD_39_</v>
          </cell>
          <cell r="D3215" t="str">
            <v>Rancho Landero No. 39</v>
          </cell>
          <cell r="E3215" t="str">
            <v>Soto del Cueto</v>
          </cell>
          <cell r="F3215">
            <v>250</v>
          </cell>
          <cell r="G3215">
            <v>1</v>
          </cell>
          <cell r="H3215">
            <v>250</v>
          </cell>
          <cell r="I3215">
            <v>41702</v>
          </cell>
          <cell r="J3215">
            <v>0</v>
          </cell>
          <cell r="W3215">
            <v>0</v>
          </cell>
          <cell r="AJ3215">
            <v>0</v>
          </cell>
          <cell r="AM3215">
            <v>250</v>
          </cell>
          <cell r="AW3215">
            <v>250</v>
          </cell>
        </row>
        <row r="3216">
          <cell r="B3216">
            <v>6705</v>
          </cell>
          <cell r="C3216" t="str">
            <v>CL_95_</v>
          </cell>
          <cell r="D3216" t="str">
            <v>Rancho La Cuchilla No. 95</v>
          </cell>
          <cell r="E3216" t="str">
            <v>Gutiérrez Sánchez</v>
          </cell>
          <cell r="F3216">
            <v>300</v>
          </cell>
          <cell r="G3216">
            <v>3</v>
          </cell>
          <cell r="H3216">
            <v>160</v>
          </cell>
          <cell r="I3216">
            <v>41703</v>
          </cell>
          <cell r="J3216" t="str">
            <v>NO SUMA</v>
          </cell>
          <cell r="W3216">
            <v>0</v>
          </cell>
          <cell r="AJ3216">
            <v>0</v>
          </cell>
          <cell r="AW3216">
            <v>0</v>
          </cell>
        </row>
        <row r="3217">
          <cell r="B3217">
            <v>6706</v>
          </cell>
          <cell r="C3217" t="str">
            <v>LD_99_</v>
          </cell>
          <cell r="D3217" t="str">
            <v>Rancho Landero No. 99</v>
          </cell>
          <cell r="E3217" t="str">
            <v>Rangel</v>
          </cell>
          <cell r="F3217">
            <v>300</v>
          </cell>
          <cell r="G3217">
            <v>1</v>
          </cell>
          <cell r="H3217">
            <v>300</v>
          </cell>
          <cell r="I3217">
            <v>41707</v>
          </cell>
          <cell r="J3217">
            <v>0</v>
          </cell>
          <cell r="W3217">
            <v>0</v>
          </cell>
          <cell r="AJ3217">
            <v>0</v>
          </cell>
          <cell r="AM3217">
            <v>300</v>
          </cell>
          <cell r="AW3217">
            <v>300</v>
          </cell>
        </row>
        <row r="3218">
          <cell r="B3218">
            <v>6707</v>
          </cell>
          <cell r="C3218" t="str">
            <v>EZ_89_</v>
          </cell>
          <cell r="D3218" t="str">
            <v>Rancho Estanzuela No. 89</v>
          </cell>
          <cell r="E3218" t="str">
            <v>Romero Ortiz</v>
          </cell>
          <cell r="F3218">
            <v>300</v>
          </cell>
          <cell r="G3218">
            <v>1</v>
          </cell>
          <cell r="H3218">
            <v>400</v>
          </cell>
          <cell r="I3218">
            <v>41707</v>
          </cell>
          <cell r="J3218">
            <v>0</v>
          </cell>
          <cell r="W3218">
            <v>0</v>
          </cell>
          <cell r="AJ3218">
            <v>0</v>
          </cell>
          <cell r="AM3218">
            <v>400</v>
          </cell>
          <cell r="AW3218">
            <v>400</v>
          </cell>
        </row>
        <row r="3219">
          <cell r="B3219">
            <v>6708</v>
          </cell>
          <cell r="C3219" t="str">
            <v>CL_120_</v>
          </cell>
          <cell r="D3219" t="str">
            <v>Rancho La Cuchilla No. 120</v>
          </cell>
          <cell r="E3219" t="str">
            <v>Pozos Vilchis</v>
          </cell>
          <cell r="F3219">
            <v>300</v>
          </cell>
          <cell r="G3219">
            <v>1</v>
          </cell>
          <cell r="H3219">
            <v>400</v>
          </cell>
          <cell r="I3219">
            <v>41707</v>
          </cell>
          <cell r="J3219">
            <v>0</v>
          </cell>
          <cell r="W3219">
            <v>0</v>
          </cell>
          <cell r="AJ3219">
            <v>0</v>
          </cell>
          <cell r="AM3219">
            <v>400</v>
          </cell>
          <cell r="AW3219">
            <v>400</v>
          </cell>
        </row>
        <row r="3220">
          <cell r="B3220">
            <v>6709</v>
          </cell>
          <cell r="C3220" t="str">
            <v>LD_91_</v>
          </cell>
          <cell r="D3220" t="str">
            <v>Rancho Landero No. 91</v>
          </cell>
          <cell r="E3220" t="str">
            <v>Llaca</v>
          </cell>
          <cell r="F3220">
            <v>300</v>
          </cell>
          <cell r="G3220">
            <v>1</v>
          </cell>
          <cell r="H3220">
            <v>400</v>
          </cell>
          <cell r="I3220">
            <v>41707</v>
          </cell>
          <cell r="J3220">
            <v>0</v>
          </cell>
          <cell r="W3220">
            <v>0</v>
          </cell>
          <cell r="AJ3220">
            <v>0</v>
          </cell>
          <cell r="AM3220">
            <v>400</v>
          </cell>
          <cell r="AW3220">
            <v>400</v>
          </cell>
        </row>
        <row r="3221">
          <cell r="B3221">
            <v>6710</v>
          </cell>
          <cell r="C3221" t="str">
            <v>UP_60_</v>
          </cell>
          <cell r="D3221" t="str">
            <v>Rancho Upácuaro No. 60</v>
          </cell>
          <cell r="E3221" t="str">
            <v>Zavala</v>
          </cell>
          <cell r="F3221">
            <v>300</v>
          </cell>
          <cell r="G3221">
            <v>1</v>
          </cell>
          <cell r="H3221">
            <v>400</v>
          </cell>
          <cell r="I3221">
            <v>41707</v>
          </cell>
          <cell r="J3221">
            <v>0</v>
          </cell>
          <cell r="W3221">
            <v>0</v>
          </cell>
          <cell r="AJ3221">
            <v>0</v>
          </cell>
          <cell r="AM3221">
            <v>400</v>
          </cell>
          <cell r="AW3221">
            <v>400</v>
          </cell>
        </row>
        <row r="3222">
          <cell r="B3222">
            <v>6711</v>
          </cell>
          <cell r="C3222" t="str">
            <v>RV_175_B</v>
          </cell>
          <cell r="D3222" t="str">
            <v>Rancho Recoveco No. 175, B</v>
          </cell>
          <cell r="E3222" t="str">
            <v>García Calderón</v>
          </cell>
          <cell r="F3222">
            <v>150</v>
          </cell>
          <cell r="G3222">
            <v>1</v>
          </cell>
          <cell r="H3222">
            <v>200</v>
          </cell>
          <cell r="I3222">
            <v>41707</v>
          </cell>
          <cell r="J3222">
            <v>0</v>
          </cell>
          <cell r="W3222">
            <v>0</v>
          </cell>
          <cell r="AJ3222">
            <v>0</v>
          </cell>
          <cell r="AM3222">
            <v>200</v>
          </cell>
          <cell r="AW3222">
            <v>200</v>
          </cell>
        </row>
        <row r="3223">
          <cell r="B3223">
            <v>6712</v>
          </cell>
          <cell r="C3223" t="str">
            <v>UP_88_</v>
          </cell>
          <cell r="D3223" t="str">
            <v>Rancho Upácuaro No. 88</v>
          </cell>
          <cell r="E3223" t="str">
            <v>Millán Núñez</v>
          </cell>
          <cell r="F3223">
            <v>300</v>
          </cell>
          <cell r="G3223">
            <v>1</v>
          </cell>
          <cell r="H3223">
            <v>400</v>
          </cell>
          <cell r="I3223">
            <v>41707</v>
          </cell>
          <cell r="J3223">
            <v>0</v>
          </cell>
          <cell r="W3223">
            <v>0</v>
          </cell>
          <cell r="AJ3223">
            <v>0</v>
          </cell>
          <cell r="AM3223">
            <v>400</v>
          </cell>
          <cell r="AW3223">
            <v>400</v>
          </cell>
        </row>
        <row r="3224">
          <cell r="B3224">
            <v>6713</v>
          </cell>
          <cell r="C3224" t="str">
            <v>ZB_50_</v>
          </cell>
          <cell r="D3224" t="str">
            <v>Rancho Zinamba No. 50</v>
          </cell>
          <cell r="E3224" t="str">
            <v>Del Castillo</v>
          </cell>
          <cell r="F3224">
            <v>300</v>
          </cell>
          <cell r="G3224">
            <v>1</v>
          </cell>
          <cell r="H3224">
            <v>400</v>
          </cell>
          <cell r="I3224">
            <v>41707</v>
          </cell>
          <cell r="J3224">
            <v>0</v>
          </cell>
          <cell r="W3224">
            <v>0</v>
          </cell>
          <cell r="AJ3224">
            <v>0</v>
          </cell>
          <cell r="AL3224">
            <v>400</v>
          </cell>
          <cell r="AW3224">
            <v>400</v>
          </cell>
        </row>
        <row r="3225">
          <cell r="B3225">
            <v>6714</v>
          </cell>
          <cell r="C3225" t="str">
            <v>LD_83_</v>
          </cell>
          <cell r="D3225" t="str">
            <v>Rancho Landero No. 83</v>
          </cell>
          <cell r="E3225" t="str">
            <v>Aguilar</v>
          </cell>
          <cell r="F3225">
            <v>300</v>
          </cell>
          <cell r="G3225">
            <v>1</v>
          </cell>
          <cell r="H3225">
            <v>350</v>
          </cell>
          <cell r="I3225">
            <v>41707</v>
          </cell>
          <cell r="J3225">
            <v>0</v>
          </cell>
          <cell r="W3225">
            <v>0</v>
          </cell>
          <cell r="AJ3225">
            <v>0</v>
          </cell>
          <cell r="AM3225">
            <v>350</v>
          </cell>
          <cell r="AW3225">
            <v>350</v>
          </cell>
        </row>
        <row r="3226">
          <cell r="B3226">
            <v>6715</v>
          </cell>
          <cell r="C3226" t="str">
            <v>UP_87_</v>
          </cell>
          <cell r="D3226" t="str">
            <v>Rancho Upácuaro No. 87</v>
          </cell>
          <cell r="E3226" t="str">
            <v>Rodríguez Parés</v>
          </cell>
          <cell r="F3226">
            <v>300</v>
          </cell>
          <cell r="G3226">
            <v>1</v>
          </cell>
          <cell r="H3226">
            <v>400</v>
          </cell>
          <cell r="I3226">
            <v>41707</v>
          </cell>
          <cell r="J3226">
            <v>0</v>
          </cell>
          <cell r="W3226">
            <v>0</v>
          </cell>
          <cell r="AJ3226">
            <v>0</v>
          </cell>
          <cell r="AM3226">
            <v>400</v>
          </cell>
          <cell r="AW3226">
            <v>400</v>
          </cell>
        </row>
        <row r="3227">
          <cell r="B3227">
            <v>6716</v>
          </cell>
          <cell r="C3227" t="str">
            <v>ZB_38_</v>
          </cell>
          <cell r="D3227" t="str">
            <v>Rancho Zinamba No. 38</v>
          </cell>
          <cell r="E3227" t="str">
            <v>Ramírez Díaz</v>
          </cell>
          <cell r="F3227">
            <v>300</v>
          </cell>
          <cell r="G3227">
            <v>1</v>
          </cell>
          <cell r="H3227">
            <v>400</v>
          </cell>
          <cell r="I3227">
            <v>41707</v>
          </cell>
          <cell r="J3227">
            <v>0</v>
          </cell>
          <cell r="W3227">
            <v>0</v>
          </cell>
          <cell r="AJ3227">
            <v>0</v>
          </cell>
          <cell r="AM3227">
            <v>400</v>
          </cell>
          <cell r="AW3227">
            <v>400</v>
          </cell>
        </row>
        <row r="3228">
          <cell r="B3228">
            <v>6717</v>
          </cell>
          <cell r="C3228" t="str">
            <v>EZ_9_B</v>
          </cell>
          <cell r="D3228" t="str">
            <v>Rancho Estanzuela No. 9, B</v>
          </cell>
          <cell r="E3228" t="str">
            <v>Velasco Rojas</v>
          </cell>
          <cell r="F3228">
            <v>200</v>
          </cell>
          <cell r="G3228">
            <v>3</v>
          </cell>
          <cell r="H3228">
            <v>160</v>
          </cell>
          <cell r="I3228">
            <v>41707</v>
          </cell>
          <cell r="J3228" t="str">
            <v>NO SUMA</v>
          </cell>
          <cell r="W3228">
            <v>0</v>
          </cell>
          <cell r="AJ3228">
            <v>0</v>
          </cell>
          <cell r="AW3228">
            <v>0</v>
          </cell>
        </row>
        <row r="3229">
          <cell r="B3229">
            <v>6718</v>
          </cell>
          <cell r="C3229" t="str">
            <v>RV_179_</v>
          </cell>
          <cell r="D3229" t="str">
            <v>Rancho Recoveco No. 179</v>
          </cell>
          <cell r="E3229" t="str">
            <v>Flores Delgado</v>
          </cell>
          <cell r="F3229">
            <v>300</v>
          </cell>
          <cell r="G3229">
            <v>1</v>
          </cell>
          <cell r="H3229">
            <v>400</v>
          </cell>
          <cell r="I3229">
            <v>41707</v>
          </cell>
          <cell r="J3229">
            <v>0</v>
          </cell>
          <cell r="W3229">
            <v>0</v>
          </cell>
          <cell r="AJ3229">
            <v>0</v>
          </cell>
          <cell r="AM3229">
            <v>400</v>
          </cell>
          <cell r="AW3229">
            <v>400</v>
          </cell>
        </row>
        <row r="3230">
          <cell r="B3230">
            <v>6719</v>
          </cell>
          <cell r="C3230" t="str">
            <v>ZB_56_</v>
          </cell>
          <cell r="D3230" t="str">
            <v>Rancho Zinamba No. 56</v>
          </cell>
          <cell r="E3230" t="str">
            <v>Aguado</v>
          </cell>
          <cell r="F3230">
            <v>250</v>
          </cell>
          <cell r="G3230">
            <v>1</v>
          </cell>
          <cell r="H3230">
            <v>700</v>
          </cell>
          <cell r="I3230">
            <v>41707</v>
          </cell>
          <cell r="J3230">
            <v>0</v>
          </cell>
          <cell r="W3230">
            <v>0</v>
          </cell>
          <cell r="AJ3230">
            <v>0</v>
          </cell>
          <cell r="AL3230">
            <v>350</v>
          </cell>
          <cell r="AM3230">
            <v>350</v>
          </cell>
          <cell r="AW3230">
            <v>700</v>
          </cell>
        </row>
        <row r="3231">
          <cell r="B3231">
            <v>6720</v>
          </cell>
          <cell r="C3231" t="str">
            <v>UP_19_</v>
          </cell>
          <cell r="D3231" t="str">
            <v>Rancho Upácuaro No. 19</v>
          </cell>
          <cell r="E3231" t="str">
            <v>Peña Inclán</v>
          </cell>
          <cell r="F3231">
            <v>200</v>
          </cell>
          <cell r="G3231">
            <v>1</v>
          </cell>
          <cell r="H3231">
            <v>300</v>
          </cell>
          <cell r="I3231">
            <v>41707</v>
          </cell>
          <cell r="J3231">
            <v>0</v>
          </cell>
          <cell r="W3231">
            <v>0</v>
          </cell>
          <cell r="AJ3231">
            <v>0</v>
          </cell>
          <cell r="AM3231">
            <v>300</v>
          </cell>
          <cell r="AW3231">
            <v>300</v>
          </cell>
        </row>
        <row r="3232">
          <cell r="B3232">
            <v>6721</v>
          </cell>
          <cell r="C3232" t="str">
            <v>EZ_151_</v>
          </cell>
          <cell r="D3232" t="str">
            <v>Rancho Estanzuela No. 151</v>
          </cell>
          <cell r="E3232" t="str">
            <v>Pérez Salazar</v>
          </cell>
          <cell r="F3232">
            <v>300</v>
          </cell>
          <cell r="G3232">
            <v>1</v>
          </cell>
          <cell r="H3232">
            <v>400</v>
          </cell>
          <cell r="I3232">
            <v>41707</v>
          </cell>
          <cell r="J3232">
            <v>0</v>
          </cell>
          <cell r="W3232">
            <v>0</v>
          </cell>
          <cell r="AJ3232">
            <v>0</v>
          </cell>
          <cell r="AM3232">
            <v>400</v>
          </cell>
          <cell r="AW3232">
            <v>400</v>
          </cell>
        </row>
        <row r="3233">
          <cell r="B3233">
            <v>6722</v>
          </cell>
          <cell r="D3233" t="str">
            <v/>
          </cell>
          <cell r="E3233" t="str">
            <v/>
          </cell>
          <cell r="F3233" t="str">
            <v/>
          </cell>
          <cell r="G3233">
            <v>8</v>
          </cell>
          <cell r="I3233">
            <v>41707</v>
          </cell>
          <cell r="J3233" t="str">
            <v>NO SUMA</v>
          </cell>
          <cell r="W3233">
            <v>0</v>
          </cell>
          <cell r="AJ3233">
            <v>0</v>
          </cell>
          <cell r="AW3233">
            <v>0</v>
          </cell>
        </row>
        <row r="3234">
          <cell r="B3234">
            <v>6723</v>
          </cell>
          <cell r="C3234" t="str">
            <v>EZ_47_</v>
          </cell>
          <cell r="D3234" t="str">
            <v>Rancho Estanzuela No. 47</v>
          </cell>
          <cell r="E3234" t="str">
            <v>Bussey García</v>
          </cell>
          <cell r="F3234">
            <v>300</v>
          </cell>
          <cell r="G3234">
            <v>1</v>
          </cell>
          <cell r="H3234">
            <v>400</v>
          </cell>
          <cell r="I3234">
            <v>41707</v>
          </cell>
          <cell r="J3234">
            <v>0</v>
          </cell>
          <cell r="W3234">
            <v>0</v>
          </cell>
          <cell r="AJ3234">
            <v>0</v>
          </cell>
          <cell r="AM3234">
            <v>400</v>
          </cell>
          <cell r="AW3234">
            <v>400</v>
          </cell>
        </row>
        <row r="3235">
          <cell r="B3235">
            <v>6724</v>
          </cell>
          <cell r="C3235" t="str">
            <v>UP_69_</v>
          </cell>
          <cell r="D3235" t="str">
            <v>Rancho Upácuaro No. 69</v>
          </cell>
          <cell r="E3235" t="str">
            <v>Gómez</v>
          </cell>
          <cell r="F3235">
            <v>300</v>
          </cell>
          <cell r="G3235">
            <v>1</v>
          </cell>
          <cell r="H3235">
            <v>400</v>
          </cell>
          <cell r="I3235">
            <v>41707</v>
          </cell>
          <cell r="J3235">
            <v>0</v>
          </cell>
          <cell r="W3235">
            <v>0</v>
          </cell>
          <cell r="AJ3235">
            <v>0</v>
          </cell>
          <cell r="AM3235">
            <v>400</v>
          </cell>
          <cell r="AW3235">
            <v>400</v>
          </cell>
        </row>
        <row r="3236">
          <cell r="B3236">
            <v>6725</v>
          </cell>
          <cell r="C3236" t="str">
            <v>CL_131_</v>
          </cell>
          <cell r="D3236" t="str">
            <v>Rancho La Cuchilla No. 131</v>
          </cell>
          <cell r="E3236" t="str">
            <v>Cabrera Marquez</v>
          </cell>
          <cell r="F3236">
            <v>300</v>
          </cell>
          <cell r="G3236">
            <v>1</v>
          </cell>
          <cell r="H3236">
            <v>800</v>
          </cell>
          <cell r="I3236">
            <v>41707</v>
          </cell>
          <cell r="J3236">
            <v>0</v>
          </cell>
          <cell r="W3236">
            <v>0</v>
          </cell>
          <cell r="AJ3236">
            <v>0</v>
          </cell>
          <cell r="AL3236">
            <v>400</v>
          </cell>
          <cell r="AM3236">
            <v>400</v>
          </cell>
          <cell r="AW3236">
            <v>800</v>
          </cell>
        </row>
        <row r="3237">
          <cell r="B3237">
            <v>6726</v>
          </cell>
          <cell r="C3237" t="str">
            <v>RM_9_B</v>
          </cell>
          <cell r="D3237" t="str">
            <v>Rancho Romeral No. 9, B</v>
          </cell>
          <cell r="E3237" t="str">
            <v>Morales Macías</v>
          </cell>
          <cell r="F3237">
            <v>100</v>
          </cell>
          <cell r="G3237">
            <v>1</v>
          </cell>
          <cell r="H3237">
            <v>200</v>
          </cell>
          <cell r="I3237">
            <v>41707</v>
          </cell>
          <cell r="J3237">
            <v>0</v>
          </cell>
          <cell r="W3237">
            <v>0</v>
          </cell>
          <cell r="AJ3237">
            <v>0</v>
          </cell>
          <cell r="AL3237">
            <v>100</v>
          </cell>
          <cell r="AM3237">
            <v>100</v>
          </cell>
          <cell r="AW3237">
            <v>200</v>
          </cell>
        </row>
        <row r="3238">
          <cell r="B3238">
            <v>6727</v>
          </cell>
          <cell r="C3238" t="str">
            <v>RV_197_</v>
          </cell>
          <cell r="D3238" t="str">
            <v>Rancho Recoveco No. 197</v>
          </cell>
          <cell r="E3238" t="str">
            <v>Colín González</v>
          </cell>
          <cell r="F3238">
            <v>300</v>
          </cell>
          <cell r="G3238">
            <v>1</v>
          </cell>
          <cell r="H3238">
            <v>400</v>
          </cell>
          <cell r="I3238">
            <v>41707</v>
          </cell>
          <cell r="J3238">
            <v>0</v>
          </cell>
          <cell r="W3238">
            <v>0</v>
          </cell>
          <cell r="AJ3238">
            <v>0</v>
          </cell>
          <cell r="AM3238">
            <v>400</v>
          </cell>
          <cell r="AW3238">
            <v>400</v>
          </cell>
        </row>
        <row r="3239">
          <cell r="B3239">
            <v>6728</v>
          </cell>
          <cell r="C3239" t="str">
            <v>EZ_35_</v>
          </cell>
          <cell r="D3239" t="str">
            <v>Rancho Estanzuela No. 35</v>
          </cell>
          <cell r="E3239" t="str">
            <v>Rodríguez</v>
          </cell>
          <cell r="F3239">
            <v>300</v>
          </cell>
          <cell r="G3239">
            <v>1</v>
          </cell>
          <cell r="H3239">
            <v>400</v>
          </cell>
          <cell r="I3239">
            <v>41707</v>
          </cell>
          <cell r="J3239">
            <v>0</v>
          </cell>
          <cell r="W3239">
            <v>0</v>
          </cell>
          <cell r="AJ3239">
            <v>0</v>
          </cell>
          <cell r="AL3239">
            <v>400</v>
          </cell>
          <cell r="AW3239">
            <v>400</v>
          </cell>
        </row>
        <row r="3240">
          <cell r="B3240">
            <v>6729</v>
          </cell>
          <cell r="C3240" t="str">
            <v>CL_54_</v>
          </cell>
          <cell r="D3240" t="str">
            <v>Rancho La Cuchilla No. 54</v>
          </cell>
          <cell r="E3240" t="str">
            <v>Mendoza León</v>
          </cell>
          <cell r="F3240">
            <v>300</v>
          </cell>
          <cell r="G3240">
            <v>1</v>
          </cell>
          <cell r="H3240">
            <v>400</v>
          </cell>
          <cell r="I3240">
            <v>41707</v>
          </cell>
          <cell r="J3240">
            <v>0</v>
          </cell>
          <cell r="W3240">
            <v>0</v>
          </cell>
          <cell r="AJ3240">
            <v>0</v>
          </cell>
          <cell r="AM3240">
            <v>400</v>
          </cell>
          <cell r="AW3240">
            <v>400</v>
          </cell>
        </row>
        <row r="3241">
          <cell r="B3241">
            <v>6730</v>
          </cell>
          <cell r="C3241" t="str">
            <v>UP_138_</v>
          </cell>
          <cell r="D3241" t="str">
            <v>Rancho Upácuaro No. 138</v>
          </cell>
          <cell r="E3241" t="str">
            <v>Ramírez Valencia</v>
          </cell>
          <cell r="F3241">
            <v>300</v>
          </cell>
          <cell r="G3241">
            <v>1</v>
          </cell>
          <cell r="H3241">
            <v>800</v>
          </cell>
          <cell r="I3241">
            <v>41707</v>
          </cell>
          <cell r="J3241">
            <v>0</v>
          </cell>
          <cell r="W3241">
            <v>0</v>
          </cell>
          <cell r="AJ3241">
            <v>0</v>
          </cell>
          <cell r="AL3241">
            <v>400</v>
          </cell>
          <cell r="AM3241">
            <v>400</v>
          </cell>
          <cell r="AW3241">
            <v>800</v>
          </cell>
        </row>
        <row r="3242">
          <cell r="B3242">
            <v>6731</v>
          </cell>
          <cell r="C3242" t="str">
            <v>CL_54_</v>
          </cell>
          <cell r="D3242" t="str">
            <v>Rancho La Cuchilla No. 54</v>
          </cell>
          <cell r="E3242" t="str">
            <v>Mendoza León</v>
          </cell>
          <cell r="F3242">
            <v>300</v>
          </cell>
          <cell r="G3242">
            <v>3</v>
          </cell>
          <cell r="H3242">
            <v>160</v>
          </cell>
          <cell r="I3242">
            <v>41707</v>
          </cell>
          <cell r="J3242" t="str">
            <v>NO SUMA</v>
          </cell>
          <cell r="W3242">
            <v>0</v>
          </cell>
          <cell r="AJ3242">
            <v>0</v>
          </cell>
          <cell r="AW3242">
            <v>0</v>
          </cell>
        </row>
        <row r="3243">
          <cell r="B3243">
            <v>6732</v>
          </cell>
          <cell r="C3243" t="str">
            <v>LD_77_</v>
          </cell>
          <cell r="D3243" t="str">
            <v>Rancho Landero No. 77</v>
          </cell>
          <cell r="E3243" t="str">
            <v>Muñoz</v>
          </cell>
          <cell r="F3243">
            <v>300</v>
          </cell>
          <cell r="G3243">
            <v>1</v>
          </cell>
          <cell r="H3243">
            <v>1200</v>
          </cell>
          <cell r="I3243">
            <v>41707</v>
          </cell>
          <cell r="J3243">
            <v>0</v>
          </cell>
          <cell r="W3243">
            <v>0</v>
          </cell>
          <cell r="AJ3243">
            <v>0</v>
          </cell>
          <cell r="AK3243">
            <v>400</v>
          </cell>
          <cell r="AL3243">
            <v>400</v>
          </cell>
          <cell r="AM3243">
            <v>400</v>
          </cell>
          <cell r="AW3243">
            <v>1200</v>
          </cell>
        </row>
        <row r="3244">
          <cell r="B3244">
            <v>6733</v>
          </cell>
          <cell r="C3244" t="str">
            <v>EZ_127_</v>
          </cell>
          <cell r="D3244" t="str">
            <v>Rancho Estanzuela No. 127</v>
          </cell>
          <cell r="E3244" t="str">
            <v>Luna Zepeda</v>
          </cell>
          <cell r="F3244">
            <v>200</v>
          </cell>
          <cell r="G3244">
            <v>1</v>
          </cell>
          <cell r="H3244">
            <v>150</v>
          </cell>
          <cell r="I3244">
            <v>41707</v>
          </cell>
          <cell r="J3244">
            <v>0</v>
          </cell>
          <cell r="W3244">
            <v>0</v>
          </cell>
          <cell r="AJ3244">
            <v>0</v>
          </cell>
          <cell r="AM3244">
            <v>150</v>
          </cell>
          <cell r="AW3244">
            <v>150</v>
          </cell>
        </row>
        <row r="3245">
          <cell r="B3245">
            <v>6734</v>
          </cell>
          <cell r="C3245" t="str">
            <v>EZ_69_</v>
          </cell>
          <cell r="D3245" t="str">
            <v>Rancho Estanzuela No. 69</v>
          </cell>
          <cell r="E3245" t="str">
            <v>Apaez</v>
          </cell>
          <cell r="F3245">
            <v>300</v>
          </cell>
          <cell r="G3245">
            <v>1</v>
          </cell>
          <cell r="H3245">
            <v>400</v>
          </cell>
          <cell r="I3245">
            <v>41707</v>
          </cell>
          <cell r="J3245">
            <v>0</v>
          </cell>
          <cell r="W3245">
            <v>0</v>
          </cell>
          <cell r="AJ3245">
            <v>0</v>
          </cell>
          <cell r="AM3245">
            <v>400</v>
          </cell>
          <cell r="AW3245">
            <v>400</v>
          </cell>
        </row>
        <row r="3246">
          <cell r="B3246">
            <v>6735</v>
          </cell>
          <cell r="C3246" t="str">
            <v>EZ_11_B</v>
          </cell>
          <cell r="D3246" t="str">
            <v>Rancho Estanzuela No. 11, B</v>
          </cell>
          <cell r="E3246" t="str">
            <v>Gómez Miguel</v>
          </cell>
          <cell r="F3246">
            <v>200</v>
          </cell>
          <cell r="G3246">
            <v>3</v>
          </cell>
          <cell r="H3246">
            <v>160</v>
          </cell>
          <cell r="I3246">
            <v>41707</v>
          </cell>
          <cell r="J3246" t="str">
            <v>NO SUMA</v>
          </cell>
          <cell r="W3246">
            <v>0</v>
          </cell>
          <cell r="AJ3246">
            <v>0</v>
          </cell>
          <cell r="AW3246">
            <v>0</v>
          </cell>
        </row>
        <row r="3247">
          <cell r="B3247">
            <v>6736</v>
          </cell>
          <cell r="C3247" t="str">
            <v>LD_81_</v>
          </cell>
          <cell r="D3247" t="str">
            <v>Rancho Landero No. 81</v>
          </cell>
          <cell r="E3247" t="str">
            <v>Cebrían Saldaña</v>
          </cell>
          <cell r="F3247">
            <v>300</v>
          </cell>
          <cell r="G3247">
            <v>1</v>
          </cell>
          <cell r="H3247">
            <v>200</v>
          </cell>
          <cell r="I3247">
            <v>41707</v>
          </cell>
          <cell r="J3247">
            <v>0</v>
          </cell>
          <cell r="W3247">
            <v>0</v>
          </cell>
          <cell r="AJ3247">
            <v>0</v>
          </cell>
          <cell r="AM3247">
            <v>200</v>
          </cell>
          <cell r="AW3247">
            <v>200</v>
          </cell>
        </row>
        <row r="3248">
          <cell r="B3248">
            <v>6737</v>
          </cell>
          <cell r="C3248" t="str">
            <v>CL_35_</v>
          </cell>
          <cell r="D3248" t="str">
            <v>Rancho La Cuchilla No. 35</v>
          </cell>
          <cell r="E3248" t="str">
            <v>Mendoza</v>
          </cell>
          <cell r="F3248">
            <v>150</v>
          </cell>
          <cell r="G3248">
            <v>1</v>
          </cell>
          <cell r="H3248">
            <v>300</v>
          </cell>
          <cell r="I3248">
            <v>41707</v>
          </cell>
          <cell r="J3248">
            <v>0</v>
          </cell>
          <cell r="W3248">
            <v>0</v>
          </cell>
          <cell r="AJ3248">
            <v>0</v>
          </cell>
          <cell r="AK3248">
            <v>150</v>
          </cell>
          <cell r="AL3248">
            <v>150</v>
          </cell>
          <cell r="AW3248">
            <v>300</v>
          </cell>
        </row>
        <row r="3249">
          <cell r="B3249">
            <v>6738</v>
          </cell>
          <cell r="C3249" t="str">
            <v>RV_2_</v>
          </cell>
          <cell r="D3249" t="str">
            <v>Rancho Recoveco No. 2</v>
          </cell>
          <cell r="E3249" t="str">
            <v>Cortés</v>
          </cell>
          <cell r="F3249">
            <v>300</v>
          </cell>
          <cell r="G3249">
            <v>1</v>
          </cell>
          <cell r="H3249">
            <v>400</v>
          </cell>
          <cell r="I3249">
            <v>41707</v>
          </cell>
          <cell r="J3249">
            <v>0</v>
          </cell>
          <cell r="W3249">
            <v>0</v>
          </cell>
          <cell r="AJ3249">
            <v>0</v>
          </cell>
          <cell r="AK3249">
            <v>400</v>
          </cell>
          <cell r="AW3249">
            <v>400</v>
          </cell>
        </row>
        <row r="3250">
          <cell r="B3250">
            <v>6739</v>
          </cell>
          <cell r="C3250" t="str">
            <v>RV_175_A</v>
          </cell>
          <cell r="D3250" t="str">
            <v>Rancho Recoveco No. 175, A</v>
          </cell>
          <cell r="E3250" t="str">
            <v>Pérez</v>
          </cell>
          <cell r="F3250">
            <v>300</v>
          </cell>
          <cell r="G3250">
            <v>1</v>
          </cell>
          <cell r="H3250">
            <v>400</v>
          </cell>
          <cell r="I3250">
            <v>41707</v>
          </cell>
          <cell r="J3250">
            <v>0</v>
          </cell>
          <cell r="W3250">
            <v>0</v>
          </cell>
          <cell r="AJ3250">
            <v>0</v>
          </cell>
          <cell r="AL3250">
            <v>400</v>
          </cell>
          <cell r="AW3250">
            <v>400</v>
          </cell>
        </row>
        <row r="3251">
          <cell r="B3251">
            <v>6740</v>
          </cell>
          <cell r="C3251" t="str">
            <v>EZ_65_</v>
          </cell>
          <cell r="D3251" t="str">
            <v>Rancho Estanzuela No. 65</v>
          </cell>
          <cell r="E3251" t="str">
            <v>López Becerril</v>
          </cell>
          <cell r="F3251">
            <v>300</v>
          </cell>
          <cell r="G3251">
            <v>1</v>
          </cell>
          <cell r="H3251">
            <v>400</v>
          </cell>
          <cell r="I3251">
            <v>41707</v>
          </cell>
          <cell r="J3251">
            <v>0</v>
          </cell>
          <cell r="W3251">
            <v>0</v>
          </cell>
          <cell r="AJ3251">
            <v>0</v>
          </cell>
          <cell r="AM3251">
            <v>400</v>
          </cell>
          <cell r="AW3251">
            <v>400</v>
          </cell>
        </row>
        <row r="3252">
          <cell r="B3252">
            <v>6741</v>
          </cell>
          <cell r="C3252" t="str">
            <v>RV_173_</v>
          </cell>
          <cell r="D3252" t="str">
            <v>Rancho Recoveco No. 173</v>
          </cell>
          <cell r="E3252" t="str">
            <v>Velarde</v>
          </cell>
          <cell r="F3252">
            <v>300</v>
          </cell>
          <cell r="G3252">
            <v>1</v>
          </cell>
          <cell r="H3252">
            <v>600</v>
          </cell>
          <cell r="I3252">
            <v>41710</v>
          </cell>
          <cell r="J3252">
            <v>0</v>
          </cell>
          <cell r="W3252">
            <v>0</v>
          </cell>
          <cell r="AJ3252">
            <v>0</v>
          </cell>
          <cell r="AM3252">
            <v>300</v>
          </cell>
          <cell r="AN3252">
            <v>300</v>
          </cell>
          <cell r="AW3252">
            <v>600</v>
          </cell>
        </row>
        <row r="3253">
          <cell r="B3253">
            <v>6742</v>
          </cell>
          <cell r="C3253" t="str">
            <v>UP_108_</v>
          </cell>
          <cell r="D3253" t="str">
            <v>Rancho Upácuaro No. 108</v>
          </cell>
          <cell r="E3253" t="str">
            <v>Mejía</v>
          </cell>
          <cell r="F3253">
            <v>300</v>
          </cell>
          <cell r="G3253">
            <v>1</v>
          </cell>
          <cell r="H3253">
            <v>300</v>
          </cell>
          <cell r="I3253">
            <v>41710</v>
          </cell>
          <cell r="J3253">
            <v>0</v>
          </cell>
          <cell r="W3253">
            <v>0</v>
          </cell>
          <cell r="AJ3253">
            <v>0</v>
          </cell>
          <cell r="AM3253">
            <v>300</v>
          </cell>
          <cell r="AW3253">
            <v>300</v>
          </cell>
        </row>
        <row r="3254">
          <cell r="B3254">
            <v>6743</v>
          </cell>
          <cell r="C3254" t="str">
            <v>CL_86_</v>
          </cell>
          <cell r="D3254" t="str">
            <v>Rancho La Cuchilla No. 86</v>
          </cell>
          <cell r="E3254" t="str">
            <v>Del Villar</v>
          </cell>
          <cell r="F3254">
            <v>300</v>
          </cell>
          <cell r="G3254">
            <v>1</v>
          </cell>
          <cell r="H3254">
            <v>400</v>
          </cell>
          <cell r="I3254">
            <v>41713</v>
          </cell>
          <cell r="J3254">
            <v>0</v>
          </cell>
          <cell r="W3254">
            <v>0</v>
          </cell>
          <cell r="AJ3254">
            <v>0</v>
          </cell>
          <cell r="AM3254">
            <v>400</v>
          </cell>
          <cell r="AW3254">
            <v>400</v>
          </cell>
        </row>
        <row r="3255">
          <cell r="B3255">
            <v>6744</v>
          </cell>
          <cell r="C3255" t="str">
            <v>LD_1_A</v>
          </cell>
          <cell r="D3255" t="str">
            <v>Rancho Landero No. 1, A</v>
          </cell>
          <cell r="E3255" t="str">
            <v>Ebysos</v>
          </cell>
          <cell r="F3255">
            <v>300</v>
          </cell>
          <cell r="G3255">
            <v>1</v>
          </cell>
          <cell r="H3255">
            <v>400</v>
          </cell>
          <cell r="I3255">
            <v>41713</v>
          </cell>
          <cell r="J3255">
            <v>0</v>
          </cell>
          <cell r="W3255">
            <v>0</v>
          </cell>
          <cell r="AJ3255">
            <v>0</v>
          </cell>
          <cell r="AM3255">
            <v>400</v>
          </cell>
          <cell r="AW3255">
            <v>400</v>
          </cell>
        </row>
        <row r="3256">
          <cell r="B3256">
            <v>6745</v>
          </cell>
          <cell r="C3256" t="str">
            <v>UP_34_</v>
          </cell>
          <cell r="D3256" t="str">
            <v>Rancho Upácuaro No. 34</v>
          </cell>
          <cell r="E3256" t="str">
            <v>Gómez González</v>
          </cell>
          <cell r="F3256">
            <v>300</v>
          </cell>
          <cell r="G3256">
            <v>1</v>
          </cell>
          <cell r="H3256">
            <v>300</v>
          </cell>
          <cell r="I3256">
            <v>41714</v>
          </cell>
          <cell r="J3256">
            <v>0</v>
          </cell>
          <cell r="W3256">
            <v>0</v>
          </cell>
          <cell r="AJ3256">
            <v>0</v>
          </cell>
          <cell r="AM3256">
            <v>300</v>
          </cell>
          <cell r="AW3256">
            <v>300</v>
          </cell>
        </row>
        <row r="3257">
          <cell r="B3257">
            <v>6746</v>
          </cell>
          <cell r="C3257" t="str">
            <v>LD_31_</v>
          </cell>
          <cell r="D3257" t="str">
            <v>Rancho Landero No. 31</v>
          </cell>
          <cell r="E3257" t="str">
            <v>Díaz Hernández</v>
          </cell>
          <cell r="F3257">
            <v>200</v>
          </cell>
          <cell r="G3257">
            <v>1</v>
          </cell>
          <cell r="H3257">
            <v>200</v>
          </cell>
          <cell r="I3257">
            <v>41714</v>
          </cell>
          <cell r="J3257">
            <v>0</v>
          </cell>
          <cell r="W3257">
            <v>0</v>
          </cell>
          <cell r="AJ3257">
            <v>0</v>
          </cell>
          <cell r="AM3257">
            <v>200</v>
          </cell>
          <cell r="AW3257">
            <v>200</v>
          </cell>
        </row>
        <row r="3258">
          <cell r="B3258">
            <v>6747</v>
          </cell>
          <cell r="C3258" t="str">
            <v>CL_66_</v>
          </cell>
          <cell r="D3258" t="str">
            <v>Rancho La Cuchilla No. 66</v>
          </cell>
          <cell r="E3258" t="str">
            <v>Prieto</v>
          </cell>
          <cell r="F3258">
            <v>300</v>
          </cell>
          <cell r="G3258">
            <v>1</v>
          </cell>
          <cell r="H3258">
            <v>400</v>
          </cell>
          <cell r="I3258">
            <v>41714</v>
          </cell>
          <cell r="J3258">
            <v>0</v>
          </cell>
          <cell r="W3258">
            <v>0</v>
          </cell>
          <cell r="AJ3258">
            <v>0</v>
          </cell>
          <cell r="AM3258">
            <v>400</v>
          </cell>
          <cell r="AW3258">
            <v>400</v>
          </cell>
        </row>
        <row r="3259">
          <cell r="B3259">
            <v>6748</v>
          </cell>
          <cell r="C3259" t="str">
            <v>UP_134_</v>
          </cell>
          <cell r="D3259" t="str">
            <v>Rancho Upácuaro No. 134</v>
          </cell>
          <cell r="E3259" t="str">
            <v>Flores Pérez</v>
          </cell>
          <cell r="F3259">
            <v>300</v>
          </cell>
          <cell r="G3259">
            <v>1</v>
          </cell>
          <cell r="H3259">
            <v>400</v>
          </cell>
          <cell r="I3259">
            <v>41714</v>
          </cell>
          <cell r="J3259">
            <v>0</v>
          </cell>
          <cell r="W3259">
            <v>0</v>
          </cell>
          <cell r="AJ3259">
            <v>0</v>
          </cell>
          <cell r="AL3259">
            <v>400</v>
          </cell>
          <cell r="AW3259">
            <v>400</v>
          </cell>
        </row>
        <row r="3260">
          <cell r="B3260">
            <v>6749</v>
          </cell>
          <cell r="C3260" t="str">
            <v>CL_89_</v>
          </cell>
          <cell r="D3260" t="str">
            <v>Rancho La Cuchilla No. 89</v>
          </cell>
          <cell r="E3260" t="str">
            <v>Gálvez</v>
          </cell>
          <cell r="F3260">
            <v>300</v>
          </cell>
          <cell r="G3260">
            <v>1</v>
          </cell>
          <cell r="H3260">
            <v>400</v>
          </cell>
          <cell r="I3260">
            <v>41714</v>
          </cell>
          <cell r="J3260">
            <v>0</v>
          </cell>
          <cell r="W3260">
            <v>0</v>
          </cell>
          <cell r="AJ3260">
            <v>0</v>
          </cell>
          <cell r="AM3260">
            <v>400</v>
          </cell>
          <cell r="AW3260">
            <v>400</v>
          </cell>
        </row>
        <row r="3261">
          <cell r="B3261">
            <v>6750</v>
          </cell>
          <cell r="C3261" t="str">
            <v>CL_111_</v>
          </cell>
          <cell r="D3261" t="str">
            <v>Rancho La Cuchilla No. 111</v>
          </cell>
          <cell r="E3261" t="str">
            <v>García Santos Ofelia</v>
          </cell>
          <cell r="F3261">
            <v>150</v>
          </cell>
          <cell r="G3261">
            <v>1</v>
          </cell>
          <cell r="H3261">
            <v>200</v>
          </cell>
          <cell r="I3261">
            <v>41714</v>
          </cell>
          <cell r="J3261">
            <v>0</v>
          </cell>
          <cell r="W3261">
            <v>0</v>
          </cell>
          <cell r="AJ3261">
            <v>0</v>
          </cell>
          <cell r="AM3261">
            <v>200</v>
          </cell>
          <cell r="AW3261">
            <v>200</v>
          </cell>
        </row>
        <row r="3262">
          <cell r="B3262">
            <v>6751</v>
          </cell>
          <cell r="C3262" t="str">
            <v>EZ_7_A</v>
          </cell>
          <cell r="D3262" t="str">
            <v>Rancho Estanzuela No. 7, A</v>
          </cell>
          <cell r="E3262" t="str">
            <v>Herrera Izquierdo</v>
          </cell>
          <cell r="F3262">
            <v>150</v>
          </cell>
          <cell r="G3262">
            <v>1</v>
          </cell>
          <cell r="H3262">
            <v>200</v>
          </cell>
          <cell r="I3262">
            <v>41714</v>
          </cell>
          <cell r="J3262">
            <v>0</v>
          </cell>
          <cell r="W3262">
            <v>0</v>
          </cell>
          <cell r="AJ3262">
            <v>0</v>
          </cell>
          <cell r="AM3262">
            <v>200</v>
          </cell>
          <cell r="AW3262">
            <v>200</v>
          </cell>
        </row>
        <row r="3263">
          <cell r="B3263">
            <v>6752</v>
          </cell>
          <cell r="C3263" t="str">
            <v>CL_43_A</v>
          </cell>
          <cell r="D3263" t="str">
            <v>Rancho La Cuchilla No. 43, A</v>
          </cell>
          <cell r="E3263" t="str">
            <v>De la Rosa</v>
          </cell>
          <cell r="F3263">
            <v>200</v>
          </cell>
          <cell r="G3263">
            <v>1</v>
          </cell>
          <cell r="H3263">
            <v>400</v>
          </cell>
          <cell r="I3263">
            <v>41714</v>
          </cell>
          <cell r="J3263">
            <v>0</v>
          </cell>
          <cell r="W3263">
            <v>0</v>
          </cell>
          <cell r="AJ3263">
            <v>0</v>
          </cell>
          <cell r="AL3263">
            <v>400</v>
          </cell>
          <cell r="AW3263">
            <v>400</v>
          </cell>
        </row>
        <row r="3264">
          <cell r="B3264">
            <v>6753</v>
          </cell>
          <cell r="C3264" t="str">
            <v>UP_65_</v>
          </cell>
          <cell r="D3264" t="str">
            <v>Rancho Upácuaro No. 65</v>
          </cell>
          <cell r="E3264" t="str">
            <v>Olguín</v>
          </cell>
          <cell r="F3264">
            <v>300</v>
          </cell>
          <cell r="G3264">
            <v>1</v>
          </cell>
          <cell r="H3264">
            <v>300</v>
          </cell>
          <cell r="I3264">
            <v>41714</v>
          </cell>
          <cell r="J3264">
            <v>0</v>
          </cell>
          <cell r="W3264">
            <v>0</v>
          </cell>
          <cell r="AJ3264">
            <v>0</v>
          </cell>
          <cell r="AM3264">
            <v>300</v>
          </cell>
          <cell r="AW3264">
            <v>300</v>
          </cell>
        </row>
        <row r="3265">
          <cell r="B3265">
            <v>6754</v>
          </cell>
          <cell r="C3265" t="str">
            <v>EZ_111_</v>
          </cell>
          <cell r="D3265" t="str">
            <v>Rancho Estanzuela No. 111</v>
          </cell>
          <cell r="E3265" t="str">
            <v>Flores Pérez</v>
          </cell>
          <cell r="F3265">
            <v>300</v>
          </cell>
          <cell r="G3265">
            <v>1</v>
          </cell>
          <cell r="H3265">
            <v>400</v>
          </cell>
          <cell r="I3265">
            <v>41714</v>
          </cell>
          <cell r="J3265">
            <v>0</v>
          </cell>
          <cell r="W3265">
            <v>0</v>
          </cell>
          <cell r="AJ3265">
            <v>0</v>
          </cell>
          <cell r="AL3265">
            <v>400</v>
          </cell>
          <cell r="AW3265">
            <v>400</v>
          </cell>
        </row>
        <row r="3266">
          <cell r="B3266">
            <v>6755</v>
          </cell>
          <cell r="C3266" t="str">
            <v>LD_84_</v>
          </cell>
          <cell r="D3266" t="str">
            <v>Rancho Landero No. 84</v>
          </cell>
          <cell r="E3266" t="str">
            <v>Alcántara</v>
          </cell>
          <cell r="F3266">
            <v>300</v>
          </cell>
          <cell r="G3266">
            <v>1</v>
          </cell>
          <cell r="H3266">
            <v>400</v>
          </cell>
          <cell r="I3266">
            <v>41714</v>
          </cell>
          <cell r="J3266">
            <v>0</v>
          </cell>
          <cell r="W3266">
            <v>0</v>
          </cell>
          <cell r="AJ3266">
            <v>0</v>
          </cell>
          <cell r="AM3266">
            <v>400</v>
          </cell>
          <cell r="AW3266">
            <v>400</v>
          </cell>
        </row>
        <row r="3267">
          <cell r="B3267">
            <v>6756</v>
          </cell>
          <cell r="C3267" t="str">
            <v>UP_80_</v>
          </cell>
          <cell r="D3267" t="str">
            <v>Rancho Upácuaro No. 80</v>
          </cell>
          <cell r="E3267" t="str">
            <v>De los Ríos</v>
          </cell>
          <cell r="F3267">
            <v>300</v>
          </cell>
          <cell r="G3267">
            <v>1</v>
          </cell>
          <cell r="H3267">
            <v>400</v>
          </cell>
          <cell r="I3267">
            <v>41714</v>
          </cell>
          <cell r="J3267">
            <v>0</v>
          </cell>
          <cell r="W3267">
            <v>0</v>
          </cell>
          <cell r="AJ3267">
            <v>0</v>
          </cell>
          <cell r="AM3267">
            <v>400</v>
          </cell>
          <cell r="AW3267">
            <v>400</v>
          </cell>
        </row>
        <row r="3268">
          <cell r="B3268">
            <v>6757</v>
          </cell>
          <cell r="C3268" t="str">
            <v>UP_101_</v>
          </cell>
          <cell r="D3268" t="str">
            <v>Rancho Upácuaro No. 101</v>
          </cell>
          <cell r="E3268" t="str">
            <v>Chávez, Arturo</v>
          </cell>
          <cell r="F3268">
            <v>300</v>
          </cell>
          <cell r="G3268">
            <v>3</v>
          </cell>
          <cell r="H3268">
            <v>160</v>
          </cell>
          <cell r="I3268">
            <v>41714</v>
          </cell>
          <cell r="J3268" t="str">
            <v>NO SUMA</v>
          </cell>
          <cell r="W3268">
            <v>0</v>
          </cell>
          <cell r="AJ3268">
            <v>0</v>
          </cell>
          <cell r="AW3268">
            <v>0</v>
          </cell>
        </row>
        <row r="3269">
          <cell r="B3269">
            <v>6758</v>
          </cell>
          <cell r="C3269" t="str">
            <v>LD_96_</v>
          </cell>
          <cell r="D3269" t="str">
            <v>Rancho Landero No. 96</v>
          </cell>
          <cell r="E3269" t="str">
            <v>Espinoza Aguirre</v>
          </cell>
          <cell r="F3269">
            <v>300</v>
          </cell>
          <cell r="G3269">
            <v>1</v>
          </cell>
          <cell r="H3269">
            <v>400</v>
          </cell>
          <cell r="I3269">
            <v>41714</v>
          </cell>
          <cell r="J3269">
            <v>0</v>
          </cell>
          <cell r="W3269">
            <v>0</v>
          </cell>
          <cell r="AJ3269">
            <v>0</v>
          </cell>
          <cell r="AM3269">
            <v>400</v>
          </cell>
          <cell r="AW3269">
            <v>400</v>
          </cell>
        </row>
        <row r="3270">
          <cell r="B3270">
            <v>6759</v>
          </cell>
          <cell r="C3270" t="str">
            <v>UP_21_</v>
          </cell>
          <cell r="D3270" t="str">
            <v>Rancho Upácuaro No. 21</v>
          </cell>
          <cell r="E3270" t="str">
            <v>Fierro Betancourt</v>
          </cell>
          <cell r="F3270">
            <v>150</v>
          </cell>
          <cell r="G3270">
            <v>1</v>
          </cell>
          <cell r="H3270">
            <v>200</v>
          </cell>
          <cell r="I3270">
            <v>41714</v>
          </cell>
          <cell r="J3270">
            <v>0</v>
          </cell>
          <cell r="W3270">
            <v>0</v>
          </cell>
          <cell r="AJ3270">
            <v>0</v>
          </cell>
          <cell r="AM3270">
            <v>200</v>
          </cell>
          <cell r="AW3270">
            <v>200</v>
          </cell>
        </row>
        <row r="3271">
          <cell r="B3271">
            <v>6760</v>
          </cell>
          <cell r="C3271" t="str">
            <v>CL_94_</v>
          </cell>
          <cell r="D3271" t="str">
            <v>Rancho La Cuchilla No. 94</v>
          </cell>
          <cell r="E3271" t="str">
            <v>Sánchez Márquez</v>
          </cell>
          <cell r="F3271">
            <v>300</v>
          </cell>
          <cell r="G3271">
            <v>1</v>
          </cell>
          <cell r="H3271">
            <v>400</v>
          </cell>
          <cell r="I3271">
            <v>41714</v>
          </cell>
          <cell r="J3271">
            <v>0</v>
          </cell>
          <cell r="W3271">
            <v>0</v>
          </cell>
          <cell r="AJ3271">
            <v>0</v>
          </cell>
          <cell r="AM3271">
            <v>400</v>
          </cell>
          <cell r="AW3271">
            <v>400</v>
          </cell>
        </row>
        <row r="3272">
          <cell r="B3272">
            <v>6761</v>
          </cell>
          <cell r="C3272" t="str">
            <v>CL_73_</v>
          </cell>
          <cell r="D3272" t="str">
            <v>Rancho La Cuchilla No. 73</v>
          </cell>
          <cell r="E3272" t="str">
            <v>Cooper</v>
          </cell>
          <cell r="F3272">
            <v>300</v>
          </cell>
          <cell r="G3272">
            <v>1</v>
          </cell>
          <cell r="H3272">
            <v>800</v>
          </cell>
          <cell r="I3272">
            <v>41714</v>
          </cell>
          <cell r="J3272">
            <v>0</v>
          </cell>
          <cell r="W3272">
            <v>0</v>
          </cell>
          <cell r="AJ3272">
            <v>0</v>
          </cell>
          <cell r="AK3272">
            <v>400</v>
          </cell>
          <cell r="AL3272">
            <v>400</v>
          </cell>
          <cell r="AW3272">
            <v>800</v>
          </cell>
        </row>
        <row r="3273">
          <cell r="B3273">
            <v>6762</v>
          </cell>
          <cell r="C3273" t="str">
            <v>LD_33_</v>
          </cell>
          <cell r="D3273" t="str">
            <v>Rancho Landero No. 33</v>
          </cell>
          <cell r="E3273" t="str">
            <v>González Uribe</v>
          </cell>
          <cell r="F3273">
            <v>300</v>
          </cell>
          <cell r="G3273">
            <v>1</v>
          </cell>
          <cell r="H3273">
            <v>800</v>
          </cell>
          <cell r="I3273">
            <v>41714</v>
          </cell>
          <cell r="J3273">
            <v>0</v>
          </cell>
          <cell r="W3273">
            <v>0</v>
          </cell>
          <cell r="AJ3273">
            <v>0</v>
          </cell>
          <cell r="AL3273">
            <v>400</v>
          </cell>
          <cell r="AM3273">
            <v>400</v>
          </cell>
          <cell r="AW3273">
            <v>800</v>
          </cell>
        </row>
        <row r="3274">
          <cell r="B3274">
            <v>6763</v>
          </cell>
          <cell r="C3274" t="str">
            <v>CL_59_</v>
          </cell>
          <cell r="D3274" t="str">
            <v>Rancho La Cuchilla No. 59</v>
          </cell>
          <cell r="E3274" t="str">
            <v>Ortega Vega</v>
          </cell>
          <cell r="F3274">
            <v>300</v>
          </cell>
          <cell r="G3274">
            <v>1</v>
          </cell>
          <cell r="H3274">
            <v>300</v>
          </cell>
          <cell r="I3274">
            <v>41714</v>
          </cell>
          <cell r="J3274">
            <v>0</v>
          </cell>
          <cell r="W3274">
            <v>0</v>
          </cell>
          <cell r="AJ3274">
            <v>0</v>
          </cell>
          <cell r="AM3274">
            <v>300</v>
          </cell>
          <cell r="AW3274">
            <v>300</v>
          </cell>
        </row>
        <row r="3275">
          <cell r="B3275">
            <v>6764</v>
          </cell>
          <cell r="C3275" t="str">
            <v>LD_22_</v>
          </cell>
          <cell r="D3275" t="str">
            <v>Rancho Landero No. 22</v>
          </cell>
          <cell r="E3275" t="str">
            <v>Reyes</v>
          </cell>
          <cell r="F3275">
            <v>150</v>
          </cell>
          <cell r="G3275">
            <v>1</v>
          </cell>
          <cell r="H3275">
            <v>200</v>
          </cell>
          <cell r="I3275">
            <v>41714</v>
          </cell>
          <cell r="J3275">
            <v>0</v>
          </cell>
          <cell r="W3275">
            <v>0</v>
          </cell>
          <cell r="AJ3275">
            <v>0</v>
          </cell>
          <cell r="AM3275">
            <v>200</v>
          </cell>
          <cell r="AW3275">
            <v>200</v>
          </cell>
        </row>
        <row r="3276">
          <cell r="B3276">
            <v>6765</v>
          </cell>
          <cell r="C3276" t="str">
            <v>CL_107_</v>
          </cell>
          <cell r="D3276" t="str">
            <v>Rancho La Cuchilla No. 107</v>
          </cell>
          <cell r="E3276" t="str">
            <v>Olivares Rivera</v>
          </cell>
          <cell r="F3276">
            <v>300</v>
          </cell>
          <cell r="G3276">
            <v>1</v>
          </cell>
          <cell r="H3276">
            <v>400</v>
          </cell>
          <cell r="I3276">
            <v>41714</v>
          </cell>
          <cell r="J3276">
            <v>0</v>
          </cell>
          <cell r="W3276">
            <v>0</v>
          </cell>
          <cell r="AJ3276">
            <v>0</v>
          </cell>
          <cell r="AM3276">
            <v>400</v>
          </cell>
          <cell r="AW3276">
            <v>400</v>
          </cell>
        </row>
        <row r="3277">
          <cell r="B3277">
            <v>6766</v>
          </cell>
          <cell r="C3277" t="str">
            <v>CL_71_</v>
          </cell>
          <cell r="D3277" t="str">
            <v>Rancho La Cuchilla No. 71</v>
          </cell>
          <cell r="E3277" t="str">
            <v>Pulido</v>
          </cell>
          <cell r="F3277">
            <v>300</v>
          </cell>
          <cell r="G3277">
            <v>1</v>
          </cell>
          <cell r="H3277">
            <v>350</v>
          </cell>
          <cell r="I3277">
            <v>41714</v>
          </cell>
          <cell r="J3277">
            <v>0</v>
          </cell>
          <cell r="W3277">
            <v>0</v>
          </cell>
          <cell r="AJ3277">
            <v>0</v>
          </cell>
          <cell r="AM3277">
            <v>350</v>
          </cell>
          <cell r="AW3277">
            <v>350</v>
          </cell>
        </row>
        <row r="3278">
          <cell r="B3278">
            <v>6767</v>
          </cell>
          <cell r="C3278" t="str">
            <v>EZ_103_A</v>
          </cell>
          <cell r="D3278" t="str">
            <v>Rancho Estanzuela No. 103</v>
          </cell>
          <cell r="E3278" t="str">
            <v>Valencia Aranda</v>
          </cell>
          <cell r="F3278">
            <v>300</v>
          </cell>
          <cell r="G3278">
            <v>1</v>
          </cell>
          <cell r="H3278">
            <v>400</v>
          </cell>
          <cell r="I3278">
            <v>41714</v>
          </cell>
          <cell r="J3278">
            <v>0</v>
          </cell>
          <cell r="W3278">
            <v>0</v>
          </cell>
          <cell r="AJ3278">
            <v>0</v>
          </cell>
          <cell r="AM3278">
            <v>400</v>
          </cell>
          <cell r="AW3278">
            <v>400</v>
          </cell>
        </row>
        <row r="3279">
          <cell r="B3279">
            <v>6768</v>
          </cell>
          <cell r="C3279" t="str">
            <v>UP_100_</v>
          </cell>
          <cell r="D3279" t="str">
            <v>Rancho Upácuaro No. 100</v>
          </cell>
          <cell r="E3279" t="str">
            <v>Mancera Rodríguez</v>
          </cell>
          <cell r="F3279">
            <v>300</v>
          </cell>
          <cell r="G3279">
            <v>1</v>
          </cell>
          <cell r="H3279">
            <v>400</v>
          </cell>
          <cell r="I3279">
            <v>41714</v>
          </cell>
          <cell r="J3279">
            <v>0</v>
          </cell>
          <cell r="W3279">
            <v>0</v>
          </cell>
          <cell r="AJ3279">
            <v>0</v>
          </cell>
          <cell r="AM3279">
            <v>400</v>
          </cell>
          <cell r="AW3279">
            <v>400</v>
          </cell>
        </row>
        <row r="3280">
          <cell r="B3280">
            <v>6769</v>
          </cell>
          <cell r="C3280" t="str">
            <v>ZB_14_</v>
          </cell>
          <cell r="D3280" t="str">
            <v>Rancho Zinamba No. 14</v>
          </cell>
          <cell r="E3280" t="str">
            <v>Gutiérrez García</v>
          </cell>
          <cell r="F3280">
            <v>300</v>
          </cell>
          <cell r="G3280">
            <v>1</v>
          </cell>
          <cell r="H3280">
            <v>800</v>
          </cell>
          <cell r="I3280">
            <v>41719</v>
          </cell>
          <cell r="J3280">
            <v>0</v>
          </cell>
          <cell r="W3280">
            <v>0</v>
          </cell>
          <cell r="AJ3280">
            <v>0</v>
          </cell>
          <cell r="AL3280">
            <v>400</v>
          </cell>
          <cell r="AM3280">
            <v>400</v>
          </cell>
          <cell r="AW3280">
            <v>800</v>
          </cell>
        </row>
        <row r="3281">
          <cell r="B3281">
            <v>6770</v>
          </cell>
          <cell r="C3281" t="str">
            <v>RV_3_</v>
          </cell>
          <cell r="D3281" t="str">
            <v>Rancho Recoveco No. 3</v>
          </cell>
          <cell r="E3281" t="str">
            <v>Garduño</v>
          </cell>
          <cell r="F3281">
            <v>300</v>
          </cell>
          <cell r="G3281">
            <v>1</v>
          </cell>
          <cell r="H3281">
            <v>300</v>
          </cell>
          <cell r="I3281">
            <v>41720</v>
          </cell>
          <cell r="J3281">
            <v>0</v>
          </cell>
          <cell r="W3281">
            <v>0</v>
          </cell>
          <cell r="AJ3281">
            <v>0</v>
          </cell>
          <cell r="AM3281">
            <v>300</v>
          </cell>
          <cell r="AW3281">
            <v>300</v>
          </cell>
        </row>
        <row r="3282">
          <cell r="B3282">
            <v>6771</v>
          </cell>
          <cell r="C3282" t="str">
            <v>LD_47_</v>
          </cell>
          <cell r="D3282" t="str">
            <v>Rancho Landero No. 47</v>
          </cell>
          <cell r="E3282" t="str">
            <v>García González</v>
          </cell>
          <cell r="F3282">
            <v>300</v>
          </cell>
          <cell r="G3282">
            <v>1</v>
          </cell>
          <cell r="H3282">
            <v>400</v>
          </cell>
          <cell r="I3282">
            <v>41721</v>
          </cell>
          <cell r="J3282">
            <v>0</v>
          </cell>
          <cell r="W3282">
            <v>0</v>
          </cell>
          <cell r="AJ3282">
            <v>0</v>
          </cell>
          <cell r="AM3282">
            <v>400</v>
          </cell>
          <cell r="AW3282">
            <v>400</v>
          </cell>
        </row>
        <row r="3283">
          <cell r="B3283">
            <v>6772</v>
          </cell>
          <cell r="C3283" t="str">
            <v>ZB_72_</v>
          </cell>
          <cell r="D3283" t="str">
            <v>Rancho Zinamba No. 72</v>
          </cell>
          <cell r="E3283" t="str">
            <v>Romo de Vivar</v>
          </cell>
          <cell r="F3283">
            <v>300</v>
          </cell>
          <cell r="G3283">
            <v>1</v>
          </cell>
          <cell r="H3283">
            <v>300</v>
          </cell>
          <cell r="I3283">
            <v>41721</v>
          </cell>
          <cell r="J3283">
            <v>0</v>
          </cell>
          <cell r="W3283">
            <v>0</v>
          </cell>
          <cell r="AJ3283">
            <v>0</v>
          </cell>
          <cell r="AL3283">
            <v>150</v>
          </cell>
          <cell r="AM3283">
            <v>150</v>
          </cell>
          <cell r="AW3283">
            <v>300</v>
          </cell>
        </row>
        <row r="3284">
          <cell r="B3284">
            <v>6773</v>
          </cell>
          <cell r="C3284" t="str">
            <v>CL_55_</v>
          </cell>
          <cell r="D3284" t="str">
            <v>Rancho La Cuchilla No. 55</v>
          </cell>
          <cell r="E3284" t="str">
            <v>López Velázquez</v>
          </cell>
          <cell r="F3284">
            <v>300</v>
          </cell>
          <cell r="G3284">
            <v>1</v>
          </cell>
          <cell r="H3284">
            <v>400</v>
          </cell>
          <cell r="I3284">
            <v>41721</v>
          </cell>
          <cell r="J3284">
            <v>0</v>
          </cell>
          <cell r="W3284">
            <v>0</v>
          </cell>
          <cell r="AJ3284">
            <v>0</v>
          </cell>
          <cell r="AM3284">
            <v>400</v>
          </cell>
          <cell r="AW3284">
            <v>400</v>
          </cell>
        </row>
        <row r="3285">
          <cell r="B3285">
            <v>6774</v>
          </cell>
          <cell r="C3285" t="str">
            <v>UP_64_</v>
          </cell>
          <cell r="D3285" t="str">
            <v>Rancho Upácuaro No. 64</v>
          </cell>
          <cell r="E3285" t="str">
            <v>Méndez Oliva</v>
          </cell>
          <cell r="F3285">
            <v>300</v>
          </cell>
          <cell r="G3285">
            <v>1</v>
          </cell>
          <cell r="H3285">
            <v>300</v>
          </cell>
          <cell r="I3285">
            <v>41721</v>
          </cell>
          <cell r="J3285">
            <v>0</v>
          </cell>
          <cell r="W3285">
            <v>0</v>
          </cell>
          <cell r="AJ3285">
            <v>0</v>
          </cell>
          <cell r="AM3285">
            <v>300</v>
          </cell>
          <cell r="AW3285">
            <v>300</v>
          </cell>
        </row>
        <row r="3286">
          <cell r="B3286">
            <v>6775</v>
          </cell>
          <cell r="C3286" t="str">
            <v>CL_112_PB</v>
          </cell>
          <cell r="D3286" t="str">
            <v>Rancho La Cuchilla No. 112, PB</v>
          </cell>
          <cell r="E3286" t="str">
            <v>Soreque</v>
          </cell>
          <cell r="F3286">
            <v>150</v>
          </cell>
          <cell r="G3286">
            <v>1</v>
          </cell>
          <cell r="H3286">
            <v>250</v>
          </cell>
          <cell r="I3286">
            <v>41721</v>
          </cell>
          <cell r="J3286">
            <v>0</v>
          </cell>
          <cell r="W3286">
            <v>0</v>
          </cell>
          <cell r="AJ3286">
            <v>0</v>
          </cell>
          <cell r="AM3286">
            <v>250</v>
          </cell>
          <cell r="AW3286">
            <v>250</v>
          </cell>
        </row>
        <row r="3287">
          <cell r="B3287">
            <v>6776</v>
          </cell>
          <cell r="C3287" t="str">
            <v>EZ_11_A</v>
          </cell>
          <cell r="D3287" t="str">
            <v>Rancho Estanzuela No. 11, A</v>
          </cell>
          <cell r="E3287" t="str">
            <v>Evans González</v>
          </cell>
          <cell r="F3287">
            <v>300</v>
          </cell>
          <cell r="G3287">
            <v>1</v>
          </cell>
          <cell r="H3287">
            <v>900</v>
          </cell>
          <cell r="I3287">
            <v>41721</v>
          </cell>
          <cell r="J3287">
            <v>0</v>
          </cell>
          <cell r="W3287">
            <v>0</v>
          </cell>
          <cell r="AJ3287">
            <v>0</v>
          </cell>
          <cell r="AK3287">
            <v>300</v>
          </cell>
          <cell r="AL3287">
            <v>300</v>
          </cell>
          <cell r="AM3287">
            <v>300</v>
          </cell>
          <cell r="AW3287">
            <v>900</v>
          </cell>
        </row>
        <row r="3288">
          <cell r="B3288">
            <v>6777</v>
          </cell>
          <cell r="C3288" t="str">
            <v>CL_133_</v>
          </cell>
          <cell r="D3288" t="str">
            <v>Rancho La Cuchilla No. 133</v>
          </cell>
          <cell r="E3288" t="str">
            <v>Rivas</v>
          </cell>
          <cell r="F3288">
            <v>300</v>
          </cell>
          <cell r="G3288">
            <v>1</v>
          </cell>
          <cell r="H3288">
            <v>4500</v>
          </cell>
          <cell r="I3288">
            <v>41721</v>
          </cell>
          <cell r="J3288">
            <v>0</v>
          </cell>
          <cell r="W3288">
            <v>0</v>
          </cell>
          <cell r="Z3288">
            <v>300</v>
          </cell>
          <cell r="AA3288">
            <v>300</v>
          </cell>
          <cell r="AB3288">
            <v>300</v>
          </cell>
          <cell r="AC3288">
            <v>300</v>
          </cell>
          <cell r="AD3288">
            <v>300</v>
          </cell>
          <cell r="AE3288">
            <v>300</v>
          </cell>
          <cell r="AF3288">
            <v>300</v>
          </cell>
          <cell r="AG3288">
            <v>400</v>
          </cell>
          <cell r="AH3288">
            <v>400</v>
          </cell>
          <cell r="AI3288">
            <v>400</v>
          </cell>
          <cell r="AJ3288">
            <v>3300</v>
          </cell>
          <cell r="AK3288">
            <v>400</v>
          </cell>
          <cell r="AL3288">
            <v>400</v>
          </cell>
          <cell r="AM3288">
            <v>400</v>
          </cell>
          <cell r="AW3288">
            <v>1200</v>
          </cell>
        </row>
        <row r="3289">
          <cell r="B3289">
            <v>6778</v>
          </cell>
          <cell r="C3289" t="str">
            <v>EZ_99_</v>
          </cell>
          <cell r="D3289" t="str">
            <v>Rancho Estanzuela No. 99</v>
          </cell>
          <cell r="E3289" t="str">
            <v>García López</v>
          </cell>
          <cell r="F3289">
            <v>300</v>
          </cell>
          <cell r="G3289">
            <v>1</v>
          </cell>
          <cell r="H3289">
            <v>400</v>
          </cell>
          <cell r="I3289">
            <v>41721</v>
          </cell>
          <cell r="J3289">
            <v>0</v>
          </cell>
          <cell r="W3289">
            <v>0</v>
          </cell>
          <cell r="AJ3289">
            <v>0</v>
          </cell>
          <cell r="AM3289">
            <v>400</v>
          </cell>
          <cell r="AW3289">
            <v>400</v>
          </cell>
        </row>
        <row r="3290">
          <cell r="B3290">
            <v>6779</v>
          </cell>
          <cell r="C3290" t="str">
            <v>LD_68_</v>
          </cell>
          <cell r="D3290" t="str">
            <v>Rancho Landero No. 68</v>
          </cell>
          <cell r="E3290" t="str">
            <v>Moreno</v>
          </cell>
          <cell r="F3290">
            <v>300</v>
          </cell>
          <cell r="G3290">
            <v>1</v>
          </cell>
          <cell r="H3290">
            <v>800</v>
          </cell>
          <cell r="I3290">
            <v>41721</v>
          </cell>
          <cell r="J3290">
            <v>0</v>
          </cell>
          <cell r="W3290">
            <v>0</v>
          </cell>
          <cell r="AJ3290">
            <v>0</v>
          </cell>
          <cell r="AK3290">
            <v>400</v>
          </cell>
          <cell r="AL3290">
            <v>400</v>
          </cell>
          <cell r="AW3290">
            <v>800</v>
          </cell>
        </row>
        <row r="3291">
          <cell r="B3291">
            <v>6780</v>
          </cell>
          <cell r="C3291" t="str">
            <v>EZ_67_</v>
          </cell>
          <cell r="D3291" t="str">
            <v>Rancho Estanzuela No. 67</v>
          </cell>
          <cell r="E3291" t="str">
            <v>Carmona Galarza</v>
          </cell>
          <cell r="F3291">
            <v>300</v>
          </cell>
          <cell r="G3291">
            <v>1</v>
          </cell>
          <cell r="H3291">
            <v>800</v>
          </cell>
          <cell r="I3291">
            <v>41721</v>
          </cell>
          <cell r="J3291">
            <v>0</v>
          </cell>
          <cell r="W3291">
            <v>0</v>
          </cell>
          <cell r="AJ3291">
            <v>0</v>
          </cell>
          <cell r="AM3291">
            <v>400</v>
          </cell>
          <cell r="AN3291">
            <v>400</v>
          </cell>
          <cell r="AW3291">
            <v>800</v>
          </cell>
        </row>
        <row r="3292">
          <cell r="B3292">
            <v>6781</v>
          </cell>
          <cell r="C3292" t="str">
            <v>EZ_57_</v>
          </cell>
          <cell r="D3292" t="str">
            <v>Rancho Estanzuela No. 57</v>
          </cell>
          <cell r="E3292" t="str">
            <v>Olivares</v>
          </cell>
          <cell r="F3292">
            <v>300</v>
          </cell>
          <cell r="G3292">
            <v>1</v>
          </cell>
          <cell r="H3292">
            <v>800</v>
          </cell>
          <cell r="I3292">
            <v>41721</v>
          </cell>
          <cell r="J3292">
            <v>0</v>
          </cell>
          <cell r="W3292">
            <v>0</v>
          </cell>
          <cell r="AJ3292">
            <v>0</v>
          </cell>
          <cell r="AK3292">
            <v>400</v>
          </cell>
          <cell r="AL3292">
            <v>400</v>
          </cell>
          <cell r="AW3292">
            <v>800</v>
          </cell>
        </row>
        <row r="3293">
          <cell r="B3293">
            <v>6782</v>
          </cell>
          <cell r="C3293" t="str">
            <v>EZ_55_</v>
          </cell>
          <cell r="D3293" t="str">
            <v>Rancho Estanzuela No. 55</v>
          </cell>
          <cell r="E3293" t="str">
            <v>Rodríguez Acevedo</v>
          </cell>
          <cell r="F3293">
            <v>300</v>
          </cell>
          <cell r="G3293">
            <v>1</v>
          </cell>
          <cell r="H3293">
            <v>400</v>
          </cell>
          <cell r="I3293">
            <v>41721</v>
          </cell>
          <cell r="J3293">
            <v>0</v>
          </cell>
          <cell r="W3293">
            <v>0</v>
          </cell>
          <cell r="AJ3293">
            <v>0</v>
          </cell>
          <cell r="AM3293">
            <v>400</v>
          </cell>
          <cell r="AW3293">
            <v>400</v>
          </cell>
        </row>
        <row r="3294">
          <cell r="B3294">
            <v>6783</v>
          </cell>
          <cell r="C3294" t="str">
            <v>EZ_19_</v>
          </cell>
          <cell r="D3294" t="str">
            <v>Rancho Estanzuela No. 19</v>
          </cell>
          <cell r="E3294" t="str">
            <v>Robles</v>
          </cell>
          <cell r="F3294">
            <v>300</v>
          </cell>
          <cell r="G3294">
            <v>1</v>
          </cell>
          <cell r="H3294">
            <v>400</v>
          </cell>
          <cell r="I3294">
            <v>41721</v>
          </cell>
          <cell r="J3294">
            <v>0</v>
          </cell>
          <cell r="W3294">
            <v>0</v>
          </cell>
          <cell r="AJ3294">
            <v>0</v>
          </cell>
          <cell r="AL3294">
            <v>400</v>
          </cell>
          <cell r="AW3294">
            <v>400</v>
          </cell>
        </row>
        <row r="3295">
          <cell r="B3295">
            <v>6784</v>
          </cell>
          <cell r="C3295" t="str">
            <v>LD_71_</v>
          </cell>
          <cell r="D3295" t="str">
            <v>Rancho Landero No. 71</v>
          </cell>
          <cell r="E3295" t="str">
            <v>Cabrera Balcázar</v>
          </cell>
          <cell r="F3295">
            <v>300</v>
          </cell>
          <cell r="G3295">
            <v>1</v>
          </cell>
          <cell r="H3295">
            <v>400</v>
          </cell>
          <cell r="I3295">
            <v>41721</v>
          </cell>
          <cell r="J3295">
            <v>0</v>
          </cell>
          <cell r="W3295">
            <v>0</v>
          </cell>
          <cell r="AJ3295">
            <v>0</v>
          </cell>
          <cell r="AM3295">
            <v>400</v>
          </cell>
          <cell r="AW3295">
            <v>400</v>
          </cell>
        </row>
        <row r="3296">
          <cell r="B3296">
            <v>6785</v>
          </cell>
          <cell r="C3296" t="str">
            <v>UP_47_</v>
          </cell>
          <cell r="D3296" t="str">
            <v>Rancho Upácuaro No. 47</v>
          </cell>
          <cell r="E3296" t="str">
            <v>Flores Muñoz</v>
          </cell>
          <cell r="F3296">
            <v>300</v>
          </cell>
          <cell r="G3296">
            <v>1</v>
          </cell>
          <cell r="H3296">
            <v>400</v>
          </cell>
          <cell r="I3296">
            <v>41721</v>
          </cell>
          <cell r="J3296">
            <v>0</v>
          </cell>
          <cell r="W3296">
            <v>0</v>
          </cell>
          <cell r="AJ3296">
            <v>0</v>
          </cell>
          <cell r="AM3296">
            <v>400</v>
          </cell>
          <cell r="AW3296">
            <v>400</v>
          </cell>
        </row>
        <row r="3297">
          <cell r="B3297">
            <v>6786</v>
          </cell>
          <cell r="C3297" t="str">
            <v>LD_38_</v>
          </cell>
          <cell r="D3297" t="str">
            <v>Rancho Landero No. 38</v>
          </cell>
          <cell r="E3297" t="str">
            <v>Sánchez Peña</v>
          </cell>
          <cell r="F3297">
            <v>300</v>
          </cell>
          <cell r="G3297">
            <v>1</v>
          </cell>
          <cell r="H3297">
            <v>800</v>
          </cell>
          <cell r="I3297">
            <v>41721</v>
          </cell>
          <cell r="J3297">
            <v>0</v>
          </cell>
          <cell r="W3297">
            <v>0</v>
          </cell>
          <cell r="AJ3297">
            <v>0</v>
          </cell>
          <cell r="AM3297">
            <v>400</v>
          </cell>
          <cell r="AN3297">
            <v>400</v>
          </cell>
          <cell r="AW3297">
            <v>800</v>
          </cell>
        </row>
        <row r="3298">
          <cell r="B3298">
            <v>6787</v>
          </cell>
          <cell r="C3298" t="str">
            <v>CL_110_</v>
          </cell>
          <cell r="D3298" t="str">
            <v>Rancho La Cuchilla No. 110</v>
          </cell>
          <cell r="E3298" t="str">
            <v>Domínguez Canudas</v>
          </cell>
          <cell r="F3298">
            <v>300</v>
          </cell>
          <cell r="G3298">
            <v>1</v>
          </cell>
          <cell r="H3298">
            <v>400</v>
          </cell>
          <cell r="I3298">
            <v>41721</v>
          </cell>
          <cell r="J3298">
            <v>0</v>
          </cell>
          <cell r="W3298">
            <v>0</v>
          </cell>
          <cell r="AJ3298">
            <v>0</v>
          </cell>
          <cell r="AM3298">
            <v>400</v>
          </cell>
          <cell r="AW3298">
            <v>400</v>
          </cell>
        </row>
        <row r="3299">
          <cell r="B3299">
            <v>6788</v>
          </cell>
          <cell r="C3299" t="str">
            <v>RV_175_B</v>
          </cell>
          <cell r="D3299" t="str">
            <v>Rancho Recoveco No. 175, B</v>
          </cell>
          <cell r="E3299" t="str">
            <v>García Calderón</v>
          </cell>
          <cell r="F3299">
            <v>150</v>
          </cell>
          <cell r="G3299">
            <v>1</v>
          </cell>
          <cell r="H3299">
            <v>200</v>
          </cell>
          <cell r="I3299">
            <v>41721</v>
          </cell>
          <cell r="J3299">
            <v>0</v>
          </cell>
          <cell r="W3299">
            <v>0</v>
          </cell>
          <cell r="AJ3299">
            <v>0</v>
          </cell>
          <cell r="AM3299">
            <v>200</v>
          </cell>
          <cell r="AW3299">
            <v>200</v>
          </cell>
        </row>
        <row r="3300">
          <cell r="B3300">
            <v>6789</v>
          </cell>
          <cell r="C3300" t="str">
            <v>CL_53_</v>
          </cell>
          <cell r="D3300" t="str">
            <v>Rancho La Cuchilla No. 53</v>
          </cell>
          <cell r="E3300" t="str">
            <v>Rivera Hernández</v>
          </cell>
          <cell r="F3300">
            <v>400</v>
          </cell>
          <cell r="G3300">
            <v>1</v>
          </cell>
          <cell r="H3300">
            <v>4400</v>
          </cell>
          <cell r="I3300">
            <v>41721</v>
          </cell>
          <cell r="J3300">
            <v>0</v>
          </cell>
          <cell r="W3300">
            <v>0</v>
          </cell>
          <cell r="AJ3300">
            <v>0</v>
          </cell>
          <cell r="AK3300">
            <v>400</v>
          </cell>
          <cell r="AL3300">
            <v>400</v>
          </cell>
          <cell r="AM3300">
            <v>400</v>
          </cell>
          <cell r="AN3300">
            <v>400</v>
          </cell>
          <cell r="AO3300">
            <v>400</v>
          </cell>
          <cell r="AP3300">
            <v>400</v>
          </cell>
          <cell r="AQ3300">
            <v>400</v>
          </cell>
          <cell r="AR3300">
            <v>400</v>
          </cell>
          <cell r="AS3300">
            <v>400</v>
          </cell>
          <cell r="AT3300">
            <v>400</v>
          </cell>
          <cell r="AU3300">
            <v>400</v>
          </cell>
          <cell r="AW3300">
            <v>4400</v>
          </cell>
        </row>
        <row r="3301">
          <cell r="B3301">
            <v>6790</v>
          </cell>
          <cell r="C3301" t="str">
            <v>LD_86_</v>
          </cell>
          <cell r="D3301" t="str">
            <v>Rancho Landero No. 86</v>
          </cell>
          <cell r="E3301" t="str">
            <v>Cuervo</v>
          </cell>
          <cell r="F3301">
            <v>300</v>
          </cell>
          <cell r="G3301">
            <v>1</v>
          </cell>
          <cell r="H3301">
            <v>2000</v>
          </cell>
          <cell r="I3301">
            <v>41721</v>
          </cell>
          <cell r="J3301">
            <v>0</v>
          </cell>
          <cell r="W3301">
            <v>0</v>
          </cell>
          <cell r="AJ3301">
            <v>0</v>
          </cell>
          <cell r="AL3301">
            <v>400</v>
          </cell>
          <cell r="AM3301">
            <v>400</v>
          </cell>
          <cell r="AN3301">
            <v>400</v>
          </cell>
          <cell r="AO3301">
            <v>400</v>
          </cell>
          <cell r="AP3301">
            <v>400</v>
          </cell>
          <cell r="AW3301">
            <v>2000</v>
          </cell>
        </row>
        <row r="3302">
          <cell r="B3302">
            <v>6791</v>
          </cell>
          <cell r="C3302" t="str">
            <v>UP_71_</v>
          </cell>
          <cell r="D3302" t="str">
            <v>Rancho Upácuaro No. 71</v>
          </cell>
          <cell r="E3302" t="str">
            <v>Trejo Méndez</v>
          </cell>
          <cell r="F3302">
            <v>300</v>
          </cell>
          <cell r="G3302">
            <v>1</v>
          </cell>
          <cell r="H3302">
            <v>400</v>
          </cell>
          <cell r="I3302">
            <v>41721</v>
          </cell>
          <cell r="J3302">
            <v>0</v>
          </cell>
          <cell r="W3302">
            <v>0</v>
          </cell>
          <cell r="AJ3302">
            <v>0</v>
          </cell>
          <cell r="AM3302">
            <v>400</v>
          </cell>
          <cell r="AW3302">
            <v>400</v>
          </cell>
        </row>
        <row r="3303">
          <cell r="B3303">
            <v>6792</v>
          </cell>
          <cell r="C3303" t="str">
            <v>EP_22_A</v>
          </cell>
          <cell r="D3303" t="str">
            <v>Rancho Estopila No. 22, A</v>
          </cell>
          <cell r="E3303" t="str">
            <v>Ayala Carranza</v>
          </cell>
          <cell r="F3303">
            <v>150</v>
          </cell>
          <cell r="G3303">
            <v>1</v>
          </cell>
          <cell r="H3303">
            <v>400</v>
          </cell>
          <cell r="I3303">
            <v>41721</v>
          </cell>
          <cell r="J3303">
            <v>0</v>
          </cell>
          <cell r="W3303">
            <v>0</v>
          </cell>
          <cell r="AJ3303">
            <v>0</v>
          </cell>
          <cell r="AL3303">
            <v>200</v>
          </cell>
          <cell r="AM3303">
            <v>200</v>
          </cell>
          <cell r="AW3303">
            <v>400</v>
          </cell>
        </row>
        <row r="3304">
          <cell r="B3304">
            <v>6793</v>
          </cell>
          <cell r="C3304" t="str">
            <v>UP_49_</v>
          </cell>
          <cell r="D3304" t="str">
            <v>Rancho Upácuaro No. 49</v>
          </cell>
          <cell r="E3304" t="str">
            <v>Sánchez Romano</v>
          </cell>
          <cell r="F3304">
            <v>300</v>
          </cell>
          <cell r="G3304">
            <v>1</v>
          </cell>
          <cell r="H3304">
            <v>400</v>
          </cell>
          <cell r="I3304">
            <v>41721</v>
          </cell>
          <cell r="J3304">
            <v>0</v>
          </cell>
          <cell r="W3304">
            <v>0</v>
          </cell>
          <cell r="AJ3304">
            <v>0</v>
          </cell>
          <cell r="AM3304">
            <v>400</v>
          </cell>
          <cell r="AW3304">
            <v>400</v>
          </cell>
        </row>
        <row r="3305">
          <cell r="B3305">
            <v>6794</v>
          </cell>
          <cell r="C3305" t="str">
            <v>LD_12_</v>
          </cell>
          <cell r="D3305" t="str">
            <v>Rancho Landero No. 12</v>
          </cell>
          <cell r="E3305" t="str">
            <v>Guzmán Silva</v>
          </cell>
          <cell r="F3305">
            <v>300</v>
          </cell>
          <cell r="G3305">
            <v>1</v>
          </cell>
          <cell r="H3305">
            <v>1200</v>
          </cell>
          <cell r="I3305">
            <v>41721</v>
          </cell>
          <cell r="J3305">
            <v>0</v>
          </cell>
          <cell r="W3305">
            <v>0</v>
          </cell>
          <cell r="AJ3305">
            <v>0</v>
          </cell>
          <cell r="AK3305">
            <v>400</v>
          </cell>
          <cell r="AL3305">
            <v>400</v>
          </cell>
          <cell r="AM3305">
            <v>400</v>
          </cell>
          <cell r="AW3305">
            <v>1200</v>
          </cell>
        </row>
        <row r="3306">
          <cell r="B3306">
            <v>6795</v>
          </cell>
          <cell r="C3306" t="str">
            <v>UP_73_A</v>
          </cell>
          <cell r="D3306" t="str">
            <v>Rancho Upácuaro No. 73, A</v>
          </cell>
          <cell r="E3306" t="str">
            <v>Ortega</v>
          </cell>
          <cell r="F3306">
            <v>150</v>
          </cell>
          <cell r="G3306">
            <v>1</v>
          </cell>
          <cell r="H3306">
            <v>200</v>
          </cell>
          <cell r="I3306">
            <v>41721</v>
          </cell>
          <cell r="J3306">
            <v>0</v>
          </cell>
          <cell r="W3306">
            <v>0</v>
          </cell>
          <cell r="AJ3306">
            <v>0</v>
          </cell>
          <cell r="AM3306">
            <v>200</v>
          </cell>
          <cell r="AW3306">
            <v>200</v>
          </cell>
        </row>
        <row r="3307">
          <cell r="B3307">
            <v>6796</v>
          </cell>
          <cell r="C3307" t="str">
            <v>EZ_143_B</v>
          </cell>
          <cell r="D3307" t="str">
            <v>Rancho Estanzuela No. 143, B</v>
          </cell>
          <cell r="E3307" t="str">
            <v>López</v>
          </cell>
          <cell r="F3307">
            <v>300</v>
          </cell>
          <cell r="G3307">
            <v>1</v>
          </cell>
          <cell r="H3307">
            <v>400</v>
          </cell>
          <cell r="I3307">
            <v>41721</v>
          </cell>
          <cell r="J3307">
            <v>0</v>
          </cell>
          <cell r="W3307">
            <v>0</v>
          </cell>
          <cell r="AJ3307">
            <v>0</v>
          </cell>
          <cell r="AL3307">
            <v>400</v>
          </cell>
          <cell r="AW3307">
            <v>400</v>
          </cell>
        </row>
        <row r="3308">
          <cell r="B3308">
            <v>6797</v>
          </cell>
          <cell r="C3308" t="str">
            <v>EZ_119_1</v>
          </cell>
          <cell r="D3308" t="str">
            <v>Rancho Estanzuela No. 119</v>
          </cell>
          <cell r="E3308" t="str">
            <v>López Tovar</v>
          </cell>
          <cell r="F3308">
            <v>300</v>
          </cell>
          <cell r="G3308">
            <v>1</v>
          </cell>
          <cell r="H3308">
            <v>400</v>
          </cell>
          <cell r="I3308">
            <v>41721</v>
          </cell>
          <cell r="J3308">
            <v>0</v>
          </cell>
          <cell r="W3308">
            <v>0</v>
          </cell>
          <cell r="AJ3308">
            <v>0</v>
          </cell>
          <cell r="AM3308">
            <v>400</v>
          </cell>
          <cell r="AW3308">
            <v>400</v>
          </cell>
        </row>
        <row r="3309">
          <cell r="B3309">
            <v>6798</v>
          </cell>
          <cell r="C3309" t="str">
            <v>RV_195_</v>
          </cell>
          <cell r="D3309" t="str">
            <v>Rancho Recoveco No. 195</v>
          </cell>
          <cell r="E3309" t="str">
            <v>Sandoval</v>
          </cell>
          <cell r="F3309">
            <v>300</v>
          </cell>
          <cell r="G3309">
            <v>1</v>
          </cell>
          <cell r="H3309">
            <v>400</v>
          </cell>
          <cell r="I3309">
            <v>41721</v>
          </cell>
          <cell r="J3309">
            <v>0</v>
          </cell>
          <cell r="W3309">
            <v>0</v>
          </cell>
          <cell r="AJ3309">
            <v>0</v>
          </cell>
          <cell r="AM3309">
            <v>400</v>
          </cell>
          <cell r="AW3309">
            <v>400</v>
          </cell>
        </row>
        <row r="3310">
          <cell r="B3310">
            <v>6799</v>
          </cell>
          <cell r="C3310" t="str">
            <v>LD_51_</v>
          </cell>
          <cell r="D3310" t="str">
            <v>Rancho Landero No. 51</v>
          </cell>
          <cell r="E3310" t="str">
            <v>H. Robles Tamayo</v>
          </cell>
          <cell r="F3310">
            <v>300</v>
          </cell>
          <cell r="G3310">
            <v>1</v>
          </cell>
          <cell r="H3310">
            <v>400</v>
          </cell>
          <cell r="I3310">
            <v>41721</v>
          </cell>
          <cell r="J3310">
            <v>0</v>
          </cell>
          <cell r="W3310">
            <v>0</v>
          </cell>
          <cell r="AJ3310">
            <v>0</v>
          </cell>
          <cell r="AM3310">
            <v>400</v>
          </cell>
          <cell r="AW3310">
            <v>400</v>
          </cell>
        </row>
        <row r="3311">
          <cell r="B3311">
            <v>6800</v>
          </cell>
          <cell r="C3311" t="str">
            <v>ZB_24_</v>
          </cell>
          <cell r="D3311" t="str">
            <v>Rancho Zinamba No. 24</v>
          </cell>
          <cell r="E3311" t="str">
            <v>Monroy García</v>
          </cell>
          <cell r="F3311">
            <v>300</v>
          </cell>
          <cell r="G3311">
            <v>1</v>
          </cell>
          <cell r="H3311">
            <v>400</v>
          </cell>
          <cell r="I3311">
            <v>41721</v>
          </cell>
          <cell r="J3311">
            <v>0</v>
          </cell>
          <cell r="W3311">
            <v>0</v>
          </cell>
          <cell r="AJ3311">
            <v>0</v>
          </cell>
          <cell r="AM3311">
            <v>400</v>
          </cell>
          <cell r="AW3311">
            <v>400</v>
          </cell>
        </row>
        <row r="3312">
          <cell r="B3312">
            <v>6801</v>
          </cell>
          <cell r="C3312" t="str">
            <v>UP_48_</v>
          </cell>
          <cell r="D3312" t="str">
            <v>Rancho Upácuaro No. 48</v>
          </cell>
          <cell r="E3312" t="str">
            <v>Bernal</v>
          </cell>
          <cell r="F3312">
            <v>200</v>
          </cell>
          <cell r="G3312">
            <v>1</v>
          </cell>
          <cell r="H3312">
            <v>200</v>
          </cell>
          <cell r="I3312">
            <v>41721</v>
          </cell>
          <cell r="J3312">
            <v>0</v>
          </cell>
          <cell r="W3312">
            <v>0</v>
          </cell>
          <cell r="AJ3312">
            <v>0</v>
          </cell>
          <cell r="AL3312">
            <v>200</v>
          </cell>
          <cell r="AW3312">
            <v>200</v>
          </cell>
        </row>
        <row r="3313">
          <cell r="B3313">
            <v>6802</v>
          </cell>
          <cell r="C3313" t="str">
            <v>LD_17_</v>
          </cell>
          <cell r="D3313" t="str">
            <v>Rancho Landero No. 17</v>
          </cell>
          <cell r="E3313" t="str">
            <v>González</v>
          </cell>
          <cell r="F3313">
            <v>300</v>
          </cell>
          <cell r="G3313">
            <v>3</v>
          </cell>
          <cell r="H3313">
            <v>160</v>
          </cell>
          <cell r="I3313">
            <v>41721</v>
          </cell>
          <cell r="J3313" t="str">
            <v>NO SUMA</v>
          </cell>
          <cell r="W3313">
            <v>0</v>
          </cell>
          <cell r="AJ3313">
            <v>0</v>
          </cell>
          <cell r="AW3313">
            <v>0</v>
          </cell>
        </row>
        <row r="3314">
          <cell r="B3314">
            <v>6803</v>
          </cell>
          <cell r="C3314" t="str">
            <v>EZ_65_</v>
          </cell>
          <cell r="D3314" t="str">
            <v>Rancho Estanzuela No. 65</v>
          </cell>
          <cell r="E3314" t="str">
            <v>López Becerril</v>
          </cell>
          <cell r="F3314">
            <v>300</v>
          </cell>
          <cell r="G3314">
            <v>1</v>
          </cell>
          <cell r="H3314">
            <v>400</v>
          </cell>
          <cell r="I3314">
            <v>41721</v>
          </cell>
          <cell r="J3314">
            <v>0</v>
          </cell>
          <cell r="W3314">
            <v>0</v>
          </cell>
          <cell r="AJ3314">
            <v>0</v>
          </cell>
          <cell r="AN3314">
            <v>400</v>
          </cell>
          <cell r="AW3314">
            <v>400</v>
          </cell>
        </row>
        <row r="3315">
          <cell r="B3315">
            <v>6804</v>
          </cell>
          <cell r="C3315" t="str">
            <v>UP_54_</v>
          </cell>
          <cell r="D3315" t="str">
            <v>Rancho Upácuaro No. 54</v>
          </cell>
          <cell r="E3315" t="str">
            <v>García Rueda</v>
          </cell>
          <cell r="F3315">
            <v>200</v>
          </cell>
          <cell r="G3315">
            <v>1</v>
          </cell>
          <cell r="H3315">
            <v>400</v>
          </cell>
          <cell r="I3315">
            <v>41721</v>
          </cell>
          <cell r="J3315">
            <v>0</v>
          </cell>
          <cell r="W3315">
            <v>0</v>
          </cell>
          <cell r="AJ3315">
            <v>0</v>
          </cell>
          <cell r="AM3315">
            <v>200</v>
          </cell>
          <cell r="AN3315">
            <v>200</v>
          </cell>
          <cell r="AW3315">
            <v>400</v>
          </cell>
        </row>
        <row r="3316">
          <cell r="B3316">
            <v>6805</v>
          </cell>
          <cell r="C3316" t="str">
            <v>CL_97_</v>
          </cell>
          <cell r="D3316" t="str">
            <v>Rancho La Cuchilla No. 97</v>
          </cell>
          <cell r="E3316" t="str">
            <v>López Ruiz</v>
          </cell>
          <cell r="F3316">
            <v>300</v>
          </cell>
          <cell r="G3316">
            <v>1</v>
          </cell>
          <cell r="H3316">
            <v>300</v>
          </cell>
          <cell r="I3316">
            <v>41722</v>
          </cell>
          <cell r="J3316">
            <v>0</v>
          </cell>
          <cell r="W3316">
            <v>0</v>
          </cell>
          <cell r="AJ3316">
            <v>0</v>
          </cell>
          <cell r="AM3316">
            <v>300</v>
          </cell>
          <cell r="AW3316">
            <v>300</v>
          </cell>
        </row>
        <row r="3317">
          <cell r="B3317">
            <v>6806</v>
          </cell>
          <cell r="C3317" t="str">
            <v>LD_85_</v>
          </cell>
          <cell r="D3317" t="str">
            <v>Rancho Landero No. 85</v>
          </cell>
          <cell r="E3317" t="str">
            <v>Martínez Olague</v>
          </cell>
          <cell r="F3317">
            <v>300</v>
          </cell>
          <cell r="G3317">
            <v>1</v>
          </cell>
          <cell r="H3317">
            <v>400</v>
          </cell>
          <cell r="I3317">
            <v>41723</v>
          </cell>
          <cell r="J3317">
            <v>0</v>
          </cell>
          <cell r="W3317">
            <v>0</v>
          </cell>
          <cell r="AJ3317">
            <v>0</v>
          </cell>
          <cell r="AM3317">
            <v>400</v>
          </cell>
          <cell r="AW3317">
            <v>400</v>
          </cell>
        </row>
        <row r="3318">
          <cell r="B3318">
            <v>6807</v>
          </cell>
          <cell r="C3318" t="str">
            <v>ZB_26_</v>
          </cell>
          <cell r="D3318" t="str">
            <v>Rancho Zinamba No. 26</v>
          </cell>
          <cell r="E3318" t="str">
            <v>Ayala</v>
          </cell>
          <cell r="F3318">
            <v>300</v>
          </cell>
          <cell r="G3318">
            <v>1</v>
          </cell>
          <cell r="H3318">
            <v>800</v>
          </cell>
          <cell r="I3318">
            <v>41726</v>
          </cell>
          <cell r="J3318">
            <v>0</v>
          </cell>
          <cell r="W3318">
            <v>0</v>
          </cell>
          <cell r="AJ3318">
            <v>0</v>
          </cell>
          <cell r="AK3318">
            <v>400</v>
          </cell>
          <cell r="AL3318">
            <v>400</v>
          </cell>
          <cell r="AW3318">
            <v>800</v>
          </cell>
        </row>
        <row r="3319">
          <cell r="B3319">
            <v>6808</v>
          </cell>
          <cell r="C3319" t="str">
            <v>UP_101_</v>
          </cell>
          <cell r="D3319" t="str">
            <v>Rancho Upácuaro No. 101</v>
          </cell>
          <cell r="E3319" t="str">
            <v>Chávez, Arturo</v>
          </cell>
          <cell r="F3319">
            <v>300</v>
          </cell>
          <cell r="G3319">
            <v>1</v>
          </cell>
          <cell r="H3319">
            <v>400</v>
          </cell>
          <cell r="I3319">
            <v>41728</v>
          </cell>
          <cell r="J3319">
            <v>0</v>
          </cell>
          <cell r="W3319">
            <v>0</v>
          </cell>
          <cell r="AJ3319">
            <v>0</v>
          </cell>
          <cell r="AN3319">
            <v>400</v>
          </cell>
          <cell r="AW3319">
            <v>400</v>
          </cell>
        </row>
        <row r="3320">
          <cell r="B3320">
            <v>6809</v>
          </cell>
          <cell r="C3320" t="str">
            <v>UP_120_</v>
          </cell>
          <cell r="D3320" t="str">
            <v>Rancho Upácuaro No. 120</v>
          </cell>
          <cell r="E3320" t="str">
            <v>Rayas Rivera</v>
          </cell>
          <cell r="F3320">
            <v>300</v>
          </cell>
          <cell r="G3320">
            <v>1</v>
          </cell>
          <cell r="H3320">
            <v>800</v>
          </cell>
          <cell r="I3320">
            <v>41728</v>
          </cell>
          <cell r="J3320">
            <v>0</v>
          </cell>
          <cell r="W3320">
            <v>0</v>
          </cell>
          <cell r="AJ3320">
            <v>0</v>
          </cell>
          <cell r="AM3320">
            <v>400</v>
          </cell>
          <cell r="AN3320">
            <v>400</v>
          </cell>
          <cell r="AW3320">
            <v>800</v>
          </cell>
        </row>
        <row r="3321">
          <cell r="B3321">
            <v>6810</v>
          </cell>
          <cell r="C3321" t="str">
            <v>RV_175_0</v>
          </cell>
          <cell r="D3321" t="str">
            <v>Rancho Recoveco No. 175</v>
          </cell>
          <cell r="E3321" t="str">
            <v>Ramírez</v>
          </cell>
          <cell r="F3321">
            <v>300</v>
          </cell>
          <cell r="G3321">
            <v>1</v>
          </cell>
          <cell r="H3321">
            <v>1200</v>
          </cell>
          <cell r="I3321">
            <v>41728</v>
          </cell>
          <cell r="J3321">
            <v>0</v>
          </cell>
          <cell r="W3321">
            <v>0</v>
          </cell>
          <cell r="AJ3321">
            <v>0</v>
          </cell>
          <cell r="AL3321">
            <v>400</v>
          </cell>
          <cell r="AM3321">
            <v>400</v>
          </cell>
          <cell r="AN3321">
            <v>400</v>
          </cell>
          <cell r="AW3321">
            <v>1200</v>
          </cell>
        </row>
        <row r="3322">
          <cell r="B3322">
            <v>6811</v>
          </cell>
          <cell r="C3322" t="str">
            <v>CL_18_</v>
          </cell>
          <cell r="D3322" t="str">
            <v>Rancho La Cuchilla No. 18</v>
          </cell>
          <cell r="E3322" t="str">
            <v>Aldana Sánchez</v>
          </cell>
          <cell r="F3322">
            <v>300</v>
          </cell>
          <cell r="G3322">
            <v>1</v>
          </cell>
          <cell r="H3322">
            <v>400</v>
          </cell>
          <cell r="I3322">
            <v>41728</v>
          </cell>
          <cell r="J3322">
            <v>0</v>
          </cell>
          <cell r="W3322">
            <v>0</v>
          </cell>
          <cell r="AJ3322">
            <v>0</v>
          </cell>
          <cell r="AM3322">
            <v>400</v>
          </cell>
          <cell r="AW3322">
            <v>400</v>
          </cell>
        </row>
        <row r="3323">
          <cell r="B3323">
            <v>6812</v>
          </cell>
          <cell r="C3323" t="str">
            <v>EZ_49_</v>
          </cell>
          <cell r="D3323" t="str">
            <v>Rancho Estanzuela No. 49</v>
          </cell>
          <cell r="E3323" t="str">
            <v>Sánchez Zamora</v>
          </cell>
          <cell r="F3323">
            <v>300</v>
          </cell>
          <cell r="G3323">
            <v>1</v>
          </cell>
          <cell r="H3323">
            <v>200</v>
          </cell>
          <cell r="I3323">
            <v>41728</v>
          </cell>
          <cell r="J3323">
            <v>0</v>
          </cell>
          <cell r="W3323">
            <v>0</v>
          </cell>
          <cell r="AJ3323">
            <v>0</v>
          </cell>
          <cell r="AK3323">
            <v>200</v>
          </cell>
          <cell r="AW3323">
            <v>200</v>
          </cell>
        </row>
        <row r="3324">
          <cell r="B3324">
            <v>6813</v>
          </cell>
          <cell r="C3324" t="str">
            <v>CL_139_</v>
          </cell>
          <cell r="D3324" t="str">
            <v>Rancho La Cuchilla No. 139</v>
          </cell>
          <cell r="E3324" t="str">
            <v>Santos</v>
          </cell>
          <cell r="F3324">
            <v>200</v>
          </cell>
          <cell r="G3324">
            <v>1</v>
          </cell>
          <cell r="H3324">
            <v>200</v>
          </cell>
          <cell r="I3324">
            <v>41728</v>
          </cell>
          <cell r="J3324">
            <v>0</v>
          </cell>
          <cell r="W3324">
            <v>0</v>
          </cell>
          <cell r="AJ3324">
            <v>0</v>
          </cell>
          <cell r="AN3324">
            <v>200</v>
          </cell>
          <cell r="AW3324">
            <v>200</v>
          </cell>
        </row>
        <row r="3325">
          <cell r="B3325">
            <v>6814</v>
          </cell>
          <cell r="C3325" t="str">
            <v>UP_110_</v>
          </cell>
          <cell r="D3325" t="str">
            <v>Rancho Upácuaro No. 110</v>
          </cell>
          <cell r="E3325" t="str">
            <v>Ruiz Mijangos</v>
          </cell>
          <cell r="F3325">
            <v>300</v>
          </cell>
          <cell r="G3325">
            <v>1</v>
          </cell>
          <cell r="H3325">
            <v>600</v>
          </cell>
          <cell r="I3325">
            <v>41728</v>
          </cell>
          <cell r="J3325">
            <v>0</v>
          </cell>
          <cell r="W3325">
            <v>0</v>
          </cell>
          <cell r="AJ3325">
            <v>0</v>
          </cell>
          <cell r="AM3325">
            <v>300</v>
          </cell>
          <cell r="AN3325">
            <v>300</v>
          </cell>
          <cell r="AW3325">
            <v>600</v>
          </cell>
        </row>
        <row r="3326">
          <cell r="B3326">
            <v>6815</v>
          </cell>
          <cell r="C3326" t="str">
            <v>LD_76_</v>
          </cell>
          <cell r="D3326" t="str">
            <v>Rancho Landero No. 76</v>
          </cell>
          <cell r="E3326" t="str">
            <v>Ugarte</v>
          </cell>
          <cell r="F3326">
            <v>300</v>
          </cell>
          <cell r="G3326">
            <v>1</v>
          </cell>
          <cell r="H3326">
            <v>400</v>
          </cell>
          <cell r="I3326">
            <v>41728</v>
          </cell>
          <cell r="J3326">
            <v>0</v>
          </cell>
          <cell r="W3326">
            <v>0</v>
          </cell>
          <cell r="AJ3326">
            <v>0</v>
          </cell>
          <cell r="AN3326">
            <v>400</v>
          </cell>
          <cell r="AW3326">
            <v>400</v>
          </cell>
        </row>
        <row r="3327">
          <cell r="B3327">
            <v>6816</v>
          </cell>
          <cell r="C3327" t="str">
            <v>UP_95_</v>
          </cell>
          <cell r="D3327" t="str">
            <v>Rancho Upácuaro No. 95</v>
          </cell>
          <cell r="E3327" t="str">
            <v>Flores</v>
          </cell>
          <cell r="F3327">
            <v>300</v>
          </cell>
          <cell r="G3327">
            <v>1</v>
          </cell>
          <cell r="H3327">
            <v>800</v>
          </cell>
          <cell r="I3327">
            <v>41728</v>
          </cell>
          <cell r="J3327">
            <v>0</v>
          </cell>
          <cell r="W3327">
            <v>0</v>
          </cell>
          <cell r="AJ3327">
            <v>0</v>
          </cell>
          <cell r="AM3327">
            <v>400</v>
          </cell>
          <cell r="AN3327">
            <v>400</v>
          </cell>
          <cell r="AW3327">
            <v>800</v>
          </cell>
        </row>
        <row r="3328">
          <cell r="B3328">
            <v>6817</v>
          </cell>
          <cell r="C3328" t="str">
            <v>RV_175_A</v>
          </cell>
          <cell r="D3328" t="str">
            <v>Rancho Recoveco No. 175, A</v>
          </cell>
          <cell r="E3328" t="str">
            <v>Pérez</v>
          </cell>
          <cell r="F3328">
            <v>300</v>
          </cell>
          <cell r="G3328">
            <v>1</v>
          </cell>
          <cell r="H3328">
            <v>400</v>
          </cell>
          <cell r="I3328">
            <v>41728</v>
          </cell>
          <cell r="J3328">
            <v>0</v>
          </cell>
          <cell r="W3328">
            <v>0</v>
          </cell>
          <cell r="AJ3328">
            <v>0</v>
          </cell>
          <cell r="AM3328">
            <v>400</v>
          </cell>
          <cell r="AW3328">
            <v>400</v>
          </cell>
        </row>
        <row r="3329">
          <cell r="B3329">
            <v>6818</v>
          </cell>
          <cell r="C3329" t="str">
            <v>EZ_7_B</v>
          </cell>
          <cell r="D3329" t="str">
            <v>Rancho Estanzuela No. 7, B</v>
          </cell>
          <cell r="E3329" t="str">
            <v>Camargo Romero</v>
          </cell>
          <cell r="F3329">
            <v>150</v>
          </cell>
          <cell r="G3329">
            <v>1</v>
          </cell>
          <cell r="H3329">
            <v>1600</v>
          </cell>
          <cell r="I3329">
            <v>41728</v>
          </cell>
          <cell r="J3329">
            <v>0</v>
          </cell>
          <cell r="W3329">
            <v>0</v>
          </cell>
          <cell r="AJ3329">
            <v>0</v>
          </cell>
          <cell r="AK3329">
            <v>200</v>
          </cell>
          <cell r="AL3329">
            <v>200</v>
          </cell>
          <cell r="AM3329">
            <v>200</v>
          </cell>
          <cell r="AN3329">
            <v>200</v>
          </cell>
          <cell r="AO3329">
            <v>200</v>
          </cell>
          <cell r="AP3329">
            <v>200</v>
          </cell>
          <cell r="AQ3329">
            <v>200</v>
          </cell>
          <cell r="AR3329">
            <v>200</v>
          </cell>
          <cell r="AW3329">
            <v>1600</v>
          </cell>
        </row>
        <row r="3330">
          <cell r="B3330">
            <v>6819</v>
          </cell>
          <cell r="C3330" t="str">
            <v>CL_73_</v>
          </cell>
          <cell r="D3330" t="str">
            <v>Rancho La Cuchilla No. 73</v>
          </cell>
          <cell r="E3330" t="str">
            <v>Cooper</v>
          </cell>
          <cell r="F3330">
            <v>300</v>
          </cell>
          <cell r="G3330">
            <v>1</v>
          </cell>
          <cell r="H3330">
            <v>800</v>
          </cell>
          <cell r="I3330">
            <v>41728</v>
          </cell>
          <cell r="J3330">
            <v>0</v>
          </cell>
          <cell r="W3330">
            <v>0</v>
          </cell>
          <cell r="AJ3330">
            <v>0</v>
          </cell>
          <cell r="AM3330">
            <v>400</v>
          </cell>
          <cell r="AN3330">
            <v>400</v>
          </cell>
          <cell r="AW3330">
            <v>800</v>
          </cell>
        </row>
        <row r="3331">
          <cell r="B3331">
            <v>6820</v>
          </cell>
          <cell r="C3331" t="str">
            <v>EZ_117_</v>
          </cell>
          <cell r="D3331" t="str">
            <v>Rancho Estanzuela No. 117</v>
          </cell>
          <cell r="E3331" t="str">
            <v>Cordero Nieto</v>
          </cell>
          <cell r="F3331">
            <v>300</v>
          </cell>
          <cell r="G3331">
            <v>1</v>
          </cell>
          <cell r="H3331">
            <v>750</v>
          </cell>
          <cell r="I3331">
            <v>41728</v>
          </cell>
          <cell r="J3331">
            <v>0</v>
          </cell>
          <cell r="W3331">
            <v>0</v>
          </cell>
          <cell r="AJ3331">
            <v>0</v>
          </cell>
          <cell r="AK3331">
            <v>250</v>
          </cell>
          <cell r="AL3331">
            <v>250</v>
          </cell>
          <cell r="AM3331">
            <v>250</v>
          </cell>
          <cell r="AW3331">
            <v>750</v>
          </cell>
        </row>
        <row r="3332">
          <cell r="B3332">
            <v>6821</v>
          </cell>
          <cell r="C3332" t="str">
            <v>EZ_157_2</v>
          </cell>
          <cell r="D3332" t="str">
            <v>Rancho Estanzuela No. 157, 2</v>
          </cell>
          <cell r="E3332" t="str">
            <v>Arias</v>
          </cell>
          <cell r="F3332">
            <v>150</v>
          </cell>
          <cell r="G3332">
            <v>1</v>
          </cell>
          <cell r="H3332">
            <v>300</v>
          </cell>
          <cell r="I3332">
            <v>41728</v>
          </cell>
          <cell r="J3332">
            <v>0</v>
          </cell>
          <cell r="W3332">
            <v>0</v>
          </cell>
          <cell r="AJ3332">
            <v>0</v>
          </cell>
          <cell r="AL3332">
            <v>150</v>
          </cell>
          <cell r="AM3332">
            <v>150</v>
          </cell>
          <cell r="AW3332">
            <v>300</v>
          </cell>
        </row>
        <row r="3333">
          <cell r="B3333">
            <v>6822</v>
          </cell>
          <cell r="C3333" t="str">
            <v>EZ_25_</v>
          </cell>
          <cell r="D3333" t="str">
            <v>Rancho Estanzuela No. 25</v>
          </cell>
          <cell r="E3333" t="str">
            <v>Contreras Figueroa</v>
          </cell>
          <cell r="F3333">
            <v>300</v>
          </cell>
          <cell r="G3333">
            <v>1</v>
          </cell>
          <cell r="H3333">
            <v>400</v>
          </cell>
          <cell r="I3333">
            <v>41728</v>
          </cell>
          <cell r="J3333">
            <v>0</v>
          </cell>
          <cell r="W3333">
            <v>0</v>
          </cell>
          <cell r="AJ3333">
            <v>0</v>
          </cell>
          <cell r="AM3333">
            <v>400</v>
          </cell>
          <cell r="AW3333">
            <v>400</v>
          </cell>
        </row>
        <row r="3334">
          <cell r="B3334">
            <v>6823</v>
          </cell>
          <cell r="C3334" t="str">
            <v>ZB_34_</v>
          </cell>
          <cell r="D3334" t="str">
            <v>Rancho Zinamba No. 34</v>
          </cell>
          <cell r="E3334" t="str">
            <v>Torres Zavala</v>
          </cell>
          <cell r="F3334">
            <v>300</v>
          </cell>
          <cell r="G3334">
            <v>1</v>
          </cell>
          <cell r="H3334">
            <v>400</v>
          </cell>
          <cell r="I3334">
            <v>41728</v>
          </cell>
          <cell r="J3334">
            <v>0</v>
          </cell>
          <cell r="W3334">
            <v>0</v>
          </cell>
          <cell r="AJ3334">
            <v>0</v>
          </cell>
          <cell r="AM3334">
            <v>400</v>
          </cell>
          <cell r="AW3334">
            <v>400</v>
          </cell>
        </row>
        <row r="3335">
          <cell r="B3335">
            <v>6824</v>
          </cell>
          <cell r="C3335" t="str">
            <v>ZB_44_</v>
          </cell>
          <cell r="D3335" t="str">
            <v>Rancho Zinamba No. 44</v>
          </cell>
          <cell r="E3335" t="str">
            <v>Canales</v>
          </cell>
          <cell r="F3335">
            <v>300</v>
          </cell>
          <cell r="G3335">
            <v>1</v>
          </cell>
          <cell r="H3335">
            <v>400</v>
          </cell>
          <cell r="I3335">
            <v>41728</v>
          </cell>
          <cell r="J3335">
            <v>0</v>
          </cell>
          <cell r="W3335">
            <v>0</v>
          </cell>
          <cell r="AJ3335">
            <v>0</v>
          </cell>
          <cell r="AN3335">
            <v>400</v>
          </cell>
          <cell r="AW3335">
            <v>400</v>
          </cell>
        </row>
        <row r="3336">
          <cell r="B3336">
            <v>6825</v>
          </cell>
          <cell r="C3336" t="str">
            <v>CL_20_</v>
          </cell>
          <cell r="D3336" t="str">
            <v>Rancho La Cuchilla No. 20</v>
          </cell>
          <cell r="E3336" t="str">
            <v>Sánchez López</v>
          </cell>
          <cell r="F3336">
            <v>300</v>
          </cell>
          <cell r="G3336">
            <v>1</v>
          </cell>
          <cell r="H3336">
            <v>400</v>
          </cell>
          <cell r="I3336">
            <v>41728</v>
          </cell>
          <cell r="J3336">
            <v>0</v>
          </cell>
          <cell r="W3336">
            <v>0</v>
          </cell>
          <cell r="AJ3336">
            <v>0</v>
          </cell>
          <cell r="AN3336">
            <v>400</v>
          </cell>
          <cell r="AW3336">
            <v>400</v>
          </cell>
        </row>
        <row r="3337">
          <cell r="B3337">
            <v>6826</v>
          </cell>
          <cell r="C3337" t="str">
            <v>EZ_37_</v>
          </cell>
          <cell r="D3337" t="str">
            <v>Rancho Estanzuela No. 37</v>
          </cell>
          <cell r="E3337" t="str">
            <v>Cabello Eduardo</v>
          </cell>
          <cell r="F3337">
            <v>300</v>
          </cell>
          <cell r="G3337">
            <v>1</v>
          </cell>
          <cell r="H3337">
            <v>1200</v>
          </cell>
          <cell r="I3337">
            <v>41728</v>
          </cell>
          <cell r="J3337">
            <v>0</v>
          </cell>
          <cell r="W3337">
            <v>0</v>
          </cell>
          <cell r="AJ3337">
            <v>0</v>
          </cell>
          <cell r="AK3337">
            <v>400</v>
          </cell>
          <cell r="AL3337">
            <v>400</v>
          </cell>
          <cell r="AM3337">
            <v>400</v>
          </cell>
          <cell r="AW3337">
            <v>1200</v>
          </cell>
        </row>
        <row r="3338">
          <cell r="B3338">
            <v>6827</v>
          </cell>
          <cell r="C3338" t="str">
            <v>CL_127_</v>
          </cell>
          <cell r="D3338" t="str">
            <v>Rancho La Cuchilla No. 127</v>
          </cell>
          <cell r="E3338" t="str">
            <v>Quiñones</v>
          </cell>
          <cell r="F3338">
            <v>300</v>
          </cell>
          <cell r="G3338">
            <v>1</v>
          </cell>
          <cell r="H3338">
            <v>800</v>
          </cell>
          <cell r="I3338">
            <v>41728</v>
          </cell>
          <cell r="J3338">
            <v>0</v>
          </cell>
          <cell r="W3338">
            <v>0</v>
          </cell>
          <cell r="AJ3338">
            <v>0</v>
          </cell>
          <cell r="AM3338">
            <v>400</v>
          </cell>
          <cell r="AN3338">
            <v>400</v>
          </cell>
          <cell r="AW3338">
            <v>800</v>
          </cell>
        </row>
        <row r="3339">
          <cell r="B3339">
            <v>6828</v>
          </cell>
          <cell r="C3339" t="str">
            <v>LD_80_</v>
          </cell>
          <cell r="D3339" t="str">
            <v>Rancho Landero No. 80</v>
          </cell>
          <cell r="E3339" t="str">
            <v>Villaseñor Sánchez</v>
          </cell>
          <cell r="F3339">
            <v>300</v>
          </cell>
          <cell r="G3339">
            <v>1</v>
          </cell>
          <cell r="H3339">
            <v>400</v>
          </cell>
          <cell r="I3339">
            <v>41728</v>
          </cell>
          <cell r="J3339">
            <v>0</v>
          </cell>
          <cell r="W3339">
            <v>0</v>
          </cell>
          <cell r="AJ3339">
            <v>0</v>
          </cell>
          <cell r="AN3339">
            <v>400</v>
          </cell>
          <cell r="AW3339">
            <v>400</v>
          </cell>
        </row>
        <row r="3340">
          <cell r="B3340">
            <v>6829</v>
          </cell>
          <cell r="C3340" t="str">
            <v>UP_42_</v>
          </cell>
          <cell r="D3340" t="str">
            <v>Rancho Upácuaro No. 42</v>
          </cell>
          <cell r="E3340" t="str">
            <v>García Ramírez</v>
          </cell>
          <cell r="F3340">
            <v>300</v>
          </cell>
          <cell r="G3340">
            <v>1</v>
          </cell>
          <cell r="H3340">
            <v>400</v>
          </cell>
          <cell r="I3340">
            <v>41728</v>
          </cell>
          <cell r="J3340">
            <v>0</v>
          </cell>
          <cell r="W3340">
            <v>0</v>
          </cell>
          <cell r="AJ3340">
            <v>0</v>
          </cell>
          <cell r="AL3340">
            <v>400</v>
          </cell>
          <cell r="AW3340">
            <v>400</v>
          </cell>
        </row>
        <row r="3341">
          <cell r="B3341">
            <v>6830</v>
          </cell>
          <cell r="C3341" t="str">
            <v>LD_73_</v>
          </cell>
          <cell r="D3341" t="str">
            <v>Rancho Landero No. 73</v>
          </cell>
          <cell r="E3341" t="str">
            <v>Islas Palacios</v>
          </cell>
          <cell r="F3341">
            <v>300</v>
          </cell>
          <cell r="G3341">
            <v>1</v>
          </cell>
          <cell r="H3341">
            <v>400</v>
          </cell>
          <cell r="I3341">
            <v>41728</v>
          </cell>
          <cell r="J3341">
            <v>0</v>
          </cell>
          <cell r="W3341">
            <v>0</v>
          </cell>
          <cell r="AJ3341">
            <v>0</v>
          </cell>
          <cell r="AM3341">
            <v>400</v>
          </cell>
          <cell r="AW3341">
            <v>400</v>
          </cell>
        </row>
        <row r="3342">
          <cell r="B3342">
            <v>6831</v>
          </cell>
          <cell r="C3342" t="str">
            <v>UP_134_</v>
          </cell>
          <cell r="D3342" t="str">
            <v>Rancho Upácuaro No. 134</v>
          </cell>
          <cell r="E3342" t="str">
            <v>Flores Pérez</v>
          </cell>
          <cell r="F3342">
            <v>300</v>
          </cell>
          <cell r="G3342">
            <v>1</v>
          </cell>
          <cell r="H3342">
            <v>400</v>
          </cell>
          <cell r="I3342">
            <v>41728</v>
          </cell>
          <cell r="J3342">
            <v>0</v>
          </cell>
          <cell r="W3342">
            <v>0</v>
          </cell>
          <cell r="AJ3342">
            <v>0</v>
          </cell>
          <cell r="AM3342">
            <v>400</v>
          </cell>
          <cell r="AW3342">
            <v>400</v>
          </cell>
        </row>
        <row r="3343">
          <cell r="B3343">
            <v>6832</v>
          </cell>
          <cell r="C3343" t="str">
            <v>CL_45_</v>
          </cell>
          <cell r="D3343" t="str">
            <v>Rancho La Cuchilla No. 45</v>
          </cell>
          <cell r="E3343" t="str">
            <v>Estévez Hernández</v>
          </cell>
          <cell r="F3343">
            <v>300</v>
          </cell>
          <cell r="G3343">
            <v>1</v>
          </cell>
          <cell r="H3343">
            <v>400</v>
          </cell>
          <cell r="I3343">
            <v>41728</v>
          </cell>
          <cell r="J3343">
            <v>0</v>
          </cell>
          <cell r="W3343">
            <v>0</v>
          </cell>
          <cell r="AJ3343">
            <v>0</v>
          </cell>
          <cell r="AN3343">
            <v>400</v>
          </cell>
          <cell r="AW3343">
            <v>400</v>
          </cell>
        </row>
        <row r="3344">
          <cell r="B3344">
            <v>6833</v>
          </cell>
          <cell r="C3344" t="str">
            <v>UP_63_</v>
          </cell>
          <cell r="D3344" t="str">
            <v>Rancho Upácuaro No. 63</v>
          </cell>
          <cell r="E3344" t="str">
            <v>González Benavides</v>
          </cell>
          <cell r="F3344">
            <v>300</v>
          </cell>
          <cell r="G3344">
            <v>1</v>
          </cell>
          <cell r="H3344">
            <v>800</v>
          </cell>
          <cell r="I3344">
            <v>41728</v>
          </cell>
          <cell r="J3344">
            <v>0</v>
          </cell>
          <cell r="W3344">
            <v>0</v>
          </cell>
          <cell r="AJ3344">
            <v>0</v>
          </cell>
          <cell r="AM3344">
            <v>400</v>
          </cell>
          <cell r="AN3344">
            <v>400</v>
          </cell>
          <cell r="AW3344">
            <v>800</v>
          </cell>
        </row>
        <row r="3345">
          <cell r="B3345">
            <v>6834</v>
          </cell>
          <cell r="C3345" t="str">
            <v>LD_101_</v>
          </cell>
          <cell r="D3345" t="str">
            <v>Rancho Landero No. 101</v>
          </cell>
          <cell r="E3345" t="str">
            <v>Ramírez</v>
          </cell>
          <cell r="F3345">
            <v>300</v>
          </cell>
          <cell r="G3345">
            <v>1</v>
          </cell>
          <cell r="H3345">
            <v>800</v>
          </cell>
          <cell r="I3345">
            <v>41728</v>
          </cell>
          <cell r="J3345">
            <v>0</v>
          </cell>
          <cell r="W3345">
            <v>0</v>
          </cell>
          <cell r="AJ3345">
            <v>0</v>
          </cell>
          <cell r="AM3345">
            <v>400</v>
          </cell>
          <cell r="AN3345">
            <v>400</v>
          </cell>
          <cell r="AW3345">
            <v>800</v>
          </cell>
        </row>
        <row r="3346">
          <cell r="B3346">
            <v>6835</v>
          </cell>
          <cell r="C3346" t="str">
            <v>EZ_19_</v>
          </cell>
          <cell r="D3346" t="str">
            <v>Rancho Estanzuela No. 19</v>
          </cell>
          <cell r="E3346" t="str">
            <v>Robles</v>
          </cell>
          <cell r="F3346">
            <v>300</v>
          </cell>
          <cell r="G3346">
            <v>1</v>
          </cell>
          <cell r="H3346">
            <v>800</v>
          </cell>
          <cell r="I3346">
            <v>41728</v>
          </cell>
          <cell r="J3346">
            <v>0</v>
          </cell>
          <cell r="W3346">
            <v>0</v>
          </cell>
          <cell r="AJ3346">
            <v>0</v>
          </cell>
          <cell r="AM3346">
            <v>400</v>
          </cell>
          <cell r="AN3346">
            <v>400</v>
          </cell>
          <cell r="AW3346">
            <v>800</v>
          </cell>
        </row>
        <row r="3347">
          <cell r="B3347">
            <v>6836</v>
          </cell>
          <cell r="C3347" t="str">
            <v>UP_130_</v>
          </cell>
          <cell r="D3347" t="str">
            <v>Rancho Upácuaro No. 130</v>
          </cell>
          <cell r="E3347" t="str">
            <v>Rodríguez Álvarez</v>
          </cell>
          <cell r="F3347">
            <v>150</v>
          </cell>
          <cell r="G3347">
            <v>1</v>
          </cell>
          <cell r="H3347">
            <v>200</v>
          </cell>
          <cell r="I3347">
            <v>41728</v>
          </cell>
          <cell r="J3347">
            <v>0</v>
          </cell>
          <cell r="W3347">
            <v>0</v>
          </cell>
          <cell r="AJ3347">
            <v>0</v>
          </cell>
          <cell r="AM3347">
            <v>200</v>
          </cell>
          <cell r="AW3347">
            <v>200</v>
          </cell>
        </row>
        <row r="3348">
          <cell r="B3348">
            <v>6837</v>
          </cell>
          <cell r="C3348" t="str">
            <v>UP_70_</v>
          </cell>
          <cell r="D3348" t="str">
            <v>Rancho Upácuaro No. 70</v>
          </cell>
          <cell r="E3348" t="str">
            <v>Ramírez Tejeda</v>
          </cell>
          <cell r="F3348">
            <v>300</v>
          </cell>
          <cell r="G3348">
            <v>1</v>
          </cell>
          <cell r="H3348">
            <v>300</v>
          </cell>
          <cell r="I3348">
            <v>41728</v>
          </cell>
          <cell r="J3348">
            <v>0</v>
          </cell>
          <cell r="W3348">
            <v>0</v>
          </cell>
          <cell r="AJ3348">
            <v>0</v>
          </cell>
          <cell r="AN3348">
            <v>300</v>
          </cell>
          <cell r="AW3348">
            <v>300</v>
          </cell>
        </row>
        <row r="3349">
          <cell r="B3349">
            <v>6838</v>
          </cell>
          <cell r="C3349" t="str">
            <v>RV_193_</v>
          </cell>
          <cell r="D3349" t="str">
            <v>Rancho Recoveco No. 193</v>
          </cell>
          <cell r="E3349" t="str">
            <v>Salazar Pérez</v>
          </cell>
          <cell r="F3349">
            <v>300</v>
          </cell>
          <cell r="G3349">
            <v>1</v>
          </cell>
          <cell r="H3349">
            <v>300</v>
          </cell>
          <cell r="I3349">
            <v>41728</v>
          </cell>
          <cell r="J3349">
            <v>0</v>
          </cell>
          <cell r="W3349">
            <v>0</v>
          </cell>
          <cell r="AJ3349">
            <v>0</v>
          </cell>
          <cell r="AM3349">
            <v>300</v>
          </cell>
          <cell r="AW3349">
            <v>300</v>
          </cell>
        </row>
        <row r="3350">
          <cell r="B3350">
            <v>6839</v>
          </cell>
          <cell r="C3350" t="str">
            <v>RV_193_</v>
          </cell>
          <cell r="D3350" t="str">
            <v>Rancho Recoveco No. 193</v>
          </cell>
          <cell r="E3350" t="str">
            <v>Salazar Pérez</v>
          </cell>
          <cell r="F3350">
            <v>300</v>
          </cell>
          <cell r="G3350">
            <v>3</v>
          </cell>
          <cell r="H3350">
            <v>160</v>
          </cell>
          <cell r="I3350">
            <v>41728</v>
          </cell>
          <cell r="J3350" t="str">
            <v>NO SUMA</v>
          </cell>
          <cell r="W3350">
            <v>0</v>
          </cell>
          <cell r="AJ3350">
            <v>0</v>
          </cell>
          <cell r="AW3350">
            <v>0</v>
          </cell>
        </row>
        <row r="3351">
          <cell r="B3351">
            <v>6840</v>
          </cell>
          <cell r="C3351" t="str">
            <v>EP_22_B</v>
          </cell>
          <cell r="D3351" t="str">
            <v>Rancho Estopila No. 22, B</v>
          </cell>
          <cell r="E3351">
            <v>0</v>
          </cell>
          <cell r="F3351">
            <v>150</v>
          </cell>
          <cell r="G3351">
            <v>1</v>
          </cell>
          <cell r="H3351">
            <v>200</v>
          </cell>
          <cell r="I3351">
            <v>41728</v>
          </cell>
          <cell r="J3351">
            <v>0</v>
          </cell>
          <cell r="W3351">
            <v>0</v>
          </cell>
          <cell r="AJ3351">
            <v>0</v>
          </cell>
          <cell r="AN3351">
            <v>200</v>
          </cell>
          <cell r="AW3351">
            <v>200</v>
          </cell>
        </row>
        <row r="3352">
          <cell r="B3352">
            <v>6841</v>
          </cell>
          <cell r="C3352" t="str">
            <v>LD_87_</v>
          </cell>
          <cell r="D3352" t="str">
            <v>Rancho Landero No. 87</v>
          </cell>
          <cell r="E3352" t="str">
            <v>Fey Lafferla</v>
          </cell>
          <cell r="F3352">
            <v>300</v>
          </cell>
          <cell r="G3352">
            <v>1</v>
          </cell>
          <cell r="H3352">
            <v>300</v>
          </cell>
          <cell r="I3352">
            <v>41728</v>
          </cell>
          <cell r="J3352">
            <v>0</v>
          </cell>
          <cell r="W3352">
            <v>0</v>
          </cell>
          <cell r="AJ3352">
            <v>0</v>
          </cell>
          <cell r="AM3352">
            <v>300</v>
          </cell>
          <cell r="AW3352">
            <v>300</v>
          </cell>
        </row>
        <row r="3353">
          <cell r="B3353">
            <v>6842</v>
          </cell>
          <cell r="C3353" t="str">
            <v>EZ_103_A</v>
          </cell>
          <cell r="D3353" t="str">
            <v>Rancho Estanzuela No. 103</v>
          </cell>
          <cell r="E3353" t="str">
            <v>Valencia Aranda</v>
          </cell>
          <cell r="F3353">
            <v>300</v>
          </cell>
          <cell r="G3353">
            <v>1</v>
          </cell>
          <cell r="H3353">
            <v>400</v>
          </cell>
          <cell r="I3353">
            <v>41728</v>
          </cell>
          <cell r="J3353">
            <v>0</v>
          </cell>
          <cell r="W3353">
            <v>0</v>
          </cell>
          <cell r="AJ3353">
            <v>0</v>
          </cell>
          <cell r="AN3353">
            <v>400</v>
          </cell>
          <cell r="AW3353">
            <v>400</v>
          </cell>
        </row>
        <row r="3354">
          <cell r="C3354" t="str">
            <v>CM_130_A</v>
          </cell>
          <cell r="D3354" t="str">
            <v>Rancho Estanzuela No. 130, A</v>
          </cell>
          <cell r="E3354" t="str">
            <v>Colegio Carmel</v>
          </cell>
          <cell r="F3354">
            <v>10000</v>
          </cell>
          <cell r="G3354">
            <v>1</v>
          </cell>
          <cell r="H3354">
            <v>10000</v>
          </cell>
          <cell r="I3354">
            <v>41722</v>
          </cell>
          <cell r="J3354">
            <v>0</v>
          </cell>
          <cell r="W3354">
            <v>0</v>
          </cell>
          <cell r="AJ3354">
            <v>0</v>
          </cell>
          <cell r="AM3354">
            <v>10000</v>
          </cell>
          <cell r="AW3354">
            <v>10000</v>
          </cell>
        </row>
        <row r="3355">
          <cell r="B3355" t="str">
            <v>NÚMERO</v>
          </cell>
          <cell r="C3355" t="str">
            <v>CASA</v>
          </cell>
          <cell r="D3355" t="str">
            <v>DOMICILIO</v>
          </cell>
          <cell r="E3355" t="str">
            <v>FAMILIA</v>
          </cell>
          <cell r="F3355" t="str">
            <v>CUOTA</v>
          </cell>
          <cell r="G3355" t="str">
            <v>C_ING</v>
          </cell>
          <cell r="H3355" t="str">
            <v>IMPORTE</v>
          </cell>
          <cell r="I3355" t="str">
            <v>FECHA</v>
          </cell>
          <cell r="J3355" t="str">
            <v>CHK</v>
          </cell>
          <cell r="K3355" t="str">
            <v>ENE
2012</v>
          </cell>
          <cell r="L3355" t="str">
            <v>FEB
2012</v>
          </cell>
          <cell r="M3355" t="str">
            <v>MAR
2012</v>
          </cell>
          <cell r="N3355" t="str">
            <v>ABR
2012</v>
          </cell>
          <cell r="O3355" t="str">
            <v>MAY
2012</v>
          </cell>
          <cell r="P3355" t="str">
            <v>JUN
2012</v>
          </cell>
          <cell r="Q3355" t="str">
            <v>JUL
2012</v>
          </cell>
          <cell r="R3355" t="str">
            <v>AGO
2012</v>
          </cell>
          <cell r="S3355" t="str">
            <v>SEP
2012</v>
          </cell>
          <cell r="T3355" t="str">
            <v>OCT
2012</v>
          </cell>
          <cell r="U3355" t="str">
            <v>NOV
2012</v>
          </cell>
          <cell r="V3355" t="str">
            <v>DIC
2012</v>
          </cell>
          <cell r="W3355" t="str">
            <v>SUMA
2012</v>
          </cell>
          <cell r="X3355" t="str">
            <v>ENE
2013</v>
          </cell>
          <cell r="Y3355" t="str">
            <v>FEB
2013</v>
          </cell>
          <cell r="Z3355" t="str">
            <v>MAR
2013</v>
          </cell>
          <cell r="AA3355" t="str">
            <v>ABR
2013</v>
          </cell>
          <cell r="AB3355" t="str">
            <v>MAY
2013</v>
          </cell>
          <cell r="AC3355" t="str">
            <v>JUN
2013</v>
          </cell>
          <cell r="AD3355" t="str">
            <v>JUL
2013</v>
          </cell>
          <cell r="AE3355" t="str">
            <v>AGO
2013</v>
          </cell>
          <cell r="AF3355" t="str">
            <v>SEP
2013</v>
          </cell>
          <cell r="AG3355" t="str">
            <v>OCT
2013</v>
          </cell>
          <cell r="AH3355" t="str">
            <v>NOV
2013</v>
          </cell>
          <cell r="AI3355" t="str">
            <v>DIC
2013</v>
          </cell>
          <cell r="AJ3355" t="str">
            <v>SUMA
2013</v>
          </cell>
          <cell r="AK3355" t="str">
            <v>ENE
2014</v>
          </cell>
          <cell r="AL3355" t="str">
            <v>FEB
2014</v>
          </cell>
          <cell r="AM3355" t="str">
            <v>MAR
2014</v>
          </cell>
          <cell r="AN3355" t="str">
            <v>ABR
2014</v>
          </cell>
          <cell r="AO3355" t="str">
            <v>MAY
2014</v>
          </cell>
          <cell r="AP3355" t="str">
            <v>JUN
2014</v>
          </cell>
          <cell r="AQ3355" t="str">
            <v>JUL
2014</v>
          </cell>
          <cell r="AR3355" t="str">
            <v>AGO
2014</v>
          </cell>
          <cell r="AS3355" t="str">
            <v>SEP
2014</v>
          </cell>
          <cell r="AT3355" t="str">
            <v>OCT
2014</v>
          </cell>
          <cell r="AU3355" t="str">
            <v>NOV
2014</v>
          </cell>
          <cell r="AV3355" t="str">
            <v>DIC
2014</v>
          </cell>
          <cell r="AW3355" t="str">
            <v>SUMA
2014</v>
          </cell>
        </row>
        <row r="3356">
          <cell r="B3356">
            <v>6843</v>
          </cell>
          <cell r="C3356" t="str">
            <v>RV_181_</v>
          </cell>
          <cell r="D3356" t="str">
            <v>Rancho Recoveco No. 181</v>
          </cell>
          <cell r="E3356" t="str">
            <v>Paredes</v>
          </cell>
          <cell r="F3356">
            <v>300</v>
          </cell>
          <cell r="G3356">
            <v>1</v>
          </cell>
          <cell r="H3356">
            <v>400</v>
          </cell>
          <cell r="I3356">
            <v>41730</v>
          </cell>
          <cell r="J3356">
            <v>0</v>
          </cell>
          <cell r="W3356">
            <v>0</v>
          </cell>
          <cell r="AJ3356">
            <v>0</v>
          </cell>
          <cell r="AM3356">
            <v>400</v>
          </cell>
          <cell r="AW3356">
            <v>400</v>
          </cell>
        </row>
        <row r="3357">
          <cell r="B3357">
            <v>6844</v>
          </cell>
          <cell r="C3357" t="str">
            <v>EZ_129_</v>
          </cell>
          <cell r="D3357" t="str">
            <v>Rancho Estanzuela No. 129</v>
          </cell>
          <cell r="E3357" t="str">
            <v>González</v>
          </cell>
          <cell r="F3357">
            <v>300</v>
          </cell>
          <cell r="G3357">
            <v>1</v>
          </cell>
          <cell r="H3357">
            <v>250</v>
          </cell>
          <cell r="I3357">
            <v>41730</v>
          </cell>
          <cell r="J3357">
            <v>0</v>
          </cell>
          <cell r="W3357">
            <v>0</v>
          </cell>
          <cell r="AJ3357">
            <v>0</v>
          </cell>
          <cell r="AM3357">
            <v>250</v>
          </cell>
          <cell r="AW3357">
            <v>250</v>
          </cell>
        </row>
        <row r="3358">
          <cell r="B3358">
            <v>6845</v>
          </cell>
          <cell r="C3358" t="str">
            <v>UP_62_</v>
          </cell>
          <cell r="D3358" t="str">
            <v>Rancho Upácuaro No. 62</v>
          </cell>
          <cell r="E3358" t="str">
            <v>Jiménez Escutia</v>
          </cell>
          <cell r="F3358">
            <v>300</v>
          </cell>
          <cell r="G3358">
            <v>1</v>
          </cell>
          <cell r="H3358">
            <v>1200</v>
          </cell>
          <cell r="I3358">
            <v>41730</v>
          </cell>
          <cell r="J3358">
            <v>0</v>
          </cell>
          <cell r="W3358">
            <v>0</v>
          </cell>
          <cell r="AJ3358">
            <v>0</v>
          </cell>
          <cell r="AK3358">
            <v>400</v>
          </cell>
          <cell r="AL3358">
            <v>400</v>
          </cell>
          <cell r="AM3358">
            <v>400</v>
          </cell>
          <cell r="AW3358">
            <v>1200</v>
          </cell>
        </row>
        <row r="3359">
          <cell r="B3359">
            <v>6846</v>
          </cell>
          <cell r="C3359" t="str">
            <v>ZB_12_</v>
          </cell>
          <cell r="D3359" t="str">
            <v>Rancho Zinamba No. 12</v>
          </cell>
          <cell r="E3359" t="str">
            <v>S.P.Endoscopic</v>
          </cell>
          <cell r="F3359">
            <v>400</v>
          </cell>
          <cell r="G3359">
            <v>1</v>
          </cell>
          <cell r="H3359">
            <v>400</v>
          </cell>
          <cell r="I3359">
            <v>41730</v>
          </cell>
          <cell r="J3359">
            <v>0</v>
          </cell>
          <cell r="W3359">
            <v>0</v>
          </cell>
          <cell r="AJ3359">
            <v>0</v>
          </cell>
          <cell r="AM3359">
            <v>400</v>
          </cell>
          <cell r="AW3359">
            <v>400</v>
          </cell>
        </row>
        <row r="3360">
          <cell r="B3360">
            <v>6847</v>
          </cell>
          <cell r="C3360" t="str">
            <v>LD_34_</v>
          </cell>
          <cell r="D3360" t="str">
            <v>Rancho Landero No. 34</v>
          </cell>
          <cell r="E3360" t="str">
            <v>Barro</v>
          </cell>
          <cell r="F3360">
            <v>300</v>
          </cell>
          <cell r="G3360">
            <v>1</v>
          </cell>
          <cell r="H3360">
            <v>1200</v>
          </cell>
          <cell r="I3360">
            <v>41732</v>
          </cell>
          <cell r="J3360">
            <v>0</v>
          </cell>
          <cell r="W3360">
            <v>0</v>
          </cell>
          <cell r="AJ3360">
            <v>0</v>
          </cell>
          <cell r="AK3360">
            <v>300</v>
          </cell>
          <cell r="AL3360">
            <v>300</v>
          </cell>
          <cell r="AM3360">
            <v>300</v>
          </cell>
          <cell r="AN3360">
            <v>300</v>
          </cell>
          <cell r="AW3360">
            <v>1200</v>
          </cell>
        </row>
        <row r="3361">
          <cell r="B3361">
            <v>6848</v>
          </cell>
          <cell r="C3361" t="str">
            <v>CL_14_</v>
          </cell>
          <cell r="D3361" t="str">
            <v>Rancho La Cuchilla No. 14</v>
          </cell>
          <cell r="E3361" t="str">
            <v>Chávez Lara</v>
          </cell>
          <cell r="F3361">
            <v>300</v>
          </cell>
          <cell r="G3361">
            <v>1</v>
          </cell>
          <cell r="H3361">
            <v>400</v>
          </cell>
          <cell r="I3361">
            <v>41735</v>
          </cell>
          <cell r="J3361">
            <v>0</v>
          </cell>
          <cell r="W3361">
            <v>0</v>
          </cell>
          <cell r="AJ3361">
            <v>0</v>
          </cell>
          <cell r="AN3361">
            <v>400</v>
          </cell>
          <cell r="AW3361">
            <v>400</v>
          </cell>
        </row>
        <row r="3362">
          <cell r="B3362">
            <v>6849</v>
          </cell>
          <cell r="C3362" t="str">
            <v>EZ_91_</v>
          </cell>
          <cell r="D3362" t="str">
            <v>Rancho Estanzuela No. 91</v>
          </cell>
          <cell r="E3362" t="str">
            <v>Lobato Torres</v>
          </cell>
          <cell r="F3362">
            <v>300</v>
          </cell>
          <cell r="G3362">
            <v>1</v>
          </cell>
          <cell r="H3362">
            <v>1200</v>
          </cell>
          <cell r="I3362">
            <v>41735</v>
          </cell>
          <cell r="J3362">
            <v>0</v>
          </cell>
          <cell r="W3362">
            <v>0</v>
          </cell>
          <cell r="AJ3362">
            <v>0</v>
          </cell>
          <cell r="AL3362">
            <v>400</v>
          </cell>
          <cell r="AM3362">
            <v>400</v>
          </cell>
          <cell r="AN3362">
            <v>400</v>
          </cell>
          <cell r="AW3362">
            <v>1200</v>
          </cell>
        </row>
        <row r="3363">
          <cell r="B3363">
            <v>6850</v>
          </cell>
          <cell r="C3363" t="str">
            <v>RM_17_</v>
          </cell>
          <cell r="D3363" t="str">
            <v>Rancho Romeral No. 17</v>
          </cell>
          <cell r="E3363" t="str">
            <v>Aguilar Lomelí</v>
          </cell>
          <cell r="F3363">
            <v>300</v>
          </cell>
          <cell r="G3363">
            <v>1</v>
          </cell>
          <cell r="H3363">
            <v>800</v>
          </cell>
          <cell r="I3363">
            <v>41735</v>
          </cell>
          <cell r="J3363">
            <v>0</v>
          </cell>
          <cell r="W3363">
            <v>0</v>
          </cell>
          <cell r="AJ3363">
            <v>0</v>
          </cell>
          <cell r="AM3363">
            <v>400</v>
          </cell>
          <cell r="AN3363">
            <v>400</v>
          </cell>
          <cell r="AW3363">
            <v>800</v>
          </cell>
        </row>
        <row r="3364">
          <cell r="B3364">
            <v>6851</v>
          </cell>
          <cell r="C3364" t="str">
            <v>EZ_49_</v>
          </cell>
          <cell r="D3364" t="str">
            <v>Rancho Estanzuela No. 49</v>
          </cell>
          <cell r="E3364" t="str">
            <v>Sánchez Zamora</v>
          </cell>
          <cell r="F3364">
            <v>300</v>
          </cell>
          <cell r="G3364">
            <v>1</v>
          </cell>
          <cell r="H3364">
            <v>200</v>
          </cell>
          <cell r="I3364">
            <v>41735</v>
          </cell>
          <cell r="J3364">
            <v>0</v>
          </cell>
          <cell r="W3364">
            <v>0</v>
          </cell>
          <cell r="AJ3364">
            <v>0</v>
          </cell>
          <cell r="AL3364">
            <v>200</v>
          </cell>
          <cell r="AW3364">
            <v>200</v>
          </cell>
        </row>
        <row r="3365">
          <cell r="B3365">
            <v>6852</v>
          </cell>
          <cell r="C3365" t="str">
            <v>EZ_151_</v>
          </cell>
          <cell r="D3365" t="str">
            <v>Rancho Estanzuela No. 151</v>
          </cell>
          <cell r="E3365" t="str">
            <v>Pérez Salazar</v>
          </cell>
          <cell r="F3365">
            <v>300</v>
          </cell>
          <cell r="G3365">
            <v>1</v>
          </cell>
          <cell r="H3365">
            <v>400</v>
          </cell>
          <cell r="I3365">
            <v>41735</v>
          </cell>
          <cell r="J3365">
            <v>0</v>
          </cell>
          <cell r="W3365">
            <v>0</v>
          </cell>
          <cell r="AJ3365">
            <v>0</v>
          </cell>
          <cell r="AN3365">
            <v>400</v>
          </cell>
          <cell r="AW3365">
            <v>400</v>
          </cell>
        </row>
        <row r="3366">
          <cell r="B3366">
            <v>6853</v>
          </cell>
          <cell r="C3366" t="str">
            <v>RV_197_</v>
          </cell>
          <cell r="D3366" t="str">
            <v>Rancho Recoveco No. 197</v>
          </cell>
          <cell r="E3366" t="str">
            <v>Colín González</v>
          </cell>
          <cell r="F3366">
            <v>300</v>
          </cell>
          <cell r="G3366">
            <v>1</v>
          </cell>
          <cell r="H3366">
            <v>400</v>
          </cell>
          <cell r="I3366">
            <v>41735</v>
          </cell>
          <cell r="J3366">
            <v>0</v>
          </cell>
          <cell r="W3366">
            <v>0</v>
          </cell>
          <cell r="AJ3366">
            <v>0</v>
          </cell>
          <cell r="AN3366">
            <v>400</v>
          </cell>
          <cell r="AW3366">
            <v>400</v>
          </cell>
        </row>
        <row r="3367">
          <cell r="B3367">
            <v>6854</v>
          </cell>
          <cell r="C3367" t="str">
            <v>UP_93_</v>
          </cell>
          <cell r="D3367" t="str">
            <v>Rancho Upácuaro No. 93</v>
          </cell>
          <cell r="E3367" t="str">
            <v>Valdés</v>
          </cell>
          <cell r="F3367">
            <v>300</v>
          </cell>
          <cell r="G3367">
            <v>1</v>
          </cell>
          <cell r="H3367">
            <v>400</v>
          </cell>
          <cell r="I3367">
            <v>41735</v>
          </cell>
          <cell r="J3367">
            <v>0</v>
          </cell>
          <cell r="W3367">
            <v>0</v>
          </cell>
          <cell r="AJ3367">
            <v>0</v>
          </cell>
          <cell r="AN3367">
            <v>400</v>
          </cell>
          <cell r="AW3367">
            <v>400</v>
          </cell>
        </row>
        <row r="3368">
          <cell r="B3368">
            <v>6855</v>
          </cell>
          <cell r="C3368" t="str">
            <v>EZ_151_</v>
          </cell>
          <cell r="D3368" t="str">
            <v>Rancho Estanzuela No. 151</v>
          </cell>
          <cell r="E3368" t="str">
            <v>Pérez Salazar</v>
          </cell>
          <cell r="F3368">
            <v>300</v>
          </cell>
          <cell r="G3368">
            <v>1</v>
          </cell>
          <cell r="H3368">
            <v>150</v>
          </cell>
          <cell r="I3368">
            <v>41735</v>
          </cell>
          <cell r="J3368">
            <v>0</v>
          </cell>
          <cell r="W3368">
            <v>0</v>
          </cell>
          <cell r="AJ3368">
            <v>0</v>
          </cell>
          <cell r="AN3368">
            <v>150</v>
          </cell>
          <cell r="AW3368">
            <v>150</v>
          </cell>
        </row>
        <row r="3369">
          <cell r="B3369">
            <v>6856</v>
          </cell>
          <cell r="C3369" t="str">
            <v>LD_65_</v>
          </cell>
          <cell r="D3369" t="str">
            <v>Rancho Landero No. 65</v>
          </cell>
          <cell r="E3369" t="str">
            <v>Alpizar</v>
          </cell>
          <cell r="F3369">
            <v>300</v>
          </cell>
          <cell r="G3369">
            <v>1</v>
          </cell>
          <cell r="H3369">
            <v>400</v>
          </cell>
          <cell r="I3369">
            <v>41735</v>
          </cell>
          <cell r="J3369">
            <v>0</v>
          </cell>
          <cell r="W3369">
            <v>0</v>
          </cell>
          <cell r="AJ3369">
            <v>0</v>
          </cell>
          <cell r="AN3369">
            <v>400</v>
          </cell>
          <cell r="AW3369">
            <v>400</v>
          </cell>
        </row>
        <row r="3370">
          <cell r="B3370">
            <v>6857</v>
          </cell>
          <cell r="C3370" t="str">
            <v>ZB_36_</v>
          </cell>
          <cell r="D3370" t="str">
            <v>Rancho Zinamba No. 36</v>
          </cell>
          <cell r="E3370" t="str">
            <v>Rodríguez Ortiz</v>
          </cell>
          <cell r="F3370">
            <v>300</v>
          </cell>
          <cell r="G3370">
            <v>1</v>
          </cell>
          <cell r="H3370">
            <v>400</v>
          </cell>
          <cell r="I3370">
            <v>41735</v>
          </cell>
          <cell r="J3370">
            <v>0</v>
          </cell>
          <cell r="W3370">
            <v>0</v>
          </cell>
          <cell r="AJ3370">
            <v>0</v>
          </cell>
          <cell r="AN3370">
            <v>400</v>
          </cell>
          <cell r="AW3370">
            <v>400</v>
          </cell>
        </row>
        <row r="3371">
          <cell r="B3371">
            <v>6858</v>
          </cell>
          <cell r="C3371" t="str">
            <v>CL_43_B</v>
          </cell>
          <cell r="D3371" t="str">
            <v>Rancho La Cuchilla No. 43, B</v>
          </cell>
          <cell r="E3371" t="str">
            <v>Luna Albertano</v>
          </cell>
          <cell r="F3371">
            <v>125</v>
          </cell>
          <cell r="G3371">
            <v>1</v>
          </cell>
          <cell r="H3371">
            <v>125</v>
          </cell>
          <cell r="I3371">
            <v>41735</v>
          </cell>
          <cell r="J3371">
            <v>0</v>
          </cell>
          <cell r="W3371">
            <v>0</v>
          </cell>
          <cell r="AJ3371">
            <v>0</v>
          </cell>
          <cell r="AN3371">
            <v>125</v>
          </cell>
          <cell r="AW3371">
            <v>125</v>
          </cell>
        </row>
        <row r="3372">
          <cell r="B3372">
            <v>6859</v>
          </cell>
          <cell r="C3372" t="str">
            <v>UP_65_</v>
          </cell>
          <cell r="D3372" t="str">
            <v>Rancho Upácuaro No. 65</v>
          </cell>
          <cell r="E3372" t="str">
            <v>Olguín</v>
          </cell>
          <cell r="F3372">
            <v>300</v>
          </cell>
          <cell r="G3372">
            <v>1</v>
          </cell>
          <cell r="H3372">
            <v>300</v>
          </cell>
          <cell r="I3372">
            <v>41735</v>
          </cell>
          <cell r="J3372">
            <v>0</v>
          </cell>
          <cell r="W3372">
            <v>0</v>
          </cell>
          <cell r="AJ3372">
            <v>0</v>
          </cell>
          <cell r="AN3372">
            <v>300</v>
          </cell>
          <cell r="AW3372">
            <v>300</v>
          </cell>
        </row>
        <row r="3373">
          <cell r="B3373">
            <v>6860</v>
          </cell>
          <cell r="C3373" t="str">
            <v>EZ_73_</v>
          </cell>
          <cell r="D3373" t="str">
            <v>Rancho Estanzuela No. 73</v>
          </cell>
          <cell r="E3373" t="str">
            <v>Salcedo García</v>
          </cell>
          <cell r="F3373">
            <v>300</v>
          </cell>
          <cell r="G3373">
            <v>1</v>
          </cell>
          <cell r="H3373">
            <v>1600</v>
          </cell>
          <cell r="I3373">
            <v>41735</v>
          </cell>
          <cell r="J3373">
            <v>0</v>
          </cell>
          <cell r="W3373">
            <v>0</v>
          </cell>
          <cell r="AJ3373">
            <v>0</v>
          </cell>
          <cell r="AK3373">
            <v>400</v>
          </cell>
          <cell r="AL3373">
            <v>400</v>
          </cell>
          <cell r="AM3373">
            <v>400</v>
          </cell>
          <cell r="AN3373">
            <v>400</v>
          </cell>
          <cell r="AW3373">
            <v>1600</v>
          </cell>
        </row>
        <row r="3374">
          <cell r="B3374">
            <v>6861</v>
          </cell>
          <cell r="D3374" t="str">
            <v/>
          </cell>
          <cell r="E3374" t="str">
            <v/>
          </cell>
          <cell r="F3374" t="str">
            <v/>
          </cell>
          <cell r="G3374">
            <v>8</v>
          </cell>
          <cell r="I3374">
            <v>41735</v>
          </cell>
          <cell r="J3374" t="str">
            <v>NO SUMA</v>
          </cell>
          <cell r="W3374">
            <v>0</v>
          </cell>
          <cell r="AJ3374">
            <v>0</v>
          </cell>
          <cell r="AW3374">
            <v>0</v>
          </cell>
        </row>
        <row r="3375">
          <cell r="B3375">
            <v>6862</v>
          </cell>
          <cell r="C3375" t="str">
            <v>LD_31_</v>
          </cell>
          <cell r="D3375" t="str">
            <v>Rancho Landero No. 31</v>
          </cell>
          <cell r="E3375" t="str">
            <v>Díaz Hernández</v>
          </cell>
          <cell r="F3375">
            <v>200</v>
          </cell>
          <cell r="G3375">
            <v>1</v>
          </cell>
          <cell r="H3375">
            <v>200</v>
          </cell>
          <cell r="I3375">
            <v>41735</v>
          </cell>
          <cell r="J3375">
            <v>0</v>
          </cell>
          <cell r="W3375">
            <v>0</v>
          </cell>
          <cell r="AJ3375">
            <v>0</v>
          </cell>
          <cell r="AN3375">
            <v>200</v>
          </cell>
          <cell r="AW3375">
            <v>200</v>
          </cell>
        </row>
        <row r="3376">
          <cell r="B3376">
            <v>6863</v>
          </cell>
          <cell r="C3376" t="str">
            <v>LD_99_</v>
          </cell>
          <cell r="D3376" t="str">
            <v>Rancho Landero No. 99</v>
          </cell>
          <cell r="E3376" t="str">
            <v>Rangel</v>
          </cell>
          <cell r="F3376">
            <v>300</v>
          </cell>
          <cell r="G3376">
            <v>1</v>
          </cell>
          <cell r="H3376">
            <v>300</v>
          </cell>
          <cell r="I3376">
            <v>41735</v>
          </cell>
          <cell r="J3376">
            <v>0</v>
          </cell>
          <cell r="W3376">
            <v>0</v>
          </cell>
          <cell r="AJ3376">
            <v>0</v>
          </cell>
          <cell r="AN3376">
            <v>300</v>
          </cell>
          <cell r="AW3376">
            <v>300</v>
          </cell>
        </row>
        <row r="3377">
          <cell r="B3377">
            <v>6864</v>
          </cell>
          <cell r="C3377" t="str">
            <v>CL_111_</v>
          </cell>
          <cell r="D3377" t="str">
            <v>Rancho La Cuchilla No. 111</v>
          </cell>
          <cell r="E3377" t="str">
            <v>García Santos Ofelia</v>
          </cell>
          <cell r="F3377">
            <v>150</v>
          </cell>
          <cell r="G3377">
            <v>1</v>
          </cell>
          <cell r="H3377">
            <v>200</v>
          </cell>
          <cell r="I3377">
            <v>41735</v>
          </cell>
          <cell r="J3377">
            <v>0</v>
          </cell>
          <cell r="W3377">
            <v>0</v>
          </cell>
          <cell r="AJ3377">
            <v>0</v>
          </cell>
          <cell r="AN3377">
            <v>200</v>
          </cell>
          <cell r="AW3377">
            <v>200</v>
          </cell>
        </row>
        <row r="3378">
          <cell r="B3378">
            <v>6865</v>
          </cell>
          <cell r="C3378" t="str">
            <v>LD_61_</v>
          </cell>
          <cell r="D3378" t="str">
            <v>Rancho Landero No. 61</v>
          </cell>
          <cell r="E3378" t="str">
            <v>Miramontes Pérez</v>
          </cell>
          <cell r="F3378">
            <v>300</v>
          </cell>
          <cell r="G3378">
            <v>1</v>
          </cell>
          <cell r="H3378">
            <v>400</v>
          </cell>
          <cell r="I3378">
            <v>41735</v>
          </cell>
          <cell r="J3378">
            <v>0</v>
          </cell>
          <cell r="W3378">
            <v>0</v>
          </cell>
          <cell r="AJ3378">
            <v>0</v>
          </cell>
          <cell r="AK3378">
            <v>400</v>
          </cell>
          <cell r="AN3378">
            <v>0</v>
          </cell>
          <cell r="AW3378">
            <v>400</v>
          </cell>
        </row>
        <row r="3379">
          <cell r="B3379">
            <v>6866</v>
          </cell>
          <cell r="C3379" t="str">
            <v>UP_104_</v>
          </cell>
          <cell r="D3379" t="str">
            <v>Rancho Upácuaro No. 104</v>
          </cell>
          <cell r="E3379" t="str">
            <v>Jiménez Almazo</v>
          </cell>
          <cell r="F3379">
            <v>300</v>
          </cell>
          <cell r="G3379">
            <v>1</v>
          </cell>
          <cell r="H3379">
            <v>400</v>
          </cell>
          <cell r="I3379">
            <v>41735</v>
          </cell>
          <cell r="J3379">
            <v>0</v>
          </cell>
          <cell r="W3379">
            <v>0</v>
          </cell>
          <cell r="AJ3379">
            <v>0</v>
          </cell>
          <cell r="AM3379">
            <v>400</v>
          </cell>
          <cell r="AW3379">
            <v>400</v>
          </cell>
        </row>
        <row r="3380">
          <cell r="B3380">
            <v>6867</v>
          </cell>
          <cell r="C3380" t="str">
            <v>UP_76_</v>
          </cell>
          <cell r="D3380" t="str">
            <v>Rancho Upácuaro No. 76</v>
          </cell>
          <cell r="E3380" t="str">
            <v>Ruiz de San Pedro</v>
          </cell>
          <cell r="F3380">
            <v>300</v>
          </cell>
          <cell r="G3380">
            <v>1</v>
          </cell>
          <cell r="H3380">
            <v>400</v>
          </cell>
          <cell r="I3380">
            <v>41735</v>
          </cell>
          <cell r="J3380">
            <v>0</v>
          </cell>
          <cell r="W3380">
            <v>0</v>
          </cell>
          <cell r="AJ3380">
            <v>0</v>
          </cell>
          <cell r="AN3380">
            <v>400</v>
          </cell>
          <cell r="AW3380">
            <v>400</v>
          </cell>
        </row>
        <row r="3381">
          <cell r="B3381">
            <v>6868</v>
          </cell>
          <cell r="C3381" t="str">
            <v>EZ_31_</v>
          </cell>
          <cell r="D3381" t="str">
            <v>Rancho Estanzuela No. 31</v>
          </cell>
          <cell r="E3381" t="str">
            <v>Chávez Valdés</v>
          </cell>
          <cell r="F3381">
            <v>300</v>
          </cell>
          <cell r="G3381">
            <v>1</v>
          </cell>
          <cell r="H3381">
            <v>400</v>
          </cell>
          <cell r="I3381">
            <v>41735</v>
          </cell>
          <cell r="J3381">
            <v>0</v>
          </cell>
          <cell r="W3381">
            <v>0</v>
          </cell>
          <cell r="AJ3381">
            <v>0</v>
          </cell>
          <cell r="AM3381">
            <v>400</v>
          </cell>
          <cell r="AW3381">
            <v>400</v>
          </cell>
        </row>
        <row r="3382">
          <cell r="B3382">
            <v>6869</v>
          </cell>
          <cell r="C3382" t="str">
            <v>CL_40_</v>
          </cell>
          <cell r="D3382" t="str">
            <v>Rancho La Cuchilla No. 40</v>
          </cell>
          <cell r="E3382" t="str">
            <v>López Pico</v>
          </cell>
          <cell r="F3382">
            <v>300</v>
          </cell>
          <cell r="G3382">
            <v>1</v>
          </cell>
          <cell r="H3382">
            <v>400</v>
          </cell>
          <cell r="I3382">
            <v>41735</v>
          </cell>
          <cell r="J3382">
            <v>0</v>
          </cell>
          <cell r="W3382">
            <v>0</v>
          </cell>
          <cell r="AJ3382">
            <v>0</v>
          </cell>
          <cell r="AN3382">
            <v>400</v>
          </cell>
          <cell r="AW3382">
            <v>400</v>
          </cell>
        </row>
        <row r="3383">
          <cell r="B3383">
            <v>6870</v>
          </cell>
          <cell r="C3383" t="str">
            <v>LD_91_</v>
          </cell>
          <cell r="D3383" t="str">
            <v>Rancho Landero No. 91</v>
          </cell>
          <cell r="E3383" t="str">
            <v>Llaca</v>
          </cell>
          <cell r="F3383">
            <v>300</v>
          </cell>
          <cell r="G3383">
            <v>1</v>
          </cell>
          <cell r="H3383">
            <v>400</v>
          </cell>
          <cell r="I3383">
            <v>41735</v>
          </cell>
          <cell r="J3383">
            <v>0</v>
          </cell>
          <cell r="W3383">
            <v>0</v>
          </cell>
          <cell r="AJ3383">
            <v>0</v>
          </cell>
          <cell r="AN3383">
            <v>400</v>
          </cell>
          <cell r="AW3383">
            <v>400</v>
          </cell>
        </row>
        <row r="3384">
          <cell r="B3384">
            <v>6871</v>
          </cell>
          <cell r="C3384" t="str">
            <v>CL_112_PB</v>
          </cell>
          <cell r="D3384" t="str">
            <v>Rancho La Cuchilla No. 112, PB</v>
          </cell>
          <cell r="E3384" t="str">
            <v>Soreque</v>
          </cell>
          <cell r="F3384">
            <v>150</v>
          </cell>
          <cell r="G3384">
            <v>1</v>
          </cell>
          <cell r="H3384">
            <v>150</v>
          </cell>
          <cell r="I3384">
            <v>41735</v>
          </cell>
          <cell r="J3384">
            <v>0</v>
          </cell>
          <cell r="W3384">
            <v>0</v>
          </cell>
          <cell r="AJ3384">
            <v>0</v>
          </cell>
          <cell r="AN3384">
            <v>150</v>
          </cell>
          <cell r="AW3384">
            <v>150</v>
          </cell>
        </row>
        <row r="3385">
          <cell r="B3385">
            <v>6871</v>
          </cell>
          <cell r="C3385" t="str">
            <v>CL_112_PB</v>
          </cell>
          <cell r="D3385" t="str">
            <v>Rancho La Cuchilla No. 112, PB</v>
          </cell>
          <cell r="E3385" t="str">
            <v>Soreque</v>
          </cell>
          <cell r="F3385">
            <v>150</v>
          </cell>
          <cell r="G3385">
            <v>3</v>
          </cell>
          <cell r="H3385">
            <v>160</v>
          </cell>
          <cell r="I3385">
            <v>41735</v>
          </cell>
          <cell r="J3385" t="str">
            <v>NO SUMA</v>
          </cell>
          <cell r="W3385">
            <v>0</v>
          </cell>
          <cell r="AJ3385">
            <v>0</v>
          </cell>
          <cell r="AW3385">
            <v>0</v>
          </cell>
        </row>
        <row r="3386">
          <cell r="B3386">
            <v>6872</v>
          </cell>
          <cell r="C3386" t="str">
            <v>LD_83_</v>
          </cell>
          <cell r="D3386" t="str">
            <v>Rancho Landero No. 83</v>
          </cell>
          <cell r="E3386" t="str">
            <v>Aguilar</v>
          </cell>
          <cell r="F3386">
            <v>300</v>
          </cell>
          <cell r="G3386">
            <v>1</v>
          </cell>
          <cell r="H3386">
            <v>350</v>
          </cell>
          <cell r="I3386">
            <v>41735</v>
          </cell>
          <cell r="J3386">
            <v>0</v>
          </cell>
          <cell r="W3386">
            <v>0</v>
          </cell>
          <cell r="AJ3386">
            <v>0</v>
          </cell>
          <cell r="AN3386">
            <v>350</v>
          </cell>
          <cell r="AW3386">
            <v>350</v>
          </cell>
        </row>
        <row r="3387">
          <cell r="B3387">
            <v>6873</v>
          </cell>
          <cell r="C3387" t="str">
            <v>UP_23_</v>
          </cell>
          <cell r="D3387" t="str">
            <v>Rancho Upácuaro No. 23</v>
          </cell>
          <cell r="E3387" t="str">
            <v>Arredondo</v>
          </cell>
          <cell r="F3387">
            <v>300</v>
          </cell>
          <cell r="G3387">
            <v>1</v>
          </cell>
          <cell r="H3387">
            <v>350</v>
          </cell>
          <cell r="I3387">
            <v>41735</v>
          </cell>
          <cell r="J3387">
            <v>0</v>
          </cell>
          <cell r="W3387">
            <v>0</v>
          </cell>
          <cell r="AJ3387">
            <v>0</v>
          </cell>
          <cell r="AN3387">
            <v>350</v>
          </cell>
          <cell r="AW3387">
            <v>350</v>
          </cell>
        </row>
        <row r="3388">
          <cell r="B3388">
            <v>6874</v>
          </cell>
          <cell r="C3388" t="str">
            <v>LD_81_</v>
          </cell>
          <cell r="D3388" t="str">
            <v>Rancho Landero No. 81</v>
          </cell>
          <cell r="E3388" t="str">
            <v>Cebrían Saldaña</v>
          </cell>
          <cell r="F3388">
            <v>300</v>
          </cell>
          <cell r="G3388">
            <v>1</v>
          </cell>
          <cell r="H3388">
            <v>200</v>
          </cell>
          <cell r="I3388">
            <v>41735</v>
          </cell>
          <cell r="J3388">
            <v>0</v>
          </cell>
          <cell r="W3388">
            <v>0</v>
          </cell>
          <cell r="AJ3388">
            <v>0</v>
          </cell>
          <cell r="AN3388">
            <v>200</v>
          </cell>
          <cell r="AW3388">
            <v>200</v>
          </cell>
        </row>
        <row r="3389">
          <cell r="B3389">
            <v>6875</v>
          </cell>
          <cell r="C3389" t="str">
            <v>CL_68_</v>
          </cell>
          <cell r="D3389" t="str">
            <v>Rancho La Cuchilla No. 68</v>
          </cell>
          <cell r="E3389" t="str">
            <v>Montesinos</v>
          </cell>
          <cell r="F3389">
            <v>300</v>
          </cell>
          <cell r="G3389">
            <v>1</v>
          </cell>
          <cell r="H3389">
            <v>200</v>
          </cell>
          <cell r="I3389">
            <v>41735</v>
          </cell>
          <cell r="J3389">
            <v>0</v>
          </cell>
          <cell r="W3389">
            <v>0</v>
          </cell>
          <cell r="AJ3389">
            <v>0</v>
          </cell>
          <cell r="AN3389">
            <v>200</v>
          </cell>
          <cell r="AW3389">
            <v>200</v>
          </cell>
        </row>
        <row r="3390">
          <cell r="B3390">
            <v>6876</v>
          </cell>
          <cell r="C3390" t="str">
            <v>CL_82_</v>
          </cell>
          <cell r="D3390" t="str">
            <v>Rancho La Cuchilla No. 82</v>
          </cell>
          <cell r="E3390" t="str">
            <v>Cruz</v>
          </cell>
          <cell r="F3390">
            <v>300</v>
          </cell>
          <cell r="G3390">
            <v>1</v>
          </cell>
          <cell r="H3390">
            <v>800</v>
          </cell>
          <cell r="I3390">
            <v>41735</v>
          </cell>
          <cell r="J3390">
            <v>0</v>
          </cell>
          <cell r="W3390">
            <v>0</v>
          </cell>
          <cell r="AJ3390">
            <v>0</v>
          </cell>
          <cell r="AM3390">
            <v>400</v>
          </cell>
          <cell r="AN3390">
            <v>400</v>
          </cell>
          <cell r="AW3390">
            <v>800</v>
          </cell>
        </row>
        <row r="3391">
          <cell r="B3391">
            <v>6877</v>
          </cell>
          <cell r="C3391" t="str">
            <v>CL_72_</v>
          </cell>
          <cell r="D3391" t="str">
            <v>Rancho La Cuchilla No. 72</v>
          </cell>
          <cell r="E3391" t="str">
            <v>Ortiz González</v>
          </cell>
          <cell r="F3391">
            <v>300</v>
          </cell>
          <cell r="G3391">
            <v>1</v>
          </cell>
          <cell r="H3391">
            <v>400</v>
          </cell>
          <cell r="I3391">
            <v>41735</v>
          </cell>
          <cell r="J3391">
            <v>0</v>
          </cell>
          <cell r="W3391">
            <v>0</v>
          </cell>
          <cell r="AJ3391">
            <v>0</v>
          </cell>
          <cell r="AN3391">
            <v>400</v>
          </cell>
          <cell r="AW3391">
            <v>400</v>
          </cell>
        </row>
        <row r="3392">
          <cell r="B3392">
            <v>6878</v>
          </cell>
          <cell r="C3392" t="str">
            <v>UP_140_</v>
          </cell>
          <cell r="D3392" t="str">
            <v>Rancho Upácuaro No. 140</v>
          </cell>
          <cell r="E3392" t="str">
            <v>Gozain</v>
          </cell>
          <cell r="F3392">
            <v>300</v>
          </cell>
          <cell r="G3392">
            <v>1</v>
          </cell>
          <cell r="H3392">
            <v>400</v>
          </cell>
          <cell r="I3392">
            <v>41735</v>
          </cell>
          <cell r="J3392">
            <v>0</v>
          </cell>
          <cell r="W3392">
            <v>0</v>
          </cell>
          <cell r="AJ3392">
            <v>0</v>
          </cell>
          <cell r="AN3392">
            <v>400</v>
          </cell>
          <cell r="AW3392">
            <v>400</v>
          </cell>
        </row>
        <row r="3393">
          <cell r="B3393">
            <v>6879</v>
          </cell>
          <cell r="C3393" t="str">
            <v>CL_41_</v>
          </cell>
          <cell r="D3393" t="str">
            <v>Rancho La Cuchilla No. 41</v>
          </cell>
          <cell r="E3393" t="str">
            <v>Arriaga Lemus</v>
          </cell>
          <cell r="F3393">
            <v>250</v>
          </cell>
          <cell r="G3393">
            <v>1</v>
          </cell>
          <cell r="H3393">
            <v>400</v>
          </cell>
          <cell r="I3393">
            <v>41735</v>
          </cell>
          <cell r="J3393">
            <v>0</v>
          </cell>
          <cell r="W3393">
            <v>0</v>
          </cell>
          <cell r="AJ3393">
            <v>0</v>
          </cell>
          <cell r="AN3393">
            <v>400</v>
          </cell>
          <cell r="AW3393">
            <v>400</v>
          </cell>
        </row>
        <row r="3394">
          <cell r="B3394">
            <v>6880</v>
          </cell>
          <cell r="C3394" t="str">
            <v>ZB_68_</v>
          </cell>
          <cell r="D3394" t="str">
            <v>Rancho Zinamba No. 68</v>
          </cell>
          <cell r="E3394" t="str">
            <v>Rivera Villicaña</v>
          </cell>
          <cell r="F3394">
            <v>300</v>
          </cell>
          <cell r="G3394">
            <v>1</v>
          </cell>
          <cell r="H3394">
            <v>300</v>
          </cell>
          <cell r="I3394">
            <v>41735</v>
          </cell>
          <cell r="J3394">
            <v>0</v>
          </cell>
          <cell r="W3394">
            <v>0</v>
          </cell>
          <cell r="AJ3394">
            <v>0</v>
          </cell>
          <cell r="AN3394">
            <v>300</v>
          </cell>
          <cell r="AW3394">
            <v>300</v>
          </cell>
        </row>
        <row r="3395">
          <cell r="B3395">
            <v>6881</v>
          </cell>
          <cell r="C3395" t="str">
            <v>LD_42_</v>
          </cell>
          <cell r="D3395" t="str">
            <v>Rancho Landero No. 42</v>
          </cell>
          <cell r="E3395" t="str">
            <v>Ávila Fidel</v>
          </cell>
          <cell r="F3395">
            <v>300</v>
          </cell>
          <cell r="G3395">
            <v>1</v>
          </cell>
          <cell r="H3395">
            <v>400</v>
          </cell>
          <cell r="I3395">
            <v>41735</v>
          </cell>
          <cell r="J3395">
            <v>0</v>
          </cell>
          <cell r="W3395">
            <v>0</v>
          </cell>
          <cell r="AJ3395">
            <v>0</v>
          </cell>
          <cell r="AN3395">
            <v>400</v>
          </cell>
          <cell r="AW3395">
            <v>400</v>
          </cell>
        </row>
        <row r="3396">
          <cell r="B3396">
            <v>6882</v>
          </cell>
          <cell r="C3396" t="str">
            <v>CL_87_</v>
          </cell>
          <cell r="D3396" t="str">
            <v>Rancho La Cuchilla No. 87</v>
          </cell>
          <cell r="E3396" t="str">
            <v>Villanueva S.</v>
          </cell>
          <cell r="F3396">
            <v>300</v>
          </cell>
          <cell r="G3396">
            <v>1</v>
          </cell>
          <cell r="H3396">
            <v>400</v>
          </cell>
          <cell r="I3396">
            <v>41735</v>
          </cell>
          <cell r="J3396">
            <v>0</v>
          </cell>
          <cell r="W3396">
            <v>0</v>
          </cell>
          <cell r="AJ3396">
            <v>0</v>
          </cell>
          <cell r="AN3396">
            <v>400</v>
          </cell>
          <cell r="AW3396">
            <v>400</v>
          </cell>
        </row>
        <row r="3397">
          <cell r="B3397">
            <v>6883</v>
          </cell>
          <cell r="C3397" t="str">
            <v>CL_33_</v>
          </cell>
          <cell r="D3397" t="str">
            <v>Rancho La Cuchilla No. 33</v>
          </cell>
          <cell r="E3397" t="str">
            <v>Tanús</v>
          </cell>
          <cell r="F3397">
            <v>300</v>
          </cell>
          <cell r="G3397">
            <v>1</v>
          </cell>
          <cell r="H3397">
            <v>400</v>
          </cell>
          <cell r="I3397">
            <v>41735</v>
          </cell>
          <cell r="J3397">
            <v>0</v>
          </cell>
          <cell r="W3397">
            <v>0</v>
          </cell>
          <cell r="AJ3397">
            <v>0</v>
          </cell>
          <cell r="AN3397">
            <v>400</v>
          </cell>
          <cell r="AW3397">
            <v>400</v>
          </cell>
        </row>
        <row r="3398">
          <cell r="B3398">
            <v>6884</v>
          </cell>
          <cell r="C3398" t="str">
            <v>UP_32_</v>
          </cell>
          <cell r="D3398" t="str">
            <v>Rancho Upácuaro No. 32</v>
          </cell>
          <cell r="E3398" t="str">
            <v>Sairafi Carmen</v>
          </cell>
          <cell r="F3398">
            <v>300</v>
          </cell>
          <cell r="G3398">
            <v>1</v>
          </cell>
          <cell r="H3398">
            <v>400</v>
          </cell>
          <cell r="I3398">
            <v>41735</v>
          </cell>
          <cell r="J3398">
            <v>0</v>
          </cell>
          <cell r="W3398">
            <v>0</v>
          </cell>
          <cell r="AJ3398">
            <v>0</v>
          </cell>
          <cell r="AN3398">
            <v>400</v>
          </cell>
          <cell r="AW3398">
            <v>400</v>
          </cell>
        </row>
        <row r="3399">
          <cell r="B3399">
            <v>6885</v>
          </cell>
          <cell r="C3399" t="str">
            <v>CL_75_</v>
          </cell>
          <cell r="D3399" t="str">
            <v>Rancho La Cuchilla No. 75</v>
          </cell>
          <cell r="E3399" t="str">
            <v>Sosa Lucio</v>
          </cell>
          <cell r="F3399">
            <v>300</v>
          </cell>
          <cell r="G3399">
            <v>1</v>
          </cell>
          <cell r="H3399">
            <v>800</v>
          </cell>
          <cell r="I3399">
            <v>41735</v>
          </cell>
          <cell r="J3399">
            <v>0</v>
          </cell>
          <cell r="W3399">
            <v>0</v>
          </cell>
          <cell r="AJ3399">
            <v>0</v>
          </cell>
          <cell r="AK3399">
            <v>400</v>
          </cell>
          <cell r="AL3399">
            <v>400</v>
          </cell>
          <cell r="AW3399">
            <v>800</v>
          </cell>
        </row>
        <row r="3400">
          <cell r="B3400">
            <v>6886</v>
          </cell>
          <cell r="C3400" t="str">
            <v>EZ_111_</v>
          </cell>
          <cell r="D3400" t="str">
            <v>Rancho Estanzuela No. 111</v>
          </cell>
          <cell r="E3400" t="str">
            <v>Flores Pérez</v>
          </cell>
          <cell r="F3400">
            <v>300</v>
          </cell>
          <cell r="G3400">
            <v>1</v>
          </cell>
          <cell r="H3400">
            <v>400</v>
          </cell>
          <cell r="I3400">
            <v>41735</v>
          </cell>
          <cell r="J3400">
            <v>0</v>
          </cell>
          <cell r="W3400">
            <v>0</v>
          </cell>
          <cell r="AJ3400">
            <v>0</v>
          </cell>
          <cell r="AM3400">
            <v>400</v>
          </cell>
          <cell r="AW3400">
            <v>400</v>
          </cell>
        </row>
        <row r="3401">
          <cell r="B3401">
            <v>6887</v>
          </cell>
          <cell r="C3401" t="str">
            <v>UP_96_</v>
          </cell>
          <cell r="D3401" t="str">
            <v>Rancho Upácuaro No. 96</v>
          </cell>
          <cell r="E3401" t="str">
            <v>Daza Gutiérrez</v>
          </cell>
          <cell r="F3401">
            <v>300</v>
          </cell>
          <cell r="G3401">
            <v>1</v>
          </cell>
          <cell r="H3401">
            <v>1200</v>
          </cell>
          <cell r="I3401">
            <v>41735</v>
          </cell>
          <cell r="J3401">
            <v>0</v>
          </cell>
          <cell r="W3401">
            <v>0</v>
          </cell>
          <cell r="AJ3401">
            <v>0</v>
          </cell>
          <cell r="AL3401">
            <v>400</v>
          </cell>
          <cell r="AM3401">
            <v>400</v>
          </cell>
          <cell r="AN3401">
            <v>400</v>
          </cell>
          <cell r="AW3401">
            <v>1200</v>
          </cell>
        </row>
        <row r="3402">
          <cell r="B3402">
            <v>6888</v>
          </cell>
          <cell r="C3402" t="str">
            <v>ZB_62_</v>
          </cell>
          <cell r="D3402" t="str">
            <v>Rancho Zinamba No. 62</v>
          </cell>
          <cell r="E3402" t="str">
            <v>Martínez León</v>
          </cell>
          <cell r="F3402">
            <v>250</v>
          </cell>
          <cell r="G3402">
            <v>1</v>
          </cell>
          <cell r="H3402">
            <v>500</v>
          </cell>
          <cell r="I3402">
            <v>41735</v>
          </cell>
          <cell r="J3402">
            <v>0</v>
          </cell>
          <cell r="W3402">
            <v>0</v>
          </cell>
          <cell r="AJ3402">
            <v>0</v>
          </cell>
          <cell r="AM3402">
            <v>250</v>
          </cell>
          <cell r="AN3402">
            <v>250</v>
          </cell>
          <cell r="AW3402">
            <v>500</v>
          </cell>
        </row>
        <row r="3403">
          <cell r="B3403">
            <v>6889</v>
          </cell>
          <cell r="C3403" t="str">
            <v>EZ_55_</v>
          </cell>
          <cell r="D3403" t="str">
            <v>Rancho Estanzuela No. 55</v>
          </cell>
          <cell r="E3403" t="str">
            <v>Rodríguez Acevedo</v>
          </cell>
          <cell r="F3403">
            <v>300</v>
          </cell>
          <cell r="G3403">
            <v>1</v>
          </cell>
          <cell r="H3403">
            <v>400</v>
          </cell>
          <cell r="I3403">
            <v>41735</v>
          </cell>
          <cell r="J3403">
            <v>0</v>
          </cell>
          <cell r="W3403">
            <v>0</v>
          </cell>
          <cell r="AJ3403">
            <v>0</v>
          </cell>
          <cell r="AN3403">
            <v>400</v>
          </cell>
          <cell r="AW3403">
            <v>400</v>
          </cell>
        </row>
        <row r="3404">
          <cell r="B3404">
            <v>6890</v>
          </cell>
          <cell r="C3404" t="str">
            <v>UP_37_</v>
          </cell>
          <cell r="D3404" t="str">
            <v>Rancho Upácuaro No. 37</v>
          </cell>
          <cell r="E3404" t="str">
            <v>García Valdés</v>
          </cell>
          <cell r="F3404">
            <v>300</v>
          </cell>
          <cell r="G3404">
            <v>1</v>
          </cell>
          <cell r="H3404">
            <v>800</v>
          </cell>
          <cell r="I3404">
            <v>41735</v>
          </cell>
          <cell r="J3404">
            <v>0</v>
          </cell>
          <cell r="W3404">
            <v>0</v>
          </cell>
          <cell r="AJ3404">
            <v>0</v>
          </cell>
          <cell r="AM3404">
            <v>400</v>
          </cell>
          <cell r="AN3404">
            <v>400</v>
          </cell>
          <cell r="AW3404">
            <v>800</v>
          </cell>
        </row>
        <row r="3405">
          <cell r="B3405">
            <v>6891</v>
          </cell>
          <cell r="C3405" t="str">
            <v>CL_36_</v>
          </cell>
          <cell r="D3405" t="str">
            <v>Rancho La Cuchilla No. 36</v>
          </cell>
          <cell r="E3405" t="str">
            <v>Castillo</v>
          </cell>
          <cell r="F3405">
            <v>300</v>
          </cell>
          <cell r="G3405">
            <v>1</v>
          </cell>
          <cell r="H3405">
            <v>400</v>
          </cell>
          <cell r="I3405">
            <v>41735</v>
          </cell>
          <cell r="J3405">
            <v>0</v>
          </cell>
          <cell r="W3405">
            <v>0</v>
          </cell>
          <cell r="AJ3405">
            <v>0</v>
          </cell>
          <cell r="AN3405">
            <v>400</v>
          </cell>
          <cell r="AW3405">
            <v>400</v>
          </cell>
        </row>
        <row r="3406">
          <cell r="B3406">
            <v>6892</v>
          </cell>
          <cell r="C3406" t="str">
            <v>UP_18_</v>
          </cell>
          <cell r="D3406" t="str">
            <v>Rancho Upácuaro No. 18</v>
          </cell>
          <cell r="E3406" t="str">
            <v>Guzmán</v>
          </cell>
          <cell r="F3406">
            <v>300</v>
          </cell>
          <cell r="G3406">
            <v>1</v>
          </cell>
          <cell r="H3406">
            <v>300</v>
          </cell>
          <cell r="I3406">
            <v>41735</v>
          </cell>
          <cell r="J3406">
            <v>0</v>
          </cell>
          <cell r="W3406">
            <v>0</v>
          </cell>
          <cell r="AJ3406">
            <v>0</v>
          </cell>
          <cell r="AN3406">
            <v>300</v>
          </cell>
          <cell r="AW3406">
            <v>300</v>
          </cell>
        </row>
        <row r="3407">
          <cell r="B3407">
            <v>6893</v>
          </cell>
          <cell r="C3407" t="str">
            <v>EZ_159_</v>
          </cell>
          <cell r="D3407" t="str">
            <v>Rancho Estanzuela No. 159</v>
          </cell>
          <cell r="E3407" t="str">
            <v>Reyes Núñez</v>
          </cell>
          <cell r="F3407">
            <v>250</v>
          </cell>
          <cell r="G3407">
            <v>1</v>
          </cell>
          <cell r="H3407">
            <v>300</v>
          </cell>
          <cell r="I3407">
            <v>41735</v>
          </cell>
          <cell r="J3407">
            <v>0</v>
          </cell>
          <cell r="W3407">
            <v>0</v>
          </cell>
          <cell r="AJ3407">
            <v>0</v>
          </cell>
          <cell r="AN3407">
            <v>300</v>
          </cell>
          <cell r="AW3407">
            <v>300</v>
          </cell>
        </row>
        <row r="3408">
          <cell r="B3408">
            <v>6894</v>
          </cell>
          <cell r="C3408" t="str">
            <v>EZ_11_A</v>
          </cell>
          <cell r="D3408" t="str">
            <v>Rancho Estanzuela No. 11, A</v>
          </cell>
          <cell r="E3408" t="str">
            <v>Evans González</v>
          </cell>
          <cell r="F3408">
            <v>300</v>
          </cell>
          <cell r="G3408">
            <v>1</v>
          </cell>
          <cell r="H3408">
            <v>300</v>
          </cell>
          <cell r="I3408">
            <v>41735</v>
          </cell>
          <cell r="J3408">
            <v>0</v>
          </cell>
          <cell r="W3408">
            <v>0</v>
          </cell>
          <cell r="AJ3408">
            <v>0</v>
          </cell>
          <cell r="AN3408">
            <v>300</v>
          </cell>
          <cell r="AW3408">
            <v>300</v>
          </cell>
        </row>
        <row r="3409">
          <cell r="B3409">
            <v>6895</v>
          </cell>
          <cell r="C3409" t="str">
            <v>EP_18_</v>
          </cell>
          <cell r="D3409" t="str">
            <v>Rancho Estopila No. 18</v>
          </cell>
          <cell r="E3409" t="str">
            <v>Aguilar Zarmeño</v>
          </cell>
          <cell r="F3409">
            <v>300</v>
          </cell>
          <cell r="G3409">
            <v>1</v>
          </cell>
          <cell r="H3409">
            <v>400</v>
          </cell>
          <cell r="I3409">
            <v>41735</v>
          </cell>
          <cell r="J3409">
            <v>0</v>
          </cell>
          <cell r="W3409">
            <v>0</v>
          </cell>
          <cell r="AJ3409">
            <v>0</v>
          </cell>
          <cell r="AN3409">
            <v>400</v>
          </cell>
          <cell r="AW3409">
            <v>400</v>
          </cell>
        </row>
        <row r="3410">
          <cell r="B3410">
            <v>6896</v>
          </cell>
          <cell r="C3410" t="str">
            <v>UP_14_</v>
          </cell>
          <cell r="D3410" t="str">
            <v>Rancho Upácuaro No. 14</v>
          </cell>
          <cell r="E3410" t="str">
            <v>Guerrero</v>
          </cell>
          <cell r="F3410">
            <v>300</v>
          </cell>
          <cell r="G3410">
            <v>1</v>
          </cell>
          <cell r="H3410">
            <v>400</v>
          </cell>
          <cell r="I3410">
            <v>41737</v>
          </cell>
          <cell r="J3410">
            <v>0</v>
          </cell>
          <cell r="W3410">
            <v>0</v>
          </cell>
          <cell r="AJ3410">
            <v>0</v>
          </cell>
          <cell r="AN3410">
            <v>400</v>
          </cell>
          <cell r="AW3410">
            <v>400</v>
          </cell>
        </row>
        <row r="3411">
          <cell r="B3411">
            <v>6897</v>
          </cell>
          <cell r="C3411" t="str">
            <v>UP_14_</v>
          </cell>
          <cell r="D3411" t="str">
            <v>Rancho Upácuaro No. 14</v>
          </cell>
          <cell r="E3411" t="str">
            <v>Guerrero</v>
          </cell>
          <cell r="F3411">
            <v>300</v>
          </cell>
          <cell r="G3411">
            <v>3</v>
          </cell>
          <cell r="H3411">
            <v>320</v>
          </cell>
          <cell r="I3411">
            <v>41737</v>
          </cell>
          <cell r="J3411" t="str">
            <v>NO SUMA</v>
          </cell>
          <cell r="W3411">
            <v>0</v>
          </cell>
          <cell r="AJ3411">
            <v>0</v>
          </cell>
          <cell r="AW3411">
            <v>0</v>
          </cell>
        </row>
        <row r="3412">
          <cell r="B3412">
            <v>6898</v>
          </cell>
          <cell r="C3412" t="str">
            <v>LD_89_</v>
          </cell>
          <cell r="D3412" t="str">
            <v>Rancho Landero No. 89</v>
          </cell>
          <cell r="E3412" t="str">
            <v>Del Pozo Solís</v>
          </cell>
          <cell r="F3412">
            <v>300</v>
          </cell>
          <cell r="G3412">
            <v>1</v>
          </cell>
          <cell r="H3412">
            <v>300</v>
          </cell>
          <cell r="I3412">
            <v>41742</v>
          </cell>
          <cell r="J3412">
            <v>0</v>
          </cell>
          <cell r="W3412">
            <v>0</v>
          </cell>
          <cell r="AJ3412">
            <v>0</v>
          </cell>
          <cell r="AN3412">
            <v>300</v>
          </cell>
          <cell r="AW3412">
            <v>300</v>
          </cell>
        </row>
        <row r="3413">
          <cell r="B3413">
            <v>6898</v>
          </cell>
          <cell r="C3413" t="str">
            <v>LD_89_</v>
          </cell>
          <cell r="D3413" t="str">
            <v>Rancho Landero No. 89</v>
          </cell>
          <cell r="E3413" t="str">
            <v>Del Pozo Solís</v>
          </cell>
          <cell r="F3413">
            <v>300</v>
          </cell>
          <cell r="G3413">
            <v>4</v>
          </cell>
          <cell r="H3413">
            <v>160</v>
          </cell>
          <cell r="I3413">
            <v>41742</v>
          </cell>
          <cell r="J3413" t="str">
            <v>NO SUMA</v>
          </cell>
          <cell r="W3413">
            <v>0</v>
          </cell>
          <cell r="AJ3413">
            <v>0</v>
          </cell>
          <cell r="AW3413">
            <v>0</v>
          </cell>
        </row>
        <row r="3414">
          <cell r="B3414">
            <v>6899</v>
          </cell>
          <cell r="C3414" t="str">
            <v>CL_19_</v>
          </cell>
          <cell r="D3414" t="str">
            <v>Rancho La Cuchilla No. 19</v>
          </cell>
          <cell r="E3414" t="str">
            <v>Tapia Vázquez</v>
          </cell>
          <cell r="F3414">
            <v>300</v>
          </cell>
          <cell r="G3414">
            <v>1</v>
          </cell>
          <cell r="H3414">
            <v>300</v>
          </cell>
          <cell r="I3414">
            <v>41742</v>
          </cell>
          <cell r="J3414">
            <v>0</v>
          </cell>
          <cell r="W3414">
            <v>0</v>
          </cell>
          <cell r="AJ3414">
            <v>0</v>
          </cell>
          <cell r="AN3414">
            <v>300</v>
          </cell>
          <cell r="AW3414">
            <v>300</v>
          </cell>
        </row>
        <row r="3415">
          <cell r="B3415">
            <v>6900</v>
          </cell>
          <cell r="C3415" t="str">
            <v>CL_15_</v>
          </cell>
          <cell r="D3415" t="str">
            <v>Rancho La Cuchilla No. 15</v>
          </cell>
          <cell r="E3415" t="str">
            <v>Guerrero Ponce</v>
          </cell>
          <cell r="F3415">
            <v>300</v>
          </cell>
          <cell r="G3415">
            <v>1</v>
          </cell>
          <cell r="H3415">
            <v>300</v>
          </cell>
          <cell r="I3415">
            <v>41742</v>
          </cell>
          <cell r="J3415">
            <v>0</v>
          </cell>
          <cell r="W3415">
            <v>0</v>
          </cell>
          <cell r="AJ3415">
            <v>0</v>
          </cell>
          <cell r="AM3415">
            <v>300</v>
          </cell>
          <cell r="AW3415">
            <v>300</v>
          </cell>
        </row>
        <row r="3416">
          <cell r="B3416">
            <v>6901</v>
          </cell>
          <cell r="C3416" t="str">
            <v>CL_81_A</v>
          </cell>
          <cell r="D3416" t="str">
            <v>Rancho La Cuchilla No. 81, A</v>
          </cell>
          <cell r="E3416" t="str">
            <v>Barrientos López</v>
          </cell>
          <cell r="F3416">
            <v>300</v>
          </cell>
          <cell r="G3416">
            <v>1</v>
          </cell>
          <cell r="H3416">
            <v>400</v>
          </cell>
          <cell r="I3416">
            <v>41742</v>
          </cell>
          <cell r="J3416">
            <v>0</v>
          </cell>
          <cell r="W3416">
            <v>0</v>
          </cell>
          <cell r="AJ3416">
            <v>0</v>
          </cell>
          <cell r="AN3416">
            <v>400</v>
          </cell>
          <cell r="AW3416">
            <v>400</v>
          </cell>
        </row>
        <row r="3417">
          <cell r="B3417">
            <v>6902</v>
          </cell>
          <cell r="C3417" t="str">
            <v>UP_76_</v>
          </cell>
          <cell r="D3417" t="str">
            <v>Rancho Upácuaro No. 76</v>
          </cell>
          <cell r="E3417" t="str">
            <v>Ruiz de San Pedro</v>
          </cell>
          <cell r="F3417">
            <v>300</v>
          </cell>
          <cell r="G3417">
            <v>4</v>
          </cell>
          <cell r="H3417">
            <v>160</v>
          </cell>
          <cell r="I3417">
            <v>41742</v>
          </cell>
          <cell r="J3417" t="str">
            <v>NO SUMA</v>
          </cell>
          <cell r="W3417">
            <v>0</v>
          </cell>
          <cell r="AJ3417">
            <v>0</v>
          </cell>
          <cell r="AW3417">
            <v>0</v>
          </cell>
        </row>
        <row r="3418">
          <cell r="B3418">
            <v>6903</v>
          </cell>
          <cell r="C3418" t="str">
            <v>EZ_89_</v>
          </cell>
          <cell r="D3418" t="str">
            <v>Rancho Estanzuela No. 89</v>
          </cell>
          <cell r="E3418" t="str">
            <v>Romero Ortiz</v>
          </cell>
          <cell r="F3418">
            <v>300</v>
          </cell>
          <cell r="G3418">
            <v>1</v>
          </cell>
          <cell r="H3418">
            <v>400</v>
          </cell>
          <cell r="I3418">
            <v>41742</v>
          </cell>
          <cell r="J3418">
            <v>0</v>
          </cell>
          <cell r="W3418">
            <v>0</v>
          </cell>
          <cell r="AJ3418">
            <v>0</v>
          </cell>
          <cell r="AN3418">
            <v>400</v>
          </cell>
          <cell r="AW3418">
            <v>400</v>
          </cell>
        </row>
        <row r="3419">
          <cell r="B3419">
            <v>6903</v>
          </cell>
          <cell r="C3419" t="str">
            <v>EZ_89_</v>
          </cell>
          <cell r="D3419" t="str">
            <v>Rancho Estanzuela No. 89</v>
          </cell>
          <cell r="E3419" t="str">
            <v>Romero Ortiz</v>
          </cell>
          <cell r="F3419">
            <v>300</v>
          </cell>
          <cell r="G3419">
            <v>4</v>
          </cell>
          <cell r="H3419">
            <v>160</v>
          </cell>
          <cell r="I3419">
            <v>41742</v>
          </cell>
          <cell r="J3419" t="str">
            <v>NO SUMA</v>
          </cell>
          <cell r="W3419">
            <v>0</v>
          </cell>
          <cell r="AJ3419">
            <v>0</v>
          </cell>
          <cell r="AW3419">
            <v>0</v>
          </cell>
        </row>
        <row r="3420">
          <cell r="B3420">
            <v>6904</v>
          </cell>
          <cell r="C3420" t="str">
            <v>EZ_35_</v>
          </cell>
          <cell r="D3420" t="str">
            <v>Rancho Estanzuela No. 35</v>
          </cell>
          <cell r="E3420" t="str">
            <v>Rodríguez</v>
          </cell>
          <cell r="F3420">
            <v>300</v>
          </cell>
          <cell r="G3420">
            <v>1</v>
          </cell>
          <cell r="H3420">
            <v>400</v>
          </cell>
          <cell r="I3420">
            <v>41742</v>
          </cell>
          <cell r="J3420">
            <v>0</v>
          </cell>
          <cell r="W3420">
            <v>0</v>
          </cell>
          <cell r="AJ3420">
            <v>0</v>
          </cell>
          <cell r="AM3420">
            <v>400</v>
          </cell>
          <cell r="AN3420">
            <v>0</v>
          </cell>
          <cell r="AW3420">
            <v>400</v>
          </cell>
        </row>
        <row r="3421">
          <cell r="B3421">
            <v>6905</v>
          </cell>
          <cell r="C3421" t="str">
            <v>CL_121_</v>
          </cell>
          <cell r="D3421" t="str">
            <v>Rancho La Cuchilla No. 121</v>
          </cell>
          <cell r="E3421" t="str">
            <v>Ramírez Márquez</v>
          </cell>
          <cell r="F3421">
            <v>300</v>
          </cell>
          <cell r="G3421">
            <v>1</v>
          </cell>
          <cell r="H3421">
            <v>1200</v>
          </cell>
          <cell r="I3421">
            <v>41742</v>
          </cell>
          <cell r="J3421">
            <v>0</v>
          </cell>
          <cell r="W3421">
            <v>0</v>
          </cell>
          <cell r="AJ3421">
            <v>0</v>
          </cell>
          <cell r="AN3421">
            <v>400</v>
          </cell>
          <cell r="AO3421">
            <v>400</v>
          </cell>
          <cell r="AP3421">
            <v>400</v>
          </cell>
          <cell r="AW3421">
            <v>1200</v>
          </cell>
        </row>
        <row r="3422">
          <cell r="B3422">
            <v>6906</v>
          </cell>
          <cell r="C3422" t="str">
            <v>CL_120_</v>
          </cell>
          <cell r="D3422" t="str">
            <v>Rancho La Cuchilla No. 120</v>
          </cell>
          <cell r="E3422" t="str">
            <v>Pozos Vilchis</v>
          </cell>
          <cell r="F3422">
            <v>300</v>
          </cell>
          <cell r="G3422">
            <v>1</v>
          </cell>
          <cell r="H3422">
            <v>400</v>
          </cell>
          <cell r="I3422">
            <v>41742</v>
          </cell>
          <cell r="J3422">
            <v>0</v>
          </cell>
          <cell r="W3422">
            <v>0</v>
          </cell>
          <cell r="AJ3422">
            <v>0</v>
          </cell>
          <cell r="AN3422">
            <v>400</v>
          </cell>
          <cell r="AW3422">
            <v>400</v>
          </cell>
        </row>
        <row r="3423">
          <cell r="B3423">
            <v>6907</v>
          </cell>
          <cell r="C3423" t="str">
            <v>EZ_141_</v>
          </cell>
          <cell r="D3423" t="str">
            <v>Rancho Estanzuela No. 141</v>
          </cell>
          <cell r="E3423" t="str">
            <v>Castillo Toledano</v>
          </cell>
          <cell r="F3423">
            <v>300</v>
          </cell>
          <cell r="G3423">
            <v>1</v>
          </cell>
          <cell r="H3423">
            <v>800</v>
          </cell>
          <cell r="I3423">
            <v>41742</v>
          </cell>
          <cell r="J3423">
            <v>0</v>
          </cell>
          <cell r="W3423">
            <v>0</v>
          </cell>
          <cell r="AJ3423">
            <v>0</v>
          </cell>
          <cell r="AM3423">
            <v>400</v>
          </cell>
          <cell r="AN3423">
            <v>400</v>
          </cell>
          <cell r="AW3423">
            <v>800</v>
          </cell>
        </row>
        <row r="3424">
          <cell r="B3424">
            <v>6908</v>
          </cell>
          <cell r="C3424" t="str">
            <v>LD_24_</v>
          </cell>
          <cell r="D3424" t="str">
            <v>Rancho Landero No. 24</v>
          </cell>
          <cell r="E3424" t="str">
            <v>Vázquez Peralta</v>
          </cell>
          <cell r="F3424">
            <v>300</v>
          </cell>
          <cell r="G3424">
            <v>1</v>
          </cell>
          <cell r="H3424">
            <v>800</v>
          </cell>
          <cell r="I3424">
            <v>41742</v>
          </cell>
          <cell r="J3424">
            <v>0</v>
          </cell>
          <cell r="W3424">
            <v>0</v>
          </cell>
          <cell r="AJ3424">
            <v>0</v>
          </cell>
          <cell r="AL3424">
            <v>400</v>
          </cell>
          <cell r="AM3424">
            <v>400</v>
          </cell>
          <cell r="AW3424">
            <v>800</v>
          </cell>
        </row>
        <row r="3425">
          <cell r="B3425">
            <v>6909</v>
          </cell>
          <cell r="C3425" t="str">
            <v>EZ_47_</v>
          </cell>
          <cell r="D3425" t="str">
            <v>Rancho Estanzuela No. 47</v>
          </cell>
          <cell r="E3425" t="str">
            <v>Bussey García</v>
          </cell>
          <cell r="F3425">
            <v>300</v>
          </cell>
          <cell r="G3425">
            <v>1</v>
          </cell>
          <cell r="H3425">
            <v>400</v>
          </cell>
          <cell r="I3425">
            <v>41742</v>
          </cell>
          <cell r="J3425">
            <v>0</v>
          </cell>
          <cell r="W3425">
            <v>0</v>
          </cell>
          <cell r="AJ3425">
            <v>0</v>
          </cell>
          <cell r="AN3425">
            <v>400</v>
          </cell>
          <cell r="AW3425">
            <v>400</v>
          </cell>
        </row>
        <row r="3426">
          <cell r="B3426">
            <v>6910</v>
          </cell>
          <cell r="C3426" t="str">
            <v>UP_136_</v>
          </cell>
          <cell r="D3426" t="str">
            <v>Rancho Upácuaro No. 136</v>
          </cell>
          <cell r="E3426" t="str">
            <v>López Lena</v>
          </cell>
          <cell r="F3426">
            <v>300</v>
          </cell>
          <cell r="G3426">
            <v>1</v>
          </cell>
          <cell r="H3426">
            <v>800</v>
          </cell>
          <cell r="I3426">
            <v>41742</v>
          </cell>
          <cell r="J3426">
            <v>0</v>
          </cell>
          <cell r="W3426">
            <v>0</v>
          </cell>
          <cell r="AJ3426">
            <v>0</v>
          </cell>
          <cell r="AL3426">
            <v>400</v>
          </cell>
          <cell r="AM3426">
            <v>400</v>
          </cell>
          <cell r="AW3426">
            <v>800</v>
          </cell>
        </row>
        <row r="3427">
          <cell r="B3427">
            <v>6911</v>
          </cell>
          <cell r="C3427" t="str">
            <v>LD_75_</v>
          </cell>
          <cell r="D3427" t="str">
            <v>Rancho Landero No. 75</v>
          </cell>
          <cell r="E3427" t="str">
            <v>Villaseñor Hernández</v>
          </cell>
          <cell r="F3427">
            <v>300</v>
          </cell>
          <cell r="G3427">
            <v>1</v>
          </cell>
          <cell r="H3427">
            <v>800</v>
          </cell>
          <cell r="I3427">
            <v>41742</v>
          </cell>
          <cell r="J3427">
            <v>0</v>
          </cell>
          <cell r="W3427">
            <v>0</v>
          </cell>
          <cell r="AJ3427">
            <v>0</v>
          </cell>
          <cell r="AM3427">
            <v>400</v>
          </cell>
          <cell r="AN3427">
            <v>400</v>
          </cell>
          <cell r="AW3427">
            <v>800</v>
          </cell>
        </row>
        <row r="3428">
          <cell r="B3428">
            <v>6912</v>
          </cell>
          <cell r="C3428" t="str">
            <v>UP_14_</v>
          </cell>
          <cell r="D3428" t="str">
            <v>Rancho Upácuaro No. 14</v>
          </cell>
          <cell r="E3428" t="str">
            <v>Guerrero</v>
          </cell>
          <cell r="F3428">
            <v>300</v>
          </cell>
          <cell r="G3428">
            <v>4</v>
          </cell>
          <cell r="H3428">
            <v>320</v>
          </cell>
          <cell r="I3428">
            <v>41742</v>
          </cell>
          <cell r="J3428" t="str">
            <v>NO SUMA</v>
          </cell>
          <cell r="W3428">
            <v>0</v>
          </cell>
          <cell r="AJ3428">
            <v>0</v>
          </cell>
          <cell r="AW3428">
            <v>0</v>
          </cell>
        </row>
        <row r="3429">
          <cell r="B3429">
            <v>6913</v>
          </cell>
          <cell r="C3429" t="str">
            <v>LD_90_</v>
          </cell>
          <cell r="D3429" t="str">
            <v>Rancho Landero No. 90</v>
          </cell>
          <cell r="E3429" t="str">
            <v>Córdova Reséndiz</v>
          </cell>
          <cell r="F3429">
            <v>300</v>
          </cell>
          <cell r="G3429">
            <v>1</v>
          </cell>
          <cell r="H3429">
            <v>300</v>
          </cell>
          <cell r="I3429">
            <v>41742</v>
          </cell>
          <cell r="J3429">
            <v>0</v>
          </cell>
          <cell r="W3429">
            <v>0</v>
          </cell>
          <cell r="AJ3429">
            <v>0</v>
          </cell>
          <cell r="AN3429">
            <v>300</v>
          </cell>
          <cell r="AW3429">
            <v>300</v>
          </cell>
        </row>
        <row r="3430">
          <cell r="B3430">
            <v>6913</v>
          </cell>
          <cell r="C3430" t="str">
            <v>LD_90_</v>
          </cell>
          <cell r="D3430" t="str">
            <v>Rancho Landero No. 90</v>
          </cell>
          <cell r="E3430" t="str">
            <v>Córdova Reséndiz</v>
          </cell>
          <cell r="F3430">
            <v>300</v>
          </cell>
          <cell r="G3430">
            <v>3</v>
          </cell>
          <cell r="H3430">
            <v>160</v>
          </cell>
          <cell r="I3430">
            <v>41742</v>
          </cell>
          <cell r="J3430" t="str">
            <v>NO SUMA</v>
          </cell>
          <cell r="W3430">
            <v>0</v>
          </cell>
          <cell r="AJ3430">
            <v>0</v>
          </cell>
          <cell r="AW3430">
            <v>0</v>
          </cell>
        </row>
        <row r="3431">
          <cell r="B3431">
            <v>6914</v>
          </cell>
          <cell r="C3431" t="str">
            <v>UP_85_</v>
          </cell>
          <cell r="D3431" t="str">
            <v>Rancho Upácuaro No. 85</v>
          </cell>
          <cell r="E3431" t="str">
            <v>Del Toro Huerta</v>
          </cell>
          <cell r="F3431">
            <v>300</v>
          </cell>
          <cell r="G3431">
            <v>1</v>
          </cell>
          <cell r="H3431">
            <v>400</v>
          </cell>
          <cell r="I3431">
            <v>41742</v>
          </cell>
          <cell r="J3431">
            <v>0</v>
          </cell>
          <cell r="W3431">
            <v>0</v>
          </cell>
          <cell r="AJ3431">
            <v>0</v>
          </cell>
          <cell r="AN3431">
            <v>400</v>
          </cell>
          <cell r="AW3431">
            <v>400</v>
          </cell>
        </row>
        <row r="3432">
          <cell r="B3432">
            <v>6915</v>
          </cell>
          <cell r="C3432" t="str">
            <v>ZB_88_</v>
          </cell>
          <cell r="D3432" t="str">
            <v>Rancho Zinamba No. 88</v>
          </cell>
          <cell r="E3432" t="str">
            <v>Martínez</v>
          </cell>
          <cell r="F3432">
            <v>250</v>
          </cell>
          <cell r="G3432">
            <v>1</v>
          </cell>
          <cell r="H3432">
            <v>700</v>
          </cell>
          <cell r="I3432">
            <v>41742</v>
          </cell>
          <cell r="J3432">
            <v>0</v>
          </cell>
          <cell r="W3432">
            <v>0</v>
          </cell>
          <cell r="AJ3432">
            <v>0</v>
          </cell>
          <cell r="AM3432">
            <v>350</v>
          </cell>
          <cell r="AN3432">
            <v>350</v>
          </cell>
          <cell r="AW3432">
            <v>700</v>
          </cell>
        </row>
        <row r="3433">
          <cell r="B3433">
            <v>6916</v>
          </cell>
          <cell r="C3433" t="str">
            <v>EZ_9_B</v>
          </cell>
          <cell r="D3433" t="str">
            <v>Rancho Estanzuela No. 9, B</v>
          </cell>
          <cell r="E3433" t="str">
            <v>Velasco Rojas</v>
          </cell>
          <cell r="F3433">
            <v>200</v>
          </cell>
          <cell r="G3433">
            <v>1</v>
          </cell>
          <cell r="H3433">
            <v>200</v>
          </cell>
          <cell r="I3433">
            <v>41742</v>
          </cell>
          <cell r="J3433">
            <v>0</v>
          </cell>
          <cell r="W3433">
            <v>0</v>
          </cell>
          <cell r="AJ3433">
            <v>0</v>
          </cell>
          <cell r="AN3433">
            <v>200</v>
          </cell>
          <cell r="AW3433">
            <v>200</v>
          </cell>
        </row>
        <row r="3434">
          <cell r="B3434">
            <v>6917</v>
          </cell>
          <cell r="C3434" t="str">
            <v>LD_7_</v>
          </cell>
          <cell r="D3434" t="str">
            <v>Rancho Landero No. 7</v>
          </cell>
          <cell r="E3434" t="str">
            <v>Robles</v>
          </cell>
          <cell r="F3434">
            <v>150</v>
          </cell>
          <cell r="G3434">
            <v>1</v>
          </cell>
          <cell r="H3434">
            <v>150</v>
          </cell>
          <cell r="I3434">
            <v>41742</v>
          </cell>
          <cell r="J3434">
            <v>0</v>
          </cell>
          <cell r="W3434">
            <v>0</v>
          </cell>
          <cell r="AJ3434">
            <v>0</v>
          </cell>
          <cell r="AN3434">
            <v>150</v>
          </cell>
          <cell r="AW3434">
            <v>150</v>
          </cell>
        </row>
        <row r="3435">
          <cell r="B3435">
            <v>6918</v>
          </cell>
          <cell r="C3435" t="str">
            <v>ZB_20_</v>
          </cell>
          <cell r="D3435" t="str">
            <v>Rancho Zinamba No. 20</v>
          </cell>
          <cell r="E3435" t="str">
            <v>Alegre Retana</v>
          </cell>
          <cell r="F3435">
            <v>300</v>
          </cell>
          <cell r="G3435">
            <v>1</v>
          </cell>
          <cell r="H3435">
            <v>400</v>
          </cell>
          <cell r="I3435">
            <v>41742</v>
          </cell>
          <cell r="J3435">
            <v>0</v>
          </cell>
          <cell r="W3435">
            <v>0</v>
          </cell>
          <cell r="AJ3435">
            <v>0</v>
          </cell>
          <cell r="AM3435">
            <v>400</v>
          </cell>
          <cell r="AW3435">
            <v>400</v>
          </cell>
        </row>
        <row r="3436">
          <cell r="B3436">
            <v>6919</v>
          </cell>
          <cell r="C3436" t="str">
            <v>UP_87_</v>
          </cell>
          <cell r="D3436" t="str">
            <v>Rancho Upácuaro No. 87</v>
          </cell>
          <cell r="E3436" t="str">
            <v>Rodríguez Parés</v>
          </cell>
          <cell r="F3436">
            <v>300</v>
          </cell>
          <cell r="G3436">
            <v>1</v>
          </cell>
          <cell r="H3436">
            <v>400</v>
          </cell>
          <cell r="I3436">
            <v>41742</v>
          </cell>
          <cell r="J3436">
            <v>0</v>
          </cell>
          <cell r="W3436">
            <v>0</v>
          </cell>
          <cell r="AJ3436">
            <v>0</v>
          </cell>
          <cell r="AN3436">
            <v>400</v>
          </cell>
          <cell r="AW3436">
            <v>400</v>
          </cell>
        </row>
        <row r="3437">
          <cell r="B3437">
            <v>6920</v>
          </cell>
          <cell r="C3437" t="str">
            <v>LD_84_</v>
          </cell>
          <cell r="D3437" t="str">
            <v>Rancho Landero No. 84</v>
          </cell>
          <cell r="E3437" t="str">
            <v>Alcántara</v>
          </cell>
          <cell r="F3437">
            <v>300</v>
          </cell>
          <cell r="G3437">
            <v>1</v>
          </cell>
          <cell r="H3437">
            <v>400</v>
          </cell>
          <cell r="I3437">
            <v>41742</v>
          </cell>
          <cell r="J3437">
            <v>0</v>
          </cell>
          <cell r="W3437">
            <v>0</v>
          </cell>
          <cell r="AJ3437">
            <v>0</v>
          </cell>
          <cell r="AN3437">
            <v>400</v>
          </cell>
          <cell r="AW3437">
            <v>400</v>
          </cell>
        </row>
        <row r="3438">
          <cell r="B3438">
            <v>6921</v>
          </cell>
          <cell r="C3438" t="str">
            <v>EZ_161_1</v>
          </cell>
          <cell r="D3438" t="str">
            <v>Rancho Estanzuela No. 161, 1</v>
          </cell>
          <cell r="E3438" t="str">
            <v>Guevara</v>
          </cell>
          <cell r="F3438">
            <v>150</v>
          </cell>
          <cell r="G3438">
            <v>1</v>
          </cell>
          <cell r="H3438">
            <v>400</v>
          </cell>
          <cell r="I3438">
            <v>41742</v>
          </cell>
          <cell r="J3438">
            <v>0</v>
          </cell>
          <cell r="W3438">
            <v>0</v>
          </cell>
          <cell r="AJ3438">
            <v>0</v>
          </cell>
          <cell r="AM3438">
            <v>200</v>
          </cell>
          <cell r="AN3438">
            <v>200</v>
          </cell>
          <cell r="AW3438">
            <v>400</v>
          </cell>
        </row>
        <row r="3439">
          <cell r="B3439">
            <v>6922</v>
          </cell>
          <cell r="C3439" t="str">
            <v>CL_35_</v>
          </cell>
          <cell r="D3439" t="str">
            <v>Rancho La Cuchilla No. 35</v>
          </cell>
          <cell r="E3439" t="str">
            <v>Mendoza</v>
          </cell>
          <cell r="F3439">
            <v>150</v>
          </cell>
          <cell r="G3439">
            <v>1</v>
          </cell>
          <cell r="H3439">
            <v>150</v>
          </cell>
          <cell r="I3439">
            <v>41742</v>
          </cell>
          <cell r="J3439">
            <v>0</v>
          </cell>
          <cell r="W3439">
            <v>0</v>
          </cell>
          <cell r="AJ3439">
            <v>0</v>
          </cell>
          <cell r="AM3439">
            <v>150</v>
          </cell>
          <cell r="AW3439">
            <v>150</v>
          </cell>
        </row>
        <row r="3440">
          <cell r="B3440">
            <v>6923</v>
          </cell>
          <cell r="C3440" t="str">
            <v>CL_129_</v>
          </cell>
          <cell r="D3440" t="str">
            <v>Rancho La Cuchilla No. 129</v>
          </cell>
          <cell r="E3440" t="str">
            <v>Gamboa Rueda</v>
          </cell>
          <cell r="F3440">
            <v>200</v>
          </cell>
          <cell r="G3440">
            <v>1</v>
          </cell>
          <cell r="H3440">
            <v>300</v>
          </cell>
          <cell r="I3440">
            <v>41742</v>
          </cell>
          <cell r="J3440">
            <v>0</v>
          </cell>
          <cell r="W3440">
            <v>0</v>
          </cell>
          <cell r="AJ3440">
            <v>0</v>
          </cell>
          <cell r="AN3440">
            <v>300</v>
          </cell>
          <cell r="AW3440">
            <v>300</v>
          </cell>
        </row>
        <row r="3441">
          <cell r="B3441">
            <v>6924</v>
          </cell>
          <cell r="C3441" t="str">
            <v>CL_59_</v>
          </cell>
          <cell r="D3441" t="str">
            <v>Rancho La Cuchilla No. 59</v>
          </cell>
          <cell r="E3441" t="str">
            <v>Ortega Vega</v>
          </cell>
          <cell r="F3441">
            <v>300</v>
          </cell>
          <cell r="G3441">
            <v>1</v>
          </cell>
          <cell r="H3441">
            <v>300</v>
          </cell>
          <cell r="I3441">
            <v>41742</v>
          </cell>
          <cell r="J3441">
            <v>0</v>
          </cell>
          <cell r="W3441">
            <v>0</v>
          </cell>
          <cell r="AJ3441">
            <v>0</v>
          </cell>
          <cell r="AN3441">
            <v>300</v>
          </cell>
          <cell r="AW3441">
            <v>300</v>
          </cell>
        </row>
        <row r="3442">
          <cell r="B3442">
            <v>6924</v>
          </cell>
          <cell r="C3442" t="str">
            <v>CL_59_</v>
          </cell>
          <cell r="D3442" t="str">
            <v>Rancho La Cuchilla No. 59</v>
          </cell>
          <cell r="E3442" t="str">
            <v>Ortega Vega</v>
          </cell>
          <cell r="F3442">
            <v>300</v>
          </cell>
          <cell r="G3442">
            <v>4</v>
          </cell>
          <cell r="H3442">
            <v>160</v>
          </cell>
          <cell r="I3442">
            <v>41742</v>
          </cell>
          <cell r="J3442" t="str">
            <v>NO SUMA</v>
          </cell>
          <cell r="W3442">
            <v>0</v>
          </cell>
          <cell r="AJ3442">
            <v>0</v>
          </cell>
          <cell r="AW3442">
            <v>0</v>
          </cell>
        </row>
        <row r="3443">
          <cell r="B3443">
            <v>6925</v>
          </cell>
          <cell r="C3443" t="str">
            <v>UP_100_</v>
          </cell>
          <cell r="D3443" t="str">
            <v>Rancho Upácuaro No. 100</v>
          </cell>
          <cell r="E3443" t="str">
            <v>Mancera Rodríguez</v>
          </cell>
          <cell r="F3443">
            <v>300</v>
          </cell>
          <cell r="G3443">
            <v>1</v>
          </cell>
          <cell r="H3443">
            <v>400</v>
          </cell>
          <cell r="I3443">
            <v>41742</v>
          </cell>
          <cell r="J3443">
            <v>0</v>
          </cell>
          <cell r="W3443">
            <v>0</v>
          </cell>
          <cell r="AJ3443">
            <v>0</v>
          </cell>
          <cell r="AN3443">
            <v>400</v>
          </cell>
          <cell r="AW3443">
            <v>400</v>
          </cell>
        </row>
        <row r="3444">
          <cell r="B3444">
            <v>6926</v>
          </cell>
          <cell r="C3444" t="str">
            <v>UP_100_</v>
          </cell>
          <cell r="D3444" t="str">
            <v>Rancho Upácuaro No. 100</v>
          </cell>
          <cell r="E3444" t="str">
            <v>Mancera Rodríguez</v>
          </cell>
          <cell r="F3444">
            <v>300</v>
          </cell>
          <cell r="G3444">
            <v>4</v>
          </cell>
          <cell r="H3444">
            <v>160</v>
          </cell>
          <cell r="I3444">
            <v>41742</v>
          </cell>
          <cell r="J3444" t="str">
            <v>NO SUMA</v>
          </cell>
          <cell r="W3444">
            <v>0</v>
          </cell>
          <cell r="AJ3444">
            <v>0</v>
          </cell>
          <cell r="AW3444">
            <v>0</v>
          </cell>
        </row>
        <row r="3445">
          <cell r="B3445">
            <v>6927</v>
          </cell>
          <cell r="C3445" t="str">
            <v>UP_71_</v>
          </cell>
          <cell r="D3445" t="str">
            <v>Rancho Upácuaro No. 71</v>
          </cell>
          <cell r="E3445" t="str">
            <v>Trejo Méndez</v>
          </cell>
          <cell r="F3445">
            <v>300</v>
          </cell>
          <cell r="G3445">
            <v>1</v>
          </cell>
          <cell r="H3445">
            <v>400</v>
          </cell>
          <cell r="I3445">
            <v>41742</v>
          </cell>
          <cell r="J3445">
            <v>0</v>
          </cell>
          <cell r="W3445">
            <v>0</v>
          </cell>
          <cell r="AJ3445">
            <v>0</v>
          </cell>
          <cell r="AN3445">
            <v>400</v>
          </cell>
          <cell r="AW3445">
            <v>400</v>
          </cell>
        </row>
        <row r="3446">
          <cell r="B3446">
            <v>6928</v>
          </cell>
          <cell r="C3446" t="str">
            <v>CL_95_</v>
          </cell>
          <cell r="D3446" t="str">
            <v>Rancho La Cuchilla No. 95</v>
          </cell>
          <cell r="E3446" t="str">
            <v>Gutiérrez Sánchez</v>
          </cell>
          <cell r="F3446">
            <v>300</v>
          </cell>
          <cell r="G3446">
            <v>1</v>
          </cell>
          <cell r="H3446">
            <v>1200</v>
          </cell>
          <cell r="I3446">
            <v>41742</v>
          </cell>
          <cell r="J3446">
            <v>0</v>
          </cell>
          <cell r="W3446">
            <v>0</v>
          </cell>
          <cell r="AJ3446">
            <v>0</v>
          </cell>
          <cell r="AN3446">
            <v>400</v>
          </cell>
          <cell r="AO3446">
            <v>400</v>
          </cell>
          <cell r="AP3446">
            <v>400</v>
          </cell>
          <cell r="AW3446">
            <v>1200</v>
          </cell>
        </row>
        <row r="3447">
          <cell r="B3447">
            <v>6929</v>
          </cell>
          <cell r="C3447" t="str">
            <v>UP_73_A</v>
          </cell>
          <cell r="D3447" t="str">
            <v>Rancho Upácuaro No. 73, A</v>
          </cell>
          <cell r="E3447" t="str">
            <v>Ortega</v>
          </cell>
          <cell r="F3447">
            <v>150</v>
          </cell>
          <cell r="G3447">
            <v>1</v>
          </cell>
          <cell r="H3447">
            <v>200</v>
          </cell>
          <cell r="I3447">
            <v>41742</v>
          </cell>
          <cell r="J3447">
            <v>0</v>
          </cell>
          <cell r="W3447">
            <v>0</v>
          </cell>
          <cell r="AJ3447">
            <v>0</v>
          </cell>
          <cell r="AN3447">
            <v>200</v>
          </cell>
          <cell r="AW3447">
            <v>200</v>
          </cell>
        </row>
        <row r="3448">
          <cell r="B3448">
            <v>6930</v>
          </cell>
          <cell r="C3448" t="str">
            <v>EZ_143_B</v>
          </cell>
          <cell r="D3448" t="str">
            <v>Rancho Estanzuela No. 143, B</v>
          </cell>
          <cell r="E3448" t="str">
            <v>López</v>
          </cell>
          <cell r="F3448">
            <v>300</v>
          </cell>
          <cell r="G3448">
            <v>1</v>
          </cell>
          <cell r="H3448">
            <v>400</v>
          </cell>
          <cell r="I3448">
            <v>41742</v>
          </cell>
          <cell r="J3448">
            <v>0</v>
          </cell>
          <cell r="W3448">
            <v>0</v>
          </cell>
          <cell r="AJ3448">
            <v>0</v>
          </cell>
          <cell r="AM3448">
            <v>400</v>
          </cell>
          <cell r="AW3448">
            <v>400</v>
          </cell>
        </row>
        <row r="3449">
          <cell r="B3449">
            <v>6931</v>
          </cell>
          <cell r="C3449" t="str">
            <v>EZ_69_</v>
          </cell>
          <cell r="D3449" t="str">
            <v>Rancho Estanzuela No. 69</v>
          </cell>
          <cell r="E3449" t="str">
            <v>Apaez</v>
          </cell>
          <cell r="F3449">
            <v>300</v>
          </cell>
          <cell r="G3449">
            <v>1</v>
          </cell>
          <cell r="H3449">
            <v>400</v>
          </cell>
          <cell r="I3449">
            <v>41742</v>
          </cell>
          <cell r="J3449">
            <v>0</v>
          </cell>
          <cell r="W3449">
            <v>0</v>
          </cell>
          <cell r="AJ3449">
            <v>0</v>
          </cell>
          <cell r="AN3449">
            <v>400</v>
          </cell>
          <cell r="AW3449">
            <v>400</v>
          </cell>
        </row>
        <row r="3450">
          <cell r="B3450">
            <v>6932</v>
          </cell>
          <cell r="C3450" t="str">
            <v>UP_114_</v>
          </cell>
          <cell r="D3450" t="str">
            <v>Rancho Upácuaro No. 114</v>
          </cell>
          <cell r="E3450" t="str">
            <v>Hernández Cornejo</v>
          </cell>
          <cell r="F3450">
            <v>300</v>
          </cell>
          <cell r="G3450">
            <v>1</v>
          </cell>
          <cell r="H3450">
            <v>800</v>
          </cell>
          <cell r="I3450">
            <v>41742</v>
          </cell>
          <cell r="J3450">
            <v>0</v>
          </cell>
          <cell r="W3450">
            <v>0</v>
          </cell>
          <cell r="AJ3450">
            <v>0</v>
          </cell>
          <cell r="AM3450">
            <v>400</v>
          </cell>
          <cell r="AN3450">
            <v>400</v>
          </cell>
          <cell r="AW3450">
            <v>800</v>
          </cell>
        </row>
        <row r="3451">
          <cell r="B3451">
            <v>6933</v>
          </cell>
          <cell r="C3451" t="str">
            <v>EZ_65_</v>
          </cell>
          <cell r="D3451" t="str">
            <v>Rancho Estanzuela No. 65</v>
          </cell>
          <cell r="E3451" t="str">
            <v>López Becerril</v>
          </cell>
          <cell r="F3451">
            <v>300</v>
          </cell>
          <cell r="G3451">
            <v>1</v>
          </cell>
          <cell r="H3451">
            <v>400</v>
          </cell>
          <cell r="I3451">
            <v>41742</v>
          </cell>
          <cell r="J3451">
            <v>0</v>
          </cell>
          <cell r="W3451">
            <v>0</v>
          </cell>
          <cell r="AJ3451">
            <v>0</v>
          </cell>
          <cell r="AO3451">
            <v>400</v>
          </cell>
          <cell r="AW3451">
            <v>400</v>
          </cell>
        </row>
        <row r="3452">
          <cell r="B3452">
            <v>6934</v>
          </cell>
          <cell r="C3452" t="str">
            <v>EZ_111_</v>
          </cell>
          <cell r="D3452" t="str">
            <v>Rancho Estanzuela No. 111</v>
          </cell>
          <cell r="E3452" t="str">
            <v>Flores Pérez</v>
          </cell>
          <cell r="F3452">
            <v>300</v>
          </cell>
          <cell r="G3452">
            <v>1</v>
          </cell>
          <cell r="H3452">
            <v>400</v>
          </cell>
          <cell r="I3452">
            <v>41742</v>
          </cell>
          <cell r="J3452">
            <v>0</v>
          </cell>
          <cell r="W3452">
            <v>0</v>
          </cell>
          <cell r="AJ3452">
            <v>0</v>
          </cell>
          <cell r="AN3452">
            <v>400</v>
          </cell>
          <cell r="AW3452">
            <v>400</v>
          </cell>
        </row>
        <row r="3453">
          <cell r="B3453">
            <v>6935</v>
          </cell>
          <cell r="C3453" t="str">
            <v>LD_58_</v>
          </cell>
          <cell r="D3453" t="str">
            <v>Rancho Landero No. 58</v>
          </cell>
          <cell r="E3453" t="str">
            <v>Valero</v>
          </cell>
          <cell r="F3453">
            <v>300</v>
          </cell>
          <cell r="G3453">
            <v>1</v>
          </cell>
          <cell r="H3453">
            <v>800</v>
          </cell>
          <cell r="I3453">
            <v>41742</v>
          </cell>
          <cell r="J3453">
            <v>0</v>
          </cell>
          <cell r="W3453">
            <v>0</v>
          </cell>
          <cell r="AJ3453">
            <v>0</v>
          </cell>
          <cell r="AM3453">
            <v>400</v>
          </cell>
          <cell r="AN3453">
            <v>400</v>
          </cell>
          <cell r="AW3453">
            <v>800</v>
          </cell>
        </row>
        <row r="3454">
          <cell r="B3454">
            <v>6936</v>
          </cell>
          <cell r="C3454" t="str">
            <v>RV_193_</v>
          </cell>
          <cell r="D3454" t="str">
            <v>Rancho Recoveco No. 193</v>
          </cell>
          <cell r="E3454" t="str">
            <v>Salazar Pérez</v>
          </cell>
          <cell r="F3454">
            <v>300</v>
          </cell>
          <cell r="G3454">
            <v>4</v>
          </cell>
          <cell r="H3454">
            <v>320</v>
          </cell>
          <cell r="I3454">
            <v>41742</v>
          </cell>
          <cell r="J3454" t="str">
            <v>NO SUMA</v>
          </cell>
          <cell r="W3454">
            <v>0</v>
          </cell>
          <cell r="AJ3454">
            <v>0</v>
          </cell>
          <cell r="AW3454">
            <v>0</v>
          </cell>
        </row>
        <row r="3455">
          <cell r="B3455">
            <v>6937</v>
          </cell>
          <cell r="C3455" t="str">
            <v>ZB_68_</v>
          </cell>
          <cell r="D3455" t="str">
            <v>Rancho Zinamba No. 68</v>
          </cell>
          <cell r="E3455" t="str">
            <v>Rivera Villicaña</v>
          </cell>
          <cell r="F3455">
            <v>300</v>
          </cell>
          <cell r="G3455">
            <v>3</v>
          </cell>
          <cell r="H3455">
            <v>160</v>
          </cell>
          <cell r="I3455">
            <v>41742</v>
          </cell>
          <cell r="J3455" t="str">
            <v>NO SUMA</v>
          </cell>
          <cell r="W3455">
            <v>0</v>
          </cell>
          <cell r="AJ3455">
            <v>0</v>
          </cell>
          <cell r="AW3455">
            <v>0</v>
          </cell>
        </row>
        <row r="3456">
          <cell r="B3456">
            <v>6938</v>
          </cell>
          <cell r="C3456" t="str">
            <v>LD_1_A</v>
          </cell>
          <cell r="D3456" t="str">
            <v>Rancho Landero No. 1, A</v>
          </cell>
          <cell r="E3456" t="str">
            <v>Ebysos</v>
          </cell>
          <cell r="F3456">
            <v>300</v>
          </cell>
          <cell r="G3456">
            <v>1</v>
          </cell>
          <cell r="H3456">
            <v>400</v>
          </cell>
          <cell r="I3456">
            <v>41743</v>
          </cell>
          <cell r="J3456">
            <v>0</v>
          </cell>
          <cell r="W3456">
            <v>0</v>
          </cell>
          <cell r="AJ3456">
            <v>0</v>
          </cell>
          <cell r="AN3456">
            <v>400</v>
          </cell>
          <cell r="AW3456">
            <v>400</v>
          </cell>
        </row>
        <row r="3457">
          <cell r="B3457">
            <v>6939</v>
          </cell>
          <cell r="C3457" t="str">
            <v>EZ_61_</v>
          </cell>
          <cell r="D3457" t="str">
            <v>Rancho Estanzuela No. 61</v>
          </cell>
          <cell r="E3457" t="str">
            <v>González Almazán</v>
          </cell>
          <cell r="F3457">
            <v>300</v>
          </cell>
          <cell r="G3457">
            <v>1</v>
          </cell>
          <cell r="H3457">
            <v>800</v>
          </cell>
          <cell r="I3457">
            <v>41743</v>
          </cell>
          <cell r="J3457">
            <v>0</v>
          </cell>
          <cell r="W3457">
            <v>0</v>
          </cell>
          <cell r="AJ3457">
            <v>0</v>
          </cell>
          <cell r="AM3457">
            <v>400</v>
          </cell>
          <cell r="AN3457">
            <v>400</v>
          </cell>
          <cell r="AW3457">
            <v>800</v>
          </cell>
        </row>
        <row r="3458">
          <cell r="B3458">
            <v>6940</v>
          </cell>
          <cell r="C3458" t="str">
            <v>EZ_79_</v>
          </cell>
          <cell r="D3458" t="str">
            <v>Rancho Estanzuela No. 79</v>
          </cell>
          <cell r="E3458" t="str">
            <v>Mendoza</v>
          </cell>
          <cell r="F3458">
            <v>300</v>
          </cell>
          <cell r="G3458">
            <v>1</v>
          </cell>
          <cell r="H3458">
            <v>400</v>
          </cell>
          <cell r="I3458">
            <v>41745</v>
          </cell>
          <cell r="J3458">
            <v>0</v>
          </cell>
          <cell r="W3458">
            <v>0</v>
          </cell>
          <cell r="AJ3458">
            <v>0</v>
          </cell>
          <cell r="AM3458">
            <v>400</v>
          </cell>
          <cell r="AW3458">
            <v>400</v>
          </cell>
        </row>
        <row r="3459">
          <cell r="B3459">
            <v>6940</v>
          </cell>
          <cell r="C3459" t="str">
            <v>EZ_79_</v>
          </cell>
          <cell r="D3459" t="str">
            <v>Rancho Estanzuela No. 79</v>
          </cell>
          <cell r="E3459" t="str">
            <v>Mendoza</v>
          </cell>
          <cell r="F3459">
            <v>300</v>
          </cell>
          <cell r="G3459">
            <v>3</v>
          </cell>
          <cell r="H3459">
            <v>160</v>
          </cell>
          <cell r="I3459">
            <v>41745</v>
          </cell>
          <cell r="J3459" t="str">
            <v>NO SUMA</v>
          </cell>
          <cell r="W3459">
            <v>0</v>
          </cell>
          <cell r="AJ3459">
            <v>0</v>
          </cell>
          <cell r="AW3459">
            <v>0</v>
          </cell>
        </row>
        <row r="3460">
          <cell r="B3460">
            <v>6941</v>
          </cell>
          <cell r="C3460" t="str">
            <v>EZ_79_</v>
          </cell>
          <cell r="D3460" t="str">
            <v>Rancho Estanzuela No. 79</v>
          </cell>
          <cell r="E3460" t="str">
            <v>Mendoza</v>
          </cell>
          <cell r="F3460">
            <v>300</v>
          </cell>
          <cell r="G3460">
            <v>4</v>
          </cell>
          <cell r="H3460">
            <v>320</v>
          </cell>
          <cell r="I3460">
            <v>41745</v>
          </cell>
          <cell r="J3460" t="str">
            <v>NO SUMA</v>
          </cell>
          <cell r="W3460">
            <v>0</v>
          </cell>
          <cell r="AJ3460">
            <v>0</v>
          </cell>
          <cell r="AW3460">
            <v>0</v>
          </cell>
        </row>
        <row r="3461">
          <cell r="B3461">
            <v>6942</v>
          </cell>
          <cell r="C3461" t="str">
            <v>LD_87_</v>
          </cell>
          <cell r="D3461" t="str">
            <v>Rancho Landero No. 87</v>
          </cell>
          <cell r="E3461" t="str">
            <v>Fey Lafferla</v>
          </cell>
          <cell r="F3461">
            <v>300</v>
          </cell>
          <cell r="G3461">
            <v>4</v>
          </cell>
          <cell r="H3461">
            <v>320</v>
          </cell>
          <cell r="I3461">
            <v>41746</v>
          </cell>
          <cell r="J3461" t="str">
            <v>NO SUMA</v>
          </cell>
          <cell r="W3461">
            <v>0</v>
          </cell>
          <cell r="AJ3461">
            <v>0</v>
          </cell>
          <cell r="AW3461">
            <v>0</v>
          </cell>
        </row>
        <row r="3462">
          <cell r="B3462">
            <v>6943</v>
          </cell>
          <cell r="C3462" t="str">
            <v>ZB_88_</v>
          </cell>
          <cell r="D3462" t="str">
            <v>Rancho Zinamba No. 88</v>
          </cell>
          <cell r="E3462" t="str">
            <v>Martínez</v>
          </cell>
          <cell r="F3462">
            <v>250</v>
          </cell>
          <cell r="G3462">
            <v>4</v>
          </cell>
          <cell r="H3462">
            <v>160</v>
          </cell>
          <cell r="I3462">
            <v>41746</v>
          </cell>
          <cell r="J3462" t="str">
            <v>NO SUMA</v>
          </cell>
          <cell r="W3462">
            <v>0</v>
          </cell>
          <cell r="AJ3462">
            <v>0</v>
          </cell>
          <cell r="AW3462">
            <v>0</v>
          </cell>
        </row>
        <row r="3463">
          <cell r="B3463">
            <v>6944</v>
          </cell>
          <cell r="C3463" t="str">
            <v>RM_17_</v>
          </cell>
          <cell r="D3463" t="str">
            <v>Rancho Romeral No. 17</v>
          </cell>
          <cell r="E3463" t="str">
            <v>Aguilar Lomelí</v>
          </cell>
          <cell r="F3463">
            <v>300</v>
          </cell>
          <cell r="G3463">
            <v>4</v>
          </cell>
          <cell r="H3463">
            <v>160</v>
          </cell>
          <cell r="I3463">
            <v>41746</v>
          </cell>
          <cell r="J3463" t="str">
            <v>NO SUMA</v>
          </cell>
          <cell r="W3463">
            <v>0</v>
          </cell>
          <cell r="AJ3463">
            <v>0</v>
          </cell>
          <cell r="AW3463">
            <v>0</v>
          </cell>
        </row>
        <row r="3464">
          <cell r="B3464">
            <v>6945</v>
          </cell>
          <cell r="C3464" t="str">
            <v>LD_89_</v>
          </cell>
          <cell r="D3464" t="str">
            <v>Rancho Landero No. 89</v>
          </cell>
          <cell r="E3464" t="str">
            <v>Del Pozo Solís</v>
          </cell>
          <cell r="F3464">
            <v>300</v>
          </cell>
          <cell r="G3464">
            <v>4</v>
          </cell>
          <cell r="H3464">
            <v>160</v>
          </cell>
          <cell r="I3464">
            <v>41747</v>
          </cell>
          <cell r="J3464" t="str">
            <v>NO SUMA</v>
          </cell>
          <cell r="W3464">
            <v>0</v>
          </cell>
          <cell r="AJ3464">
            <v>0</v>
          </cell>
          <cell r="AW3464">
            <v>0</v>
          </cell>
        </row>
        <row r="3465">
          <cell r="B3465">
            <v>6946</v>
          </cell>
          <cell r="C3465" t="str">
            <v>RM_17_</v>
          </cell>
          <cell r="D3465" t="str">
            <v>Rancho Romeral No. 17</v>
          </cell>
          <cell r="E3465" t="str">
            <v>Aguilar Lomelí</v>
          </cell>
          <cell r="F3465">
            <v>300</v>
          </cell>
          <cell r="G3465">
            <v>4</v>
          </cell>
          <cell r="H3465">
            <v>160</v>
          </cell>
          <cell r="I3465">
            <v>41748</v>
          </cell>
          <cell r="J3465" t="str">
            <v>NO SUMA</v>
          </cell>
          <cell r="W3465">
            <v>0</v>
          </cell>
          <cell r="AJ3465">
            <v>0</v>
          </cell>
          <cell r="AW3465">
            <v>0</v>
          </cell>
        </row>
        <row r="3466">
          <cell r="B3466">
            <v>6947</v>
          </cell>
          <cell r="C3466" t="str">
            <v>EZ_99_</v>
          </cell>
          <cell r="D3466" t="str">
            <v>Rancho Estanzuela No. 99</v>
          </cell>
          <cell r="E3466" t="str">
            <v>García López</v>
          </cell>
          <cell r="F3466">
            <v>300</v>
          </cell>
          <cell r="G3466">
            <v>1</v>
          </cell>
          <cell r="H3466">
            <v>400</v>
          </cell>
          <cell r="I3466">
            <v>41749</v>
          </cell>
          <cell r="J3466">
            <v>0</v>
          </cell>
          <cell r="W3466">
            <v>0</v>
          </cell>
          <cell r="AJ3466">
            <v>0</v>
          </cell>
          <cell r="AN3466">
            <v>400</v>
          </cell>
          <cell r="AW3466">
            <v>400</v>
          </cell>
        </row>
        <row r="3467">
          <cell r="B3467">
            <v>6948</v>
          </cell>
          <cell r="C3467" t="str">
            <v>CL_61_</v>
          </cell>
          <cell r="D3467" t="str">
            <v>Rancho La Cuchilla No. 61</v>
          </cell>
          <cell r="E3467" t="str">
            <v>Rivera</v>
          </cell>
          <cell r="F3467">
            <v>300</v>
          </cell>
          <cell r="G3467">
            <v>1</v>
          </cell>
          <cell r="H3467">
            <v>400</v>
          </cell>
          <cell r="I3467">
            <v>41749</v>
          </cell>
          <cell r="J3467">
            <v>0</v>
          </cell>
          <cell r="W3467">
            <v>0</v>
          </cell>
          <cell r="AJ3467">
            <v>0</v>
          </cell>
          <cell r="AM3467">
            <v>200</v>
          </cell>
          <cell r="AN3467">
            <v>200</v>
          </cell>
          <cell r="AW3467">
            <v>400</v>
          </cell>
        </row>
        <row r="3468">
          <cell r="B3468">
            <v>6948</v>
          </cell>
          <cell r="C3468" t="str">
            <v>CL_61_</v>
          </cell>
          <cell r="D3468" t="str">
            <v>Rancho La Cuchilla No. 61</v>
          </cell>
          <cell r="E3468" t="str">
            <v>Rivera</v>
          </cell>
          <cell r="F3468">
            <v>300</v>
          </cell>
          <cell r="G3468">
            <v>3</v>
          </cell>
          <cell r="H3468">
            <v>160</v>
          </cell>
          <cell r="I3468">
            <v>41749</v>
          </cell>
          <cell r="J3468" t="str">
            <v>NO SUMA</v>
          </cell>
          <cell r="W3468">
            <v>0</v>
          </cell>
          <cell r="AJ3468">
            <v>0</v>
          </cell>
          <cell r="AW3468">
            <v>0</v>
          </cell>
        </row>
        <row r="3469">
          <cell r="B3469">
            <v>6949</v>
          </cell>
          <cell r="C3469" t="str">
            <v>CL_118_</v>
          </cell>
          <cell r="D3469" t="str">
            <v>Rancho La Cuchilla No. 118</v>
          </cell>
          <cell r="E3469" t="str">
            <v>Astorga Ruiz</v>
          </cell>
          <cell r="F3469">
            <v>300</v>
          </cell>
          <cell r="G3469">
            <v>1</v>
          </cell>
          <cell r="H3469">
            <v>400</v>
          </cell>
          <cell r="I3469">
            <v>41749</v>
          </cell>
          <cell r="J3469">
            <v>0</v>
          </cell>
          <cell r="W3469">
            <v>0</v>
          </cell>
          <cell r="AJ3469">
            <v>0</v>
          </cell>
          <cell r="AN3469">
            <v>400</v>
          </cell>
          <cell r="AW3469">
            <v>400</v>
          </cell>
        </row>
        <row r="3470">
          <cell r="B3470">
            <v>6950</v>
          </cell>
          <cell r="C3470" t="str">
            <v>CL_66_</v>
          </cell>
          <cell r="D3470" t="str">
            <v>Rancho La Cuchilla No. 66</v>
          </cell>
          <cell r="E3470" t="str">
            <v>Prieto</v>
          </cell>
          <cell r="F3470">
            <v>300</v>
          </cell>
          <cell r="G3470">
            <v>1</v>
          </cell>
          <cell r="H3470">
            <v>400</v>
          </cell>
          <cell r="I3470">
            <v>41749</v>
          </cell>
          <cell r="J3470">
            <v>0</v>
          </cell>
          <cell r="W3470">
            <v>0</v>
          </cell>
          <cell r="AJ3470">
            <v>0</v>
          </cell>
          <cell r="AN3470">
            <v>400</v>
          </cell>
          <cell r="AW3470">
            <v>400</v>
          </cell>
        </row>
        <row r="3471">
          <cell r="B3471">
            <v>6950</v>
          </cell>
          <cell r="C3471" t="str">
            <v>CL_66_</v>
          </cell>
          <cell r="D3471" t="str">
            <v>Rancho La Cuchilla No. 66</v>
          </cell>
          <cell r="E3471" t="str">
            <v>Prieto</v>
          </cell>
          <cell r="F3471">
            <v>300</v>
          </cell>
          <cell r="G3471">
            <v>3</v>
          </cell>
          <cell r="H3471">
            <v>320</v>
          </cell>
          <cell r="I3471">
            <v>41749</v>
          </cell>
          <cell r="J3471" t="str">
            <v>NO SUMA</v>
          </cell>
          <cell r="W3471">
            <v>0</v>
          </cell>
          <cell r="AJ3471">
            <v>0</v>
          </cell>
          <cell r="AW3471">
            <v>0</v>
          </cell>
        </row>
        <row r="3472">
          <cell r="B3472">
            <v>6951</v>
          </cell>
          <cell r="C3472" t="str">
            <v>CL_117_</v>
          </cell>
          <cell r="D3472" t="str">
            <v>Rancho La Cuchilla No. 117</v>
          </cell>
          <cell r="E3472" t="str">
            <v>Gómez</v>
          </cell>
          <cell r="F3472">
            <v>300</v>
          </cell>
          <cell r="G3472">
            <v>1</v>
          </cell>
          <cell r="H3472">
            <v>800</v>
          </cell>
          <cell r="I3472">
            <v>41749</v>
          </cell>
          <cell r="J3472">
            <v>0</v>
          </cell>
          <cell r="W3472">
            <v>0</v>
          </cell>
          <cell r="AJ3472">
            <v>0</v>
          </cell>
          <cell r="AL3472">
            <v>400</v>
          </cell>
          <cell r="AM3472">
            <v>400</v>
          </cell>
          <cell r="AW3472">
            <v>800</v>
          </cell>
        </row>
        <row r="3473">
          <cell r="B3473">
            <v>6952</v>
          </cell>
          <cell r="C3473" t="str">
            <v>ZB_38_</v>
          </cell>
          <cell r="D3473" t="str">
            <v>Rancho Zinamba No. 38</v>
          </cell>
          <cell r="E3473" t="str">
            <v>Ramírez Díaz</v>
          </cell>
          <cell r="F3473">
            <v>300</v>
          </cell>
          <cell r="G3473">
            <v>1</v>
          </cell>
          <cell r="H3473">
            <v>400</v>
          </cell>
          <cell r="I3473">
            <v>41749</v>
          </cell>
          <cell r="J3473">
            <v>0</v>
          </cell>
          <cell r="W3473">
            <v>0</v>
          </cell>
          <cell r="AJ3473">
            <v>0</v>
          </cell>
          <cell r="AN3473">
            <v>400</v>
          </cell>
          <cell r="AW3473">
            <v>400</v>
          </cell>
        </row>
        <row r="3474">
          <cell r="B3474">
            <v>6953</v>
          </cell>
          <cell r="C3474" t="str">
            <v>CL_117_</v>
          </cell>
          <cell r="D3474" t="str">
            <v>Rancho La Cuchilla No. 117</v>
          </cell>
          <cell r="E3474" t="str">
            <v>Gómez</v>
          </cell>
          <cell r="F3474">
            <v>300</v>
          </cell>
          <cell r="G3474">
            <v>1</v>
          </cell>
          <cell r="H3474">
            <v>400</v>
          </cell>
          <cell r="I3474">
            <v>41749</v>
          </cell>
          <cell r="J3474">
            <v>0</v>
          </cell>
          <cell r="W3474">
            <v>0</v>
          </cell>
          <cell r="AJ3474">
            <v>0</v>
          </cell>
          <cell r="AN3474">
            <v>400</v>
          </cell>
          <cell r="AW3474">
            <v>400</v>
          </cell>
        </row>
        <row r="3475">
          <cell r="B3475">
            <v>6954</v>
          </cell>
          <cell r="C3475" t="str">
            <v>CL_55_</v>
          </cell>
          <cell r="D3475" t="str">
            <v>Rancho La Cuchilla No. 55</v>
          </cell>
          <cell r="E3475" t="str">
            <v>López Velázquez</v>
          </cell>
          <cell r="F3475">
            <v>300</v>
          </cell>
          <cell r="G3475">
            <v>1</v>
          </cell>
          <cell r="H3475">
            <v>400</v>
          </cell>
          <cell r="I3475">
            <v>41749</v>
          </cell>
          <cell r="J3475">
            <v>0</v>
          </cell>
          <cell r="W3475">
            <v>0</v>
          </cell>
          <cell r="AJ3475">
            <v>0</v>
          </cell>
          <cell r="AN3475">
            <v>400</v>
          </cell>
          <cell r="AW3475">
            <v>400</v>
          </cell>
        </row>
        <row r="3476">
          <cell r="B3476">
            <v>6955</v>
          </cell>
          <cell r="C3476" t="str">
            <v>UP_64_</v>
          </cell>
          <cell r="D3476" t="str">
            <v>Rancho Upácuaro No. 64</v>
          </cell>
          <cell r="E3476" t="str">
            <v>Méndez Oliva</v>
          </cell>
          <cell r="F3476">
            <v>300</v>
          </cell>
          <cell r="G3476">
            <v>1</v>
          </cell>
          <cell r="H3476">
            <v>300</v>
          </cell>
          <cell r="I3476">
            <v>41749</v>
          </cell>
          <cell r="J3476">
            <v>0</v>
          </cell>
          <cell r="W3476">
            <v>0</v>
          </cell>
          <cell r="AJ3476">
            <v>0</v>
          </cell>
          <cell r="AN3476">
            <v>300</v>
          </cell>
          <cell r="AW3476">
            <v>300</v>
          </cell>
        </row>
        <row r="3477">
          <cell r="B3477">
            <v>6956</v>
          </cell>
          <cell r="C3477" t="str">
            <v>UP_69_</v>
          </cell>
          <cell r="D3477" t="str">
            <v>Rancho Upácuaro No. 69</v>
          </cell>
          <cell r="E3477" t="str">
            <v>Gómez</v>
          </cell>
          <cell r="F3477">
            <v>300</v>
          </cell>
          <cell r="G3477">
            <v>1</v>
          </cell>
          <cell r="H3477">
            <v>400</v>
          </cell>
          <cell r="I3477">
            <v>41749</v>
          </cell>
          <cell r="J3477">
            <v>0</v>
          </cell>
          <cell r="W3477">
            <v>0</v>
          </cell>
          <cell r="AJ3477">
            <v>0</v>
          </cell>
          <cell r="AN3477">
            <v>400</v>
          </cell>
          <cell r="AW3477">
            <v>400</v>
          </cell>
        </row>
        <row r="3478">
          <cell r="B3478">
            <v>6957</v>
          </cell>
          <cell r="C3478" t="str">
            <v>LD_18_</v>
          </cell>
          <cell r="D3478" t="str">
            <v>Rancho Landero No. 18</v>
          </cell>
          <cell r="E3478" t="str">
            <v>Rosado</v>
          </cell>
          <cell r="F3478">
            <v>250</v>
          </cell>
          <cell r="G3478">
            <v>1</v>
          </cell>
          <cell r="H3478">
            <v>300</v>
          </cell>
          <cell r="I3478">
            <v>41749</v>
          </cell>
          <cell r="J3478">
            <v>0</v>
          </cell>
          <cell r="W3478">
            <v>0</v>
          </cell>
          <cell r="AJ3478">
            <v>0</v>
          </cell>
          <cell r="AN3478">
            <v>300</v>
          </cell>
          <cell r="AW3478">
            <v>300</v>
          </cell>
        </row>
        <row r="3479">
          <cell r="B3479">
            <v>6958</v>
          </cell>
          <cell r="C3479" t="str">
            <v>UP_12_</v>
          </cell>
          <cell r="D3479" t="str">
            <v>Rancho Upácuaro No. 12</v>
          </cell>
          <cell r="E3479" t="str">
            <v>Moreno Chávez</v>
          </cell>
          <cell r="F3479">
            <v>300</v>
          </cell>
          <cell r="G3479">
            <v>1</v>
          </cell>
          <cell r="H3479">
            <v>2400</v>
          </cell>
          <cell r="I3479">
            <v>41749</v>
          </cell>
          <cell r="J3479">
            <v>0</v>
          </cell>
          <cell r="W3479">
            <v>0</v>
          </cell>
          <cell r="AJ3479">
            <v>0</v>
          </cell>
          <cell r="AK3479">
            <v>400</v>
          </cell>
          <cell r="AL3479">
            <v>400</v>
          </cell>
          <cell r="AM3479">
            <v>400</v>
          </cell>
          <cell r="AN3479">
            <v>400</v>
          </cell>
          <cell r="AO3479">
            <v>400</v>
          </cell>
          <cell r="AP3479">
            <v>400</v>
          </cell>
          <cell r="AW3479">
            <v>2400</v>
          </cell>
        </row>
        <row r="3480">
          <cell r="B3480">
            <v>6959</v>
          </cell>
          <cell r="C3480" t="str">
            <v>UP_12_</v>
          </cell>
          <cell r="D3480" t="str">
            <v>Rancho Upácuaro No. 12</v>
          </cell>
          <cell r="E3480" t="str">
            <v>Moreno Chávez</v>
          </cell>
          <cell r="F3480">
            <v>300</v>
          </cell>
          <cell r="G3480">
            <v>4</v>
          </cell>
          <cell r="H3480">
            <v>160</v>
          </cell>
          <cell r="I3480">
            <v>41749</v>
          </cell>
          <cell r="J3480" t="str">
            <v>NO SUMA</v>
          </cell>
          <cell r="W3480">
            <v>0</v>
          </cell>
          <cell r="AJ3480">
            <v>0</v>
          </cell>
          <cell r="AW3480">
            <v>0</v>
          </cell>
        </row>
        <row r="3481">
          <cell r="B3481">
            <v>6960</v>
          </cell>
          <cell r="C3481" t="str">
            <v>CL_89_</v>
          </cell>
          <cell r="D3481" t="str">
            <v>Rancho La Cuchilla No. 89</v>
          </cell>
          <cell r="E3481" t="str">
            <v>Gálvez</v>
          </cell>
          <cell r="F3481">
            <v>300</v>
          </cell>
          <cell r="G3481">
            <v>1</v>
          </cell>
          <cell r="H3481">
            <v>400</v>
          </cell>
          <cell r="I3481">
            <v>41749</v>
          </cell>
          <cell r="J3481">
            <v>0</v>
          </cell>
          <cell r="W3481">
            <v>0</v>
          </cell>
          <cell r="AJ3481">
            <v>0</v>
          </cell>
          <cell r="AN3481">
            <v>400</v>
          </cell>
          <cell r="AW3481">
            <v>400</v>
          </cell>
        </row>
        <row r="3482">
          <cell r="B3482">
            <v>6961</v>
          </cell>
          <cell r="C3482" t="str">
            <v>UP_87_</v>
          </cell>
          <cell r="D3482" t="str">
            <v>Rancho Upácuaro No. 87</v>
          </cell>
          <cell r="E3482" t="str">
            <v>Rodríguez Parés</v>
          </cell>
          <cell r="F3482">
            <v>300</v>
          </cell>
          <cell r="G3482">
            <v>3</v>
          </cell>
          <cell r="H3482">
            <v>160</v>
          </cell>
          <cell r="I3482">
            <v>41749</v>
          </cell>
          <cell r="J3482" t="str">
            <v>NO SUMA</v>
          </cell>
          <cell r="W3482">
            <v>0</v>
          </cell>
          <cell r="AJ3482">
            <v>0</v>
          </cell>
          <cell r="AW3482">
            <v>0</v>
          </cell>
        </row>
        <row r="3483">
          <cell r="B3483">
            <v>6962</v>
          </cell>
          <cell r="C3483" t="str">
            <v>UP_140_</v>
          </cell>
          <cell r="D3483" t="str">
            <v>Rancho Upácuaro No. 140</v>
          </cell>
          <cell r="E3483" t="str">
            <v>Gozain</v>
          </cell>
          <cell r="F3483">
            <v>300</v>
          </cell>
          <cell r="G3483">
            <v>4</v>
          </cell>
          <cell r="H3483">
            <v>320</v>
          </cell>
          <cell r="I3483">
            <v>41749</v>
          </cell>
          <cell r="J3483" t="str">
            <v>NO SUMA</v>
          </cell>
          <cell r="W3483">
            <v>0</v>
          </cell>
          <cell r="AJ3483">
            <v>0</v>
          </cell>
          <cell r="AW3483">
            <v>0</v>
          </cell>
        </row>
        <row r="3484">
          <cell r="B3484">
            <v>6963</v>
          </cell>
          <cell r="C3484" t="str">
            <v>LD_87_</v>
          </cell>
          <cell r="D3484" t="str">
            <v>Rancho Landero No. 87</v>
          </cell>
          <cell r="E3484" t="str">
            <v>Fey Lafferla</v>
          </cell>
          <cell r="F3484">
            <v>300</v>
          </cell>
          <cell r="G3484">
            <v>1</v>
          </cell>
          <cell r="H3484">
            <v>300</v>
          </cell>
          <cell r="I3484">
            <v>41749</v>
          </cell>
          <cell r="J3484">
            <v>0</v>
          </cell>
          <cell r="W3484">
            <v>0</v>
          </cell>
          <cell r="AJ3484">
            <v>0</v>
          </cell>
          <cell r="AN3484">
            <v>300</v>
          </cell>
          <cell r="AW3484">
            <v>300</v>
          </cell>
        </row>
        <row r="3485">
          <cell r="B3485">
            <v>6964</v>
          </cell>
          <cell r="C3485" t="str">
            <v>RM_10_A</v>
          </cell>
          <cell r="D3485" t="str">
            <v>Rancho Romeral No. 10, A</v>
          </cell>
          <cell r="E3485" t="str">
            <v>Casillas Álvarez</v>
          </cell>
          <cell r="F3485">
            <v>150</v>
          </cell>
          <cell r="G3485">
            <v>1</v>
          </cell>
          <cell r="H3485">
            <v>400</v>
          </cell>
          <cell r="I3485">
            <v>41749</v>
          </cell>
          <cell r="J3485">
            <v>0</v>
          </cell>
          <cell r="W3485">
            <v>0</v>
          </cell>
          <cell r="AJ3485">
            <v>0</v>
          </cell>
          <cell r="AO3485">
            <v>200</v>
          </cell>
          <cell r="AP3485">
            <v>200</v>
          </cell>
          <cell r="AW3485">
            <v>400</v>
          </cell>
        </row>
        <row r="3486">
          <cell r="B3486">
            <v>6965</v>
          </cell>
          <cell r="D3486" t="str">
            <v/>
          </cell>
          <cell r="E3486" t="str">
            <v/>
          </cell>
          <cell r="F3486" t="str">
            <v/>
          </cell>
          <cell r="G3486">
            <v>8</v>
          </cell>
          <cell r="I3486">
            <v>41749</v>
          </cell>
          <cell r="J3486" t="str">
            <v>NO SUMA</v>
          </cell>
          <cell r="W3486">
            <v>0</v>
          </cell>
          <cell r="AJ3486">
            <v>0</v>
          </cell>
          <cell r="AW3486">
            <v>0</v>
          </cell>
        </row>
        <row r="3487">
          <cell r="B3487">
            <v>6966</v>
          </cell>
          <cell r="C3487" t="str">
            <v>UP_19_</v>
          </cell>
          <cell r="D3487" t="str">
            <v>Rancho Upácuaro No. 19</v>
          </cell>
          <cell r="E3487" t="str">
            <v>Peña Inclán</v>
          </cell>
          <cell r="F3487">
            <v>200</v>
          </cell>
          <cell r="G3487">
            <v>1</v>
          </cell>
          <cell r="H3487">
            <v>300</v>
          </cell>
          <cell r="I3487">
            <v>41749</v>
          </cell>
          <cell r="J3487">
            <v>0</v>
          </cell>
          <cell r="W3487">
            <v>0</v>
          </cell>
          <cell r="AJ3487">
            <v>0</v>
          </cell>
          <cell r="AO3487">
            <v>300</v>
          </cell>
          <cell r="AW3487">
            <v>300</v>
          </cell>
        </row>
        <row r="3488">
          <cell r="B3488">
            <v>6967</v>
          </cell>
          <cell r="C3488" t="str">
            <v>UP_73_A</v>
          </cell>
          <cell r="D3488" t="str">
            <v>Rancho Upácuaro No. 73, A</v>
          </cell>
          <cell r="E3488" t="str">
            <v>Ortega</v>
          </cell>
          <cell r="F3488">
            <v>150</v>
          </cell>
          <cell r="G3488">
            <v>4</v>
          </cell>
          <cell r="H3488">
            <v>160</v>
          </cell>
          <cell r="I3488">
            <v>41749</v>
          </cell>
          <cell r="J3488" t="str">
            <v>NO SUMA</v>
          </cell>
          <cell r="W3488">
            <v>0</v>
          </cell>
          <cell r="AJ3488">
            <v>0</v>
          </cell>
          <cell r="AW3488">
            <v>0</v>
          </cell>
        </row>
        <row r="3489">
          <cell r="B3489">
            <v>6968</v>
          </cell>
          <cell r="C3489" t="str">
            <v>EZ_7_A</v>
          </cell>
          <cell r="D3489" t="str">
            <v>Rancho Estanzuela No. 7, A</v>
          </cell>
          <cell r="E3489" t="str">
            <v>Herrera Izquierdo</v>
          </cell>
          <cell r="F3489">
            <v>150</v>
          </cell>
          <cell r="G3489">
            <v>1</v>
          </cell>
          <cell r="H3489">
            <v>200</v>
          </cell>
          <cell r="I3489">
            <v>41749</v>
          </cell>
          <cell r="J3489">
            <v>0</v>
          </cell>
          <cell r="W3489">
            <v>0</v>
          </cell>
          <cell r="AJ3489">
            <v>0</v>
          </cell>
          <cell r="AN3489">
            <v>200</v>
          </cell>
          <cell r="AW3489">
            <v>200</v>
          </cell>
        </row>
        <row r="3490">
          <cell r="B3490">
            <v>6969</v>
          </cell>
          <cell r="C3490" t="str">
            <v>CL_18_</v>
          </cell>
          <cell r="D3490" t="str">
            <v>Rancho La Cuchilla No. 18</v>
          </cell>
          <cell r="E3490" t="str">
            <v>Aldana Sánchez</v>
          </cell>
          <cell r="F3490">
            <v>300</v>
          </cell>
          <cell r="G3490">
            <v>1</v>
          </cell>
          <cell r="H3490">
            <v>400</v>
          </cell>
          <cell r="I3490">
            <v>41749</v>
          </cell>
          <cell r="J3490">
            <v>0</v>
          </cell>
          <cell r="W3490">
            <v>0</v>
          </cell>
          <cell r="AJ3490">
            <v>0</v>
          </cell>
          <cell r="AN3490">
            <v>400</v>
          </cell>
          <cell r="AW3490">
            <v>400</v>
          </cell>
        </row>
        <row r="3491">
          <cell r="B3491">
            <v>6970</v>
          </cell>
          <cell r="C3491" t="str">
            <v>CL_77_</v>
          </cell>
          <cell r="D3491" t="str">
            <v>Rancho La Cuchilla No. 77</v>
          </cell>
          <cell r="E3491" t="str">
            <v>Loperena</v>
          </cell>
          <cell r="F3491">
            <v>300</v>
          </cell>
          <cell r="G3491">
            <v>1</v>
          </cell>
          <cell r="H3491">
            <v>300</v>
          </cell>
          <cell r="I3491">
            <v>41749</v>
          </cell>
          <cell r="J3491">
            <v>0</v>
          </cell>
          <cell r="W3491">
            <v>0</v>
          </cell>
          <cell r="AJ3491">
            <v>0</v>
          </cell>
          <cell r="AN3491">
            <v>300</v>
          </cell>
          <cell r="AW3491">
            <v>300</v>
          </cell>
        </row>
        <row r="3492">
          <cell r="B3492">
            <v>6971</v>
          </cell>
          <cell r="C3492" t="str">
            <v>LD_35_</v>
          </cell>
          <cell r="D3492" t="str">
            <v>Rancho Landero No. 35</v>
          </cell>
          <cell r="E3492" t="str">
            <v>Loperena</v>
          </cell>
          <cell r="F3492">
            <v>300</v>
          </cell>
          <cell r="G3492">
            <v>1</v>
          </cell>
          <cell r="H3492">
            <v>400</v>
          </cell>
          <cell r="I3492">
            <v>41749</v>
          </cell>
          <cell r="J3492">
            <v>0</v>
          </cell>
          <cell r="W3492">
            <v>0</v>
          </cell>
          <cell r="AJ3492">
            <v>0</v>
          </cell>
          <cell r="AN3492">
            <v>400</v>
          </cell>
          <cell r="AW3492">
            <v>400</v>
          </cell>
        </row>
        <row r="3493">
          <cell r="B3493">
            <v>6972</v>
          </cell>
          <cell r="C3493" t="str">
            <v>LD_39_</v>
          </cell>
          <cell r="D3493" t="str">
            <v>Rancho Landero No. 39</v>
          </cell>
          <cell r="E3493" t="str">
            <v>Soto del Cueto</v>
          </cell>
          <cell r="F3493">
            <v>250</v>
          </cell>
          <cell r="G3493">
            <v>1</v>
          </cell>
          <cell r="H3493">
            <v>250</v>
          </cell>
          <cell r="I3493">
            <v>41749</v>
          </cell>
          <cell r="J3493">
            <v>0</v>
          </cell>
          <cell r="W3493">
            <v>0</v>
          </cell>
          <cell r="AJ3493">
            <v>0</v>
          </cell>
          <cell r="AN3493">
            <v>250</v>
          </cell>
          <cell r="AW3493">
            <v>250</v>
          </cell>
        </row>
        <row r="3494">
          <cell r="B3494">
            <v>6973</v>
          </cell>
          <cell r="C3494" t="str">
            <v>ZB_18_</v>
          </cell>
          <cell r="D3494" t="str">
            <v>Rancho Zinamba No. 18</v>
          </cell>
          <cell r="E3494" t="str">
            <v>Hernández Castro</v>
          </cell>
          <cell r="F3494">
            <v>300</v>
          </cell>
          <cell r="G3494">
            <v>1</v>
          </cell>
          <cell r="H3494">
            <v>400</v>
          </cell>
          <cell r="I3494">
            <v>41749</v>
          </cell>
          <cell r="J3494">
            <v>0</v>
          </cell>
          <cell r="W3494">
            <v>0</v>
          </cell>
          <cell r="AJ3494">
            <v>0</v>
          </cell>
          <cell r="AM3494">
            <v>200</v>
          </cell>
          <cell r="AN3494">
            <v>200</v>
          </cell>
          <cell r="AW3494">
            <v>400</v>
          </cell>
        </row>
        <row r="3495">
          <cell r="B3495">
            <v>6974</v>
          </cell>
          <cell r="C3495" t="str">
            <v>UP_94_</v>
          </cell>
          <cell r="D3495" t="str">
            <v>Rancho Upácuaro No. 94</v>
          </cell>
          <cell r="E3495" t="str">
            <v>Juárez Patiño</v>
          </cell>
          <cell r="G3495">
            <v>4</v>
          </cell>
          <cell r="H3495">
            <v>160</v>
          </cell>
          <cell r="I3495">
            <v>41749</v>
          </cell>
          <cell r="J3495" t="str">
            <v>NO SUMA</v>
          </cell>
          <cell r="W3495">
            <v>0</v>
          </cell>
          <cell r="AJ3495">
            <v>0</v>
          </cell>
          <cell r="AW3495">
            <v>0</v>
          </cell>
        </row>
        <row r="3496">
          <cell r="B3496">
            <v>6975</v>
          </cell>
          <cell r="C3496" t="str">
            <v>LD_71_</v>
          </cell>
          <cell r="D3496" t="str">
            <v>Rancho Landero No. 71</v>
          </cell>
          <cell r="E3496" t="str">
            <v>Cabrera Balcázar</v>
          </cell>
          <cell r="F3496">
            <v>300</v>
          </cell>
          <cell r="G3496">
            <v>1</v>
          </cell>
          <cell r="H3496">
            <v>400</v>
          </cell>
          <cell r="I3496">
            <v>41749</v>
          </cell>
          <cell r="J3496">
            <v>0</v>
          </cell>
          <cell r="W3496">
            <v>0</v>
          </cell>
          <cell r="AJ3496">
            <v>0</v>
          </cell>
          <cell r="AN3496">
            <v>400</v>
          </cell>
          <cell r="AW3496">
            <v>400</v>
          </cell>
        </row>
        <row r="3497">
          <cell r="B3497">
            <v>6976</v>
          </cell>
          <cell r="C3497" t="str">
            <v>UP_47_</v>
          </cell>
          <cell r="D3497" t="str">
            <v>Rancho Upácuaro No. 47</v>
          </cell>
          <cell r="E3497" t="str">
            <v>Flores Muñoz</v>
          </cell>
          <cell r="F3497">
            <v>300</v>
          </cell>
          <cell r="G3497">
            <v>1</v>
          </cell>
          <cell r="H3497">
            <v>400</v>
          </cell>
          <cell r="I3497">
            <v>41749</v>
          </cell>
          <cell r="J3497">
            <v>0</v>
          </cell>
          <cell r="W3497">
            <v>0</v>
          </cell>
          <cell r="AJ3497">
            <v>0</v>
          </cell>
          <cell r="AN3497">
            <v>0</v>
          </cell>
          <cell r="AO3497">
            <v>400</v>
          </cell>
          <cell r="AW3497">
            <v>400</v>
          </cell>
        </row>
        <row r="3498">
          <cell r="B3498">
            <v>6977</v>
          </cell>
          <cell r="C3498" t="str">
            <v>CL_43_A</v>
          </cell>
          <cell r="D3498" t="str">
            <v>Rancho La Cuchilla No. 43, A</v>
          </cell>
          <cell r="E3498" t="str">
            <v>De la Rosa</v>
          </cell>
          <cell r="F3498">
            <v>200</v>
          </cell>
          <cell r="G3498">
            <v>1</v>
          </cell>
          <cell r="H3498">
            <v>400</v>
          </cell>
          <cell r="I3498">
            <v>41749</v>
          </cell>
          <cell r="J3498">
            <v>0</v>
          </cell>
          <cell r="W3498">
            <v>0</v>
          </cell>
          <cell r="AJ3498">
            <v>0</v>
          </cell>
          <cell r="AM3498">
            <v>400</v>
          </cell>
          <cell r="AW3498">
            <v>400</v>
          </cell>
        </row>
        <row r="3499">
          <cell r="B3499">
            <v>6978</v>
          </cell>
          <cell r="C3499" t="str">
            <v>UP_34_</v>
          </cell>
          <cell r="D3499" t="str">
            <v>Rancho Upácuaro No. 34</v>
          </cell>
          <cell r="E3499" t="str">
            <v>Gómez González</v>
          </cell>
          <cell r="F3499">
            <v>300</v>
          </cell>
          <cell r="G3499">
            <v>1</v>
          </cell>
          <cell r="H3499">
            <v>300</v>
          </cell>
          <cell r="I3499">
            <v>41749</v>
          </cell>
          <cell r="J3499">
            <v>0</v>
          </cell>
          <cell r="W3499">
            <v>0</v>
          </cell>
          <cell r="AJ3499">
            <v>0</v>
          </cell>
          <cell r="AN3499">
            <v>300</v>
          </cell>
          <cell r="AW3499">
            <v>300</v>
          </cell>
        </row>
        <row r="3500">
          <cell r="B3500">
            <v>6979</v>
          </cell>
          <cell r="C3500" t="str">
            <v>LD_21_</v>
          </cell>
          <cell r="D3500" t="str">
            <v>Rancho Landero No. 21</v>
          </cell>
          <cell r="E3500" t="str">
            <v>Meza</v>
          </cell>
          <cell r="F3500">
            <v>300</v>
          </cell>
          <cell r="G3500">
            <v>1</v>
          </cell>
          <cell r="H3500">
            <v>400</v>
          </cell>
          <cell r="I3500">
            <v>41749</v>
          </cell>
          <cell r="J3500">
            <v>0</v>
          </cell>
          <cell r="W3500">
            <v>0</v>
          </cell>
          <cell r="AJ3500">
            <v>0</v>
          </cell>
          <cell r="AN3500">
            <v>400</v>
          </cell>
          <cell r="AW3500">
            <v>400</v>
          </cell>
        </row>
        <row r="3501">
          <cell r="B3501">
            <v>6980</v>
          </cell>
          <cell r="C3501" t="str">
            <v>CL_46_</v>
          </cell>
          <cell r="D3501" t="str">
            <v>Rancho La Cuchilla No. 46</v>
          </cell>
          <cell r="E3501" t="str">
            <v>Cruz López</v>
          </cell>
          <cell r="F3501">
            <v>300</v>
          </cell>
          <cell r="G3501">
            <v>1</v>
          </cell>
          <cell r="H3501">
            <v>800</v>
          </cell>
          <cell r="I3501">
            <v>41749</v>
          </cell>
          <cell r="J3501">
            <v>0</v>
          </cell>
          <cell r="W3501">
            <v>0</v>
          </cell>
          <cell r="AJ3501">
            <v>0</v>
          </cell>
          <cell r="AM3501">
            <v>400</v>
          </cell>
          <cell r="AN3501">
            <v>400</v>
          </cell>
          <cell r="AW3501">
            <v>800</v>
          </cell>
        </row>
        <row r="3502">
          <cell r="B3502">
            <v>6981</v>
          </cell>
          <cell r="C3502" t="str">
            <v>UP_118_</v>
          </cell>
          <cell r="D3502" t="str">
            <v>Rancho Upácuaro No. 118</v>
          </cell>
          <cell r="E3502" t="str">
            <v>Siegrist</v>
          </cell>
          <cell r="F3502">
            <v>300</v>
          </cell>
          <cell r="G3502">
            <v>1</v>
          </cell>
          <cell r="H3502">
            <v>1200</v>
          </cell>
          <cell r="I3502">
            <v>41752</v>
          </cell>
          <cell r="J3502">
            <v>0</v>
          </cell>
          <cell r="W3502">
            <v>0</v>
          </cell>
          <cell r="AJ3502">
            <v>0</v>
          </cell>
          <cell r="AL3502">
            <v>400</v>
          </cell>
          <cell r="AM3502">
            <v>400</v>
          </cell>
          <cell r="AN3502">
            <v>400</v>
          </cell>
          <cell r="AW3502">
            <v>1200</v>
          </cell>
        </row>
        <row r="3503">
          <cell r="B3503">
            <v>6982</v>
          </cell>
          <cell r="C3503" t="str">
            <v>RV_187_</v>
          </cell>
          <cell r="D3503" t="str">
            <v>Rancho Recoveco No. 187</v>
          </cell>
          <cell r="E3503" t="str">
            <v>Moreno</v>
          </cell>
          <cell r="F3503">
            <v>300</v>
          </cell>
          <cell r="G3503">
            <v>1</v>
          </cell>
          <cell r="H3503">
            <v>800</v>
          </cell>
          <cell r="I3503">
            <v>41752</v>
          </cell>
          <cell r="J3503">
            <v>0</v>
          </cell>
          <cell r="W3503">
            <v>0</v>
          </cell>
          <cell r="AJ3503">
            <v>0</v>
          </cell>
          <cell r="AM3503">
            <v>400</v>
          </cell>
          <cell r="AN3503">
            <v>400</v>
          </cell>
          <cell r="AW3503">
            <v>800</v>
          </cell>
        </row>
        <row r="3504">
          <cell r="B3504">
            <v>6983</v>
          </cell>
          <cell r="C3504" t="str">
            <v>EZ_79_</v>
          </cell>
          <cell r="D3504" t="str">
            <v>Rancho Estanzuela No. 79</v>
          </cell>
          <cell r="E3504" t="str">
            <v>Mendoza</v>
          </cell>
          <cell r="F3504">
            <v>300</v>
          </cell>
          <cell r="G3504">
            <v>4</v>
          </cell>
          <cell r="H3504">
            <v>160</v>
          </cell>
          <cell r="I3504">
            <v>41752</v>
          </cell>
          <cell r="J3504" t="str">
            <v>NO SUMA</v>
          </cell>
          <cell r="W3504">
            <v>0</v>
          </cell>
          <cell r="AJ3504">
            <v>0</v>
          </cell>
          <cell r="AW3504">
            <v>0</v>
          </cell>
        </row>
        <row r="3505">
          <cell r="B3505">
            <v>6984</v>
          </cell>
          <cell r="C3505" t="str">
            <v>EZ_71_</v>
          </cell>
          <cell r="D3505" t="str">
            <v>Rancho Estanzuela No. 71</v>
          </cell>
          <cell r="E3505" t="str">
            <v>Soriano</v>
          </cell>
          <cell r="F3505">
            <v>300</v>
          </cell>
          <cell r="G3505">
            <v>1</v>
          </cell>
          <cell r="H3505">
            <v>4400</v>
          </cell>
          <cell r="I3505">
            <v>41752</v>
          </cell>
          <cell r="J3505">
            <v>0</v>
          </cell>
          <cell r="W3505">
            <v>0</v>
          </cell>
          <cell r="AJ3505">
            <v>0</v>
          </cell>
          <cell r="AL3505">
            <v>400</v>
          </cell>
          <cell r="AM3505">
            <v>400</v>
          </cell>
          <cell r="AN3505">
            <v>400</v>
          </cell>
          <cell r="AO3505">
            <v>400</v>
          </cell>
          <cell r="AP3505">
            <v>400</v>
          </cell>
          <cell r="AQ3505">
            <v>400</v>
          </cell>
          <cell r="AR3505">
            <v>400</v>
          </cell>
          <cell r="AS3505">
            <v>400</v>
          </cell>
          <cell r="AT3505">
            <v>400</v>
          </cell>
          <cell r="AU3505">
            <v>400</v>
          </cell>
          <cell r="AV3505">
            <v>400</v>
          </cell>
          <cell r="AW3505">
            <v>4400</v>
          </cell>
        </row>
        <row r="3506">
          <cell r="B3506">
            <v>6985</v>
          </cell>
          <cell r="C3506" t="str">
            <v>EZ_71_</v>
          </cell>
          <cell r="D3506" t="str">
            <v>Rancho Estanzuela No. 71</v>
          </cell>
          <cell r="E3506" t="str">
            <v>Soriano</v>
          </cell>
          <cell r="F3506">
            <v>300</v>
          </cell>
          <cell r="G3506">
            <v>4</v>
          </cell>
          <cell r="H3506">
            <v>320</v>
          </cell>
          <cell r="I3506">
            <v>41752</v>
          </cell>
          <cell r="J3506" t="str">
            <v>NO SUMA</v>
          </cell>
          <cell r="W3506">
            <v>0</v>
          </cell>
          <cell r="AJ3506">
            <v>0</v>
          </cell>
          <cell r="AW3506">
            <v>0</v>
          </cell>
        </row>
        <row r="3507">
          <cell r="B3507">
            <v>6986</v>
          </cell>
          <cell r="C3507" t="str">
            <v>EZ_159_</v>
          </cell>
          <cell r="D3507" t="str">
            <v>Rancho Estanzuela No. 159</v>
          </cell>
          <cell r="E3507" t="str">
            <v>Reyes Núñez</v>
          </cell>
          <cell r="F3507">
            <v>250</v>
          </cell>
          <cell r="G3507">
            <v>1</v>
          </cell>
          <cell r="H3507">
            <v>300</v>
          </cell>
          <cell r="I3507">
            <v>41752</v>
          </cell>
          <cell r="J3507">
            <v>0</v>
          </cell>
          <cell r="W3507">
            <v>0</v>
          </cell>
          <cell r="AJ3507">
            <v>0</v>
          </cell>
          <cell r="AN3507">
            <v>300</v>
          </cell>
          <cell r="AW3507">
            <v>300</v>
          </cell>
        </row>
        <row r="3508">
          <cell r="B3508">
            <v>6986</v>
          </cell>
          <cell r="C3508" t="str">
            <v>EZ_159_</v>
          </cell>
          <cell r="D3508" t="str">
            <v>Rancho Estanzuela No. 159</v>
          </cell>
          <cell r="E3508" t="str">
            <v>Reyes Núñez</v>
          </cell>
          <cell r="F3508">
            <v>250</v>
          </cell>
          <cell r="G3508">
            <v>4</v>
          </cell>
          <cell r="H3508">
            <v>480</v>
          </cell>
          <cell r="I3508">
            <v>41752</v>
          </cell>
          <cell r="J3508" t="str">
            <v>NO SUMA</v>
          </cell>
          <cell r="W3508">
            <v>0</v>
          </cell>
          <cell r="AJ3508">
            <v>0</v>
          </cell>
          <cell r="AW3508">
            <v>0</v>
          </cell>
        </row>
        <row r="3509">
          <cell r="B3509">
            <v>6987</v>
          </cell>
          <cell r="C3509" t="str">
            <v>LD_85_</v>
          </cell>
          <cell r="D3509" t="str">
            <v>Rancho Landero No. 85</v>
          </cell>
          <cell r="E3509" t="str">
            <v>Martínez Olague</v>
          </cell>
          <cell r="F3509">
            <v>300</v>
          </cell>
          <cell r="G3509">
            <v>1</v>
          </cell>
          <cell r="H3509">
            <v>400</v>
          </cell>
          <cell r="I3509">
            <v>41753</v>
          </cell>
          <cell r="J3509">
            <v>0</v>
          </cell>
          <cell r="W3509">
            <v>0</v>
          </cell>
          <cell r="AJ3509">
            <v>0</v>
          </cell>
          <cell r="AN3509">
            <v>400</v>
          </cell>
          <cell r="AW3509">
            <v>400</v>
          </cell>
        </row>
        <row r="3510">
          <cell r="B3510">
            <v>6988</v>
          </cell>
          <cell r="C3510" t="str">
            <v>ZB_46_</v>
          </cell>
          <cell r="D3510" t="str">
            <v>Rancho Zinamba No. 46</v>
          </cell>
          <cell r="E3510" t="str">
            <v>Olguín</v>
          </cell>
          <cell r="F3510">
            <v>300</v>
          </cell>
          <cell r="G3510">
            <v>1</v>
          </cell>
          <cell r="H3510">
            <v>200</v>
          </cell>
          <cell r="I3510">
            <v>41755</v>
          </cell>
          <cell r="J3510">
            <v>0</v>
          </cell>
          <cell r="W3510">
            <v>0</v>
          </cell>
          <cell r="AJ3510">
            <v>0</v>
          </cell>
          <cell r="AM3510">
            <v>200</v>
          </cell>
          <cell r="AW3510">
            <v>200</v>
          </cell>
        </row>
        <row r="3511">
          <cell r="B3511">
            <v>6989</v>
          </cell>
          <cell r="C3511" t="str">
            <v>EZ_143_B</v>
          </cell>
          <cell r="D3511" t="str">
            <v>Rancho Estanzuela No. 143, B</v>
          </cell>
          <cell r="E3511" t="str">
            <v>López</v>
          </cell>
          <cell r="F3511">
            <v>300</v>
          </cell>
          <cell r="G3511">
            <v>1</v>
          </cell>
          <cell r="H3511">
            <v>400</v>
          </cell>
          <cell r="I3511">
            <v>41755</v>
          </cell>
          <cell r="J3511">
            <v>0</v>
          </cell>
          <cell r="W3511">
            <v>0</v>
          </cell>
          <cell r="AJ3511">
            <v>0</v>
          </cell>
          <cell r="AN3511">
            <v>400</v>
          </cell>
          <cell r="AW3511">
            <v>400</v>
          </cell>
        </row>
        <row r="3512">
          <cell r="B3512">
            <v>6990</v>
          </cell>
          <cell r="C3512" t="str">
            <v>RV_3_</v>
          </cell>
          <cell r="D3512" t="str">
            <v>Rancho Recoveco No. 3</v>
          </cell>
          <cell r="E3512" t="str">
            <v>Garduño</v>
          </cell>
          <cell r="F3512">
            <v>300</v>
          </cell>
          <cell r="G3512">
            <v>3</v>
          </cell>
          <cell r="H3512">
            <v>320</v>
          </cell>
          <cell r="I3512">
            <v>41755</v>
          </cell>
          <cell r="J3512" t="str">
            <v>NO SUMA</v>
          </cell>
          <cell r="W3512">
            <v>0</v>
          </cell>
          <cell r="AJ3512">
            <v>0</v>
          </cell>
          <cell r="AW3512">
            <v>0</v>
          </cell>
        </row>
        <row r="3513">
          <cell r="B3513">
            <v>6991</v>
          </cell>
          <cell r="C3513" t="str">
            <v>RV_179_</v>
          </cell>
          <cell r="D3513" t="str">
            <v>Rancho Recoveco No. 179</v>
          </cell>
          <cell r="E3513" t="str">
            <v>Flores Delgado</v>
          </cell>
          <cell r="F3513">
            <v>300</v>
          </cell>
          <cell r="G3513">
            <v>1</v>
          </cell>
          <cell r="H3513">
            <v>400</v>
          </cell>
          <cell r="I3513">
            <v>41756</v>
          </cell>
          <cell r="J3513">
            <v>0</v>
          </cell>
          <cell r="W3513">
            <v>0</v>
          </cell>
          <cell r="AJ3513">
            <v>0</v>
          </cell>
          <cell r="AN3513">
            <v>400</v>
          </cell>
          <cell r="AW3513">
            <v>400</v>
          </cell>
        </row>
        <row r="3514">
          <cell r="B3514">
            <v>6992</v>
          </cell>
          <cell r="C3514" t="str">
            <v>LD_1_A</v>
          </cell>
          <cell r="D3514" t="str">
            <v>Rancho Landero No. 1, A</v>
          </cell>
          <cell r="E3514" t="str">
            <v>Ebysos</v>
          </cell>
          <cell r="F3514">
            <v>300</v>
          </cell>
          <cell r="G3514">
            <v>1</v>
          </cell>
          <cell r="H3514">
            <v>400</v>
          </cell>
          <cell r="I3514">
            <v>41756</v>
          </cell>
          <cell r="J3514">
            <v>0</v>
          </cell>
          <cell r="W3514">
            <v>0</v>
          </cell>
          <cell r="AJ3514">
            <v>0</v>
          </cell>
          <cell r="AO3514">
            <v>400</v>
          </cell>
          <cell r="AW3514">
            <v>400</v>
          </cell>
        </row>
        <row r="3515">
          <cell r="B3515">
            <v>6993</v>
          </cell>
          <cell r="C3515" t="str">
            <v>UP_80_</v>
          </cell>
          <cell r="D3515" t="str">
            <v>Rancho Upácuaro No. 80</v>
          </cell>
          <cell r="E3515" t="str">
            <v>De los Ríos</v>
          </cell>
          <cell r="F3515">
            <v>300</v>
          </cell>
          <cell r="G3515">
            <v>1</v>
          </cell>
          <cell r="H3515">
            <v>400</v>
          </cell>
          <cell r="I3515">
            <v>41756</v>
          </cell>
          <cell r="J3515">
            <v>0</v>
          </cell>
          <cell r="W3515">
            <v>0</v>
          </cell>
          <cell r="AJ3515">
            <v>0</v>
          </cell>
          <cell r="AN3515">
            <v>400</v>
          </cell>
          <cell r="AW3515">
            <v>400</v>
          </cell>
        </row>
        <row r="3516">
          <cell r="B3516">
            <v>6994</v>
          </cell>
          <cell r="C3516" t="str">
            <v>CL_132_</v>
          </cell>
          <cell r="D3516" t="str">
            <v>Rancho La Cuchilla No. 132</v>
          </cell>
          <cell r="E3516" t="str">
            <v>Téllez Girón</v>
          </cell>
          <cell r="F3516">
            <v>300</v>
          </cell>
          <cell r="G3516">
            <v>1</v>
          </cell>
          <cell r="H3516">
            <v>300</v>
          </cell>
          <cell r="I3516">
            <v>41756</v>
          </cell>
          <cell r="J3516">
            <v>0</v>
          </cell>
          <cell r="W3516">
            <v>0</v>
          </cell>
          <cell r="AJ3516">
            <v>0</v>
          </cell>
          <cell r="AN3516">
            <v>300</v>
          </cell>
          <cell r="AW3516">
            <v>300</v>
          </cell>
        </row>
        <row r="3517">
          <cell r="B3517">
            <v>6995</v>
          </cell>
          <cell r="C3517" t="str">
            <v>EZ_77_</v>
          </cell>
          <cell r="D3517" t="str">
            <v>Rancho Estanzuela No. 77</v>
          </cell>
          <cell r="E3517" t="str">
            <v>De la Rosa Rico</v>
          </cell>
          <cell r="F3517">
            <v>300</v>
          </cell>
          <cell r="G3517">
            <v>1</v>
          </cell>
          <cell r="H3517">
            <v>800</v>
          </cell>
          <cell r="I3517">
            <v>41756</v>
          </cell>
          <cell r="J3517">
            <v>0</v>
          </cell>
          <cell r="W3517">
            <v>0</v>
          </cell>
          <cell r="AJ3517">
            <v>0</v>
          </cell>
          <cell r="AL3517">
            <v>400</v>
          </cell>
          <cell r="AM3517">
            <v>400</v>
          </cell>
          <cell r="AW3517">
            <v>800</v>
          </cell>
        </row>
        <row r="3518">
          <cell r="B3518">
            <v>6996</v>
          </cell>
          <cell r="C3518" t="str">
            <v>LD_45_</v>
          </cell>
          <cell r="D3518" t="str">
            <v>Rancho Landero No. 45</v>
          </cell>
          <cell r="E3518" t="str">
            <v>Almazán</v>
          </cell>
          <cell r="F3518">
            <v>250</v>
          </cell>
          <cell r="G3518">
            <v>1</v>
          </cell>
          <cell r="H3518">
            <v>800</v>
          </cell>
          <cell r="I3518">
            <v>41756</v>
          </cell>
          <cell r="J3518">
            <v>0</v>
          </cell>
          <cell r="W3518">
            <v>0</v>
          </cell>
          <cell r="AJ3518">
            <v>0</v>
          </cell>
          <cell r="AN3518">
            <v>400</v>
          </cell>
          <cell r="AO3518">
            <v>400</v>
          </cell>
          <cell r="AW3518">
            <v>800</v>
          </cell>
        </row>
        <row r="3519">
          <cell r="B3519">
            <v>6997</v>
          </cell>
          <cell r="C3519" t="str">
            <v>ZB_24_</v>
          </cell>
          <cell r="D3519" t="str">
            <v>Rancho Zinamba No. 24</v>
          </cell>
          <cell r="E3519" t="str">
            <v>Monroy García</v>
          </cell>
          <cell r="F3519">
            <v>300</v>
          </cell>
          <cell r="G3519">
            <v>1</v>
          </cell>
          <cell r="H3519">
            <v>400</v>
          </cell>
          <cell r="I3519">
            <v>41756</v>
          </cell>
          <cell r="J3519">
            <v>0</v>
          </cell>
          <cell r="W3519">
            <v>0</v>
          </cell>
          <cell r="AJ3519">
            <v>0</v>
          </cell>
          <cell r="AN3519">
            <v>400</v>
          </cell>
          <cell r="AW3519">
            <v>400</v>
          </cell>
        </row>
        <row r="3520">
          <cell r="B3520">
            <v>6998</v>
          </cell>
          <cell r="C3520" t="str">
            <v>UP_79_</v>
          </cell>
          <cell r="D3520" t="str">
            <v>Rancho Upácuaro No. 79</v>
          </cell>
          <cell r="E3520" t="str">
            <v>Macías</v>
          </cell>
          <cell r="F3520">
            <v>300</v>
          </cell>
          <cell r="G3520">
            <v>1</v>
          </cell>
          <cell r="H3520">
            <v>1200</v>
          </cell>
          <cell r="I3520">
            <v>41756</v>
          </cell>
          <cell r="J3520">
            <v>0</v>
          </cell>
          <cell r="W3520">
            <v>0</v>
          </cell>
          <cell r="AJ3520">
            <v>0</v>
          </cell>
          <cell r="AO3520">
            <v>400</v>
          </cell>
          <cell r="AP3520">
            <v>400</v>
          </cell>
          <cell r="AQ3520">
            <v>400</v>
          </cell>
          <cell r="AW3520">
            <v>1200</v>
          </cell>
        </row>
        <row r="3521">
          <cell r="B3521">
            <v>6999</v>
          </cell>
          <cell r="C3521" t="str">
            <v>UP_142_</v>
          </cell>
          <cell r="D3521" t="str">
            <v>Rancho Upácuaro No. 142</v>
          </cell>
          <cell r="E3521" t="str">
            <v>Fierro Villaneda</v>
          </cell>
          <cell r="F3521">
            <v>300</v>
          </cell>
          <cell r="G3521">
            <v>1</v>
          </cell>
          <cell r="H3521">
            <v>1200</v>
          </cell>
          <cell r="I3521">
            <v>41756</v>
          </cell>
          <cell r="J3521">
            <v>0</v>
          </cell>
          <cell r="W3521">
            <v>0</v>
          </cell>
          <cell r="AJ3521">
            <v>0</v>
          </cell>
          <cell r="AN3521">
            <v>400</v>
          </cell>
          <cell r="AO3521">
            <v>400</v>
          </cell>
          <cell r="AP3521">
            <v>400</v>
          </cell>
          <cell r="AW3521">
            <v>1200</v>
          </cell>
        </row>
        <row r="3522">
          <cell r="B3522">
            <v>7000</v>
          </cell>
          <cell r="C3522" t="str">
            <v>CL_15_</v>
          </cell>
          <cell r="D3522" t="str">
            <v>Rancho La Cuchilla No. 15</v>
          </cell>
          <cell r="E3522" t="str">
            <v>Guerrero Ponce</v>
          </cell>
          <cell r="F3522">
            <v>300</v>
          </cell>
          <cell r="G3522">
            <v>1</v>
          </cell>
          <cell r="H3522">
            <v>300</v>
          </cell>
          <cell r="I3522">
            <v>41756</v>
          </cell>
          <cell r="J3522">
            <v>0</v>
          </cell>
          <cell r="W3522">
            <v>0</v>
          </cell>
          <cell r="AJ3522">
            <v>0</v>
          </cell>
          <cell r="AN3522">
            <v>300</v>
          </cell>
          <cell r="AW3522">
            <v>300</v>
          </cell>
        </row>
        <row r="3523">
          <cell r="B3523">
            <v>7001</v>
          </cell>
          <cell r="C3523" t="str">
            <v>LD_25_</v>
          </cell>
          <cell r="D3523" t="str">
            <v>Rancho Landero No. 25</v>
          </cell>
          <cell r="E3523" t="str">
            <v>Escamilla Martínez</v>
          </cell>
          <cell r="F3523">
            <v>300</v>
          </cell>
          <cell r="G3523">
            <v>1</v>
          </cell>
          <cell r="H3523">
            <v>400</v>
          </cell>
          <cell r="I3523">
            <v>41756</v>
          </cell>
          <cell r="J3523">
            <v>0</v>
          </cell>
          <cell r="W3523">
            <v>0</v>
          </cell>
          <cell r="AJ3523">
            <v>0</v>
          </cell>
          <cell r="AN3523">
            <v>400</v>
          </cell>
          <cell r="AW3523">
            <v>400</v>
          </cell>
        </row>
        <row r="3524">
          <cell r="B3524">
            <v>7002</v>
          </cell>
          <cell r="C3524" t="str">
            <v>CL_107_</v>
          </cell>
          <cell r="D3524" t="str">
            <v>Rancho La Cuchilla No. 107</v>
          </cell>
          <cell r="E3524" t="str">
            <v>Olivares Rivera</v>
          </cell>
          <cell r="F3524">
            <v>300</v>
          </cell>
          <cell r="G3524">
            <v>1</v>
          </cell>
          <cell r="H3524">
            <v>400</v>
          </cell>
          <cell r="I3524">
            <v>41756</v>
          </cell>
          <cell r="J3524">
            <v>0</v>
          </cell>
          <cell r="W3524">
            <v>0</v>
          </cell>
          <cell r="AJ3524">
            <v>0</v>
          </cell>
          <cell r="AN3524">
            <v>400</v>
          </cell>
          <cell r="AW3524">
            <v>400</v>
          </cell>
        </row>
        <row r="3525">
          <cell r="B3525">
            <v>7003</v>
          </cell>
          <cell r="C3525" t="str">
            <v>UP_21_</v>
          </cell>
          <cell r="D3525" t="str">
            <v>Rancho Upácuaro No. 21</v>
          </cell>
          <cell r="E3525" t="str">
            <v>Fierro Betancourt</v>
          </cell>
          <cell r="F3525">
            <v>150</v>
          </cell>
          <cell r="G3525">
            <v>1</v>
          </cell>
          <cell r="H3525">
            <v>200</v>
          </cell>
          <cell r="I3525">
            <v>41756</v>
          </cell>
          <cell r="J3525">
            <v>0</v>
          </cell>
          <cell r="W3525">
            <v>0</v>
          </cell>
          <cell r="AJ3525">
            <v>0</v>
          </cell>
          <cell r="AN3525">
            <v>200</v>
          </cell>
          <cell r="AW3525">
            <v>200</v>
          </cell>
        </row>
        <row r="3526">
          <cell r="B3526">
            <v>7004</v>
          </cell>
          <cell r="C3526" t="str">
            <v>CL_130_</v>
          </cell>
          <cell r="D3526" t="str">
            <v>Rancho La Cuchilla No. 130</v>
          </cell>
          <cell r="E3526" t="str">
            <v>De la Huerta</v>
          </cell>
          <cell r="F3526">
            <v>300</v>
          </cell>
          <cell r="G3526">
            <v>1</v>
          </cell>
          <cell r="H3526">
            <v>400</v>
          </cell>
          <cell r="I3526">
            <v>41756</v>
          </cell>
          <cell r="J3526">
            <v>0</v>
          </cell>
          <cell r="W3526">
            <v>0</v>
          </cell>
          <cell r="AJ3526">
            <v>0</v>
          </cell>
          <cell r="AN3526">
            <v>400</v>
          </cell>
          <cell r="AW3526">
            <v>400</v>
          </cell>
        </row>
        <row r="3527">
          <cell r="B3527">
            <v>7005</v>
          </cell>
          <cell r="C3527" t="str">
            <v>RM_10_B</v>
          </cell>
          <cell r="D3527" t="str">
            <v>Rancho Romeral No. 10, B</v>
          </cell>
          <cell r="E3527" t="str">
            <v>López Castellano</v>
          </cell>
          <cell r="F3527">
            <v>300</v>
          </cell>
          <cell r="G3527">
            <v>1</v>
          </cell>
          <cell r="H3527">
            <v>300</v>
          </cell>
          <cell r="I3527">
            <v>41756</v>
          </cell>
          <cell r="J3527">
            <v>0</v>
          </cell>
          <cell r="W3527">
            <v>0</v>
          </cell>
          <cell r="AJ3527">
            <v>0</v>
          </cell>
          <cell r="AN3527">
            <v>300</v>
          </cell>
          <cell r="AW3527">
            <v>300</v>
          </cell>
        </row>
        <row r="3528">
          <cell r="B3528">
            <v>7006</v>
          </cell>
          <cell r="C3528" t="str">
            <v>LD_30_</v>
          </cell>
          <cell r="D3528" t="str">
            <v>Rancho Landero No. 30</v>
          </cell>
          <cell r="E3528" t="str">
            <v>Torres Guzmán</v>
          </cell>
          <cell r="F3528">
            <v>300</v>
          </cell>
          <cell r="G3528">
            <v>1</v>
          </cell>
          <cell r="H3528">
            <v>1200</v>
          </cell>
          <cell r="I3528">
            <v>41756</v>
          </cell>
          <cell r="J3528">
            <v>0</v>
          </cell>
          <cell r="W3528">
            <v>0</v>
          </cell>
          <cell r="AJ3528">
            <v>0</v>
          </cell>
          <cell r="AN3528">
            <v>400</v>
          </cell>
          <cell r="AO3528">
            <v>400</v>
          </cell>
          <cell r="AP3528">
            <v>400</v>
          </cell>
          <cell r="AW3528">
            <v>1200</v>
          </cell>
        </row>
        <row r="3529">
          <cell r="B3529">
            <v>7007</v>
          </cell>
          <cell r="C3529" t="str">
            <v>LD_33_</v>
          </cell>
          <cell r="D3529" t="str">
            <v>Rancho Landero No. 33</v>
          </cell>
          <cell r="E3529" t="str">
            <v>González Uribe</v>
          </cell>
          <cell r="F3529">
            <v>300</v>
          </cell>
          <cell r="G3529">
            <v>1</v>
          </cell>
          <cell r="H3529">
            <v>800</v>
          </cell>
          <cell r="I3529">
            <v>41756</v>
          </cell>
          <cell r="J3529">
            <v>0</v>
          </cell>
          <cell r="W3529">
            <v>0</v>
          </cell>
          <cell r="AJ3529">
            <v>0</v>
          </cell>
          <cell r="AN3529">
            <v>400</v>
          </cell>
          <cell r="AO3529">
            <v>400</v>
          </cell>
          <cell r="AW3529">
            <v>800</v>
          </cell>
        </row>
        <row r="3530">
          <cell r="B3530">
            <v>7008</v>
          </cell>
          <cell r="C3530" t="str">
            <v>LD_20_</v>
          </cell>
          <cell r="D3530" t="str">
            <v>Rancho Landero No. 20</v>
          </cell>
          <cell r="E3530" t="str">
            <v>Velasco</v>
          </cell>
          <cell r="F3530">
            <v>300</v>
          </cell>
          <cell r="G3530">
            <v>1</v>
          </cell>
          <cell r="H3530">
            <v>600</v>
          </cell>
          <cell r="I3530">
            <v>41756</v>
          </cell>
          <cell r="J3530">
            <v>0</v>
          </cell>
          <cell r="W3530">
            <v>0</v>
          </cell>
          <cell r="AJ3530">
            <v>0</v>
          </cell>
          <cell r="AN3530">
            <v>300</v>
          </cell>
          <cell r="AO3530">
            <v>300</v>
          </cell>
          <cell r="AW3530">
            <v>600</v>
          </cell>
        </row>
        <row r="3531">
          <cell r="B3531">
            <v>7009</v>
          </cell>
          <cell r="C3531" t="str">
            <v>LD_20_</v>
          </cell>
          <cell r="D3531" t="str">
            <v>Rancho Landero No. 20</v>
          </cell>
          <cell r="E3531" t="str">
            <v>Velasco</v>
          </cell>
          <cell r="F3531">
            <v>300</v>
          </cell>
          <cell r="G3531">
            <v>4</v>
          </cell>
          <cell r="H3531">
            <v>160</v>
          </cell>
          <cell r="I3531">
            <v>41756</v>
          </cell>
          <cell r="J3531" t="str">
            <v>NO SUMA</v>
          </cell>
          <cell r="W3531">
            <v>0</v>
          </cell>
          <cell r="AJ3531">
            <v>0</v>
          </cell>
          <cell r="AW3531">
            <v>0</v>
          </cell>
        </row>
        <row r="3532">
          <cell r="B3532">
            <v>7010</v>
          </cell>
          <cell r="C3532" t="str">
            <v>UP_70_</v>
          </cell>
          <cell r="D3532" t="str">
            <v>Rancho Upácuaro No. 70</v>
          </cell>
          <cell r="E3532" t="str">
            <v>Ramírez Tejeda</v>
          </cell>
          <cell r="F3532">
            <v>300</v>
          </cell>
          <cell r="G3532">
            <v>1</v>
          </cell>
          <cell r="H3532">
            <v>300</v>
          </cell>
          <cell r="I3532">
            <v>41756</v>
          </cell>
          <cell r="J3532">
            <v>0</v>
          </cell>
          <cell r="W3532">
            <v>0</v>
          </cell>
          <cell r="AJ3532">
            <v>0</v>
          </cell>
          <cell r="AO3532">
            <v>300</v>
          </cell>
          <cell r="AW3532">
            <v>300</v>
          </cell>
        </row>
        <row r="3533">
          <cell r="B3533">
            <v>7011</v>
          </cell>
          <cell r="C3533" t="str">
            <v>RV_3_</v>
          </cell>
          <cell r="D3533" t="str">
            <v>Rancho Recoveco No. 3</v>
          </cell>
          <cell r="E3533" t="str">
            <v>Garduño</v>
          </cell>
          <cell r="F3533">
            <v>300</v>
          </cell>
          <cell r="G3533">
            <v>1</v>
          </cell>
          <cell r="H3533">
            <v>300</v>
          </cell>
          <cell r="I3533">
            <v>41756</v>
          </cell>
          <cell r="J3533">
            <v>0</v>
          </cell>
          <cell r="W3533">
            <v>0</v>
          </cell>
          <cell r="AJ3533">
            <v>0</v>
          </cell>
          <cell r="AN3533">
            <v>300</v>
          </cell>
          <cell r="AW3533">
            <v>300</v>
          </cell>
        </row>
        <row r="3534">
          <cell r="B3534">
            <v>7012</v>
          </cell>
          <cell r="C3534" t="str">
            <v>UP_136_</v>
          </cell>
          <cell r="D3534" t="str">
            <v>Rancho Upácuaro No. 136</v>
          </cell>
          <cell r="E3534" t="str">
            <v>López Lena</v>
          </cell>
          <cell r="F3534">
            <v>300</v>
          </cell>
          <cell r="G3534">
            <v>1</v>
          </cell>
          <cell r="H3534">
            <v>400</v>
          </cell>
          <cell r="I3534">
            <v>41756</v>
          </cell>
          <cell r="J3534">
            <v>0</v>
          </cell>
          <cell r="W3534">
            <v>0</v>
          </cell>
          <cell r="AJ3534">
            <v>0</v>
          </cell>
          <cell r="AN3534">
            <v>400</v>
          </cell>
          <cell r="AW3534">
            <v>400</v>
          </cell>
        </row>
        <row r="3535">
          <cell r="B3535">
            <v>7013</v>
          </cell>
          <cell r="C3535" t="str">
            <v>UP_33_</v>
          </cell>
          <cell r="D3535" t="str">
            <v>Rancho Upácuaro No. 33</v>
          </cell>
          <cell r="E3535" t="str">
            <v>Ulloa Miranda</v>
          </cell>
          <cell r="F3535">
            <v>300</v>
          </cell>
          <cell r="G3535">
            <v>3</v>
          </cell>
          <cell r="H3535">
            <v>160</v>
          </cell>
          <cell r="I3535">
            <v>41756</v>
          </cell>
          <cell r="J3535" t="str">
            <v>NO SUMA</v>
          </cell>
          <cell r="W3535">
            <v>0</v>
          </cell>
          <cell r="AJ3535">
            <v>0</v>
          </cell>
          <cell r="AW3535">
            <v>0</v>
          </cell>
        </row>
        <row r="3536">
          <cell r="B3536">
            <v>7014</v>
          </cell>
          <cell r="C3536" t="str">
            <v>LD_21_</v>
          </cell>
          <cell r="D3536" t="str">
            <v>Rancho Landero No. 21</v>
          </cell>
          <cell r="E3536" t="str">
            <v>Meza</v>
          </cell>
          <cell r="F3536">
            <v>300</v>
          </cell>
          <cell r="G3536">
            <v>4</v>
          </cell>
          <cell r="H3536">
            <v>160</v>
          </cell>
          <cell r="I3536">
            <v>41756</v>
          </cell>
          <cell r="J3536" t="str">
            <v>NO SUMA</v>
          </cell>
          <cell r="W3536">
            <v>0</v>
          </cell>
          <cell r="AJ3536">
            <v>0</v>
          </cell>
          <cell r="AW3536">
            <v>0</v>
          </cell>
        </row>
        <row r="3537">
          <cell r="B3537">
            <v>7015</v>
          </cell>
          <cell r="D3537" t="str">
            <v/>
          </cell>
          <cell r="E3537" t="str">
            <v/>
          </cell>
          <cell r="F3537" t="str">
            <v/>
          </cell>
          <cell r="G3537">
            <v>8</v>
          </cell>
          <cell r="I3537">
            <v>41756</v>
          </cell>
          <cell r="J3537" t="str">
            <v>NO SUMA</v>
          </cell>
          <cell r="W3537">
            <v>0</v>
          </cell>
          <cell r="AJ3537">
            <v>0</v>
          </cell>
          <cell r="AW3537">
            <v>0</v>
          </cell>
        </row>
        <row r="3538">
          <cell r="B3538">
            <v>7016</v>
          </cell>
          <cell r="C3538" t="str">
            <v>CL_71_</v>
          </cell>
          <cell r="D3538" t="str">
            <v>Rancho La Cuchilla No. 71</v>
          </cell>
          <cell r="E3538" t="str">
            <v>Pulido</v>
          </cell>
          <cell r="F3538">
            <v>300</v>
          </cell>
          <cell r="G3538">
            <v>1</v>
          </cell>
          <cell r="H3538">
            <v>350</v>
          </cell>
          <cell r="I3538">
            <v>41756</v>
          </cell>
          <cell r="J3538">
            <v>0</v>
          </cell>
          <cell r="W3538">
            <v>0</v>
          </cell>
          <cell r="AJ3538">
            <v>0</v>
          </cell>
          <cell r="AN3538">
            <v>350</v>
          </cell>
          <cell r="AW3538">
            <v>350</v>
          </cell>
        </row>
        <row r="3539">
          <cell r="B3539">
            <v>7017</v>
          </cell>
          <cell r="C3539" t="str">
            <v>LD_22_</v>
          </cell>
          <cell r="D3539" t="str">
            <v>Rancho Landero No. 22</v>
          </cell>
          <cell r="E3539" t="str">
            <v>Reyes</v>
          </cell>
          <cell r="F3539">
            <v>150</v>
          </cell>
          <cell r="G3539">
            <v>4</v>
          </cell>
          <cell r="H3539">
            <v>160</v>
          </cell>
          <cell r="I3539">
            <v>41756</v>
          </cell>
          <cell r="J3539" t="str">
            <v>NO SUMA</v>
          </cell>
          <cell r="W3539">
            <v>0</v>
          </cell>
          <cell r="AJ3539">
            <v>0</v>
          </cell>
          <cell r="AW3539">
            <v>0</v>
          </cell>
        </row>
        <row r="3540">
          <cell r="B3540">
            <v>7018</v>
          </cell>
          <cell r="C3540" t="str">
            <v>UP_88_</v>
          </cell>
          <cell r="D3540" t="str">
            <v>Rancho Upácuaro No. 88</v>
          </cell>
          <cell r="E3540" t="str">
            <v>Millán Núñez</v>
          </cell>
          <cell r="F3540">
            <v>300</v>
          </cell>
          <cell r="G3540">
            <v>1</v>
          </cell>
          <cell r="H3540">
            <v>400</v>
          </cell>
          <cell r="I3540">
            <v>41756</v>
          </cell>
          <cell r="J3540">
            <v>0</v>
          </cell>
          <cell r="W3540">
            <v>0</v>
          </cell>
          <cell r="AJ3540">
            <v>0</v>
          </cell>
          <cell r="AN3540">
            <v>400</v>
          </cell>
          <cell r="AW3540">
            <v>400</v>
          </cell>
        </row>
        <row r="3541">
          <cell r="B3541">
            <v>7019</v>
          </cell>
          <cell r="C3541" t="str">
            <v>LD_33_</v>
          </cell>
          <cell r="D3541" t="str">
            <v>Rancho Landero No. 33</v>
          </cell>
          <cell r="E3541" t="str">
            <v>González Uribe</v>
          </cell>
          <cell r="F3541">
            <v>300</v>
          </cell>
          <cell r="G3541">
            <v>4</v>
          </cell>
          <cell r="H3541">
            <v>160</v>
          </cell>
          <cell r="I3541">
            <v>41756</v>
          </cell>
          <cell r="J3541" t="str">
            <v>NO SUMA</v>
          </cell>
          <cell r="W3541">
            <v>0</v>
          </cell>
          <cell r="AJ3541">
            <v>0</v>
          </cell>
          <cell r="AW3541">
            <v>0</v>
          </cell>
        </row>
        <row r="3542">
          <cell r="B3542">
            <v>7020</v>
          </cell>
          <cell r="C3542" t="str">
            <v>ZB_42_</v>
          </cell>
          <cell r="D3542" t="str">
            <v>Rancho Zinamba No. 42</v>
          </cell>
          <cell r="E3542" t="str">
            <v>López Aldave</v>
          </cell>
          <cell r="F3542">
            <v>250</v>
          </cell>
          <cell r="G3542">
            <v>1</v>
          </cell>
          <cell r="H3542">
            <v>600</v>
          </cell>
          <cell r="I3542">
            <v>41756</v>
          </cell>
          <cell r="J3542">
            <v>0</v>
          </cell>
          <cell r="W3542">
            <v>0</v>
          </cell>
          <cell r="AJ3542">
            <v>0</v>
          </cell>
          <cell r="AN3542">
            <v>300</v>
          </cell>
          <cell r="AO3542">
            <v>300</v>
          </cell>
          <cell r="AW3542">
            <v>600</v>
          </cell>
        </row>
        <row r="3543">
          <cell r="B3543">
            <v>7021</v>
          </cell>
          <cell r="C3543" t="str">
            <v>LD_96_</v>
          </cell>
          <cell r="D3543" t="str">
            <v>Rancho Landero No. 96</v>
          </cell>
          <cell r="E3543" t="str">
            <v>Espinoza Aguirre</v>
          </cell>
          <cell r="F3543">
            <v>300</v>
          </cell>
          <cell r="G3543">
            <v>1</v>
          </cell>
          <cell r="H3543">
            <v>400</v>
          </cell>
          <cell r="I3543">
            <v>41756</v>
          </cell>
          <cell r="J3543">
            <v>0</v>
          </cell>
          <cell r="W3543">
            <v>0</v>
          </cell>
          <cell r="AJ3543">
            <v>0</v>
          </cell>
          <cell r="AN3543">
            <v>400</v>
          </cell>
          <cell r="AW3543">
            <v>400</v>
          </cell>
        </row>
        <row r="3544">
          <cell r="B3544">
            <v>7022</v>
          </cell>
          <cell r="C3544" t="str">
            <v>EZ_157_1</v>
          </cell>
          <cell r="D3544" t="str">
            <v>Rancho Estanzuela No. 157, 1</v>
          </cell>
          <cell r="E3544" t="str">
            <v>Anzures</v>
          </cell>
          <cell r="F3544">
            <v>450</v>
          </cell>
          <cell r="G3544">
            <v>1</v>
          </cell>
          <cell r="H3544">
            <v>150</v>
          </cell>
          <cell r="I3544">
            <v>41756</v>
          </cell>
          <cell r="J3544">
            <v>0</v>
          </cell>
          <cell r="W3544">
            <v>0</v>
          </cell>
          <cell r="AJ3544">
            <v>0</v>
          </cell>
          <cell r="AK3544">
            <v>150</v>
          </cell>
          <cell r="AW3544">
            <v>150</v>
          </cell>
        </row>
        <row r="3545">
          <cell r="B3545">
            <v>7022</v>
          </cell>
          <cell r="C3545" t="str">
            <v>EZ_157_2</v>
          </cell>
          <cell r="D3545" t="str">
            <v>Rancho Estanzuela No. 157, 2</v>
          </cell>
          <cell r="E3545" t="str">
            <v>Arias</v>
          </cell>
          <cell r="F3545">
            <v>150</v>
          </cell>
          <cell r="G3545">
            <v>1</v>
          </cell>
          <cell r="H3545">
            <v>300</v>
          </cell>
          <cell r="I3545">
            <v>41756</v>
          </cell>
          <cell r="J3545">
            <v>0</v>
          </cell>
          <cell r="W3545">
            <v>0</v>
          </cell>
          <cell r="AJ3545">
            <v>0</v>
          </cell>
          <cell r="AN3545">
            <v>150</v>
          </cell>
          <cell r="AO3545">
            <v>150</v>
          </cell>
          <cell r="AW3545">
            <v>300</v>
          </cell>
        </row>
        <row r="3546">
          <cell r="B3546">
            <v>7022</v>
          </cell>
          <cell r="C3546" t="str">
            <v>EZ_157_3</v>
          </cell>
          <cell r="D3546" t="str">
            <v>Rancho Estanzuela No. 157, 3</v>
          </cell>
          <cell r="E3546" t="str">
            <v>Conde</v>
          </cell>
          <cell r="F3546">
            <v>300</v>
          </cell>
          <cell r="G3546">
            <v>1</v>
          </cell>
          <cell r="H3546">
            <v>150</v>
          </cell>
          <cell r="I3546">
            <v>41756</v>
          </cell>
          <cell r="J3546">
            <v>0</v>
          </cell>
          <cell r="W3546">
            <v>0</v>
          </cell>
          <cell r="AJ3546">
            <v>0</v>
          </cell>
          <cell r="AO3546">
            <v>150</v>
          </cell>
          <cell r="AW3546">
            <v>150</v>
          </cell>
        </row>
        <row r="3547">
          <cell r="B3547">
            <v>7023</v>
          </cell>
          <cell r="C3547" t="str">
            <v>EZ_157_1</v>
          </cell>
          <cell r="D3547" t="str">
            <v>Rancho Estanzuela No. 157, 1</v>
          </cell>
          <cell r="E3547" t="str">
            <v>Anzures</v>
          </cell>
          <cell r="F3547">
            <v>450</v>
          </cell>
          <cell r="G3547">
            <v>1</v>
          </cell>
          <cell r="H3547">
            <v>600</v>
          </cell>
          <cell r="I3547">
            <v>41756</v>
          </cell>
          <cell r="J3547">
            <v>0</v>
          </cell>
          <cell r="W3547">
            <v>0</v>
          </cell>
          <cell r="AJ3547">
            <v>0</v>
          </cell>
          <cell r="AL3547">
            <v>150</v>
          </cell>
          <cell r="AM3547">
            <v>150</v>
          </cell>
          <cell r="AN3547">
            <v>150</v>
          </cell>
          <cell r="AO3547">
            <v>150</v>
          </cell>
          <cell r="AW3547">
            <v>600</v>
          </cell>
        </row>
        <row r="3548">
          <cell r="B3548">
            <v>8138</v>
          </cell>
          <cell r="C3548" t="str">
            <v>UP_46_</v>
          </cell>
          <cell r="D3548" t="str">
            <v>Rancho Upácuaro No. 46</v>
          </cell>
          <cell r="E3548" t="str">
            <v>Fuentes</v>
          </cell>
          <cell r="F3548">
            <v>300</v>
          </cell>
          <cell r="G3548">
            <v>1</v>
          </cell>
          <cell r="H3548">
            <v>300</v>
          </cell>
          <cell r="I3548">
            <v>41736</v>
          </cell>
          <cell r="J3548">
            <v>0</v>
          </cell>
          <cell r="W3548">
            <v>0</v>
          </cell>
          <cell r="AJ3548">
            <v>0</v>
          </cell>
          <cell r="AM3548">
            <v>300</v>
          </cell>
          <cell r="AW3548">
            <v>300</v>
          </cell>
        </row>
        <row r="3549">
          <cell r="B3549">
            <v>8138</v>
          </cell>
          <cell r="C3549" t="str">
            <v>UP_46_</v>
          </cell>
          <cell r="D3549" t="str">
            <v>Rancho Upácuaro No. 46</v>
          </cell>
          <cell r="E3549" t="str">
            <v>Fuentes</v>
          </cell>
          <cell r="F3549">
            <v>300</v>
          </cell>
          <cell r="G3549">
            <v>1</v>
          </cell>
          <cell r="H3549">
            <v>300</v>
          </cell>
          <cell r="I3549">
            <v>41737</v>
          </cell>
          <cell r="J3549">
            <v>0</v>
          </cell>
          <cell r="W3549">
            <v>0</v>
          </cell>
          <cell r="AJ3549">
            <v>0</v>
          </cell>
          <cell r="AN3549">
            <v>300</v>
          </cell>
          <cell r="AW3549">
            <v>300</v>
          </cell>
        </row>
        <row r="3550">
          <cell r="B3550">
            <v>8139</v>
          </cell>
          <cell r="C3550" t="str">
            <v>EZ_15_A</v>
          </cell>
          <cell r="D3550" t="str">
            <v>Rancho Estanzuela No. 15, A</v>
          </cell>
          <cell r="E3550" t="str">
            <v>González</v>
          </cell>
          <cell r="F3550">
            <v>150</v>
          </cell>
          <cell r="G3550">
            <v>1</v>
          </cell>
          <cell r="H3550">
            <v>800</v>
          </cell>
          <cell r="I3550">
            <v>41759</v>
          </cell>
          <cell r="J3550">
            <v>0</v>
          </cell>
          <cell r="W3550">
            <v>0</v>
          </cell>
          <cell r="AH3550">
            <v>200</v>
          </cell>
          <cell r="AI3550">
            <v>200</v>
          </cell>
          <cell r="AJ3550">
            <v>400</v>
          </cell>
          <cell r="AK3550">
            <v>200</v>
          </cell>
          <cell r="AL3550">
            <v>200</v>
          </cell>
          <cell r="AW3550">
            <v>400</v>
          </cell>
        </row>
        <row r="3551">
          <cell r="B3551" t="str">
            <v>NÚMERO</v>
          </cell>
          <cell r="C3551" t="str">
            <v>CASA</v>
          </cell>
          <cell r="D3551" t="str">
            <v>DOMICILIO</v>
          </cell>
          <cell r="E3551" t="str">
            <v>FAMILIA</v>
          </cell>
          <cell r="F3551" t="str">
            <v>CUOTA</v>
          </cell>
          <cell r="G3551" t="str">
            <v>C_ING</v>
          </cell>
          <cell r="H3551" t="str">
            <v>IMPORTE</v>
          </cell>
          <cell r="I3551" t="str">
            <v>FECHA</v>
          </cell>
          <cell r="J3551" t="str">
            <v>CHK</v>
          </cell>
          <cell r="K3551" t="str">
            <v>ENE
2012</v>
          </cell>
          <cell r="L3551" t="str">
            <v>FEB
2012</v>
          </cell>
          <cell r="M3551" t="str">
            <v>MAR
2012</v>
          </cell>
          <cell r="N3551" t="str">
            <v>ABR
2012</v>
          </cell>
          <cell r="O3551" t="str">
            <v>MAY
2012</v>
          </cell>
          <cell r="P3551" t="str">
            <v>JUN
2012</v>
          </cell>
          <cell r="Q3551" t="str">
            <v>JUL
2012</v>
          </cell>
          <cell r="R3551" t="str">
            <v>AGO
2012</v>
          </cell>
          <cell r="S3551" t="str">
            <v>SEP
2012</v>
          </cell>
          <cell r="T3551" t="str">
            <v>OCT
2012</v>
          </cell>
          <cell r="U3551" t="str">
            <v>NOV
2012</v>
          </cell>
          <cell r="V3551" t="str">
            <v>DIC
2012</v>
          </cell>
          <cell r="W3551" t="str">
            <v>SUMA
2012</v>
          </cell>
          <cell r="X3551" t="str">
            <v>ENE
2013</v>
          </cell>
          <cell r="Y3551" t="str">
            <v>FEB
2013</v>
          </cell>
          <cell r="Z3551" t="str">
            <v>MAR
2013</v>
          </cell>
          <cell r="AA3551" t="str">
            <v>ABR
2013</v>
          </cell>
          <cell r="AB3551" t="str">
            <v>MAY
2013</v>
          </cell>
          <cell r="AC3551" t="str">
            <v>JUN
2013</v>
          </cell>
          <cell r="AD3551" t="str">
            <v>JUL
2013</v>
          </cell>
          <cell r="AE3551" t="str">
            <v>AGO
2013</v>
          </cell>
          <cell r="AF3551" t="str">
            <v>SEP
2013</v>
          </cell>
          <cell r="AG3551" t="str">
            <v>OCT
2013</v>
          </cell>
          <cell r="AH3551" t="str">
            <v>NOV
2013</v>
          </cell>
          <cell r="AI3551" t="str">
            <v>DIC
2013</v>
          </cell>
          <cell r="AJ3551" t="str">
            <v>SUMA
2013</v>
          </cell>
          <cell r="AK3551" t="str">
            <v>ENE
2014</v>
          </cell>
          <cell r="AL3551" t="str">
            <v>FEB
2014</v>
          </cell>
          <cell r="AM3551" t="str">
            <v>MAR
2014</v>
          </cell>
          <cell r="AN3551" t="str">
            <v>ABR
2014</v>
          </cell>
          <cell r="AO3551" t="str">
            <v>MAY
2014</v>
          </cell>
          <cell r="AP3551" t="str">
            <v>JUN
2014</v>
          </cell>
          <cell r="AQ3551" t="str">
            <v>JUL
2014</v>
          </cell>
          <cell r="AR3551" t="str">
            <v>AGO
2014</v>
          </cell>
          <cell r="AS3551" t="str">
            <v>SEP
2014</v>
          </cell>
          <cell r="AT3551" t="str">
            <v>OCT
2014</v>
          </cell>
          <cell r="AU3551" t="str">
            <v>NOV
2014</v>
          </cell>
          <cell r="AV3551" t="str">
            <v>DIC
2014</v>
          </cell>
          <cell r="AW3551" t="str">
            <v>SUMA
2014</v>
          </cell>
        </row>
        <row r="3552">
          <cell r="B3552">
            <v>7024</v>
          </cell>
          <cell r="C3552" t="str">
            <v>CL_97_</v>
          </cell>
          <cell r="D3552" t="str">
            <v>Rancho La Cuchilla No. 97</v>
          </cell>
          <cell r="E3552" t="str">
            <v>López Ruiz</v>
          </cell>
          <cell r="F3552">
            <v>300</v>
          </cell>
          <cell r="G3552">
            <v>1</v>
          </cell>
          <cell r="H3552">
            <v>300</v>
          </cell>
          <cell r="I3552">
            <v>41758</v>
          </cell>
          <cell r="J3552">
            <v>0</v>
          </cell>
          <cell r="W3552">
            <v>0</v>
          </cell>
          <cell r="AJ3552">
            <v>0</v>
          </cell>
          <cell r="AN3552">
            <v>300</v>
          </cell>
          <cell r="AW3552">
            <v>300</v>
          </cell>
        </row>
        <row r="3553">
          <cell r="B3553">
            <v>7025</v>
          </cell>
          <cell r="C3553" t="str">
            <v>RM_17_</v>
          </cell>
          <cell r="D3553" t="str">
            <v>Rancho Romeral No. 17</v>
          </cell>
          <cell r="E3553" t="str">
            <v>Aguilar Lomelí</v>
          </cell>
          <cell r="F3553">
            <v>300</v>
          </cell>
          <cell r="G3553">
            <v>1</v>
          </cell>
          <cell r="H3553">
            <v>400</v>
          </cell>
          <cell r="I3553">
            <v>41760</v>
          </cell>
          <cell r="J3553">
            <v>0</v>
          </cell>
          <cell r="W3553">
            <v>0</v>
          </cell>
          <cell r="AJ3553">
            <v>0</v>
          </cell>
          <cell r="AO3553">
            <v>400</v>
          </cell>
          <cell r="AW3553">
            <v>400</v>
          </cell>
        </row>
        <row r="3554">
          <cell r="B3554">
            <v>7026</v>
          </cell>
          <cell r="C3554" t="str">
            <v>LD_47_</v>
          </cell>
          <cell r="D3554" t="str">
            <v>Rancho Landero No. 47</v>
          </cell>
          <cell r="E3554" t="str">
            <v>García González</v>
          </cell>
          <cell r="F3554">
            <v>300</v>
          </cell>
          <cell r="G3554">
            <v>1</v>
          </cell>
          <cell r="H3554">
            <v>800</v>
          </cell>
          <cell r="I3554">
            <v>41762</v>
          </cell>
          <cell r="J3554">
            <v>0</v>
          </cell>
          <cell r="W3554">
            <v>0</v>
          </cell>
          <cell r="AJ3554">
            <v>0</v>
          </cell>
          <cell r="AN3554">
            <v>400</v>
          </cell>
          <cell r="AO3554">
            <v>400</v>
          </cell>
          <cell r="AW3554">
            <v>800</v>
          </cell>
        </row>
        <row r="3555">
          <cell r="B3555">
            <v>7027</v>
          </cell>
          <cell r="C3555" t="str">
            <v>ZB_26_</v>
          </cell>
          <cell r="D3555" t="str">
            <v>Rancho Zinamba No. 26</v>
          </cell>
          <cell r="E3555" t="str">
            <v>Ayala</v>
          </cell>
          <cell r="F3555">
            <v>300</v>
          </cell>
          <cell r="G3555">
            <v>1</v>
          </cell>
          <cell r="H3555">
            <v>400</v>
          </cell>
          <cell r="I3555">
            <v>41763</v>
          </cell>
          <cell r="J3555">
            <v>0</v>
          </cell>
          <cell r="W3555">
            <v>0</v>
          </cell>
          <cell r="AJ3555">
            <v>0</v>
          </cell>
          <cell r="AN3555">
            <v>400</v>
          </cell>
          <cell r="AW3555">
            <v>400</v>
          </cell>
        </row>
        <row r="3556">
          <cell r="B3556">
            <v>7028</v>
          </cell>
          <cell r="C3556" t="str">
            <v>UP_120_</v>
          </cell>
          <cell r="D3556" t="str">
            <v>Rancho Upácuaro No. 120</v>
          </cell>
          <cell r="E3556" t="str">
            <v>Rayas Rivera</v>
          </cell>
          <cell r="F3556">
            <v>300</v>
          </cell>
          <cell r="G3556">
            <v>1</v>
          </cell>
          <cell r="H3556">
            <v>400</v>
          </cell>
          <cell r="I3556">
            <v>41763</v>
          </cell>
          <cell r="J3556">
            <v>0</v>
          </cell>
          <cell r="W3556">
            <v>0</v>
          </cell>
          <cell r="AJ3556">
            <v>0</v>
          </cell>
          <cell r="AO3556">
            <v>400</v>
          </cell>
          <cell r="AW3556">
            <v>400</v>
          </cell>
        </row>
        <row r="3557">
          <cell r="B3557">
            <v>7029</v>
          </cell>
          <cell r="C3557" t="str">
            <v>CL_81_A</v>
          </cell>
          <cell r="D3557" t="str">
            <v>Rancho La Cuchilla No. 81, A</v>
          </cell>
          <cell r="E3557" t="str">
            <v>Barrientos López</v>
          </cell>
          <cell r="F3557">
            <v>300</v>
          </cell>
          <cell r="G3557">
            <v>1</v>
          </cell>
          <cell r="H3557">
            <v>400</v>
          </cell>
          <cell r="I3557">
            <v>41763</v>
          </cell>
          <cell r="J3557">
            <v>0</v>
          </cell>
          <cell r="W3557">
            <v>0</v>
          </cell>
          <cell r="AJ3557">
            <v>0</v>
          </cell>
          <cell r="AO3557">
            <v>400</v>
          </cell>
          <cell r="AW3557">
            <v>400</v>
          </cell>
        </row>
        <row r="3558">
          <cell r="B3558">
            <v>7030</v>
          </cell>
          <cell r="C3558" t="str">
            <v>CL_43_B</v>
          </cell>
          <cell r="D3558" t="str">
            <v>Rancho La Cuchilla No. 43, B</v>
          </cell>
          <cell r="E3558" t="str">
            <v>Luna Albertano</v>
          </cell>
          <cell r="F3558">
            <v>125</v>
          </cell>
          <cell r="G3558">
            <v>1</v>
          </cell>
          <cell r="H3558">
            <v>125</v>
          </cell>
          <cell r="I3558">
            <v>41763</v>
          </cell>
          <cell r="J3558">
            <v>0</v>
          </cell>
          <cell r="W3558">
            <v>0</v>
          </cell>
          <cell r="AJ3558">
            <v>0</v>
          </cell>
          <cell r="AO3558">
            <v>125</v>
          </cell>
          <cell r="AW3558">
            <v>125</v>
          </cell>
        </row>
        <row r="3559">
          <cell r="B3559">
            <v>7031</v>
          </cell>
          <cell r="C3559" t="str">
            <v>UP_76_</v>
          </cell>
          <cell r="D3559" t="str">
            <v>Rancho Upácuaro No. 76</v>
          </cell>
          <cell r="E3559" t="str">
            <v>Ruiz de San Pedro</v>
          </cell>
          <cell r="F3559">
            <v>300</v>
          </cell>
          <cell r="G3559">
            <v>1</v>
          </cell>
          <cell r="H3559">
            <v>400</v>
          </cell>
          <cell r="I3559">
            <v>41763</v>
          </cell>
          <cell r="J3559">
            <v>0</v>
          </cell>
          <cell r="W3559">
            <v>0</v>
          </cell>
          <cell r="AJ3559">
            <v>0</v>
          </cell>
          <cell r="AO3559">
            <v>400</v>
          </cell>
          <cell r="AW3559">
            <v>400</v>
          </cell>
        </row>
        <row r="3560">
          <cell r="B3560">
            <v>7032</v>
          </cell>
          <cell r="C3560" t="str">
            <v>CL_118_</v>
          </cell>
          <cell r="D3560" t="str">
            <v>Rancho La Cuchilla No. 118</v>
          </cell>
          <cell r="E3560" t="str">
            <v>Astorga Ruiz</v>
          </cell>
          <cell r="F3560">
            <v>300</v>
          </cell>
          <cell r="G3560">
            <v>1</v>
          </cell>
          <cell r="H3560">
            <v>400</v>
          </cell>
          <cell r="I3560">
            <v>41763</v>
          </cell>
          <cell r="J3560">
            <v>0</v>
          </cell>
          <cell r="W3560">
            <v>0</v>
          </cell>
          <cell r="AJ3560">
            <v>0</v>
          </cell>
          <cell r="AO3560">
            <v>400</v>
          </cell>
          <cell r="AW3560">
            <v>400</v>
          </cell>
        </row>
        <row r="3561">
          <cell r="B3561">
            <v>7033</v>
          </cell>
          <cell r="C3561" t="str">
            <v>ZB_80_</v>
          </cell>
          <cell r="D3561" t="str">
            <v>Rancho Zinamba No. 80</v>
          </cell>
          <cell r="E3561" t="str">
            <v>Vázquez</v>
          </cell>
          <cell r="F3561">
            <v>250</v>
          </cell>
          <cell r="G3561">
            <v>1</v>
          </cell>
          <cell r="H3561">
            <v>600</v>
          </cell>
          <cell r="I3561">
            <v>41763</v>
          </cell>
          <cell r="J3561">
            <v>0</v>
          </cell>
          <cell r="W3561">
            <v>0</v>
          </cell>
          <cell r="AJ3561">
            <v>0</v>
          </cell>
          <cell r="AN3561">
            <v>300</v>
          </cell>
          <cell r="AO3561">
            <v>300</v>
          </cell>
          <cell r="AW3561">
            <v>600</v>
          </cell>
        </row>
        <row r="3562">
          <cell r="B3562">
            <v>7034</v>
          </cell>
          <cell r="C3562" t="str">
            <v>LD_38_</v>
          </cell>
          <cell r="D3562" t="str">
            <v>Rancho Landero No. 38</v>
          </cell>
          <cell r="E3562" t="str">
            <v>Sánchez Peña</v>
          </cell>
          <cell r="F3562">
            <v>300</v>
          </cell>
          <cell r="G3562">
            <v>1</v>
          </cell>
          <cell r="H3562">
            <v>800</v>
          </cell>
          <cell r="I3562">
            <v>41763</v>
          </cell>
          <cell r="J3562">
            <v>0</v>
          </cell>
          <cell r="W3562">
            <v>0</v>
          </cell>
          <cell r="AJ3562">
            <v>0</v>
          </cell>
          <cell r="AO3562">
            <v>400</v>
          </cell>
          <cell r="AP3562">
            <v>400</v>
          </cell>
          <cell r="AW3562">
            <v>800</v>
          </cell>
        </row>
        <row r="3563">
          <cell r="B3563">
            <v>7035</v>
          </cell>
          <cell r="C3563" t="str">
            <v>CL_139_</v>
          </cell>
          <cell r="D3563" t="str">
            <v>Rancho La Cuchilla No. 139</v>
          </cell>
          <cell r="E3563" t="str">
            <v>Santos</v>
          </cell>
          <cell r="F3563">
            <v>200</v>
          </cell>
          <cell r="G3563">
            <v>1</v>
          </cell>
          <cell r="H3563">
            <v>200</v>
          </cell>
          <cell r="I3563">
            <v>41763</v>
          </cell>
          <cell r="J3563">
            <v>0</v>
          </cell>
          <cell r="W3563">
            <v>0</v>
          </cell>
          <cell r="AJ3563">
            <v>0</v>
          </cell>
          <cell r="AO3563">
            <v>200</v>
          </cell>
          <cell r="AW3563">
            <v>200</v>
          </cell>
        </row>
        <row r="3564">
          <cell r="B3564">
            <v>7036</v>
          </cell>
          <cell r="D3564" t="str">
            <v/>
          </cell>
          <cell r="E3564" t="str">
            <v/>
          </cell>
          <cell r="F3564" t="str">
            <v/>
          </cell>
          <cell r="G3564">
            <v>8</v>
          </cell>
          <cell r="I3564">
            <v>41763</v>
          </cell>
          <cell r="J3564" t="str">
            <v>NO SUMA</v>
          </cell>
          <cell r="W3564">
            <v>0</v>
          </cell>
          <cell r="AJ3564">
            <v>0</v>
          </cell>
          <cell r="AW3564">
            <v>0</v>
          </cell>
        </row>
        <row r="3565">
          <cell r="B3565">
            <v>7037</v>
          </cell>
          <cell r="C3565" t="str">
            <v>CL_68_</v>
          </cell>
          <cell r="D3565" t="str">
            <v>Rancho La Cuchilla No. 68</v>
          </cell>
          <cell r="E3565" t="str">
            <v>Montesinos</v>
          </cell>
          <cell r="F3565">
            <v>300</v>
          </cell>
          <cell r="G3565">
            <v>1</v>
          </cell>
          <cell r="H3565">
            <v>200</v>
          </cell>
          <cell r="I3565">
            <v>41763</v>
          </cell>
          <cell r="J3565">
            <v>0</v>
          </cell>
          <cell r="W3565">
            <v>0</v>
          </cell>
          <cell r="AJ3565">
            <v>0</v>
          </cell>
          <cell r="AO3565">
            <v>200</v>
          </cell>
          <cell r="AW3565">
            <v>200</v>
          </cell>
        </row>
        <row r="3566">
          <cell r="B3566">
            <v>7038</v>
          </cell>
          <cell r="C3566" t="str">
            <v>LD_83_</v>
          </cell>
          <cell r="D3566" t="str">
            <v>Rancho Landero No. 83</v>
          </cell>
          <cell r="E3566" t="str">
            <v>Aguilar</v>
          </cell>
          <cell r="F3566">
            <v>300</v>
          </cell>
          <cell r="G3566">
            <v>1</v>
          </cell>
          <cell r="H3566">
            <v>350</v>
          </cell>
          <cell r="I3566">
            <v>41763</v>
          </cell>
          <cell r="J3566">
            <v>0</v>
          </cell>
          <cell r="W3566">
            <v>0</v>
          </cell>
          <cell r="AJ3566">
            <v>0</v>
          </cell>
          <cell r="AO3566">
            <v>350</v>
          </cell>
          <cell r="AW3566">
            <v>350</v>
          </cell>
        </row>
        <row r="3567">
          <cell r="B3567">
            <v>7039</v>
          </cell>
          <cell r="C3567" t="str">
            <v>CL_72_</v>
          </cell>
          <cell r="D3567" t="str">
            <v>Rancho La Cuchilla No. 72</v>
          </cell>
          <cell r="E3567" t="str">
            <v>Ortiz González</v>
          </cell>
          <cell r="F3567">
            <v>300</v>
          </cell>
          <cell r="G3567">
            <v>1</v>
          </cell>
          <cell r="H3567">
            <v>400</v>
          </cell>
          <cell r="I3567">
            <v>41763</v>
          </cell>
          <cell r="J3567">
            <v>0</v>
          </cell>
          <cell r="W3567">
            <v>0</v>
          </cell>
          <cell r="AJ3567">
            <v>0</v>
          </cell>
          <cell r="AO3567">
            <v>400</v>
          </cell>
          <cell r="AW3567">
            <v>400</v>
          </cell>
        </row>
        <row r="3568">
          <cell r="B3568">
            <v>7040</v>
          </cell>
          <cell r="C3568" t="str">
            <v>EZ_31_</v>
          </cell>
          <cell r="D3568" t="str">
            <v>Rancho Estanzuela No. 31</v>
          </cell>
          <cell r="E3568" t="str">
            <v>Chávez Valdés</v>
          </cell>
          <cell r="F3568">
            <v>300</v>
          </cell>
          <cell r="G3568">
            <v>1</v>
          </cell>
          <cell r="H3568">
            <v>400</v>
          </cell>
          <cell r="I3568">
            <v>41763</v>
          </cell>
          <cell r="J3568">
            <v>0</v>
          </cell>
          <cell r="W3568">
            <v>0</v>
          </cell>
          <cell r="AJ3568">
            <v>0</v>
          </cell>
          <cell r="AN3568">
            <v>400</v>
          </cell>
          <cell r="AW3568">
            <v>400</v>
          </cell>
        </row>
        <row r="3569">
          <cell r="B3569">
            <v>7041</v>
          </cell>
          <cell r="C3569" t="str">
            <v>ZB_44_</v>
          </cell>
          <cell r="D3569" t="str">
            <v>Rancho Zinamba No. 44</v>
          </cell>
          <cell r="E3569" t="str">
            <v>Canales</v>
          </cell>
          <cell r="F3569">
            <v>300</v>
          </cell>
          <cell r="G3569">
            <v>1</v>
          </cell>
          <cell r="H3569">
            <v>400</v>
          </cell>
          <cell r="I3569">
            <v>41763</v>
          </cell>
          <cell r="J3569">
            <v>0</v>
          </cell>
          <cell r="W3569">
            <v>0</v>
          </cell>
          <cell r="AJ3569">
            <v>0</v>
          </cell>
          <cell r="AO3569">
            <v>400</v>
          </cell>
          <cell r="AW3569">
            <v>400</v>
          </cell>
        </row>
        <row r="3570">
          <cell r="B3570">
            <v>7042</v>
          </cell>
          <cell r="C3570" t="str">
            <v>ZB_44_</v>
          </cell>
          <cell r="D3570" t="str">
            <v>Rancho Zinamba No. 44</v>
          </cell>
          <cell r="E3570" t="str">
            <v>Canales</v>
          </cell>
          <cell r="F3570">
            <v>300</v>
          </cell>
          <cell r="G3570">
            <v>4</v>
          </cell>
          <cell r="H3570">
            <v>160</v>
          </cell>
          <cell r="I3570">
            <v>41763</v>
          </cell>
          <cell r="J3570" t="str">
            <v>NO SUMA</v>
          </cell>
          <cell r="W3570">
            <v>0</v>
          </cell>
          <cell r="AJ3570">
            <v>0</v>
          </cell>
          <cell r="AW3570">
            <v>0</v>
          </cell>
        </row>
        <row r="3571">
          <cell r="B3571">
            <v>7043</v>
          </cell>
          <cell r="C3571" t="str">
            <v>ZB_46_</v>
          </cell>
          <cell r="D3571" t="str">
            <v>Rancho Zinamba No. 46</v>
          </cell>
          <cell r="E3571" t="str">
            <v>Olguín</v>
          </cell>
          <cell r="F3571">
            <v>300</v>
          </cell>
          <cell r="G3571">
            <v>4</v>
          </cell>
          <cell r="H3571">
            <v>160</v>
          </cell>
          <cell r="I3571">
            <v>41763</v>
          </cell>
          <cell r="J3571" t="str">
            <v>NO SUMA</v>
          </cell>
          <cell r="W3571">
            <v>0</v>
          </cell>
          <cell r="AJ3571">
            <v>0</v>
          </cell>
          <cell r="AW3571">
            <v>0</v>
          </cell>
        </row>
        <row r="3572">
          <cell r="B3572">
            <v>7044</v>
          </cell>
          <cell r="C3572" t="str">
            <v>RV_179_</v>
          </cell>
          <cell r="D3572" t="str">
            <v>Rancho Recoveco No. 179</v>
          </cell>
          <cell r="E3572" t="str">
            <v>Flores Delgado</v>
          </cell>
          <cell r="F3572">
            <v>300</v>
          </cell>
          <cell r="G3572">
            <v>1</v>
          </cell>
          <cell r="H3572">
            <v>400</v>
          </cell>
          <cell r="I3572">
            <v>41763</v>
          </cell>
          <cell r="J3572">
            <v>0</v>
          </cell>
          <cell r="W3572">
            <v>0</v>
          </cell>
          <cell r="AJ3572">
            <v>0</v>
          </cell>
          <cell r="AO3572">
            <v>400</v>
          </cell>
          <cell r="AW3572">
            <v>400</v>
          </cell>
        </row>
        <row r="3573">
          <cell r="B3573">
            <v>7045</v>
          </cell>
          <cell r="C3573" t="str">
            <v>CL_20_</v>
          </cell>
          <cell r="D3573" t="str">
            <v>Rancho La Cuchilla No. 20</v>
          </cell>
          <cell r="E3573" t="str">
            <v>Sánchez López</v>
          </cell>
          <cell r="F3573">
            <v>300</v>
          </cell>
          <cell r="G3573">
            <v>1</v>
          </cell>
          <cell r="H3573">
            <v>400</v>
          </cell>
          <cell r="I3573">
            <v>41763</v>
          </cell>
          <cell r="J3573">
            <v>0</v>
          </cell>
          <cell r="W3573">
            <v>0</v>
          </cell>
          <cell r="AJ3573">
            <v>0</v>
          </cell>
          <cell r="AO3573">
            <v>400</v>
          </cell>
          <cell r="AW3573">
            <v>400</v>
          </cell>
        </row>
        <row r="3574">
          <cell r="B3574">
            <v>7046</v>
          </cell>
          <cell r="C3574" t="str">
            <v>LD_90_</v>
          </cell>
          <cell r="D3574" t="str">
            <v>Rancho Landero No. 90</v>
          </cell>
          <cell r="E3574" t="str">
            <v>Córdova Reséndiz</v>
          </cell>
          <cell r="F3574">
            <v>300</v>
          </cell>
          <cell r="G3574">
            <v>1</v>
          </cell>
          <cell r="H3574">
            <v>300</v>
          </cell>
          <cell r="I3574">
            <v>41763</v>
          </cell>
          <cell r="J3574">
            <v>0</v>
          </cell>
          <cell r="W3574">
            <v>0</v>
          </cell>
          <cell r="AJ3574">
            <v>0</v>
          </cell>
          <cell r="AO3574">
            <v>300</v>
          </cell>
          <cell r="AW3574">
            <v>300</v>
          </cell>
        </row>
        <row r="3575">
          <cell r="B3575">
            <v>7047</v>
          </cell>
          <cell r="C3575" t="str">
            <v>LD_22_</v>
          </cell>
          <cell r="D3575" t="str">
            <v>Rancho Landero No. 22</v>
          </cell>
          <cell r="E3575" t="str">
            <v>Reyes</v>
          </cell>
          <cell r="F3575">
            <v>150</v>
          </cell>
          <cell r="G3575">
            <v>1</v>
          </cell>
          <cell r="H3575">
            <v>200</v>
          </cell>
          <cell r="I3575">
            <v>41763</v>
          </cell>
          <cell r="J3575">
            <v>0</v>
          </cell>
          <cell r="W3575">
            <v>0</v>
          </cell>
          <cell r="AJ3575">
            <v>0</v>
          </cell>
          <cell r="AN3575">
            <v>200</v>
          </cell>
          <cell r="AW3575">
            <v>200</v>
          </cell>
        </row>
        <row r="3576">
          <cell r="B3576">
            <v>7048</v>
          </cell>
          <cell r="C3576" t="str">
            <v>LD_22_</v>
          </cell>
          <cell r="D3576" t="str">
            <v>Rancho Landero No. 22</v>
          </cell>
          <cell r="E3576" t="str">
            <v>Reyes</v>
          </cell>
          <cell r="F3576">
            <v>150</v>
          </cell>
          <cell r="G3576">
            <v>1</v>
          </cell>
          <cell r="H3576">
            <v>200</v>
          </cell>
          <cell r="I3576">
            <v>41763</v>
          </cell>
          <cell r="J3576">
            <v>0</v>
          </cell>
          <cell r="W3576">
            <v>0</v>
          </cell>
          <cell r="AJ3576">
            <v>0</v>
          </cell>
          <cell r="AO3576">
            <v>200</v>
          </cell>
          <cell r="AW3576">
            <v>200</v>
          </cell>
        </row>
        <row r="3577">
          <cell r="B3577">
            <v>7049</v>
          </cell>
          <cell r="C3577" t="str">
            <v>EZ_55_</v>
          </cell>
          <cell r="D3577" t="str">
            <v>Rancho Estanzuela No. 55</v>
          </cell>
          <cell r="E3577" t="str">
            <v>Rodríguez Acevedo</v>
          </cell>
          <cell r="F3577">
            <v>300</v>
          </cell>
          <cell r="G3577">
            <v>1</v>
          </cell>
          <cell r="H3577">
            <v>400</v>
          </cell>
          <cell r="I3577">
            <v>41763</v>
          </cell>
          <cell r="J3577">
            <v>0</v>
          </cell>
          <cell r="W3577">
            <v>0</v>
          </cell>
          <cell r="AJ3577">
            <v>0</v>
          </cell>
          <cell r="AO3577">
            <v>400</v>
          </cell>
          <cell r="AW3577">
            <v>400</v>
          </cell>
        </row>
        <row r="3578">
          <cell r="B3578">
            <v>7050</v>
          </cell>
          <cell r="C3578" t="str">
            <v>ZB_68_</v>
          </cell>
          <cell r="D3578" t="str">
            <v>Rancho Zinamba No. 68</v>
          </cell>
          <cell r="E3578" t="str">
            <v>Rivera Villicaña</v>
          </cell>
          <cell r="F3578">
            <v>300</v>
          </cell>
          <cell r="G3578">
            <v>1</v>
          </cell>
          <cell r="H3578">
            <v>300</v>
          </cell>
          <cell r="I3578">
            <v>41763</v>
          </cell>
          <cell r="J3578">
            <v>0</v>
          </cell>
          <cell r="W3578">
            <v>0</v>
          </cell>
          <cell r="AJ3578">
            <v>0</v>
          </cell>
          <cell r="AO3578">
            <v>300</v>
          </cell>
          <cell r="AW3578">
            <v>300</v>
          </cell>
        </row>
        <row r="3579">
          <cell r="B3579">
            <v>7051</v>
          </cell>
          <cell r="C3579" t="str">
            <v>UP_90_</v>
          </cell>
          <cell r="D3579" t="str">
            <v>Rancho Upácuaro No. 90</v>
          </cell>
          <cell r="E3579" t="str">
            <v>Moreno Calderón</v>
          </cell>
          <cell r="F3579">
            <v>150</v>
          </cell>
          <cell r="G3579">
            <v>1</v>
          </cell>
          <cell r="H3579">
            <v>800</v>
          </cell>
          <cell r="I3579">
            <v>41763</v>
          </cell>
          <cell r="J3579">
            <v>0</v>
          </cell>
          <cell r="W3579">
            <v>0</v>
          </cell>
          <cell r="AJ3579">
            <v>0</v>
          </cell>
          <cell r="AM3579">
            <v>200</v>
          </cell>
          <cell r="AN3579">
            <v>200</v>
          </cell>
          <cell r="AO3579">
            <v>200</v>
          </cell>
          <cell r="AP3579">
            <v>200</v>
          </cell>
          <cell r="AW3579">
            <v>800</v>
          </cell>
        </row>
        <row r="3580">
          <cell r="B3580">
            <v>7052</v>
          </cell>
          <cell r="C3580" t="str">
            <v>EZ_129_</v>
          </cell>
          <cell r="D3580" t="str">
            <v>Rancho Estanzuela No. 129</v>
          </cell>
          <cell r="E3580" t="str">
            <v>González</v>
          </cell>
          <cell r="F3580">
            <v>300</v>
          </cell>
          <cell r="G3580">
            <v>1</v>
          </cell>
          <cell r="H3580">
            <v>250</v>
          </cell>
          <cell r="I3580">
            <v>41763</v>
          </cell>
          <cell r="J3580">
            <v>0</v>
          </cell>
          <cell r="W3580">
            <v>0</v>
          </cell>
          <cell r="AJ3580">
            <v>0</v>
          </cell>
          <cell r="AN3580">
            <v>250</v>
          </cell>
          <cell r="AW3580">
            <v>250</v>
          </cell>
        </row>
        <row r="3581">
          <cell r="B3581">
            <v>7053</v>
          </cell>
          <cell r="C3581" t="str">
            <v>CL_40_</v>
          </cell>
          <cell r="D3581" t="str">
            <v>Rancho La Cuchilla No. 40</v>
          </cell>
          <cell r="E3581" t="str">
            <v>López Pico</v>
          </cell>
          <cell r="F3581">
            <v>300</v>
          </cell>
          <cell r="G3581">
            <v>1</v>
          </cell>
          <cell r="H3581">
            <v>400</v>
          </cell>
          <cell r="I3581">
            <v>41763</v>
          </cell>
          <cell r="J3581">
            <v>0</v>
          </cell>
          <cell r="W3581">
            <v>0</v>
          </cell>
          <cell r="AJ3581">
            <v>0</v>
          </cell>
          <cell r="AO3581">
            <v>400</v>
          </cell>
          <cell r="AW3581">
            <v>400</v>
          </cell>
        </row>
        <row r="3582">
          <cell r="B3582">
            <v>7054</v>
          </cell>
          <cell r="C3582" t="str">
            <v>ZB_36_</v>
          </cell>
          <cell r="D3582" t="str">
            <v>Rancho Zinamba No. 36</v>
          </cell>
          <cell r="E3582" t="str">
            <v>Rodríguez Ortiz</v>
          </cell>
          <cell r="F3582">
            <v>300</v>
          </cell>
          <cell r="G3582">
            <v>1</v>
          </cell>
          <cell r="H3582">
            <v>400</v>
          </cell>
          <cell r="I3582">
            <v>41763</v>
          </cell>
          <cell r="J3582">
            <v>0</v>
          </cell>
          <cell r="W3582">
            <v>0</v>
          </cell>
          <cell r="AJ3582">
            <v>0</v>
          </cell>
          <cell r="AO3582">
            <v>400</v>
          </cell>
          <cell r="AW3582">
            <v>400</v>
          </cell>
        </row>
        <row r="3583">
          <cell r="B3583">
            <v>7055</v>
          </cell>
          <cell r="C3583" t="str">
            <v>UP_140_</v>
          </cell>
          <cell r="D3583" t="str">
            <v>Rancho Upácuaro No. 140</v>
          </cell>
          <cell r="E3583" t="str">
            <v>Gozain</v>
          </cell>
          <cell r="F3583">
            <v>300</v>
          </cell>
          <cell r="G3583">
            <v>1</v>
          </cell>
          <cell r="H3583">
            <v>400</v>
          </cell>
          <cell r="I3583">
            <v>41763</v>
          </cell>
          <cell r="J3583">
            <v>0</v>
          </cell>
          <cell r="W3583">
            <v>0</v>
          </cell>
          <cell r="AJ3583">
            <v>0</v>
          </cell>
          <cell r="AO3583">
            <v>400</v>
          </cell>
          <cell r="AW3583">
            <v>400</v>
          </cell>
        </row>
        <row r="3584">
          <cell r="B3584">
            <v>7056</v>
          </cell>
          <cell r="D3584" t="str">
            <v/>
          </cell>
          <cell r="E3584" t="str">
            <v/>
          </cell>
          <cell r="F3584" t="str">
            <v/>
          </cell>
          <cell r="G3584">
            <v>8</v>
          </cell>
          <cell r="I3584">
            <v>41763</v>
          </cell>
          <cell r="J3584" t="str">
            <v>NO SUMA</v>
          </cell>
          <cell r="W3584">
            <v>0</v>
          </cell>
          <cell r="AJ3584">
            <v>0</v>
          </cell>
          <cell r="AW3584">
            <v>0</v>
          </cell>
        </row>
        <row r="3585">
          <cell r="B3585">
            <v>7057</v>
          </cell>
          <cell r="C3585" t="str">
            <v>EZ_47_</v>
          </cell>
          <cell r="D3585" t="str">
            <v>Rancho Estanzuela No. 47</v>
          </cell>
          <cell r="E3585" t="str">
            <v>Bussey García</v>
          </cell>
          <cell r="F3585">
            <v>300</v>
          </cell>
          <cell r="G3585">
            <v>1</v>
          </cell>
          <cell r="H3585">
            <v>400</v>
          </cell>
          <cell r="I3585">
            <v>41763</v>
          </cell>
          <cell r="J3585">
            <v>0</v>
          </cell>
          <cell r="W3585">
            <v>0</v>
          </cell>
          <cell r="AJ3585">
            <v>0</v>
          </cell>
          <cell r="AO3585">
            <v>400</v>
          </cell>
          <cell r="AW3585">
            <v>400</v>
          </cell>
        </row>
        <row r="3586">
          <cell r="B3586">
            <v>7058</v>
          </cell>
          <cell r="C3586" t="str">
            <v>ZB_56_</v>
          </cell>
          <cell r="D3586" t="str">
            <v>Rancho Zinamba No. 56</v>
          </cell>
          <cell r="E3586" t="str">
            <v>Aguado</v>
          </cell>
          <cell r="F3586">
            <v>250</v>
          </cell>
          <cell r="G3586">
            <v>1</v>
          </cell>
          <cell r="H3586">
            <v>700</v>
          </cell>
          <cell r="I3586">
            <v>41763</v>
          </cell>
          <cell r="J3586">
            <v>0</v>
          </cell>
          <cell r="W3586">
            <v>0</v>
          </cell>
          <cell r="AJ3586">
            <v>0</v>
          </cell>
          <cell r="AN3586">
            <v>350</v>
          </cell>
          <cell r="AO3586">
            <v>350</v>
          </cell>
          <cell r="AW3586">
            <v>700</v>
          </cell>
        </row>
        <row r="3587">
          <cell r="B3587">
            <v>7059</v>
          </cell>
          <cell r="C3587" t="str">
            <v>EP_22_A</v>
          </cell>
          <cell r="D3587" t="str">
            <v>Rancho Estopila No. 22, A</v>
          </cell>
          <cell r="E3587" t="str">
            <v>Ayala Carranza</v>
          </cell>
          <cell r="F3587">
            <v>150</v>
          </cell>
          <cell r="G3587">
            <v>1</v>
          </cell>
          <cell r="H3587">
            <v>200</v>
          </cell>
          <cell r="I3587">
            <v>41763</v>
          </cell>
          <cell r="J3587">
            <v>0</v>
          </cell>
          <cell r="W3587">
            <v>0</v>
          </cell>
          <cell r="AJ3587">
            <v>0</v>
          </cell>
          <cell r="AO3587">
            <v>200</v>
          </cell>
          <cell r="AW3587">
            <v>200</v>
          </cell>
        </row>
        <row r="3588">
          <cell r="B3588">
            <v>7060</v>
          </cell>
          <cell r="C3588" t="str">
            <v>LD_42_</v>
          </cell>
          <cell r="D3588" t="str">
            <v>Rancho Landero No. 42</v>
          </cell>
          <cell r="E3588" t="str">
            <v>Ávila Fidel</v>
          </cell>
          <cell r="F3588">
            <v>300</v>
          </cell>
          <cell r="G3588">
            <v>1</v>
          </cell>
          <cell r="H3588">
            <v>400</v>
          </cell>
          <cell r="I3588">
            <v>41763</v>
          </cell>
          <cell r="J3588">
            <v>0</v>
          </cell>
          <cell r="W3588">
            <v>0</v>
          </cell>
          <cell r="AJ3588">
            <v>0</v>
          </cell>
          <cell r="AO3588">
            <v>400</v>
          </cell>
          <cell r="AW3588">
            <v>400</v>
          </cell>
        </row>
        <row r="3589">
          <cell r="B3589">
            <v>7061</v>
          </cell>
          <cell r="C3589" t="str">
            <v>CL_31_</v>
          </cell>
          <cell r="D3589" t="str">
            <v>Rancho La Cuchilla No. 31</v>
          </cell>
          <cell r="E3589" t="str">
            <v>Espinoza Serrano</v>
          </cell>
          <cell r="F3589">
            <v>300</v>
          </cell>
          <cell r="G3589">
            <v>1</v>
          </cell>
          <cell r="H3589">
            <v>400</v>
          </cell>
          <cell r="I3589">
            <v>41763</v>
          </cell>
          <cell r="J3589">
            <v>0</v>
          </cell>
          <cell r="W3589">
            <v>0</v>
          </cell>
          <cell r="AJ3589">
            <v>0</v>
          </cell>
          <cell r="AO3589">
            <v>400</v>
          </cell>
          <cell r="AW3589">
            <v>400</v>
          </cell>
        </row>
        <row r="3590">
          <cell r="B3590">
            <v>7061</v>
          </cell>
          <cell r="C3590" t="str">
            <v>CL_31_</v>
          </cell>
          <cell r="D3590" t="str">
            <v>Rancho La Cuchilla No. 31</v>
          </cell>
          <cell r="E3590" t="str">
            <v>Espinoza Serrano</v>
          </cell>
          <cell r="F3590">
            <v>300</v>
          </cell>
          <cell r="G3590">
            <v>4</v>
          </cell>
          <cell r="H3590">
            <v>160</v>
          </cell>
          <cell r="I3590">
            <v>41763</v>
          </cell>
          <cell r="J3590" t="str">
            <v>NO SUMA</v>
          </cell>
          <cell r="W3590">
            <v>0</v>
          </cell>
          <cell r="AJ3590">
            <v>0</v>
          </cell>
          <cell r="AW3590">
            <v>0</v>
          </cell>
        </row>
        <row r="3591">
          <cell r="B3591">
            <v>7062</v>
          </cell>
          <cell r="C3591" t="str">
            <v>EZ_7_B</v>
          </cell>
          <cell r="D3591" t="str">
            <v>Rancho Estanzuela No. 7, B</v>
          </cell>
          <cell r="E3591" t="str">
            <v>Camargo Romero</v>
          </cell>
          <cell r="F3591">
            <v>150</v>
          </cell>
          <cell r="G3591">
            <v>4</v>
          </cell>
          <cell r="H3591">
            <v>160</v>
          </cell>
          <cell r="I3591">
            <v>41763</v>
          </cell>
          <cell r="J3591" t="str">
            <v>NO SUMA</v>
          </cell>
          <cell r="W3591">
            <v>0</v>
          </cell>
          <cell r="AJ3591">
            <v>0</v>
          </cell>
          <cell r="AW3591">
            <v>0</v>
          </cell>
        </row>
        <row r="3592">
          <cell r="B3592">
            <v>7063</v>
          </cell>
          <cell r="C3592" t="str">
            <v>CL_33_</v>
          </cell>
          <cell r="D3592" t="str">
            <v>Rancho La Cuchilla No. 33</v>
          </cell>
          <cell r="E3592" t="str">
            <v>Tanús</v>
          </cell>
          <cell r="F3592">
            <v>300</v>
          </cell>
          <cell r="G3592">
            <v>1</v>
          </cell>
          <cell r="H3592">
            <v>400</v>
          </cell>
          <cell r="I3592">
            <v>41763</v>
          </cell>
          <cell r="J3592">
            <v>0</v>
          </cell>
          <cell r="W3592">
            <v>0</v>
          </cell>
          <cell r="AJ3592">
            <v>0</v>
          </cell>
          <cell r="AO3592">
            <v>400</v>
          </cell>
          <cell r="AW3592">
            <v>400</v>
          </cell>
        </row>
        <row r="3593">
          <cell r="B3593">
            <v>7064</v>
          </cell>
          <cell r="C3593" t="str">
            <v>RV_197_</v>
          </cell>
          <cell r="D3593" t="str">
            <v>Rancho Recoveco No. 197</v>
          </cell>
          <cell r="E3593" t="str">
            <v>Colín González</v>
          </cell>
          <cell r="F3593">
            <v>300</v>
          </cell>
          <cell r="G3593">
            <v>1</v>
          </cell>
          <cell r="H3593">
            <v>400</v>
          </cell>
          <cell r="I3593">
            <v>41763</v>
          </cell>
          <cell r="J3593">
            <v>0</v>
          </cell>
          <cell r="W3593">
            <v>0</v>
          </cell>
          <cell r="AJ3593">
            <v>0</v>
          </cell>
          <cell r="AO3593">
            <v>400</v>
          </cell>
          <cell r="AW3593">
            <v>400</v>
          </cell>
        </row>
        <row r="3594">
          <cell r="B3594">
            <v>7065</v>
          </cell>
          <cell r="C3594" t="str">
            <v>UP_32_</v>
          </cell>
          <cell r="D3594" t="str">
            <v>Rancho Upácuaro No. 32</v>
          </cell>
          <cell r="E3594" t="str">
            <v>Sairafi Carmen</v>
          </cell>
          <cell r="F3594">
            <v>300</v>
          </cell>
          <cell r="G3594">
            <v>1</v>
          </cell>
          <cell r="H3594">
            <v>400</v>
          </cell>
          <cell r="I3594">
            <v>41763</v>
          </cell>
          <cell r="J3594">
            <v>0</v>
          </cell>
          <cell r="W3594">
            <v>0</v>
          </cell>
          <cell r="AJ3594">
            <v>0</v>
          </cell>
          <cell r="AO3594">
            <v>400</v>
          </cell>
          <cell r="AW3594">
            <v>400</v>
          </cell>
        </row>
        <row r="3595">
          <cell r="B3595">
            <v>7066</v>
          </cell>
          <cell r="C3595" t="str">
            <v>UP_100_</v>
          </cell>
          <cell r="D3595" t="str">
            <v>Rancho Upácuaro No. 100</v>
          </cell>
          <cell r="E3595" t="str">
            <v>Mancera Rodríguez</v>
          </cell>
          <cell r="F3595">
            <v>300</v>
          </cell>
          <cell r="G3595">
            <v>1</v>
          </cell>
          <cell r="H3595">
            <v>400</v>
          </cell>
          <cell r="I3595">
            <v>41763</v>
          </cell>
          <cell r="J3595">
            <v>0</v>
          </cell>
          <cell r="W3595">
            <v>0</v>
          </cell>
          <cell r="AJ3595">
            <v>0</v>
          </cell>
          <cell r="AO3595">
            <v>400</v>
          </cell>
          <cell r="AW3595">
            <v>400</v>
          </cell>
        </row>
        <row r="3596">
          <cell r="B3596">
            <v>7067</v>
          </cell>
          <cell r="C3596" t="str">
            <v>UP_116_</v>
          </cell>
          <cell r="D3596" t="str">
            <v>Rancho Upácuaro No. 116</v>
          </cell>
          <cell r="E3596" t="str">
            <v>García Zamudio</v>
          </cell>
          <cell r="F3596">
            <v>300</v>
          </cell>
          <cell r="G3596">
            <v>1</v>
          </cell>
          <cell r="H3596">
            <v>800</v>
          </cell>
          <cell r="I3596">
            <v>41763</v>
          </cell>
          <cell r="J3596">
            <v>0</v>
          </cell>
          <cell r="W3596">
            <v>0</v>
          </cell>
          <cell r="AJ3596">
            <v>0</v>
          </cell>
          <cell r="AK3596">
            <v>400</v>
          </cell>
          <cell r="AL3596">
            <v>400</v>
          </cell>
          <cell r="AW3596">
            <v>800</v>
          </cell>
        </row>
        <row r="3597">
          <cell r="B3597">
            <v>7068</v>
          </cell>
          <cell r="C3597" t="str">
            <v>CL_135_</v>
          </cell>
          <cell r="D3597" t="str">
            <v>Rancho La Cuchilla No. 135</v>
          </cell>
          <cell r="E3597" t="str">
            <v>Juárez Sánchez</v>
          </cell>
          <cell r="F3597">
            <v>300</v>
          </cell>
          <cell r="G3597">
            <v>1</v>
          </cell>
          <cell r="H3597">
            <v>800</v>
          </cell>
          <cell r="I3597">
            <v>41763</v>
          </cell>
          <cell r="J3597">
            <v>0</v>
          </cell>
          <cell r="W3597">
            <v>0</v>
          </cell>
          <cell r="AJ3597">
            <v>0</v>
          </cell>
          <cell r="AL3597">
            <v>400</v>
          </cell>
          <cell r="AM3597">
            <v>400</v>
          </cell>
          <cell r="AW3597">
            <v>800</v>
          </cell>
        </row>
        <row r="3598">
          <cell r="B3598">
            <v>7069</v>
          </cell>
          <cell r="C3598" t="str">
            <v>CL_45_</v>
          </cell>
          <cell r="D3598" t="str">
            <v>Rancho La Cuchilla No. 45</v>
          </cell>
          <cell r="E3598" t="str">
            <v>Estévez Hernández</v>
          </cell>
          <cell r="F3598">
            <v>300</v>
          </cell>
          <cell r="G3598">
            <v>1</v>
          </cell>
          <cell r="H3598">
            <v>400</v>
          </cell>
          <cell r="I3598">
            <v>41763</v>
          </cell>
          <cell r="J3598">
            <v>0</v>
          </cell>
          <cell r="W3598">
            <v>0</v>
          </cell>
          <cell r="AJ3598">
            <v>0</v>
          </cell>
          <cell r="AO3598">
            <v>400</v>
          </cell>
          <cell r="AW3598">
            <v>400</v>
          </cell>
        </row>
        <row r="3599">
          <cell r="B3599">
            <v>7070</v>
          </cell>
          <cell r="C3599" t="str">
            <v>RM_9_B</v>
          </cell>
          <cell r="D3599" t="str">
            <v>Rancho Romeral No. 9, B</v>
          </cell>
          <cell r="E3599" t="str">
            <v>Morales Macías</v>
          </cell>
          <cell r="F3599">
            <v>100</v>
          </cell>
          <cell r="G3599">
            <v>1</v>
          </cell>
          <cell r="H3599">
            <v>200</v>
          </cell>
          <cell r="I3599">
            <v>41763</v>
          </cell>
          <cell r="J3599">
            <v>0</v>
          </cell>
          <cell r="W3599">
            <v>0</v>
          </cell>
          <cell r="AJ3599">
            <v>0</v>
          </cell>
          <cell r="AN3599">
            <v>100</v>
          </cell>
          <cell r="AO3599">
            <v>100</v>
          </cell>
          <cell r="AW3599">
            <v>200</v>
          </cell>
        </row>
        <row r="3600">
          <cell r="B3600">
            <v>7071</v>
          </cell>
          <cell r="C3600" t="str">
            <v>CL_89_</v>
          </cell>
          <cell r="D3600" t="str">
            <v>Rancho La Cuchilla No. 89</v>
          </cell>
          <cell r="E3600" t="str">
            <v>Gálvez</v>
          </cell>
          <cell r="F3600">
            <v>300</v>
          </cell>
          <cell r="G3600">
            <v>1</v>
          </cell>
          <cell r="H3600">
            <v>400</v>
          </cell>
          <cell r="I3600">
            <v>41763</v>
          </cell>
          <cell r="J3600">
            <v>0</v>
          </cell>
          <cell r="W3600">
            <v>0</v>
          </cell>
          <cell r="AJ3600">
            <v>0</v>
          </cell>
          <cell r="AO3600">
            <v>400</v>
          </cell>
          <cell r="AW3600">
            <v>400</v>
          </cell>
        </row>
        <row r="3601">
          <cell r="B3601">
            <v>7072</v>
          </cell>
          <cell r="C3601" t="str">
            <v>EZ_127_</v>
          </cell>
          <cell r="D3601" t="str">
            <v>Rancho Estanzuela No. 127</v>
          </cell>
          <cell r="E3601" t="str">
            <v>Luna Zepeda</v>
          </cell>
          <cell r="F3601">
            <v>200</v>
          </cell>
          <cell r="G3601">
            <v>1</v>
          </cell>
          <cell r="H3601">
            <v>300</v>
          </cell>
          <cell r="I3601">
            <v>41763</v>
          </cell>
          <cell r="J3601">
            <v>0</v>
          </cell>
          <cell r="W3601">
            <v>0</v>
          </cell>
          <cell r="AJ3601">
            <v>0</v>
          </cell>
          <cell r="AN3601">
            <v>150</v>
          </cell>
          <cell r="AO3601">
            <v>150</v>
          </cell>
          <cell r="AW3601">
            <v>300</v>
          </cell>
        </row>
        <row r="3602">
          <cell r="B3602">
            <v>7073</v>
          </cell>
          <cell r="C3602" t="str">
            <v>UP_23_</v>
          </cell>
          <cell r="D3602" t="str">
            <v>Rancho Upácuaro No. 23</v>
          </cell>
          <cell r="E3602" t="str">
            <v>Arredondo</v>
          </cell>
          <cell r="F3602">
            <v>300</v>
          </cell>
          <cell r="G3602">
            <v>1</v>
          </cell>
          <cell r="H3602">
            <v>350</v>
          </cell>
          <cell r="I3602">
            <v>41763</v>
          </cell>
          <cell r="J3602">
            <v>0</v>
          </cell>
          <cell r="W3602">
            <v>0</v>
          </cell>
          <cell r="AJ3602">
            <v>0</v>
          </cell>
          <cell r="AO3602">
            <v>350</v>
          </cell>
          <cell r="AW3602">
            <v>350</v>
          </cell>
        </row>
        <row r="3603">
          <cell r="B3603">
            <v>7074</v>
          </cell>
          <cell r="C3603" t="str">
            <v>UP_23_</v>
          </cell>
          <cell r="D3603" t="str">
            <v>Rancho Upácuaro No. 23</v>
          </cell>
          <cell r="E3603" t="str">
            <v>Arredondo</v>
          </cell>
          <cell r="F3603">
            <v>300</v>
          </cell>
          <cell r="G3603">
            <v>3</v>
          </cell>
          <cell r="H3603">
            <v>320</v>
          </cell>
          <cell r="I3603">
            <v>41763</v>
          </cell>
          <cell r="J3603" t="str">
            <v>NO SUMA</v>
          </cell>
          <cell r="W3603">
            <v>0</v>
          </cell>
          <cell r="AJ3603">
            <v>0</v>
          </cell>
          <cell r="AW3603">
            <v>0</v>
          </cell>
        </row>
        <row r="3604">
          <cell r="B3604">
            <v>7075</v>
          </cell>
          <cell r="C3604" t="str">
            <v>ZB_34_</v>
          </cell>
          <cell r="D3604" t="str">
            <v>Rancho Zinamba No. 34</v>
          </cell>
          <cell r="E3604" t="str">
            <v>Torres Zavala</v>
          </cell>
          <cell r="F3604">
            <v>300</v>
          </cell>
          <cell r="G3604">
            <v>1</v>
          </cell>
          <cell r="H3604">
            <v>800</v>
          </cell>
          <cell r="I3604">
            <v>41763</v>
          </cell>
          <cell r="J3604">
            <v>0</v>
          </cell>
          <cell r="W3604">
            <v>0</v>
          </cell>
          <cell r="AJ3604">
            <v>0</v>
          </cell>
          <cell r="AN3604">
            <v>400</v>
          </cell>
          <cell r="AO3604">
            <v>400</v>
          </cell>
          <cell r="AW3604">
            <v>800</v>
          </cell>
        </row>
        <row r="3605">
          <cell r="B3605">
            <v>7076</v>
          </cell>
          <cell r="C3605" t="str">
            <v>UP_47_</v>
          </cell>
          <cell r="D3605" t="str">
            <v>Rancho Upácuaro No. 47</v>
          </cell>
          <cell r="E3605" t="str">
            <v>Flores Muñoz</v>
          </cell>
          <cell r="F3605">
            <v>300</v>
          </cell>
          <cell r="G3605">
            <v>1</v>
          </cell>
          <cell r="H3605">
            <v>400</v>
          </cell>
          <cell r="I3605">
            <v>41763</v>
          </cell>
          <cell r="J3605">
            <v>0</v>
          </cell>
          <cell r="W3605">
            <v>0</v>
          </cell>
          <cell r="AJ3605">
            <v>0</v>
          </cell>
          <cell r="AP3605">
            <v>400</v>
          </cell>
          <cell r="AW3605">
            <v>400</v>
          </cell>
        </row>
        <row r="3606">
          <cell r="B3606">
            <v>7077</v>
          </cell>
          <cell r="C3606" t="str">
            <v>ZB_50_</v>
          </cell>
          <cell r="D3606" t="str">
            <v>Rancho Zinamba No. 50</v>
          </cell>
          <cell r="E3606" t="str">
            <v>Del Castillo</v>
          </cell>
          <cell r="F3606">
            <v>300</v>
          </cell>
          <cell r="G3606">
            <v>1</v>
          </cell>
          <cell r="H3606">
            <v>400</v>
          </cell>
          <cell r="I3606">
            <v>41763</v>
          </cell>
          <cell r="J3606">
            <v>0</v>
          </cell>
          <cell r="W3606">
            <v>0</v>
          </cell>
          <cell r="AJ3606">
            <v>0</v>
          </cell>
          <cell r="AN3606">
            <v>400</v>
          </cell>
          <cell r="AW3606">
            <v>400</v>
          </cell>
        </row>
        <row r="3607">
          <cell r="B3607">
            <v>7078</v>
          </cell>
          <cell r="C3607" t="str">
            <v>EZ_95_</v>
          </cell>
          <cell r="D3607" t="str">
            <v>Rancho Estanzuela No. 95</v>
          </cell>
          <cell r="E3607" t="str">
            <v>Castro Puente</v>
          </cell>
          <cell r="F3607">
            <v>300</v>
          </cell>
          <cell r="G3607">
            <v>1</v>
          </cell>
          <cell r="H3607">
            <v>800</v>
          </cell>
          <cell r="I3607">
            <v>41763</v>
          </cell>
          <cell r="J3607">
            <v>0</v>
          </cell>
          <cell r="W3607">
            <v>0</v>
          </cell>
          <cell r="AJ3607">
            <v>0</v>
          </cell>
          <cell r="AO3607">
            <v>400</v>
          </cell>
          <cell r="AP3607">
            <v>400</v>
          </cell>
          <cell r="AW3607">
            <v>800</v>
          </cell>
        </row>
        <row r="3608">
          <cell r="B3608">
            <v>7079</v>
          </cell>
          <cell r="C3608" t="str">
            <v>EZ_35_</v>
          </cell>
          <cell r="D3608" t="str">
            <v>Rancho Estanzuela No. 35</v>
          </cell>
          <cell r="E3608" t="str">
            <v>Rodríguez</v>
          </cell>
          <cell r="F3608">
            <v>300</v>
          </cell>
          <cell r="G3608">
            <v>1</v>
          </cell>
          <cell r="H3608">
            <v>400</v>
          </cell>
          <cell r="I3608">
            <v>41763</v>
          </cell>
          <cell r="J3608">
            <v>0</v>
          </cell>
          <cell r="W3608">
            <v>0</v>
          </cell>
          <cell r="AJ3608">
            <v>0</v>
          </cell>
          <cell r="AN3608">
            <v>400</v>
          </cell>
          <cell r="AW3608">
            <v>400</v>
          </cell>
        </row>
        <row r="3609">
          <cell r="B3609">
            <v>7080</v>
          </cell>
          <cell r="C3609" t="str">
            <v>EZ_9_B</v>
          </cell>
          <cell r="D3609" t="str">
            <v>Rancho Estanzuela No. 9, B</v>
          </cell>
          <cell r="E3609" t="str">
            <v>Velasco Rojas</v>
          </cell>
          <cell r="F3609">
            <v>200</v>
          </cell>
          <cell r="G3609">
            <v>1</v>
          </cell>
          <cell r="H3609">
            <v>200</v>
          </cell>
          <cell r="I3609">
            <v>41763</v>
          </cell>
          <cell r="J3609">
            <v>0</v>
          </cell>
          <cell r="W3609">
            <v>0</v>
          </cell>
          <cell r="AJ3609">
            <v>0</v>
          </cell>
          <cell r="AO3609">
            <v>200</v>
          </cell>
          <cell r="AW3609">
            <v>200</v>
          </cell>
        </row>
        <row r="3610">
          <cell r="B3610">
            <v>7081</v>
          </cell>
          <cell r="C3610" t="str">
            <v>EZ_117_</v>
          </cell>
          <cell r="D3610" t="str">
            <v>Rancho Estanzuela No. 117</v>
          </cell>
          <cell r="E3610" t="str">
            <v>Cordero Nieto</v>
          </cell>
          <cell r="F3610">
            <v>300</v>
          </cell>
          <cell r="G3610">
            <v>1</v>
          </cell>
          <cell r="H3610">
            <v>250</v>
          </cell>
          <cell r="I3610">
            <v>41763</v>
          </cell>
          <cell r="J3610">
            <v>0</v>
          </cell>
          <cell r="W3610">
            <v>0</v>
          </cell>
          <cell r="AJ3610">
            <v>0</v>
          </cell>
          <cell r="AN3610">
            <v>250</v>
          </cell>
          <cell r="AW3610">
            <v>250</v>
          </cell>
        </row>
        <row r="3611">
          <cell r="B3611">
            <v>7082</v>
          </cell>
          <cell r="C3611" t="str">
            <v>CL_129_</v>
          </cell>
          <cell r="D3611" t="str">
            <v>Rancho La Cuchilla No. 129</v>
          </cell>
          <cell r="E3611" t="str">
            <v>Gamboa Rueda</v>
          </cell>
          <cell r="F3611">
            <v>200</v>
          </cell>
          <cell r="G3611">
            <v>1</v>
          </cell>
          <cell r="H3611">
            <v>300</v>
          </cell>
          <cell r="I3611">
            <v>41763</v>
          </cell>
          <cell r="J3611">
            <v>0</v>
          </cell>
          <cell r="W3611">
            <v>0</v>
          </cell>
          <cell r="AJ3611">
            <v>0</v>
          </cell>
          <cell r="AO3611">
            <v>300</v>
          </cell>
          <cell r="AW3611">
            <v>300</v>
          </cell>
        </row>
        <row r="3612">
          <cell r="B3612">
            <v>7083</v>
          </cell>
          <cell r="C3612" t="str">
            <v>CL_86_</v>
          </cell>
          <cell r="D3612" t="str">
            <v>Rancho La Cuchilla No. 86</v>
          </cell>
          <cell r="E3612" t="str">
            <v>Del Villar</v>
          </cell>
          <cell r="F3612">
            <v>300</v>
          </cell>
          <cell r="G3612">
            <v>1</v>
          </cell>
          <cell r="H3612">
            <v>400</v>
          </cell>
          <cell r="I3612">
            <v>41765</v>
          </cell>
          <cell r="J3612">
            <v>0</v>
          </cell>
          <cell r="W3612">
            <v>0</v>
          </cell>
          <cell r="AJ3612">
            <v>0</v>
          </cell>
          <cell r="AN3612">
            <v>400</v>
          </cell>
          <cell r="AW3612">
            <v>400</v>
          </cell>
        </row>
        <row r="3613">
          <cell r="B3613">
            <v>7084</v>
          </cell>
          <cell r="C3613" t="str">
            <v>ZB_12_</v>
          </cell>
          <cell r="D3613" t="str">
            <v>Rancho Zinamba No. 12</v>
          </cell>
          <cell r="E3613" t="str">
            <v>S.P.Endoscopic</v>
          </cell>
          <cell r="F3613">
            <v>400</v>
          </cell>
          <cell r="G3613">
            <v>1</v>
          </cell>
          <cell r="H3613">
            <v>400</v>
          </cell>
          <cell r="I3613">
            <v>41765</v>
          </cell>
          <cell r="J3613">
            <v>0</v>
          </cell>
          <cell r="W3613">
            <v>0</v>
          </cell>
          <cell r="AJ3613">
            <v>0</v>
          </cell>
          <cell r="AN3613">
            <v>400</v>
          </cell>
          <cell r="AW3613">
            <v>400</v>
          </cell>
        </row>
        <row r="3614">
          <cell r="B3614">
            <v>7085</v>
          </cell>
          <cell r="C3614" t="str">
            <v>EZ_67_</v>
          </cell>
          <cell r="D3614" t="str">
            <v>Rancho Estanzuela No. 67</v>
          </cell>
          <cell r="E3614" t="str">
            <v>Carmona Galarza</v>
          </cell>
          <cell r="F3614">
            <v>300</v>
          </cell>
          <cell r="G3614">
            <v>1</v>
          </cell>
          <cell r="H3614">
            <v>400</v>
          </cell>
          <cell r="I3614">
            <v>41765</v>
          </cell>
          <cell r="J3614">
            <v>0</v>
          </cell>
          <cell r="W3614">
            <v>0</v>
          </cell>
          <cell r="AJ3614">
            <v>0</v>
          </cell>
          <cell r="AO3614">
            <v>400</v>
          </cell>
          <cell r="AW3614">
            <v>400</v>
          </cell>
        </row>
        <row r="3615">
          <cell r="B3615">
            <v>7085</v>
          </cell>
          <cell r="C3615" t="str">
            <v>EZ_67_</v>
          </cell>
          <cell r="D3615" t="str">
            <v>Rancho Estanzuela No. 67</v>
          </cell>
          <cell r="E3615" t="str">
            <v>Carmona Galarza</v>
          </cell>
          <cell r="F3615">
            <v>300</v>
          </cell>
          <cell r="G3615">
            <v>3</v>
          </cell>
          <cell r="H3615">
            <v>160</v>
          </cell>
          <cell r="I3615">
            <v>41765</v>
          </cell>
          <cell r="J3615" t="str">
            <v>NO SUMA</v>
          </cell>
          <cell r="W3615">
            <v>0</v>
          </cell>
          <cell r="AJ3615">
            <v>0</v>
          </cell>
          <cell r="AW3615">
            <v>0</v>
          </cell>
        </row>
        <row r="3616">
          <cell r="B3616">
            <v>7086</v>
          </cell>
          <cell r="C3616" t="str">
            <v>EZ_111_</v>
          </cell>
          <cell r="D3616" t="str">
            <v>Rancho Estanzuela No. 111</v>
          </cell>
          <cell r="E3616" t="str">
            <v>Flores Pérez</v>
          </cell>
          <cell r="F3616">
            <v>300</v>
          </cell>
          <cell r="G3616">
            <v>4</v>
          </cell>
          <cell r="H3616">
            <v>160</v>
          </cell>
          <cell r="I3616">
            <v>41765</v>
          </cell>
          <cell r="J3616" t="str">
            <v>NO SUMA</v>
          </cell>
          <cell r="W3616">
            <v>0</v>
          </cell>
          <cell r="AJ3616">
            <v>0</v>
          </cell>
          <cell r="AW3616">
            <v>0</v>
          </cell>
        </row>
        <row r="3617">
          <cell r="B3617">
            <v>7087</v>
          </cell>
          <cell r="C3617" t="str">
            <v>LD_8_</v>
          </cell>
          <cell r="D3617" t="str">
            <v>Rancho Landero No. 8</v>
          </cell>
          <cell r="E3617" t="str">
            <v>Peña Torres</v>
          </cell>
          <cell r="F3617">
            <v>250</v>
          </cell>
          <cell r="G3617">
            <v>1</v>
          </cell>
          <cell r="H3617">
            <v>500</v>
          </cell>
          <cell r="I3617">
            <v>41770</v>
          </cell>
          <cell r="J3617">
            <v>0</v>
          </cell>
          <cell r="W3617">
            <v>0</v>
          </cell>
          <cell r="AJ3617">
            <v>0</v>
          </cell>
          <cell r="AO3617">
            <v>250</v>
          </cell>
          <cell r="AP3617">
            <v>250</v>
          </cell>
          <cell r="AW3617">
            <v>500</v>
          </cell>
        </row>
        <row r="3618">
          <cell r="B3618">
            <v>7088</v>
          </cell>
          <cell r="C3618" t="str">
            <v>CL_120_</v>
          </cell>
          <cell r="D3618" t="str">
            <v>Rancho La Cuchilla No. 120</v>
          </cell>
          <cell r="E3618" t="str">
            <v>Pozos Vilchis</v>
          </cell>
          <cell r="F3618">
            <v>300</v>
          </cell>
          <cell r="G3618">
            <v>1</v>
          </cell>
          <cell r="H3618">
            <v>400</v>
          </cell>
          <cell r="I3618">
            <v>41770</v>
          </cell>
          <cell r="J3618">
            <v>0</v>
          </cell>
          <cell r="W3618">
            <v>0</v>
          </cell>
          <cell r="AJ3618">
            <v>0</v>
          </cell>
          <cell r="AO3618">
            <v>400</v>
          </cell>
          <cell r="AW3618">
            <v>400</v>
          </cell>
        </row>
        <row r="3619">
          <cell r="B3619">
            <v>7089</v>
          </cell>
          <cell r="C3619" t="str">
            <v>UP_93_</v>
          </cell>
          <cell r="D3619" t="str">
            <v>Rancho Upácuaro No. 93</v>
          </cell>
          <cell r="E3619" t="str">
            <v>Valdés</v>
          </cell>
          <cell r="F3619">
            <v>300</v>
          </cell>
          <cell r="G3619">
            <v>3</v>
          </cell>
          <cell r="H3619">
            <v>160</v>
          </cell>
          <cell r="I3619">
            <v>41770</v>
          </cell>
          <cell r="J3619" t="str">
            <v>NO SUMA</v>
          </cell>
          <cell r="W3619">
            <v>0</v>
          </cell>
          <cell r="AJ3619">
            <v>0</v>
          </cell>
          <cell r="AW3619">
            <v>0</v>
          </cell>
        </row>
        <row r="3620">
          <cell r="B3620">
            <v>7090</v>
          </cell>
          <cell r="C3620" t="str">
            <v>EZ_43_</v>
          </cell>
          <cell r="D3620" t="str">
            <v>Rancho Estanzuela No. 43</v>
          </cell>
          <cell r="E3620" t="str">
            <v>Sanchez Zambra</v>
          </cell>
          <cell r="F3620">
            <v>300</v>
          </cell>
          <cell r="G3620">
            <v>1</v>
          </cell>
          <cell r="H3620">
            <v>200</v>
          </cell>
          <cell r="I3620">
            <v>41770</v>
          </cell>
          <cell r="J3620">
            <v>0</v>
          </cell>
          <cell r="W3620">
            <v>0</v>
          </cell>
          <cell r="AJ3620">
            <v>0</v>
          </cell>
          <cell r="AM3620">
            <v>200</v>
          </cell>
          <cell r="AW3620">
            <v>200</v>
          </cell>
        </row>
        <row r="3621">
          <cell r="B3621">
            <v>7091</v>
          </cell>
          <cell r="C3621" t="str">
            <v>CL_41_</v>
          </cell>
          <cell r="D3621" t="str">
            <v>Rancho La Cuchilla No. 41</v>
          </cell>
          <cell r="E3621" t="str">
            <v>Arriaga Lemus</v>
          </cell>
          <cell r="F3621">
            <v>250</v>
          </cell>
          <cell r="G3621">
            <v>1</v>
          </cell>
          <cell r="H3621">
            <v>400</v>
          </cell>
          <cell r="I3621">
            <v>41770</v>
          </cell>
          <cell r="J3621">
            <v>0</v>
          </cell>
          <cell r="W3621">
            <v>0</v>
          </cell>
          <cell r="AJ3621">
            <v>0</v>
          </cell>
          <cell r="AO3621">
            <v>400</v>
          </cell>
          <cell r="AW3621">
            <v>400</v>
          </cell>
        </row>
        <row r="3622">
          <cell r="B3622">
            <v>7092</v>
          </cell>
          <cell r="C3622" t="str">
            <v>UP_85_</v>
          </cell>
          <cell r="D3622" t="str">
            <v>Rancho Upácuaro No. 85</v>
          </cell>
          <cell r="E3622" t="str">
            <v>Del Toro Huerta</v>
          </cell>
          <cell r="F3622">
            <v>300</v>
          </cell>
          <cell r="G3622">
            <v>1</v>
          </cell>
          <cell r="H3622">
            <v>400</v>
          </cell>
          <cell r="I3622">
            <v>41770</v>
          </cell>
          <cell r="J3622">
            <v>0</v>
          </cell>
          <cell r="W3622">
            <v>0</v>
          </cell>
          <cell r="AJ3622">
            <v>0</v>
          </cell>
          <cell r="AO3622">
            <v>400</v>
          </cell>
          <cell r="AW3622">
            <v>400</v>
          </cell>
        </row>
        <row r="3623">
          <cell r="B3623">
            <v>7093</v>
          </cell>
          <cell r="C3623" t="str">
            <v>CL_111_</v>
          </cell>
          <cell r="D3623" t="str">
            <v>Rancho La Cuchilla No. 111</v>
          </cell>
          <cell r="E3623" t="str">
            <v>García Santos Ofelia</v>
          </cell>
          <cell r="F3623">
            <v>150</v>
          </cell>
          <cell r="G3623">
            <v>1</v>
          </cell>
          <cell r="H3623">
            <v>200</v>
          </cell>
          <cell r="I3623">
            <v>41770</v>
          </cell>
          <cell r="J3623">
            <v>0</v>
          </cell>
          <cell r="W3623">
            <v>0</v>
          </cell>
          <cell r="AJ3623">
            <v>0</v>
          </cell>
          <cell r="AO3623">
            <v>200</v>
          </cell>
          <cell r="AW3623">
            <v>200</v>
          </cell>
        </row>
        <row r="3624">
          <cell r="B3624">
            <v>7094</v>
          </cell>
          <cell r="C3624" t="str">
            <v>CL_19_</v>
          </cell>
          <cell r="D3624" t="str">
            <v>Rancho La Cuchilla No. 19</v>
          </cell>
          <cell r="E3624" t="str">
            <v>Tapia Vázquez</v>
          </cell>
          <cell r="F3624">
            <v>300</v>
          </cell>
          <cell r="G3624">
            <v>1</v>
          </cell>
          <cell r="H3624">
            <v>300</v>
          </cell>
          <cell r="I3624">
            <v>41770</v>
          </cell>
          <cell r="J3624">
            <v>0</v>
          </cell>
          <cell r="W3624">
            <v>0</v>
          </cell>
          <cell r="AJ3624">
            <v>0</v>
          </cell>
          <cell r="AO3624">
            <v>300</v>
          </cell>
          <cell r="AW3624">
            <v>300</v>
          </cell>
        </row>
        <row r="3625">
          <cell r="B3625">
            <v>7095</v>
          </cell>
          <cell r="C3625" t="str">
            <v>UP_18_</v>
          </cell>
          <cell r="D3625" t="str">
            <v>Rancho Upácuaro No. 18</v>
          </cell>
          <cell r="E3625" t="str">
            <v>Guzmán</v>
          </cell>
          <cell r="F3625">
            <v>300</v>
          </cell>
          <cell r="G3625">
            <v>1</v>
          </cell>
          <cell r="H3625">
            <v>300</v>
          </cell>
          <cell r="I3625">
            <v>41770</v>
          </cell>
          <cell r="J3625">
            <v>0</v>
          </cell>
          <cell r="W3625">
            <v>0</v>
          </cell>
          <cell r="AJ3625">
            <v>0</v>
          </cell>
          <cell r="AO3625">
            <v>300</v>
          </cell>
          <cell r="AW3625">
            <v>300</v>
          </cell>
        </row>
        <row r="3626">
          <cell r="B3626">
            <v>7096</v>
          </cell>
          <cell r="C3626" t="str">
            <v>UP_101_</v>
          </cell>
          <cell r="D3626" t="str">
            <v>Rancho Upácuaro No. 101</v>
          </cell>
          <cell r="E3626" t="str">
            <v>Chávez, Arturo</v>
          </cell>
          <cell r="F3626">
            <v>300</v>
          </cell>
          <cell r="G3626">
            <v>1</v>
          </cell>
          <cell r="H3626">
            <v>400</v>
          </cell>
          <cell r="I3626">
            <v>41770</v>
          </cell>
          <cell r="J3626">
            <v>0</v>
          </cell>
          <cell r="W3626">
            <v>0</v>
          </cell>
          <cell r="AJ3626">
            <v>0</v>
          </cell>
          <cell r="AO3626">
            <v>400</v>
          </cell>
          <cell r="AW3626">
            <v>400</v>
          </cell>
        </row>
        <row r="3627">
          <cell r="B3627">
            <v>7097</v>
          </cell>
          <cell r="C3627" t="str">
            <v>EZ_151_</v>
          </cell>
          <cell r="D3627" t="str">
            <v>Rancho Estanzuela No. 151</v>
          </cell>
          <cell r="E3627" t="str">
            <v>Pérez Salazar</v>
          </cell>
          <cell r="F3627">
            <v>300</v>
          </cell>
          <cell r="G3627">
            <v>1</v>
          </cell>
          <cell r="H3627">
            <v>400</v>
          </cell>
          <cell r="I3627">
            <v>41770</v>
          </cell>
          <cell r="J3627">
            <v>0</v>
          </cell>
          <cell r="W3627">
            <v>0</v>
          </cell>
          <cell r="AJ3627">
            <v>0</v>
          </cell>
          <cell r="AO3627">
            <v>400</v>
          </cell>
          <cell r="AW3627">
            <v>400</v>
          </cell>
        </row>
        <row r="3628">
          <cell r="B3628">
            <v>7098</v>
          </cell>
          <cell r="C3628" t="str">
            <v>EZ_139_</v>
          </cell>
          <cell r="D3628" t="str">
            <v>Rancho Estanzuela No. 139</v>
          </cell>
          <cell r="E3628" t="str">
            <v>Ortiz</v>
          </cell>
          <cell r="F3628">
            <v>300</v>
          </cell>
          <cell r="G3628">
            <v>1</v>
          </cell>
          <cell r="H3628">
            <v>400</v>
          </cell>
          <cell r="I3628">
            <v>41770</v>
          </cell>
          <cell r="J3628">
            <v>0</v>
          </cell>
          <cell r="W3628">
            <v>0</v>
          </cell>
          <cell r="AJ3628">
            <v>0</v>
          </cell>
          <cell r="AM3628">
            <v>400</v>
          </cell>
          <cell r="AW3628">
            <v>400</v>
          </cell>
        </row>
        <row r="3629">
          <cell r="B3629">
            <v>7099</v>
          </cell>
          <cell r="C3629" t="str">
            <v>LD_76_</v>
          </cell>
          <cell r="D3629" t="str">
            <v>Rancho Landero No. 76</v>
          </cell>
          <cell r="E3629" t="str">
            <v>Ugarte</v>
          </cell>
          <cell r="F3629">
            <v>300</v>
          </cell>
          <cell r="G3629">
            <v>1</v>
          </cell>
          <cell r="H3629">
            <v>400</v>
          </cell>
          <cell r="I3629">
            <v>41770</v>
          </cell>
          <cell r="J3629">
            <v>0</v>
          </cell>
          <cell r="W3629">
            <v>0</v>
          </cell>
          <cell r="AJ3629">
            <v>0</v>
          </cell>
          <cell r="AO3629">
            <v>400</v>
          </cell>
          <cell r="AW3629">
            <v>400</v>
          </cell>
        </row>
        <row r="3630">
          <cell r="B3630">
            <v>7100</v>
          </cell>
          <cell r="C3630" t="str">
            <v>ZB_24_</v>
          </cell>
          <cell r="D3630" t="str">
            <v>Rancho Zinamba No. 24</v>
          </cell>
          <cell r="E3630" t="str">
            <v>Monroy García</v>
          </cell>
          <cell r="F3630">
            <v>300</v>
          </cell>
          <cell r="G3630">
            <v>1</v>
          </cell>
          <cell r="H3630">
            <v>400</v>
          </cell>
          <cell r="I3630">
            <v>41770</v>
          </cell>
          <cell r="J3630">
            <v>0</v>
          </cell>
          <cell r="W3630">
            <v>0</v>
          </cell>
          <cell r="AJ3630">
            <v>0</v>
          </cell>
          <cell r="AO3630">
            <v>400</v>
          </cell>
          <cell r="AW3630">
            <v>400</v>
          </cell>
        </row>
        <row r="3631">
          <cell r="B3631">
            <v>7101</v>
          </cell>
          <cell r="C3631" t="str">
            <v>EZ_3_</v>
          </cell>
          <cell r="D3631" t="str">
            <v>Rancho Estanzuela No. 3</v>
          </cell>
          <cell r="E3631" t="str">
            <v>Villanueva Nájera</v>
          </cell>
          <cell r="F3631">
            <v>150</v>
          </cell>
          <cell r="G3631">
            <v>1</v>
          </cell>
          <cell r="H3631">
            <v>600</v>
          </cell>
          <cell r="I3631">
            <v>41770</v>
          </cell>
          <cell r="J3631">
            <v>0</v>
          </cell>
          <cell r="W3631">
            <v>0</v>
          </cell>
          <cell r="AJ3631">
            <v>0</v>
          </cell>
          <cell r="AN3631">
            <v>200</v>
          </cell>
          <cell r="AO3631">
            <v>200</v>
          </cell>
          <cell r="AP3631">
            <v>200</v>
          </cell>
          <cell r="AW3631">
            <v>600</v>
          </cell>
        </row>
        <row r="3632">
          <cell r="B3632">
            <v>7102</v>
          </cell>
          <cell r="C3632" t="str">
            <v>LD_24_</v>
          </cell>
          <cell r="D3632" t="str">
            <v>Rancho Landero No. 24</v>
          </cell>
          <cell r="E3632" t="str">
            <v>Vázquez Peralta</v>
          </cell>
          <cell r="F3632">
            <v>300</v>
          </cell>
          <cell r="G3632">
            <v>1</v>
          </cell>
          <cell r="H3632">
            <v>400</v>
          </cell>
          <cell r="I3632">
            <v>41770</v>
          </cell>
          <cell r="J3632">
            <v>0</v>
          </cell>
          <cell r="W3632">
            <v>0</v>
          </cell>
          <cell r="AJ3632">
            <v>0</v>
          </cell>
          <cell r="AN3632">
            <v>400</v>
          </cell>
          <cell r="AW3632">
            <v>400</v>
          </cell>
        </row>
        <row r="3633">
          <cell r="B3633">
            <v>7103</v>
          </cell>
          <cell r="C3633" t="str">
            <v>UP_54_</v>
          </cell>
          <cell r="D3633" t="str">
            <v>Rancho Upácuaro No. 54</v>
          </cell>
          <cell r="E3633" t="str">
            <v>García Rueda</v>
          </cell>
          <cell r="F3633">
            <v>200</v>
          </cell>
          <cell r="G3633">
            <v>1</v>
          </cell>
          <cell r="H3633">
            <v>400</v>
          </cell>
          <cell r="I3633">
            <v>41770</v>
          </cell>
          <cell r="J3633">
            <v>0</v>
          </cell>
          <cell r="W3633">
            <v>0</v>
          </cell>
          <cell r="AJ3633">
            <v>0</v>
          </cell>
          <cell r="AO3633">
            <v>200</v>
          </cell>
          <cell r="AP3633">
            <v>200</v>
          </cell>
          <cell r="AW3633">
            <v>400</v>
          </cell>
        </row>
        <row r="3634">
          <cell r="B3634">
            <v>7104</v>
          </cell>
          <cell r="C3634" t="str">
            <v>EZ_89_</v>
          </cell>
          <cell r="D3634" t="str">
            <v>Rancho Estanzuela No. 89</v>
          </cell>
          <cell r="E3634" t="str">
            <v>Romero Ortiz</v>
          </cell>
          <cell r="F3634">
            <v>300</v>
          </cell>
          <cell r="G3634">
            <v>1</v>
          </cell>
          <cell r="H3634">
            <v>400</v>
          </cell>
          <cell r="I3634">
            <v>41770</v>
          </cell>
          <cell r="J3634">
            <v>0</v>
          </cell>
          <cell r="W3634">
            <v>0</v>
          </cell>
          <cell r="AJ3634">
            <v>0</v>
          </cell>
          <cell r="AO3634">
            <v>400</v>
          </cell>
          <cell r="AW3634">
            <v>400</v>
          </cell>
        </row>
        <row r="3635">
          <cell r="B3635">
            <v>7105</v>
          </cell>
          <cell r="C3635" t="str">
            <v>UP_60_</v>
          </cell>
          <cell r="D3635" t="str">
            <v>Rancho Upácuaro No. 60</v>
          </cell>
          <cell r="E3635" t="str">
            <v>Zavala</v>
          </cell>
          <cell r="F3635">
            <v>300</v>
          </cell>
          <cell r="G3635">
            <v>1</v>
          </cell>
          <cell r="H3635">
            <v>400</v>
          </cell>
          <cell r="I3635">
            <v>41770</v>
          </cell>
          <cell r="J3635">
            <v>0</v>
          </cell>
          <cell r="W3635">
            <v>0</v>
          </cell>
          <cell r="AJ3635">
            <v>0</v>
          </cell>
          <cell r="AN3635">
            <v>400</v>
          </cell>
          <cell r="AW3635">
            <v>400</v>
          </cell>
        </row>
        <row r="3636">
          <cell r="B3636">
            <v>7106</v>
          </cell>
          <cell r="C3636" t="str">
            <v>LD_91_</v>
          </cell>
          <cell r="D3636" t="str">
            <v>Rancho Landero No. 91</v>
          </cell>
          <cell r="E3636" t="str">
            <v>Llaca</v>
          </cell>
          <cell r="F3636">
            <v>300</v>
          </cell>
          <cell r="G3636">
            <v>1</v>
          </cell>
          <cell r="H3636">
            <v>400</v>
          </cell>
          <cell r="I3636">
            <v>41770</v>
          </cell>
          <cell r="J3636">
            <v>0</v>
          </cell>
          <cell r="W3636">
            <v>0</v>
          </cell>
          <cell r="AJ3636">
            <v>0</v>
          </cell>
          <cell r="AO3636">
            <v>400</v>
          </cell>
          <cell r="AW3636">
            <v>400</v>
          </cell>
        </row>
        <row r="3637">
          <cell r="B3637">
            <v>7107</v>
          </cell>
          <cell r="C3637" t="str">
            <v>LD_73_</v>
          </cell>
          <cell r="D3637" t="str">
            <v>Rancho Landero No. 73</v>
          </cell>
          <cell r="E3637" t="str">
            <v>Islas Palacios</v>
          </cell>
          <cell r="F3637">
            <v>300</v>
          </cell>
          <cell r="G3637">
            <v>1</v>
          </cell>
          <cell r="H3637">
            <v>400</v>
          </cell>
          <cell r="I3637">
            <v>41770</v>
          </cell>
          <cell r="J3637">
            <v>0</v>
          </cell>
          <cell r="W3637">
            <v>0</v>
          </cell>
          <cell r="AJ3637">
            <v>0</v>
          </cell>
          <cell r="AN3637">
            <v>400</v>
          </cell>
          <cell r="AW3637">
            <v>400</v>
          </cell>
        </row>
        <row r="3638">
          <cell r="B3638">
            <v>7108</v>
          </cell>
          <cell r="C3638" t="str">
            <v>UP_37_</v>
          </cell>
          <cell r="D3638" t="str">
            <v>Rancho Upácuaro No. 37</v>
          </cell>
          <cell r="E3638" t="str">
            <v>García Valdés</v>
          </cell>
          <cell r="F3638">
            <v>300</v>
          </cell>
          <cell r="G3638">
            <v>1</v>
          </cell>
          <cell r="H3638">
            <v>400</v>
          </cell>
          <cell r="I3638">
            <v>41770</v>
          </cell>
          <cell r="J3638">
            <v>0</v>
          </cell>
          <cell r="W3638">
            <v>0</v>
          </cell>
          <cell r="AJ3638">
            <v>0</v>
          </cell>
          <cell r="AO3638">
            <v>400</v>
          </cell>
          <cell r="AW3638">
            <v>400</v>
          </cell>
        </row>
        <row r="3639">
          <cell r="B3639">
            <v>7109</v>
          </cell>
          <cell r="C3639" t="str">
            <v>UP_73_A</v>
          </cell>
          <cell r="D3639" t="str">
            <v>Rancho Upácuaro No. 73, A</v>
          </cell>
          <cell r="E3639" t="str">
            <v>Ortega</v>
          </cell>
          <cell r="F3639">
            <v>150</v>
          </cell>
          <cell r="G3639">
            <v>1</v>
          </cell>
          <cell r="H3639">
            <v>200</v>
          </cell>
          <cell r="I3639">
            <v>41770</v>
          </cell>
          <cell r="J3639">
            <v>0</v>
          </cell>
          <cell r="W3639">
            <v>0</v>
          </cell>
          <cell r="AJ3639">
            <v>0</v>
          </cell>
          <cell r="AO3639">
            <v>200</v>
          </cell>
          <cell r="AW3639">
            <v>200</v>
          </cell>
        </row>
        <row r="3640">
          <cell r="B3640">
            <v>7110</v>
          </cell>
          <cell r="C3640" t="str">
            <v>UP_33_</v>
          </cell>
          <cell r="D3640" t="str">
            <v>Rancho Upácuaro No. 33</v>
          </cell>
          <cell r="E3640" t="str">
            <v>Ulloa Miranda</v>
          </cell>
          <cell r="F3640">
            <v>300</v>
          </cell>
          <cell r="G3640">
            <v>1</v>
          </cell>
          <cell r="H3640">
            <v>400</v>
          </cell>
          <cell r="I3640">
            <v>41770</v>
          </cell>
          <cell r="J3640">
            <v>0</v>
          </cell>
          <cell r="W3640">
            <v>0</v>
          </cell>
          <cell r="AJ3640">
            <v>0</v>
          </cell>
          <cell r="AO3640">
            <v>400</v>
          </cell>
          <cell r="AW3640">
            <v>400</v>
          </cell>
        </row>
        <row r="3641">
          <cell r="B3641">
            <v>7111</v>
          </cell>
          <cell r="C3641" t="str">
            <v>RV_175_A</v>
          </cell>
          <cell r="D3641" t="str">
            <v>Rancho Recoveco No. 175, A</v>
          </cell>
          <cell r="E3641" t="str">
            <v>Pérez</v>
          </cell>
          <cell r="F3641">
            <v>300</v>
          </cell>
          <cell r="G3641">
            <v>1</v>
          </cell>
          <cell r="H3641">
            <v>800</v>
          </cell>
          <cell r="I3641">
            <v>41770</v>
          </cell>
          <cell r="J3641">
            <v>0</v>
          </cell>
          <cell r="W3641">
            <v>0</v>
          </cell>
          <cell r="AJ3641">
            <v>0</v>
          </cell>
          <cell r="AN3641">
            <v>400</v>
          </cell>
          <cell r="AO3641">
            <v>400</v>
          </cell>
          <cell r="AW3641">
            <v>800</v>
          </cell>
        </row>
        <row r="3642">
          <cell r="B3642">
            <v>7112</v>
          </cell>
          <cell r="C3642" t="str">
            <v>EZ_19_</v>
          </cell>
          <cell r="D3642" t="str">
            <v>Rancho Estanzuela No. 19</v>
          </cell>
          <cell r="E3642" t="str">
            <v>Robles</v>
          </cell>
          <cell r="F3642">
            <v>300</v>
          </cell>
          <cell r="G3642">
            <v>1</v>
          </cell>
          <cell r="H3642">
            <v>400</v>
          </cell>
          <cell r="I3642">
            <v>41770</v>
          </cell>
          <cell r="J3642">
            <v>0</v>
          </cell>
          <cell r="W3642">
            <v>0</v>
          </cell>
          <cell r="AJ3642">
            <v>0</v>
          </cell>
          <cell r="AO3642">
            <v>400</v>
          </cell>
          <cell r="AW3642">
            <v>400</v>
          </cell>
        </row>
        <row r="3643">
          <cell r="B3643">
            <v>7113</v>
          </cell>
          <cell r="C3643" t="str">
            <v>CL_35_</v>
          </cell>
          <cell r="D3643" t="str">
            <v>Rancho La Cuchilla No. 35</v>
          </cell>
          <cell r="E3643" t="str">
            <v>Mendoza</v>
          </cell>
          <cell r="F3643">
            <v>150</v>
          </cell>
          <cell r="G3643">
            <v>1</v>
          </cell>
          <cell r="H3643">
            <v>150</v>
          </cell>
          <cell r="I3643">
            <v>41770</v>
          </cell>
          <cell r="J3643">
            <v>0</v>
          </cell>
          <cell r="W3643">
            <v>0</v>
          </cell>
          <cell r="AJ3643">
            <v>0</v>
          </cell>
          <cell r="AN3643">
            <v>150</v>
          </cell>
          <cell r="AW3643">
            <v>150</v>
          </cell>
        </row>
        <row r="3644">
          <cell r="B3644">
            <v>7114</v>
          </cell>
          <cell r="C3644" t="str">
            <v>LD_68_</v>
          </cell>
          <cell r="D3644" t="str">
            <v>Rancho Landero No. 68</v>
          </cell>
          <cell r="E3644" t="str">
            <v>Moreno</v>
          </cell>
          <cell r="F3644">
            <v>300</v>
          </cell>
          <cell r="G3644">
            <v>1</v>
          </cell>
          <cell r="H3644">
            <v>800</v>
          </cell>
          <cell r="I3644">
            <v>41770</v>
          </cell>
          <cell r="J3644">
            <v>0</v>
          </cell>
          <cell r="W3644">
            <v>0</v>
          </cell>
          <cell r="AJ3644">
            <v>0</v>
          </cell>
          <cell r="AM3644">
            <v>400</v>
          </cell>
          <cell r="AN3644">
            <v>400</v>
          </cell>
          <cell r="AW3644">
            <v>800</v>
          </cell>
        </row>
        <row r="3645">
          <cell r="B3645">
            <v>7115</v>
          </cell>
          <cell r="C3645" t="str">
            <v>CL_110_</v>
          </cell>
          <cell r="D3645" t="str">
            <v>Rancho La Cuchilla No. 110</v>
          </cell>
          <cell r="E3645" t="str">
            <v>Domínguez Canudas</v>
          </cell>
          <cell r="F3645">
            <v>300</v>
          </cell>
          <cell r="G3645">
            <v>1</v>
          </cell>
          <cell r="H3645">
            <v>400</v>
          </cell>
          <cell r="I3645">
            <v>41770</v>
          </cell>
          <cell r="J3645">
            <v>0</v>
          </cell>
          <cell r="W3645">
            <v>0</v>
          </cell>
          <cell r="AJ3645">
            <v>0</v>
          </cell>
          <cell r="AN3645">
            <v>400</v>
          </cell>
          <cell r="AW3645">
            <v>400</v>
          </cell>
        </row>
        <row r="3646">
          <cell r="B3646">
            <v>7116</v>
          </cell>
          <cell r="C3646" t="str">
            <v>LD_31_</v>
          </cell>
          <cell r="D3646" t="str">
            <v>Rancho Landero No. 31</v>
          </cell>
          <cell r="E3646" t="str">
            <v>Díaz Hernández</v>
          </cell>
          <cell r="F3646">
            <v>200</v>
          </cell>
          <cell r="G3646">
            <v>1</v>
          </cell>
          <cell r="H3646">
            <v>200</v>
          </cell>
          <cell r="I3646">
            <v>41770</v>
          </cell>
          <cell r="J3646">
            <v>0</v>
          </cell>
          <cell r="W3646">
            <v>0</v>
          </cell>
          <cell r="AJ3646">
            <v>0</v>
          </cell>
          <cell r="AK3646">
            <v>200</v>
          </cell>
          <cell r="AW3646">
            <v>200</v>
          </cell>
        </row>
        <row r="3647">
          <cell r="B3647">
            <v>7117</v>
          </cell>
          <cell r="C3647" t="str">
            <v>CL_110_</v>
          </cell>
          <cell r="D3647" t="str">
            <v>Rancho La Cuchilla No. 110</v>
          </cell>
          <cell r="E3647" t="str">
            <v>Domínguez Canudas</v>
          </cell>
          <cell r="F3647">
            <v>300</v>
          </cell>
          <cell r="G3647">
            <v>4</v>
          </cell>
          <cell r="H3647">
            <v>160</v>
          </cell>
          <cell r="I3647">
            <v>41770</v>
          </cell>
          <cell r="J3647" t="str">
            <v>NO SUMA</v>
          </cell>
          <cell r="W3647">
            <v>0</v>
          </cell>
          <cell r="AJ3647">
            <v>0</v>
          </cell>
          <cell r="AW3647">
            <v>0</v>
          </cell>
        </row>
        <row r="3648">
          <cell r="B3648">
            <v>7118</v>
          </cell>
          <cell r="C3648" t="str">
            <v>LD_89_</v>
          </cell>
          <cell r="D3648" t="str">
            <v>Rancho Landero No. 89</v>
          </cell>
          <cell r="E3648" t="str">
            <v>Del Pozo Solís</v>
          </cell>
          <cell r="F3648">
            <v>300</v>
          </cell>
          <cell r="G3648">
            <v>1</v>
          </cell>
          <cell r="H3648">
            <v>300</v>
          </cell>
          <cell r="I3648">
            <v>41770</v>
          </cell>
          <cell r="J3648">
            <v>0</v>
          </cell>
          <cell r="W3648">
            <v>0</v>
          </cell>
          <cell r="AJ3648">
            <v>0</v>
          </cell>
          <cell r="AO3648">
            <v>300</v>
          </cell>
          <cell r="AW3648">
            <v>300</v>
          </cell>
        </row>
        <row r="3649">
          <cell r="B3649">
            <v>7119</v>
          </cell>
          <cell r="C3649" t="str">
            <v>CL_94_</v>
          </cell>
          <cell r="D3649" t="str">
            <v>Rancho La Cuchilla No. 94</v>
          </cell>
          <cell r="E3649" t="str">
            <v>Sánchez Márquez</v>
          </cell>
          <cell r="F3649">
            <v>300</v>
          </cell>
          <cell r="G3649">
            <v>1</v>
          </cell>
          <cell r="H3649">
            <v>400</v>
          </cell>
          <cell r="I3649">
            <v>41770</v>
          </cell>
          <cell r="J3649">
            <v>0</v>
          </cell>
          <cell r="W3649">
            <v>0</v>
          </cell>
          <cell r="AJ3649">
            <v>0</v>
          </cell>
          <cell r="AO3649">
            <v>400</v>
          </cell>
          <cell r="AW3649">
            <v>400</v>
          </cell>
        </row>
        <row r="3650">
          <cell r="B3650">
            <v>7120</v>
          </cell>
          <cell r="C3650" t="str">
            <v>CL_112_PB</v>
          </cell>
          <cell r="D3650" t="str">
            <v>Rancho La Cuchilla No. 112, PB</v>
          </cell>
          <cell r="E3650" t="str">
            <v>Soreque</v>
          </cell>
          <cell r="F3650">
            <v>150</v>
          </cell>
          <cell r="G3650">
            <v>1</v>
          </cell>
          <cell r="H3650">
            <v>200</v>
          </cell>
          <cell r="I3650">
            <v>41770</v>
          </cell>
          <cell r="J3650">
            <v>0</v>
          </cell>
          <cell r="W3650">
            <v>0</v>
          </cell>
          <cell r="AJ3650">
            <v>0</v>
          </cell>
          <cell r="AO3650">
            <v>200</v>
          </cell>
          <cell r="AW3650">
            <v>200</v>
          </cell>
        </row>
        <row r="3651">
          <cell r="B3651">
            <v>7121</v>
          </cell>
          <cell r="C3651" t="str">
            <v>EZ_115_</v>
          </cell>
          <cell r="D3651" t="str">
            <v>Rancho Estanzuela No. 115</v>
          </cell>
          <cell r="E3651" t="str">
            <v>Frías Solórzano</v>
          </cell>
          <cell r="F3651">
            <v>200</v>
          </cell>
          <cell r="G3651">
            <v>1</v>
          </cell>
          <cell r="H3651">
            <v>750</v>
          </cell>
          <cell r="I3651">
            <v>41770</v>
          </cell>
          <cell r="J3651">
            <v>0</v>
          </cell>
          <cell r="W3651">
            <v>0</v>
          </cell>
          <cell r="AJ3651">
            <v>0</v>
          </cell>
          <cell r="AN3651">
            <v>250</v>
          </cell>
          <cell r="AO3651">
            <v>250</v>
          </cell>
          <cell r="AP3651">
            <v>250</v>
          </cell>
          <cell r="AW3651">
            <v>750</v>
          </cell>
        </row>
        <row r="3652">
          <cell r="B3652">
            <v>7122</v>
          </cell>
          <cell r="C3652" t="str">
            <v>LD_7_</v>
          </cell>
          <cell r="D3652" t="str">
            <v>Rancho Landero No. 7</v>
          </cell>
          <cell r="E3652" t="str">
            <v>Robles</v>
          </cell>
          <cell r="F3652">
            <v>150</v>
          </cell>
          <cell r="G3652">
            <v>1</v>
          </cell>
          <cell r="H3652">
            <v>150</v>
          </cell>
          <cell r="I3652">
            <v>41770</v>
          </cell>
          <cell r="J3652">
            <v>0</v>
          </cell>
          <cell r="W3652">
            <v>0</v>
          </cell>
          <cell r="AJ3652">
            <v>0</v>
          </cell>
          <cell r="AO3652">
            <v>150</v>
          </cell>
          <cell r="AW3652">
            <v>150</v>
          </cell>
        </row>
        <row r="3653">
          <cell r="B3653">
            <v>7123</v>
          </cell>
          <cell r="C3653" t="str">
            <v>LD_58_</v>
          </cell>
          <cell r="D3653" t="str">
            <v>Rancho Landero No. 58</v>
          </cell>
          <cell r="E3653" t="str">
            <v>Valero</v>
          </cell>
          <cell r="F3653">
            <v>300</v>
          </cell>
          <cell r="G3653">
            <v>1</v>
          </cell>
          <cell r="H3653">
            <v>400</v>
          </cell>
          <cell r="I3653">
            <v>41770</v>
          </cell>
          <cell r="J3653">
            <v>0</v>
          </cell>
          <cell r="W3653">
            <v>0</v>
          </cell>
          <cell r="AJ3653">
            <v>0</v>
          </cell>
          <cell r="AO3653">
            <v>400</v>
          </cell>
          <cell r="AW3653">
            <v>400</v>
          </cell>
        </row>
        <row r="3654">
          <cell r="B3654">
            <v>7124</v>
          </cell>
          <cell r="C3654" t="str">
            <v>CL_92_</v>
          </cell>
          <cell r="D3654" t="str">
            <v>Rancho La Cuchilla No. 92</v>
          </cell>
          <cell r="E3654" t="str">
            <v>Cabrera</v>
          </cell>
          <cell r="F3654">
            <v>300</v>
          </cell>
          <cell r="G3654">
            <v>1</v>
          </cell>
          <cell r="H3654">
            <v>800</v>
          </cell>
          <cell r="I3654">
            <v>41770</v>
          </cell>
          <cell r="J3654">
            <v>0</v>
          </cell>
          <cell r="W3654">
            <v>0</v>
          </cell>
          <cell r="AJ3654">
            <v>0</v>
          </cell>
          <cell r="AN3654">
            <v>400</v>
          </cell>
          <cell r="AO3654">
            <v>400</v>
          </cell>
          <cell r="AW3654">
            <v>800</v>
          </cell>
        </row>
        <row r="3655">
          <cell r="B3655">
            <v>7125</v>
          </cell>
          <cell r="C3655" t="str">
            <v>HS_828_</v>
          </cell>
          <cell r="D3655" t="str">
            <v>Calzada del Hueso No. 828</v>
          </cell>
          <cell r="E3655" t="str">
            <v>Cervantes, Miguel</v>
          </cell>
          <cell r="F3655">
            <v>300</v>
          </cell>
          <cell r="G3655">
            <v>1</v>
          </cell>
          <cell r="H3655">
            <v>400</v>
          </cell>
          <cell r="I3655">
            <v>41772</v>
          </cell>
          <cell r="J3655">
            <v>0</v>
          </cell>
          <cell r="W3655">
            <v>0</v>
          </cell>
          <cell r="AJ3655">
            <v>0</v>
          </cell>
          <cell r="AL3655">
            <v>400</v>
          </cell>
          <cell r="AW3655">
            <v>400</v>
          </cell>
        </row>
        <row r="3656">
          <cell r="B3656">
            <v>7126</v>
          </cell>
          <cell r="C3656" t="str">
            <v>LD_1_A</v>
          </cell>
          <cell r="D3656" t="str">
            <v>Rancho Landero No. 1, A</v>
          </cell>
          <cell r="E3656" t="str">
            <v>Ebysos</v>
          </cell>
          <cell r="F3656">
            <v>300</v>
          </cell>
          <cell r="G3656">
            <v>1</v>
          </cell>
          <cell r="H3656">
            <v>400</v>
          </cell>
          <cell r="I3656">
            <v>41773</v>
          </cell>
          <cell r="J3656">
            <v>0</v>
          </cell>
          <cell r="W3656">
            <v>0</v>
          </cell>
          <cell r="AJ3656">
            <v>0</v>
          </cell>
          <cell r="AO3656">
            <v>400</v>
          </cell>
          <cell r="AW3656">
            <v>400</v>
          </cell>
        </row>
        <row r="3657">
          <cell r="B3657">
            <v>7127</v>
          </cell>
          <cell r="C3657" t="str">
            <v>RV_3_</v>
          </cell>
          <cell r="D3657" t="str">
            <v>Rancho Recoveco No. 3</v>
          </cell>
          <cell r="E3657" t="str">
            <v>Garduño</v>
          </cell>
          <cell r="F3657">
            <v>300</v>
          </cell>
          <cell r="G3657">
            <v>1</v>
          </cell>
          <cell r="H3657">
            <v>300</v>
          </cell>
          <cell r="I3657">
            <v>41775</v>
          </cell>
          <cell r="J3657">
            <v>0</v>
          </cell>
          <cell r="W3657">
            <v>0</v>
          </cell>
          <cell r="AJ3657">
            <v>0</v>
          </cell>
          <cell r="AO3657">
            <v>300</v>
          </cell>
          <cell r="AW3657">
            <v>300</v>
          </cell>
        </row>
        <row r="3658">
          <cell r="B3658">
            <v>7128</v>
          </cell>
          <cell r="C3658" t="str">
            <v>CL_90_</v>
          </cell>
          <cell r="D3658" t="str">
            <v>Rancho La Cuchilla No. 90</v>
          </cell>
          <cell r="E3658" t="str">
            <v>Porras Fuentes</v>
          </cell>
          <cell r="F3658">
            <v>150</v>
          </cell>
          <cell r="G3658">
            <v>1</v>
          </cell>
          <cell r="H3658">
            <v>600</v>
          </cell>
          <cell r="I3658">
            <v>41775</v>
          </cell>
          <cell r="J3658">
            <v>0</v>
          </cell>
          <cell r="W3658">
            <v>0</v>
          </cell>
          <cell r="AJ3658">
            <v>0</v>
          </cell>
          <cell r="AM3658">
            <v>200</v>
          </cell>
          <cell r="AN3658">
            <v>200</v>
          </cell>
          <cell r="AO3658">
            <v>200</v>
          </cell>
          <cell r="AW3658">
            <v>600</v>
          </cell>
        </row>
        <row r="3659">
          <cell r="B3659">
            <v>7129</v>
          </cell>
          <cell r="C3659" t="str">
            <v>CL_77_</v>
          </cell>
          <cell r="D3659" t="str">
            <v>Rancho La Cuchilla No. 77</v>
          </cell>
          <cell r="E3659" t="str">
            <v>Loperena</v>
          </cell>
          <cell r="F3659">
            <v>300</v>
          </cell>
          <cell r="G3659">
            <v>4</v>
          </cell>
          <cell r="H3659">
            <v>160</v>
          </cell>
          <cell r="I3659">
            <v>41775</v>
          </cell>
          <cell r="J3659" t="str">
            <v>NO SUMA</v>
          </cell>
          <cell r="W3659">
            <v>0</v>
          </cell>
          <cell r="AJ3659">
            <v>0</v>
          </cell>
          <cell r="AW3659">
            <v>0</v>
          </cell>
        </row>
        <row r="3660">
          <cell r="B3660">
            <v>7130</v>
          </cell>
          <cell r="C3660" t="str">
            <v>UP_108_</v>
          </cell>
          <cell r="D3660" t="str">
            <v>Rancho Upácuaro No. 108</v>
          </cell>
          <cell r="E3660" t="str">
            <v>Mejía</v>
          </cell>
          <cell r="F3660">
            <v>300</v>
          </cell>
          <cell r="G3660">
            <v>1</v>
          </cell>
          <cell r="H3660">
            <v>300</v>
          </cell>
          <cell r="I3660">
            <v>41775</v>
          </cell>
          <cell r="J3660">
            <v>0</v>
          </cell>
          <cell r="W3660">
            <v>0</v>
          </cell>
          <cell r="AJ3660">
            <v>0</v>
          </cell>
          <cell r="AO3660">
            <v>300</v>
          </cell>
          <cell r="AW3660">
            <v>300</v>
          </cell>
        </row>
        <row r="3661">
          <cell r="B3661">
            <v>7131</v>
          </cell>
          <cell r="C3661" t="str">
            <v>UP_108_</v>
          </cell>
          <cell r="D3661" t="str">
            <v>Rancho Upácuaro No. 108</v>
          </cell>
          <cell r="E3661" t="str">
            <v>Mejía</v>
          </cell>
          <cell r="F3661">
            <v>300</v>
          </cell>
          <cell r="G3661">
            <v>4</v>
          </cell>
          <cell r="H3661">
            <v>160</v>
          </cell>
          <cell r="I3661">
            <v>41775</v>
          </cell>
          <cell r="J3661" t="str">
            <v>NO SUMA</v>
          </cell>
          <cell r="W3661">
            <v>0</v>
          </cell>
          <cell r="AJ3661">
            <v>0</v>
          </cell>
          <cell r="AW3661">
            <v>0</v>
          </cell>
        </row>
        <row r="3662">
          <cell r="B3662">
            <v>7132</v>
          </cell>
          <cell r="C3662" t="str">
            <v>LD_87_</v>
          </cell>
          <cell r="D3662" t="str">
            <v>Rancho Landero No. 87</v>
          </cell>
          <cell r="E3662" t="str">
            <v>Fey Lafferla</v>
          </cell>
          <cell r="F3662">
            <v>300</v>
          </cell>
          <cell r="G3662">
            <v>1</v>
          </cell>
          <cell r="H3662">
            <v>600</v>
          </cell>
          <cell r="I3662">
            <v>41776</v>
          </cell>
          <cell r="J3662">
            <v>0</v>
          </cell>
          <cell r="W3662">
            <v>0</v>
          </cell>
          <cell r="AJ3662">
            <v>0</v>
          </cell>
          <cell r="AO3662">
            <v>300</v>
          </cell>
          <cell r="AP3662">
            <v>300</v>
          </cell>
          <cell r="AW3662">
            <v>600</v>
          </cell>
        </row>
        <row r="3663">
          <cell r="B3663">
            <v>7132</v>
          </cell>
          <cell r="C3663" t="str">
            <v>LD_87_</v>
          </cell>
          <cell r="D3663" t="str">
            <v>Rancho Landero No. 87</v>
          </cell>
          <cell r="E3663" t="str">
            <v>Fey Lafferla</v>
          </cell>
          <cell r="F3663">
            <v>300</v>
          </cell>
          <cell r="G3663">
            <v>3</v>
          </cell>
          <cell r="H3663">
            <v>640</v>
          </cell>
          <cell r="I3663">
            <v>41776</v>
          </cell>
          <cell r="J3663" t="str">
            <v>NO SUMA</v>
          </cell>
          <cell r="W3663">
            <v>0</v>
          </cell>
          <cell r="AJ3663">
            <v>0</v>
          </cell>
          <cell r="AW3663">
            <v>0</v>
          </cell>
        </row>
        <row r="3664">
          <cell r="B3664">
            <v>7133</v>
          </cell>
          <cell r="C3664" t="str">
            <v>LD_84_</v>
          </cell>
          <cell r="D3664" t="str">
            <v>Rancho Landero No. 84</v>
          </cell>
          <cell r="E3664" t="str">
            <v>Alcántara</v>
          </cell>
          <cell r="F3664">
            <v>300</v>
          </cell>
          <cell r="G3664">
            <v>1</v>
          </cell>
          <cell r="H3664">
            <v>400</v>
          </cell>
          <cell r="I3664">
            <v>41777</v>
          </cell>
          <cell r="J3664">
            <v>0</v>
          </cell>
          <cell r="W3664">
            <v>0</v>
          </cell>
          <cell r="AJ3664">
            <v>0</v>
          </cell>
          <cell r="AO3664">
            <v>400</v>
          </cell>
          <cell r="AW3664">
            <v>400</v>
          </cell>
        </row>
        <row r="3665">
          <cell r="B3665">
            <v>7134</v>
          </cell>
          <cell r="C3665" t="str">
            <v>EZ_7_A</v>
          </cell>
          <cell r="D3665" t="str">
            <v>Rancho Estanzuela No. 7, A</v>
          </cell>
          <cell r="E3665" t="str">
            <v>Herrera Izquierdo</v>
          </cell>
          <cell r="F3665">
            <v>150</v>
          </cell>
          <cell r="G3665">
            <v>1</v>
          </cell>
          <cell r="H3665">
            <v>200</v>
          </cell>
          <cell r="I3665">
            <v>41777</v>
          </cell>
          <cell r="J3665">
            <v>0</v>
          </cell>
          <cell r="W3665">
            <v>0</v>
          </cell>
          <cell r="AJ3665">
            <v>0</v>
          </cell>
          <cell r="AO3665">
            <v>200</v>
          </cell>
          <cell r="AW3665">
            <v>200</v>
          </cell>
        </row>
        <row r="3666">
          <cell r="B3666">
            <v>7135</v>
          </cell>
          <cell r="C3666" t="str">
            <v>CL_131_</v>
          </cell>
          <cell r="D3666" t="str">
            <v>Rancho La Cuchilla No. 131</v>
          </cell>
          <cell r="E3666" t="str">
            <v>Cabrera Marquez</v>
          </cell>
          <cell r="F3666">
            <v>300</v>
          </cell>
          <cell r="G3666">
            <v>1</v>
          </cell>
          <cell r="H3666">
            <v>800</v>
          </cell>
          <cell r="I3666">
            <v>41777</v>
          </cell>
          <cell r="J3666">
            <v>0</v>
          </cell>
          <cell r="W3666">
            <v>0</v>
          </cell>
          <cell r="AJ3666">
            <v>0</v>
          </cell>
          <cell r="AN3666">
            <v>400</v>
          </cell>
          <cell r="AO3666">
            <v>400</v>
          </cell>
          <cell r="AW3666">
            <v>800</v>
          </cell>
        </row>
        <row r="3667">
          <cell r="B3667">
            <v>7136</v>
          </cell>
          <cell r="C3667" t="str">
            <v>UP_146_</v>
          </cell>
          <cell r="D3667" t="str">
            <v>Rancho Upácuaro No. 146</v>
          </cell>
          <cell r="E3667" t="str">
            <v>Islas</v>
          </cell>
          <cell r="F3667">
            <v>300</v>
          </cell>
          <cell r="G3667">
            <v>1</v>
          </cell>
          <cell r="H3667">
            <v>800</v>
          </cell>
          <cell r="I3667">
            <v>41777</v>
          </cell>
          <cell r="J3667">
            <v>0</v>
          </cell>
          <cell r="W3667">
            <v>0</v>
          </cell>
          <cell r="AJ3667">
            <v>0</v>
          </cell>
          <cell r="AN3667">
            <v>400</v>
          </cell>
          <cell r="AO3667">
            <v>400</v>
          </cell>
          <cell r="AW3667">
            <v>800</v>
          </cell>
        </row>
        <row r="3668">
          <cell r="B3668">
            <v>7137</v>
          </cell>
          <cell r="C3668" t="str">
            <v>LD_18_</v>
          </cell>
          <cell r="D3668" t="str">
            <v>Rancho Landero No. 18</v>
          </cell>
          <cell r="E3668" t="str">
            <v>Rosado</v>
          </cell>
          <cell r="F3668">
            <v>250</v>
          </cell>
          <cell r="G3668">
            <v>1</v>
          </cell>
          <cell r="H3668">
            <v>300</v>
          </cell>
          <cell r="I3668">
            <v>41777</v>
          </cell>
          <cell r="J3668">
            <v>0</v>
          </cell>
          <cell r="W3668">
            <v>0</v>
          </cell>
          <cell r="AJ3668">
            <v>0</v>
          </cell>
          <cell r="AO3668">
            <v>300</v>
          </cell>
          <cell r="AW3668">
            <v>300</v>
          </cell>
        </row>
        <row r="3669">
          <cell r="B3669">
            <v>7138</v>
          </cell>
          <cell r="C3669" t="str">
            <v>RV_175_B</v>
          </cell>
          <cell r="D3669" t="str">
            <v>Rancho Recoveco No. 175, B</v>
          </cell>
          <cell r="E3669" t="str">
            <v>García Calderón</v>
          </cell>
          <cell r="F3669">
            <v>150</v>
          </cell>
          <cell r="G3669">
            <v>1</v>
          </cell>
          <cell r="H3669">
            <v>200</v>
          </cell>
          <cell r="I3669">
            <v>41777</v>
          </cell>
          <cell r="J3669">
            <v>0</v>
          </cell>
          <cell r="W3669">
            <v>0</v>
          </cell>
          <cell r="AJ3669">
            <v>0</v>
          </cell>
          <cell r="AO3669">
            <v>200</v>
          </cell>
          <cell r="AW3669">
            <v>200</v>
          </cell>
        </row>
        <row r="3670">
          <cell r="B3670">
            <v>7139</v>
          </cell>
          <cell r="C3670" t="str">
            <v>LD_47_</v>
          </cell>
          <cell r="D3670" t="str">
            <v>Rancho Landero No. 47</v>
          </cell>
          <cell r="E3670" t="str">
            <v>García González</v>
          </cell>
          <cell r="F3670">
            <v>300</v>
          </cell>
          <cell r="G3670">
            <v>3</v>
          </cell>
          <cell r="H3670">
            <v>160</v>
          </cell>
          <cell r="I3670">
            <v>41777</v>
          </cell>
          <cell r="J3670" t="str">
            <v>NO SUMA</v>
          </cell>
          <cell r="W3670">
            <v>0</v>
          </cell>
          <cell r="AJ3670">
            <v>0</v>
          </cell>
          <cell r="AW3670">
            <v>0</v>
          </cell>
        </row>
        <row r="3671">
          <cell r="B3671">
            <v>7140</v>
          </cell>
          <cell r="C3671" t="str">
            <v>UP_21_</v>
          </cell>
          <cell r="D3671" t="str">
            <v>Rancho Upácuaro No. 21</v>
          </cell>
          <cell r="E3671" t="str">
            <v>Fierro Betancourt</v>
          </cell>
          <cell r="F3671">
            <v>150</v>
          </cell>
          <cell r="G3671">
            <v>1</v>
          </cell>
          <cell r="H3671">
            <v>200</v>
          </cell>
          <cell r="I3671">
            <v>41777</v>
          </cell>
          <cell r="J3671">
            <v>0</v>
          </cell>
          <cell r="W3671">
            <v>0</v>
          </cell>
          <cell r="AJ3671">
            <v>0</v>
          </cell>
          <cell r="AO3671">
            <v>200</v>
          </cell>
          <cell r="AW3671">
            <v>200</v>
          </cell>
        </row>
        <row r="3672">
          <cell r="B3672">
            <v>7141</v>
          </cell>
          <cell r="C3672" t="str">
            <v>CL_12_</v>
          </cell>
          <cell r="D3672" t="str">
            <v>Rancho La Cuchilla No. 12</v>
          </cell>
          <cell r="E3672" t="str">
            <v>Rivera Flores</v>
          </cell>
          <cell r="F3672">
            <v>300</v>
          </cell>
          <cell r="G3672">
            <v>1</v>
          </cell>
          <cell r="H3672">
            <v>600</v>
          </cell>
          <cell r="I3672">
            <v>41777</v>
          </cell>
          <cell r="J3672">
            <v>0</v>
          </cell>
          <cell r="W3672">
            <v>0</v>
          </cell>
          <cell r="AJ3672">
            <v>0</v>
          </cell>
          <cell r="AN3672">
            <v>300</v>
          </cell>
          <cell r="AO3672">
            <v>300</v>
          </cell>
          <cell r="AW3672">
            <v>600</v>
          </cell>
        </row>
        <row r="3673">
          <cell r="B3673">
            <v>7142</v>
          </cell>
          <cell r="C3673" t="str">
            <v>EZ_161_1</v>
          </cell>
          <cell r="D3673" t="str">
            <v>Rancho Estanzuela No. 161, 1</v>
          </cell>
          <cell r="E3673" t="str">
            <v>Guevara</v>
          </cell>
          <cell r="F3673">
            <v>150</v>
          </cell>
          <cell r="G3673">
            <v>1</v>
          </cell>
          <cell r="H3673">
            <v>200</v>
          </cell>
          <cell r="I3673">
            <v>41777</v>
          </cell>
          <cell r="J3673">
            <v>0</v>
          </cell>
          <cell r="W3673">
            <v>0</v>
          </cell>
          <cell r="AJ3673">
            <v>0</v>
          </cell>
          <cell r="AO3673">
            <v>200</v>
          </cell>
          <cell r="AW3673">
            <v>200</v>
          </cell>
        </row>
        <row r="3674">
          <cell r="B3674">
            <v>7143</v>
          </cell>
          <cell r="C3674" t="str">
            <v>UP_114_</v>
          </cell>
          <cell r="D3674" t="str">
            <v>Rancho Upácuaro No. 114</v>
          </cell>
          <cell r="E3674" t="str">
            <v>Hernández Cornejo</v>
          </cell>
          <cell r="F3674">
            <v>300</v>
          </cell>
          <cell r="G3674">
            <v>1</v>
          </cell>
          <cell r="H3674">
            <v>400</v>
          </cell>
          <cell r="I3674">
            <v>41777</v>
          </cell>
          <cell r="J3674">
            <v>0</v>
          </cell>
          <cell r="W3674">
            <v>0</v>
          </cell>
          <cell r="AJ3674">
            <v>0</v>
          </cell>
          <cell r="AO3674">
            <v>400</v>
          </cell>
          <cell r="AW3674">
            <v>400</v>
          </cell>
        </row>
        <row r="3675">
          <cell r="B3675">
            <v>7144</v>
          </cell>
          <cell r="C3675" t="str">
            <v>ZB_14_</v>
          </cell>
          <cell r="D3675" t="str">
            <v>Rancho Zinamba No. 14</v>
          </cell>
          <cell r="E3675" t="str">
            <v>Gutiérrez García</v>
          </cell>
          <cell r="F3675">
            <v>300</v>
          </cell>
          <cell r="G3675">
            <v>1</v>
          </cell>
          <cell r="H3675">
            <v>800</v>
          </cell>
          <cell r="I3675">
            <v>41777</v>
          </cell>
          <cell r="J3675">
            <v>0</v>
          </cell>
          <cell r="W3675">
            <v>0</v>
          </cell>
          <cell r="AJ3675">
            <v>0</v>
          </cell>
          <cell r="AN3675">
            <v>400</v>
          </cell>
          <cell r="AO3675">
            <v>400</v>
          </cell>
          <cell r="AW3675">
            <v>800</v>
          </cell>
        </row>
        <row r="3676">
          <cell r="B3676">
            <v>7145</v>
          </cell>
          <cell r="C3676" t="str">
            <v>ZB_14_</v>
          </cell>
          <cell r="D3676" t="str">
            <v>Rancho Zinamba No. 14</v>
          </cell>
          <cell r="E3676" t="str">
            <v>Gutiérrez García</v>
          </cell>
          <cell r="F3676">
            <v>300</v>
          </cell>
          <cell r="G3676">
            <v>4</v>
          </cell>
          <cell r="H3676">
            <v>160</v>
          </cell>
          <cell r="I3676">
            <v>41777</v>
          </cell>
          <cell r="J3676" t="str">
            <v>NO SUMA</v>
          </cell>
          <cell r="W3676">
            <v>0</v>
          </cell>
          <cell r="AJ3676">
            <v>0</v>
          </cell>
          <cell r="AW3676">
            <v>0</v>
          </cell>
        </row>
        <row r="3677">
          <cell r="B3677">
            <v>7146</v>
          </cell>
          <cell r="C3677" t="str">
            <v>UP_87_</v>
          </cell>
          <cell r="D3677" t="str">
            <v>Rancho Upácuaro No. 87</v>
          </cell>
          <cell r="E3677" t="str">
            <v>Rodríguez Parés</v>
          </cell>
          <cell r="F3677">
            <v>300</v>
          </cell>
          <cell r="G3677">
            <v>1</v>
          </cell>
          <cell r="H3677">
            <v>400</v>
          </cell>
          <cell r="I3677">
            <v>41777</v>
          </cell>
          <cell r="J3677">
            <v>0</v>
          </cell>
          <cell r="W3677">
            <v>0</v>
          </cell>
          <cell r="AJ3677">
            <v>0</v>
          </cell>
          <cell r="AO3677">
            <v>400</v>
          </cell>
          <cell r="AW3677">
            <v>400</v>
          </cell>
        </row>
        <row r="3678">
          <cell r="B3678">
            <v>7147</v>
          </cell>
          <cell r="C3678" t="str">
            <v>CL_7_102</v>
          </cell>
          <cell r="D3678" t="str">
            <v>Rancho La Cuchilla No. 7, 102</v>
          </cell>
          <cell r="E3678" t="str">
            <v>García Moreno</v>
          </cell>
          <cell r="F3678">
            <v>100</v>
          </cell>
          <cell r="G3678">
            <v>1</v>
          </cell>
          <cell r="H3678">
            <v>500</v>
          </cell>
          <cell r="I3678">
            <v>41777</v>
          </cell>
          <cell r="J3678">
            <v>0</v>
          </cell>
          <cell r="W3678">
            <v>0</v>
          </cell>
          <cell r="AJ3678">
            <v>0</v>
          </cell>
          <cell r="AL3678">
            <v>100</v>
          </cell>
          <cell r="AM3678">
            <v>100</v>
          </cell>
          <cell r="AN3678">
            <v>100</v>
          </cell>
          <cell r="AO3678">
            <v>100</v>
          </cell>
          <cell r="AP3678">
            <v>100</v>
          </cell>
          <cell r="AW3678">
            <v>500</v>
          </cell>
        </row>
        <row r="3679">
          <cell r="B3679">
            <v>7148</v>
          </cell>
          <cell r="C3679" t="str">
            <v>UP_88_</v>
          </cell>
          <cell r="D3679" t="str">
            <v>Rancho Upácuaro No. 88</v>
          </cell>
          <cell r="E3679" t="str">
            <v>Millán Núñez</v>
          </cell>
          <cell r="F3679">
            <v>300</v>
          </cell>
          <cell r="G3679">
            <v>1</v>
          </cell>
          <cell r="H3679">
            <v>400</v>
          </cell>
          <cell r="I3679">
            <v>41777</v>
          </cell>
          <cell r="J3679">
            <v>0</v>
          </cell>
          <cell r="W3679">
            <v>0</v>
          </cell>
          <cell r="AJ3679">
            <v>0</v>
          </cell>
          <cell r="AO3679">
            <v>400</v>
          </cell>
          <cell r="AW3679">
            <v>400</v>
          </cell>
        </row>
        <row r="3680">
          <cell r="B3680">
            <v>7149</v>
          </cell>
          <cell r="C3680" t="str">
            <v>CL_7_102</v>
          </cell>
          <cell r="D3680" t="str">
            <v>Rancho La Cuchilla No. 7, 102</v>
          </cell>
          <cell r="E3680" t="str">
            <v>García Moreno</v>
          </cell>
          <cell r="F3680">
            <v>100</v>
          </cell>
          <cell r="G3680">
            <v>4</v>
          </cell>
          <cell r="H3680">
            <v>160</v>
          </cell>
          <cell r="I3680">
            <v>41777</v>
          </cell>
          <cell r="J3680" t="str">
            <v>NO SUMA</v>
          </cell>
          <cell r="W3680">
            <v>0</v>
          </cell>
          <cell r="AJ3680">
            <v>0</v>
          </cell>
          <cell r="AW3680">
            <v>0</v>
          </cell>
        </row>
        <row r="3681">
          <cell r="B3681">
            <v>7150</v>
          </cell>
          <cell r="C3681" t="str">
            <v>UP_64_</v>
          </cell>
          <cell r="D3681" t="str">
            <v>Rancho Upácuaro No. 64</v>
          </cell>
          <cell r="E3681" t="str">
            <v>Méndez Oliva</v>
          </cell>
          <cell r="F3681">
            <v>300</v>
          </cell>
          <cell r="G3681">
            <v>1</v>
          </cell>
          <cell r="H3681">
            <v>300</v>
          </cell>
          <cell r="I3681">
            <v>41777</v>
          </cell>
          <cell r="J3681">
            <v>0</v>
          </cell>
          <cell r="W3681">
            <v>0</v>
          </cell>
          <cell r="AJ3681">
            <v>0</v>
          </cell>
          <cell r="AO3681">
            <v>300</v>
          </cell>
          <cell r="AW3681">
            <v>300</v>
          </cell>
        </row>
        <row r="3682">
          <cell r="B3682">
            <v>7151</v>
          </cell>
          <cell r="C3682" t="str">
            <v>LD_80_</v>
          </cell>
          <cell r="D3682" t="str">
            <v>Rancho Landero No. 80</v>
          </cell>
          <cell r="E3682" t="str">
            <v>Villaseñor Sánchez</v>
          </cell>
          <cell r="F3682">
            <v>300</v>
          </cell>
          <cell r="G3682">
            <v>1</v>
          </cell>
          <cell r="H3682">
            <v>400</v>
          </cell>
          <cell r="I3682">
            <v>41777</v>
          </cell>
          <cell r="J3682">
            <v>0</v>
          </cell>
          <cell r="W3682">
            <v>0</v>
          </cell>
          <cell r="AJ3682">
            <v>0</v>
          </cell>
          <cell r="AN3682">
            <v>200</v>
          </cell>
          <cell r="AO3682">
            <v>200</v>
          </cell>
          <cell r="AW3682">
            <v>400</v>
          </cell>
        </row>
        <row r="3683">
          <cell r="B3683">
            <v>7152</v>
          </cell>
          <cell r="C3683" t="str">
            <v>LD_71_</v>
          </cell>
          <cell r="D3683" t="str">
            <v>Rancho Landero No. 71</v>
          </cell>
          <cell r="E3683" t="str">
            <v>Cabrera Balcázar</v>
          </cell>
          <cell r="F3683">
            <v>300</v>
          </cell>
          <cell r="G3683">
            <v>1</v>
          </cell>
          <cell r="H3683">
            <v>400</v>
          </cell>
          <cell r="I3683">
            <v>41777</v>
          </cell>
          <cell r="J3683">
            <v>0</v>
          </cell>
          <cell r="W3683">
            <v>0</v>
          </cell>
          <cell r="AJ3683">
            <v>0</v>
          </cell>
          <cell r="AO3683">
            <v>400</v>
          </cell>
          <cell r="AW3683">
            <v>400</v>
          </cell>
        </row>
        <row r="3684">
          <cell r="B3684">
            <v>7153</v>
          </cell>
          <cell r="C3684" t="str">
            <v>LD_39_</v>
          </cell>
          <cell r="D3684" t="str">
            <v>Rancho Landero No. 39</v>
          </cell>
          <cell r="E3684" t="str">
            <v>Soto del Cueto</v>
          </cell>
          <cell r="F3684">
            <v>250</v>
          </cell>
          <cell r="G3684">
            <v>1</v>
          </cell>
          <cell r="H3684">
            <v>250</v>
          </cell>
          <cell r="I3684">
            <v>41777</v>
          </cell>
          <cell r="J3684">
            <v>0</v>
          </cell>
          <cell r="W3684">
            <v>0</v>
          </cell>
          <cell r="AJ3684">
            <v>0</v>
          </cell>
          <cell r="AO3684">
            <v>250</v>
          </cell>
          <cell r="AW3684">
            <v>250</v>
          </cell>
        </row>
        <row r="3685">
          <cell r="B3685">
            <v>7154</v>
          </cell>
          <cell r="C3685" t="str">
            <v>LD_40_</v>
          </cell>
          <cell r="D3685" t="str">
            <v>Rancho Landero No. 40</v>
          </cell>
          <cell r="E3685" t="str">
            <v>Almaguer Mireles</v>
          </cell>
          <cell r="F3685">
            <v>300</v>
          </cell>
          <cell r="G3685">
            <v>1</v>
          </cell>
          <cell r="H3685">
            <v>1200</v>
          </cell>
          <cell r="I3685">
            <v>41777</v>
          </cell>
          <cell r="J3685">
            <v>0</v>
          </cell>
          <cell r="W3685">
            <v>0</v>
          </cell>
          <cell r="AJ3685">
            <v>0</v>
          </cell>
          <cell r="AK3685">
            <v>400</v>
          </cell>
          <cell r="AL3685">
            <v>400</v>
          </cell>
          <cell r="AM3685">
            <v>400</v>
          </cell>
          <cell r="AW3685">
            <v>1200</v>
          </cell>
        </row>
        <row r="3686">
          <cell r="B3686">
            <v>7155</v>
          </cell>
          <cell r="C3686" t="str">
            <v>UP_19_</v>
          </cell>
          <cell r="D3686" t="str">
            <v>Rancho Upácuaro No. 19</v>
          </cell>
          <cell r="E3686" t="str">
            <v>Peña Inclán</v>
          </cell>
          <cell r="F3686">
            <v>200</v>
          </cell>
          <cell r="G3686">
            <v>1</v>
          </cell>
          <cell r="H3686">
            <v>300</v>
          </cell>
          <cell r="I3686">
            <v>41777</v>
          </cell>
          <cell r="J3686">
            <v>0</v>
          </cell>
          <cell r="W3686">
            <v>0</v>
          </cell>
          <cell r="AJ3686">
            <v>0</v>
          </cell>
          <cell r="AP3686">
            <v>300</v>
          </cell>
          <cell r="AW3686">
            <v>300</v>
          </cell>
        </row>
        <row r="3687">
          <cell r="B3687">
            <v>7156</v>
          </cell>
          <cell r="C3687" t="str">
            <v>LD_14_</v>
          </cell>
          <cell r="D3687" t="str">
            <v>Rancho Landero No. 14</v>
          </cell>
          <cell r="E3687" t="str">
            <v>Rivera</v>
          </cell>
          <cell r="F3687">
            <v>300</v>
          </cell>
          <cell r="G3687">
            <v>1</v>
          </cell>
          <cell r="H3687">
            <v>2000</v>
          </cell>
          <cell r="I3687">
            <v>41777</v>
          </cell>
          <cell r="J3687">
            <v>0</v>
          </cell>
          <cell r="W3687">
            <v>0</v>
          </cell>
          <cell r="AJ3687">
            <v>0</v>
          </cell>
          <cell r="AL3687">
            <v>400</v>
          </cell>
          <cell r="AM3687">
            <v>400</v>
          </cell>
          <cell r="AN3687">
            <v>400</v>
          </cell>
          <cell r="AO3687">
            <v>400</v>
          </cell>
          <cell r="AP3687">
            <v>400</v>
          </cell>
          <cell r="AW3687">
            <v>2000</v>
          </cell>
        </row>
        <row r="3688">
          <cell r="B3688">
            <v>7157</v>
          </cell>
          <cell r="C3688" t="str">
            <v>UP_80_</v>
          </cell>
          <cell r="D3688" t="str">
            <v>Rancho Upácuaro No. 80</v>
          </cell>
          <cell r="E3688" t="str">
            <v>De los Ríos</v>
          </cell>
          <cell r="F3688">
            <v>300</v>
          </cell>
          <cell r="G3688">
            <v>1</v>
          </cell>
          <cell r="H3688">
            <v>400</v>
          </cell>
          <cell r="I3688">
            <v>41777</v>
          </cell>
          <cell r="J3688">
            <v>0</v>
          </cell>
          <cell r="W3688">
            <v>0</v>
          </cell>
          <cell r="AJ3688">
            <v>0</v>
          </cell>
          <cell r="AO3688">
            <v>400</v>
          </cell>
          <cell r="AW3688">
            <v>400</v>
          </cell>
        </row>
        <row r="3689">
          <cell r="B3689">
            <v>7158</v>
          </cell>
          <cell r="C3689" t="str">
            <v>CL_110_</v>
          </cell>
          <cell r="D3689" t="str">
            <v>Rancho La Cuchilla No. 110</v>
          </cell>
          <cell r="E3689" t="str">
            <v>Domínguez Canudas</v>
          </cell>
          <cell r="F3689">
            <v>300</v>
          </cell>
          <cell r="G3689">
            <v>1</v>
          </cell>
          <cell r="H3689">
            <v>400</v>
          </cell>
          <cell r="I3689">
            <v>41777</v>
          </cell>
          <cell r="J3689">
            <v>0</v>
          </cell>
          <cell r="W3689">
            <v>0</v>
          </cell>
          <cell r="AJ3689">
            <v>0</v>
          </cell>
          <cell r="AO3689">
            <v>400</v>
          </cell>
          <cell r="AW3689">
            <v>400</v>
          </cell>
        </row>
        <row r="3690">
          <cell r="B3690">
            <v>7159</v>
          </cell>
          <cell r="C3690" t="str">
            <v>CL_75_</v>
          </cell>
          <cell r="D3690" t="str">
            <v>Rancho La Cuchilla No. 75</v>
          </cell>
          <cell r="E3690" t="str">
            <v>Sosa Lucio</v>
          </cell>
          <cell r="F3690">
            <v>300</v>
          </cell>
          <cell r="G3690">
            <v>1</v>
          </cell>
          <cell r="H3690">
            <v>800</v>
          </cell>
          <cell r="I3690">
            <v>41777</v>
          </cell>
          <cell r="J3690">
            <v>0</v>
          </cell>
          <cell r="W3690">
            <v>0</v>
          </cell>
          <cell r="AJ3690">
            <v>0</v>
          </cell>
          <cell r="AM3690">
            <v>400</v>
          </cell>
          <cell r="AN3690">
            <v>400</v>
          </cell>
          <cell r="AW3690">
            <v>800</v>
          </cell>
        </row>
        <row r="3691">
          <cell r="B3691">
            <v>7160</v>
          </cell>
          <cell r="C3691" t="str">
            <v>EZ_57_</v>
          </cell>
          <cell r="D3691" t="str">
            <v>Rancho Estanzuela No. 57</v>
          </cell>
          <cell r="E3691" t="str">
            <v>Olivares</v>
          </cell>
          <cell r="F3691">
            <v>300</v>
          </cell>
          <cell r="G3691">
            <v>1</v>
          </cell>
          <cell r="H3691">
            <v>400</v>
          </cell>
          <cell r="I3691">
            <v>41777</v>
          </cell>
          <cell r="J3691">
            <v>0</v>
          </cell>
          <cell r="W3691">
            <v>0</v>
          </cell>
          <cell r="AJ3691">
            <v>0</v>
          </cell>
          <cell r="AM3691">
            <v>400</v>
          </cell>
          <cell r="AW3691">
            <v>400</v>
          </cell>
        </row>
        <row r="3692">
          <cell r="B3692">
            <v>7161</v>
          </cell>
          <cell r="C3692" t="str">
            <v>CL_54_</v>
          </cell>
          <cell r="D3692" t="str">
            <v>Rancho La Cuchilla No. 54</v>
          </cell>
          <cell r="E3692" t="str">
            <v>Mendoza León</v>
          </cell>
          <cell r="F3692">
            <v>300</v>
          </cell>
          <cell r="G3692">
            <v>1</v>
          </cell>
          <cell r="H3692">
            <v>400</v>
          </cell>
          <cell r="I3692">
            <v>41777</v>
          </cell>
          <cell r="J3692">
            <v>0</v>
          </cell>
          <cell r="W3692">
            <v>0</v>
          </cell>
          <cell r="AJ3692">
            <v>0</v>
          </cell>
          <cell r="AN3692">
            <v>400</v>
          </cell>
          <cell r="AW3692">
            <v>400</v>
          </cell>
        </row>
        <row r="3693">
          <cell r="B3693">
            <v>7161</v>
          </cell>
          <cell r="C3693" t="str">
            <v>CL_54_</v>
          </cell>
          <cell r="D3693" t="str">
            <v>Rancho La Cuchilla No. 54</v>
          </cell>
          <cell r="E3693" t="str">
            <v>Mendoza León</v>
          </cell>
          <cell r="F3693">
            <v>300</v>
          </cell>
          <cell r="G3693">
            <v>4</v>
          </cell>
          <cell r="H3693">
            <v>160</v>
          </cell>
          <cell r="I3693">
            <v>41777</v>
          </cell>
          <cell r="J3693" t="str">
            <v>NO SUMA</v>
          </cell>
          <cell r="W3693">
            <v>0</v>
          </cell>
          <cell r="AJ3693">
            <v>0</v>
          </cell>
          <cell r="AW3693">
            <v>0</v>
          </cell>
        </row>
        <row r="3694">
          <cell r="B3694">
            <v>7162</v>
          </cell>
          <cell r="C3694" t="str">
            <v>CL_87_</v>
          </cell>
          <cell r="D3694" t="str">
            <v>Rancho La Cuchilla No. 87</v>
          </cell>
          <cell r="E3694" t="str">
            <v>Villanueva S.</v>
          </cell>
          <cell r="F3694">
            <v>300</v>
          </cell>
          <cell r="G3694">
            <v>1</v>
          </cell>
          <cell r="H3694">
            <v>400</v>
          </cell>
          <cell r="I3694">
            <v>41777</v>
          </cell>
          <cell r="J3694">
            <v>0</v>
          </cell>
          <cell r="W3694">
            <v>0</v>
          </cell>
          <cell r="AJ3694">
            <v>0</v>
          </cell>
          <cell r="AO3694">
            <v>400</v>
          </cell>
          <cell r="AW3694">
            <v>400</v>
          </cell>
        </row>
        <row r="3695">
          <cell r="B3695">
            <v>7163</v>
          </cell>
          <cell r="C3695" t="str">
            <v>UP_71_</v>
          </cell>
          <cell r="D3695" t="str">
            <v>Rancho Upácuaro No. 71</v>
          </cell>
          <cell r="E3695" t="str">
            <v>Trejo Méndez</v>
          </cell>
          <cell r="F3695">
            <v>300</v>
          </cell>
          <cell r="G3695">
            <v>1</v>
          </cell>
          <cell r="H3695">
            <v>400</v>
          </cell>
          <cell r="I3695">
            <v>41777</v>
          </cell>
          <cell r="J3695">
            <v>0</v>
          </cell>
          <cell r="W3695">
            <v>0</v>
          </cell>
          <cell r="AJ3695">
            <v>0</v>
          </cell>
          <cell r="AO3695">
            <v>400</v>
          </cell>
          <cell r="AW3695">
            <v>400</v>
          </cell>
        </row>
        <row r="3696">
          <cell r="B3696">
            <v>7163</v>
          </cell>
          <cell r="C3696" t="str">
            <v>UP_71_</v>
          </cell>
          <cell r="D3696" t="str">
            <v>Rancho Upácuaro No. 71</v>
          </cell>
          <cell r="E3696" t="str">
            <v>Trejo Méndez</v>
          </cell>
          <cell r="F3696">
            <v>300</v>
          </cell>
          <cell r="G3696">
            <v>4</v>
          </cell>
          <cell r="H3696">
            <v>160</v>
          </cell>
          <cell r="I3696">
            <v>41777</v>
          </cell>
          <cell r="J3696" t="str">
            <v>NO SUMA</v>
          </cell>
          <cell r="W3696">
            <v>0</v>
          </cell>
          <cell r="AJ3696">
            <v>0</v>
          </cell>
          <cell r="AW3696">
            <v>0</v>
          </cell>
        </row>
        <row r="3697">
          <cell r="B3697">
            <v>7164</v>
          </cell>
          <cell r="C3697" t="str">
            <v>CL_75_</v>
          </cell>
          <cell r="D3697" t="str">
            <v>Rancho La Cuchilla No. 75</v>
          </cell>
          <cell r="E3697" t="str">
            <v>Sosa Lucio</v>
          </cell>
          <cell r="F3697">
            <v>300</v>
          </cell>
          <cell r="G3697">
            <v>1</v>
          </cell>
          <cell r="H3697">
            <v>400</v>
          </cell>
          <cell r="I3697">
            <v>41777</v>
          </cell>
          <cell r="J3697">
            <v>0</v>
          </cell>
          <cell r="W3697">
            <v>0</v>
          </cell>
          <cell r="AJ3697">
            <v>0</v>
          </cell>
          <cell r="AO3697">
            <v>400</v>
          </cell>
          <cell r="AW3697">
            <v>400</v>
          </cell>
        </row>
        <row r="3698">
          <cell r="B3698">
            <v>7165</v>
          </cell>
          <cell r="C3698" t="str">
            <v>LD_85_</v>
          </cell>
          <cell r="D3698" t="str">
            <v>Rancho Landero No. 85</v>
          </cell>
          <cell r="E3698" t="str">
            <v>Martínez Olague</v>
          </cell>
          <cell r="F3698">
            <v>300</v>
          </cell>
          <cell r="G3698">
            <v>1</v>
          </cell>
          <cell r="H3698">
            <v>400</v>
          </cell>
          <cell r="I3698">
            <v>41779</v>
          </cell>
          <cell r="J3698">
            <v>0</v>
          </cell>
          <cell r="W3698">
            <v>0</v>
          </cell>
          <cell r="AJ3698">
            <v>0</v>
          </cell>
          <cell r="AO3698">
            <v>400</v>
          </cell>
          <cell r="AW3698">
            <v>400</v>
          </cell>
        </row>
        <row r="3699">
          <cell r="B3699">
            <v>7166</v>
          </cell>
          <cell r="C3699" t="str">
            <v>UP_40_</v>
          </cell>
          <cell r="D3699" t="str">
            <v>Rancho Upácuaro No. 40</v>
          </cell>
          <cell r="E3699" t="str">
            <v>López Ramírez</v>
          </cell>
          <cell r="F3699">
            <v>300</v>
          </cell>
          <cell r="G3699">
            <v>1</v>
          </cell>
          <cell r="H3699">
            <v>900</v>
          </cell>
          <cell r="I3699">
            <v>41779</v>
          </cell>
          <cell r="J3699">
            <v>0</v>
          </cell>
          <cell r="W3699">
            <v>0</v>
          </cell>
          <cell r="AJ3699">
            <v>0</v>
          </cell>
          <cell r="AK3699">
            <v>300</v>
          </cell>
          <cell r="AL3699">
            <v>300</v>
          </cell>
          <cell r="AM3699">
            <v>300</v>
          </cell>
          <cell r="AW3699">
            <v>900</v>
          </cell>
        </row>
        <row r="3700">
          <cell r="B3700">
            <v>7167</v>
          </cell>
          <cell r="C3700" t="str">
            <v>ZB_8_</v>
          </cell>
          <cell r="D3700" t="str">
            <v>Rancho Zinamba No. 8</v>
          </cell>
          <cell r="E3700" t="str">
            <v>Florido</v>
          </cell>
          <cell r="F3700">
            <v>300</v>
          </cell>
          <cell r="G3700">
            <v>1</v>
          </cell>
          <cell r="H3700">
            <v>1200</v>
          </cell>
          <cell r="I3700">
            <v>41781</v>
          </cell>
          <cell r="J3700">
            <v>0</v>
          </cell>
          <cell r="W3700">
            <v>0</v>
          </cell>
          <cell r="AJ3700">
            <v>0</v>
          </cell>
          <cell r="AM3700">
            <v>400</v>
          </cell>
          <cell r="AN3700">
            <v>400</v>
          </cell>
          <cell r="AO3700">
            <v>400</v>
          </cell>
          <cell r="AW3700">
            <v>1200</v>
          </cell>
        </row>
        <row r="3701">
          <cell r="B3701">
            <v>7168</v>
          </cell>
          <cell r="C3701" t="str">
            <v>UP_14_</v>
          </cell>
          <cell r="D3701" t="str">
            <v>Rancho Upácuaro No. 14</v>
          </cell>
          <cell r="E3701" t="str">
            <v>Guerrero</v>
          </cell>
          <cell r="F3701">
            <v>300</v>
          </cell>
          <cell r="G3701">
            <v>1</v>
          </cell>
          <cell r="H3701">
            <v>400</v>
          </cell>
          <cell r="I3701">
            <v>41782</v>
          </cell>
          <cell r="J3701">
            <v>0</v>
          </cell>
          <cell r="W3701">
            <v>0</v>
          </cell>
          <cell r="AJ3701">
            <v>0</v>
          </cell>
          <cell r="AO3701">
            <v>400</v>
          </cell>
          <cell r="AW3701">
            <v>400</v>
          </cell>
        </row>
        <row r="3702">
          <cell r="B3702">
            <v>7169</v>
          </cell>
          <cell r="C3702" t="str">
            <v>LD_62_</v>
          </cell>
          <cell r="D3702" t="str">
            <v>Rancho Landero No. 62</v>
          </cell>
          <cell r="E3702" t="str">
            <v>Narvaez Sara</v>
          </cell>
          <cell r="F3702">
            <v>300</v>
          </cell>
          <cell r="G3702">
            <v>1</v>
          </cell>
          <cell r="H3702">
            <v>1200</v>
          </cell>
          <cell r="I3702">
            <v>41784</v>
          </cell>
          <cell r="J3702">
            <v>0</v>
          </cell>
          <cell r="W3702">
            <v>0</v>
          </cell>
          <cell r="AJ3702">
            <v>0</v>
          </cell>
          <cell r="AN3702">
            <v>400</v>
          </cell>
          <cell r="AO3702">
            <v>400</v>
          </cell>
          <cell r="AP3702">
            <v>400</v>
          </cell>
          <cell r="AW3702">
            <v>1200</v>
          </cell>
        </row>
        <row r="3703">
          <cell r="B3703">
            <v>7170</v>
          </cell>
          <cell r="C3703" t="str">
            <v>EZ_119_1</v>
          </cell>
          <cell r="D3703" t="str">
            <v>Rancho Estanzuela No. 119</v>
          </cell>
          <cell r="E3703" t="str">
            <v>López Tovar</v>
          </cell>
          <cell r="F3703">
            <v>300</v>
          </cell>
          <cell r="G3703">
            <v>1</v>
          </cell>
          <cell r="H3703">
            <v>400</v>
          </cell>
          <cell r="I3703">
            <v>41784</v>
          </cell>
          <cell r="J3703">
            <v>0</v>
          </cell>
          <cell r="W3703">
            <v>0</v>
          </cell>
          <cell r="AJ3703">
            <v>0</v>
          </cell>
          <cell r="AN3703">
            <v>400</v>
          </cell>
          <cell r="AW3703">
            <v>400</v>
          </cell>
        </row>
        <row r="3704">
          <cell r="B3704">
            <v>7171</v>
          </cell>
          <cell r="C3704" t="str">
            <v>ZB_38_</v>
          </cell>
          <cell r="D3704" t="str">
            <v>Rancho Zinamba No. 38</v>
          </cell>
          <cell r="E3704" t="str">
            <v>Ramírez Díaz</v>
          </cell>
          <cell r="F3704">
            <v>300</v>
          </cell>
          <cell r="G3704">
            <v>1</v>
          </cell>
          <cell r="H3704">
            <v>400</v>
          </cell>
          <cell r="I3704">
            <v>41784</v>
          </cell>
          <cell r="J3704">
            <v>0</v>
          </cell>
          <cell r="W3704">
            <v>0</v>
          </cell>
          <cell r="AJ3704">
            <v>0</v>
          </cell>
          <cell r="AO3704">
            <v>400</v>
          </cell>
          <cell r="AW3704">
            <v>400</v>
          </cell>
        </row>
        <row r="3705">
          <cell r="B3705">
            <v>7172</v>
          </cell>
          <cell r="C3705" t="str">
            <v>CL_132_</v>
          </cell>
          <cell r="D3705" t="str">
            <v>Rancho La Cuchilla No. 132</v>
          </cell>
          <cell r="E3705" t="str">
            <v>Téllez Girón</v>
          </cell>
          <cell r="F3705">
            <v>300</v>
          </cell>
          <cell r="G3705">
            <v>1</v>
          </cell>
          <cell r="H3705">
            <v>300</v>
          </cell>
          <cell r="I3705">
            <v>41784</v>
          </cell>
          <cell r="J3705">
            <v>0</v>
          </cell>
          <cell r="W3705">
            <v>0</v>
          </cell>
          <cell r="AJ3705">
            <v>0</v>
          </cell>
          <cell r="AO3705">
            <v>300</v>
          </cell>
          <cell r="AW3705">
            <v>300</v>
          </cell>
        </row>
        <row r="3706">
          <cell r="B3706">
            <v>7173</v>
          </cell>
          <cell r="C3706" t="str">
            <v>CL_43_A</v>
          </cell>
          <cell r="D3706" t="str">
            <v>Rancho La Cuchilla No. 43, A</v>
          </cell>
          <cell r="E3706" t="str">
            <v>De la Rosa</v>
          </cell>
          <cell r="F3706">
            <v>200</v>
          </cell>
          <cell r="G3706">
            <v>1</v>
          </cell>
          <cell r="H3706">
            <v>400</v>
          </cell>
          <cell r="I3706">
            <v>41784</v>
          </cell>
          <cell r="J3706">
            <v>0</v>
          </cell>
          <cell r="W3706">
            <v>0</v>
          </cell>
          <cell r="AJ3706">
            <v>0</v>
          </cell>
          <cell r="AO3706">
            <v>400</v>
          </cell>
          <cell r="AW3706">
            <v>400</v>
          </cell>
        </row>
        <row r="3707">
          <cell r="B3707">
            <v>7174</v>
          </cell>
          <cell r="C3707" t="str">
            <v>CL_66_</v>
          </cell>
          <cell r="D3707" t="str">
            <v>Rancho La Cuchilla No. 66</v>
          </cell>
          <cell r="E3707" t="str">
            <v>Prieto</v>
          </cell>
          <cell r="F3707">
            <v>300</v>
          </cell>
          <cell r="G3707">
            <v>1</v>
          </cell>
          <cell r="H3707">
            <v>400</v>
          </cell>
          <cell r="I3707">
            <v>41784</v>
          </cell>
          <cell r="J3707">
            <v>0</v>
          </cell>
          <cell r="W3707">
            <v>0</v>
          </cell>
          <cell r="AJ3707">
            <v>0</v>
          </cell>
          <cell r="AO3707">
            <v>400</v>
          </cell>
          <cell r="AW3707">
            <v>400</v>
          </cell>
        </row>
        <row r="3708">
          <cell r="B3708">
            <v>7175</v>
          </cell>
          <cell r="C3708" t="str">
            <v>UP_34_</v>
          </cell>
          <cell r="D3708" t="str">
            <v>Rancho Upácuaro No. 34</v>
          </cell>
          <cell r="E3708" t="str">
            <v>Gómez González</v>
          </cell>
          <cell r="F3708">
            <v>300</v>
          </cell>
          <cell r="G3708">
            <v>1</v>
          </cell>
          <cell r="H3708">
            <v>300</v>
          </cell>
          <cell r="I3708">
            <v>41784</v>
          </cell>
          <cell r="J3708">
            <v>0</v>
          </cell>
          <cell r="W3708">
            <v>0</v>
          </cell>
          <cell r="AJ3708">
            <v>0</v>
          </cell>
          <cell r="AO3708">
            <v>300</v>
          </cell>
          <cell r="AW3708">
            <v>300</v>
          </cell>
        </row>
        <row r="3709">
          <cell r="B3709">
            <v>7176</v>
          </cell>
          <cell r="C3709" t="str">
            <v>CL_77_</v>
          </cell>
          <cell r="D3709" t="str">
            <v>Rancho La Cuchilla No. 77</v>
          </cell>
          <cell r="E3709" t="str">
            <v>Loperena</v>
          </cell>
          <cell r="F3709">
            <v>300</v>
          </cell>
          <cell r="G3709">
            <v>1</v>
          </cell>
          <cell r="H3709">
            <v>300</v>
          </cell>
          <cell r="I3709">
            <v>41784</v>
          </cell>
          <cell r="J3709">
            <v>0</v>
          </cell>
          <cell r="W3709">
            <v>0</v>
          </cell>
          <cell r="AJ3709">
            <v>0</v>
          </cell>
          <cell r="AO3709">
            <v>300</v>
          </cell>
          <cell r="AW3709">
            <v>300</v>
          </cell>
        </row>
        <row r="3710">
          <cell r="B3710">
            <v>7177</v>
          </cell>
          <cell r="C3710" t="str">
            <v>LD_21_</v>
          </cell>
          <cell r="D3710" t="str">
            <v>Rancho Landero No. 21</v>
          </cell>
          <cell r="E3710" t="str">
            <v>Meza</v>
          </cell>
          <cell r="F3710">
            <v>300</v>
          </cell>
          <cell r="G3710">
            <v>1</v>
          </cell>
          <cell r="H3710">
            <v>400</v>
          </cell>
          <cell r="I3710">
            <v>41784</v>
          </cell>
          <cell r="J3710">
            <v>0</v>
          </cell>
          <cell r="W3710">
            <v>0</v>
          </cell>
          <cell r="AJ3710">
            <v>0</v>
          </cell>
          <cell r="AO3710">
            <v>400</v>
          </cell>
          <cell r="AW3710">
            <v>400</v>
          </cell>
        </row>
        <row r="3711">
          <cell r="B3711">
            <v>7178</v>
          </cell>
          <cell r="C3711" t="str">
            <v>LD_99_</v>
          </cell>
          <cell r="D3711" t="str">
            <v>Rancho Landero No. 99</v>
          </cell>
          <cell r="E3711" t="str">
            <v>Rangel</v>
          </cell>
          <cell r="F3711">
            <v>300</v>
          </cell>
          <cell r="G3711">
            <v>1</v>
          </cell>
          <cell r="H3711">
            <v>300</v>
          </cell>
          <cell r="I3711">
            <v>41784</v>
          </cell>
          <cell r="J3711">
            <v>0</v>
          </cell>
          <cell r="W3711">
            <v>0</v>
          </cell>
          <cell r="AJ3711">
            <v>0</v>
          </cell>
          <cell r="AO3711">
            <v>300</v>
          </cell>
          <cell r="AW3711">
            <v>300</v>
          </cell>
        </row>
        <row r="3712">
          <cell r="B3712">
            <v>7179</v>
          </cell>
          <cell r="C3712" t="str">
            <v>LD_77_</v>
          </cell>
          <cell r="D3712" t="str">
            <v>Rancho Landero No. 77</v>
          </cell>
          <cell r="E3712" t="str">
            <v>Muñoz</v>
          </cell>
          <cell r="F3712">
            <v>300</v>
          </cell>
          <cell r="G3712">
            <v>4</v>
          </cell>
          <cell r="H3712">
            <v>160</v>
          </cell>
          <cell r="I3712">
            <v>41784</v>
          </cell>
          <cell r="J3712" t="str">
            <v>NO SUMA</v>
          </cell>
          <cell r="W3712">
            <v>0</v>
          </cell>
          <cell r="AJ3712">
            <v>0</v>
          </cell>
          <cell r="AW3712">
            <v>0</v>
          </cell>
        </row>
        <row r="3713">
          <cell r="B3713">
            <v>7180</v>
          </cell>
          <cell r="C3713" t="str">
            <v>EZ_99_</v>
          </cell>
          <cell r="D3713" t="str">
            <v>Rancho Estanzuela No. 99</v>
          </cell>
          <cell r="E3713" t="str">
            <v>García López</v>
          </cell>
          <cell r="F3713">
            <v>300</v>
          </cell>
          <cell r="G3713">
            <v>1</v>
          </cell>
          <cell r="H3713">
            <v>400</v>
          </cell>
          <cell r="I3713">
            <v>41784</v>
          </cell>
          <cell r="J3713">
            <v>0</v>
          </cell>
          <cell r="W3713">
            <v>0</v>
          </cell>
          <cell r="AJ3713">
            <v>0</v>
          </cell>
          <cell r="AO3713">
            <v>400</v>
          </cell>
          <cell r="AW3713">
            <v>400</v>
          </cell>
        </row>
        <row r="3714">
          <cell r="B3714">
            <v>7181</v>
          </cell>
          <cell r="C3714" t="str">
            <v>UP_138_</v>
          </cell>
          <cell r="D3714" t="str">
            <v>Rancho Upácuaro No. 138</v>
          </cell>
          <cell r="E3714" t="str">
            <v>Ramírez Valencia</v>
          </cell>
          <cell r="F3714">
            <v>300</v>
          </cell>
          <cell r="G3714">
            <v>1</v>
          </cell>
          <cell r="H3714">
            <v>1200</v>
          </cell>
          <cell r="I3714">
            <v>41784</v>
          </cell>
          <cell r="J3714">
            <v>0</v>
          </cell>
          <cell r="W3714">
            <v>0</v>
          </cell>
          <cell r="AJ3714">
            <v>0</v>
          </cell>
          <cell r="AN3714">
            <v>400</v>
          </cell>
          <cell r="AO3714">
            <v>400</v>
          </cell>
          <cell r="AP3714">
            <v>400</v>
          </cell>
          <cell r="AW3714">
            <v>1200</v>
          </cell>
        </row>
        <row r="3715">
          <cell r="B3715">
            <v>7182</v>
          </cell>
          <cell r="C3715" t="str">
            <v>EZ_19_</v>
          </cell>
          <cell r="D3715" t="str">
            <v>Rancho Estanzuela No. 19</v>
          </cell>
          <cell r="E3715" t="str">
            <v>Robles</v>
          </cell>
          <cell r="F3715">
            <v>300</v>
          </cell>
          <cell r="G3715">
            <v>4</v>
          </cell>
          <cell r="H3715">
            <v>160</v>
          </cell>
          <cell r="I3715">
            <v>41784</v>
          </cell>
          <cell r="J3715" t="str">
            <v>NO SUMA</v>
          </cell>
          <cell r="W3715">
            <v>0</v>
          </cell>
          <cell r="AJ3715">
            <v>0</v>
          </cell>
          <cell r="AW3715">
            <v>0</v>
          </cell>
        </row>
        <row r="3716">
          <cell r="B3716">
            <v>7183</v>
          </cell>
          <cell r="C3716" t="str">
            <v>UP_100_</v>
          </cell>
          <cell r="D3716" t="str">
            <v>Rancho Upácuaro No. 100</v>
          </cell>
          <cell r="E3716" t="str">
            <v>Mancera Rodríguez</v>
          </cell>
          <cell r="F3716">
            <v>300</v>
          </cell>
          <cell r="G3716">
            <v>4</v>
          </cell>
          <cell r="H3716">
            <v>160</v>
          </cell>
          <cell r="I3716">
            <v>41784</v>
          </cell>
          <cell r="J3716" t="str">
            <v>NO SUMA</v>
          </cell>
          <cell r="W3716">
            <v>0</v>
          </cell>
          <cell r="AJ3716">
            <v>0</v>
          </cell>
          <cell r="AW3716">
            <v>0</v>
          </cell>
        </row>
        <row r="3717">
          <cell r="B3717">
            <v>7184</v>
          </cell>
          <cell r="C3717" t="str">
            <v>UP_37_</v>
          </cell>
          <cell r="D3717" t="str">
            <v>Rancho Upácuaro No. 37</v>
          </cell>
          <cell r="E3717" t="str">
            <v>García Valdés</v>
          </cell>
          <cell r="F3717">
            <v>300</v>
          </cell>
          <cell r="G3717">
            <v>1</v>
          </cell>
          <cell r="H3717">
            <v>400</v>
          </cell>
          <cell r="I3717">
            <v>41784</v>
          </cell>
          <cell r="J3717">
            <v>0</v>
          </cell>
          <cell r="W3717">
            <v>0</v>
          </cell>
          <cell r="AJ3717">
            <v>0</v>
          </cell>
          <cell r="AO3717">
            <v>400</v>
          </cell>
          <cell r="AW3717">
            <v>400</v>
          </cell>
        </row>
        <row r="3718">
          <cell r="B3718">
            <v>7184</v>
          </cell>
          <cell r="C3718" t="str">
            <v>UP_37_</v>
          </cell>
          <cell r="D3718" t="str">
            <v>Rancho Upácuaro No. 37</v>
          </cell>
          <cell r="E3718" t="str">
            <v>García Valdés</v>
          </cell>
          <cell r="F3718">
            <v>300</v>
          </cell>
          <cell r="G3718">
            <v>4</v>
          </cell>
          <cell r="H3718">
            <v>160</v>
          </cell>
          <cell r="I3718">
            <v>41784</v>
          </cell>
          <cell r="J3718" t="str">
            <v>NO SUMA</v>
          </cell>
          <cell r="W3718">
            <v>0</v>
          </cell>
          <cell r="AJ3718">
            <v>0</v>
          </cell>
          <cell r="AW3718">
            <v>0</v>
          </cell>
        </row>
        <row r="3719">
          <cell r="B3719">
            <v>7185</v>
          </cell>
          <cell r="C3719" t="str">
            <v>LD_81_</v>
          </cell>
          <cell r="D3719" t="str">
            <v>Rancho Landero No. 81</v>
          </cell>
          <cell r="E3719" t="str">
            <v>Cebrían Saldaña</v>
          </cell>
          <cell r="F3719">
            <v>300</v>
          </cell>
          <cell r="G3719">
            <v>1</v>
          </cell>
          <cell r="H3719">
            <v>200</v>
          </cell>
          <cell r="I3719">
            <v>41784</v>
          </cell>
          <cell r="J3719">
            <v>0</v>
          </cell>
          <cell r="W3719">
            <v>0</v>
          </cell>
          <cell r="AJ3719">
            <v>0</v>
          </cell>
          <cell r="AO3719">
            <v>200</v>
          </cell>
          <cell r="AW3719">
            <v>200</v>
          </cell>
        </row>
        <row r="3720">
          <cell r="B3720">
            <v>7186</v>
          </cell>
          <cell r="C3720" t="str">
            <v>ZB_72_</v>
          </cell>
          <cell r="D3720" t="str">
            <v>Rancho Zinamba No. 72</v>
          </cell>
          <cell r="E3720" t="str">
            <v>Romo de Vivar</v>
          </cell>
          <cell r="F3720">
            <v>300</v>
          </cell>
          <cell r="G3720">
            <v>1</v>
          </cell>
          <cell r="H3720">
            <v>400</v>
          </cell>
          <cell r="I3720">
            <v>41784</v>
          </cell>
          <cell r="J3720">
            <v>0</v>
          </cell>
          <cell r="W3720">
            <v>0</v>
          </cell>
          <cell r="AJ3720">
            <v>0</v>
          </cell>
          <cell r="AN3720">
            <v>200</v>
          </cell>
          <cell r="AO3720">
            <v>200</v>
          </cell>
          <cell r="AW3720">
            <v>400</v>
          </cell>
        </row>
        <row r="3721">
          <cell r="B3721">
            <v>7187</v>
          </cell>
          <cell r="C3721" t="str">
            <v>CL_130_</v>
          </cell>
          <cell r="D3721" t="str">
            <v>Rancho La Cuchilla No. 130</v>
          </cell>
          <cell r="E3721" t="str">
            <v>De la Huerta</v>
          </cell>
          <cell r="F3721">
            <v>300</v>
          </cell>
          <cell r="G3721">
            <v>1</v>
          </cell>
          <cell r="H3721">
            <v>400</v>
          </cell>
          <cell r="I3721">
            <v>41784</v>
          </cell>
          <cell r="J3721">
            <v>0</v>
          </cell>
          <cell r="W3721">
            <v>0</v>
          </cell>
          <cell r="AJ3721">
            <v>0</v>
          </cell>
          <cell r="AO3721">
            <v>400</v>
          </cell>
          <cell r="AW3721">
            <v>400</v>
          </cell>
        </row>
        <row r="3722">
          <cell r="B3722">
            <v>7188</v>
          </cell>
          <cell r="C3722" t="str">
            <v>EZ_143_B</v>
          </cell>
          <cell r="D3722" t="str">
            <v>Rancho Estanzuela No. 143, B</v>
          </cell>
          <cell r="E3722" t="str">
            <v>López</v>
          </cell>
          <cell r="F3722">
            <v>300</v>
          </cell>
          <cell r="G3722">
            <v>1</v>
          </cell>
          <cell r="H3722">
            <v>400</v>
          </cell>
          <cell r="I3722">
            <v>41784</v>
          </cell>
          <cell r="J3722">
            <v>0</v>
          </cell>
          <cell r="W3722">
            <v>0</v>
          </cell>
          <cell r="AJ3722">
            <v>0</v>
          </cell>
          <cell r="AO3722">
            <v>400</v>
          </cell>
          <cell r="AW3722">
            <v>400</v>
          </cell>
        </row>
        <row r="3723">
          <cell r="B3723">
            <v>7189</v>
          </cell>
          <cell r="C3723" t="str">
            <v>EZ_119_1</v>
          </cell>
          <cell r="D3723" t="str">
            <v>Rancho Estanzuela No. 119</v>
          </cell>
          <cell r="E3723" t="str">
            <v>López Tovar</v>
          </cell>
          <cell r="F3723">
            <v>300</v>
          </cell>
          <cell r="G3723">
            <v>1</v>
          </cell>
          <cell r="H3723">
            <v>400</v>
          </cell>
          <cell r="I3723">
            <v>41784</v>
          </cell>
          <cell r="J3723">
            <v>0</v>
          </cell>
          <cell r="W3723">
            <v>0</v>
          </cell>
          <cell r="AJ3723">
            <v>0</v>
          </cell>
          <cell r="AO3723">
            <v>400</v>
          </cell>
          <cell r="AW3723">
            <v>400</v>
          </cell>
        </row>
        <row r="3724">
          <cell r="B3724">
            <v>7190</v>
          </cell>
          <cell r="C3724" t="str">
            <v>CL_32_</v>
          </cell>
          <cell r="D3724" t="str">
            <v>Rancho La Cuchilla No. 32</v>
          </cell>
          <cell r="E3724" t="str">
            <v>Hernández</v>
          </cell>
          <cell r="F3724">
            <v>300</v>
          </cell>
          <cell r="G3724">
            <v>1</v>
          </cell>
          <cell r="H3724">
            <v>800</v>
          </cell>
          <cell r="I3724">
            <v>41784</v>
          </cell>
          <cell r="J3724">
            <v>0</v>
          </cell>
          <cell r="W3724">
            <v>0</v>
          </cell>
          <cell r="AJ3724">
            <v>0</v>
          </cell>
          <cell r="AM3724">
            <v>400</v>
          </cell>
          <cell r="AN3724">
            <v>400</v>
          </cell>
          <cell r="AW3724">
            <v>800</v>
          </cell>
        </row>
        <row r="3725">
          <cell r="B3725">
            <v>7191</v>
          </cell>
          <cell r="C3725" t="str">
            <v>ZB_26_</v>
          </cell>
          <cell r="D3725" t="str">
            <v>Rancho Zinamba No. 26</v>
          </cell>
          <cell r="E3725" t="str">
            <v>Ayala</v>
          </cell>
          <cell r="F3725">
            <v>300</v>
          </cell>
          <cell r="G3725">
            <v>1</v>
          </cell>
          <cell r="H3725">
            <v>400</v>
          </cell>
          <cell r="I3725">
            <v>41784</v>
          </cell>
          <cell r="J3725">
            <v>0</v>
          </cell>
          <cell r="W3725">
            <v>0</v>
          </cell>
          <cell r="AJ3725">
            <v>0</v>
          </cell>
          <cell r="AO3725">
            <v>400</v>
          </cell>
          <cell r="AW3725">
            <v>400</v>
          </cell>
        </row>
        <row r="3726">
          <cell r="B3726">
            <v>7192</v>
          </cell>
          <cell r="C3726" t="str">
            <v>LD_51_</v>
          </cell>
          <cell r="D3726" t="str">
            <v>Rancho Landero No. 51</v>
          </cell>
          <cell r="E3726" t="str">
            <v>H. Robles Tamayo</v>
          </cell>
          <cell r="F3726">
            <v>300</v>
          </cell>
          <cell r="G3726">
            <v>1</v>
          </cell>
          <cell r="H3726">
            <v>800</v>
          </cell>
          <cell r="I3726">
            <v>41784</v>
          </cell>
          <cell r="J3726">
            <v>0</v>
          </cell>
          <cell r="W3726">
            <v>0</v>
          </cell>
          <cell r="AJ3726">
            <v>0</v>
          </cell>
          <cell r="AN3726">
            <v>400</v>
          </cell>
          <cell r="AO3726">
            <v>400</v>
          </cell>
          <cell r="AW3726">
            <v>800</v>
          </cell>
        </row>
        <row r="3727">
          <cell r="B3727">
            <v>7193</v>
          </cell>
          <cell r="C3727" t="str">
            <v>LD_94_</v>
          </cell>
          <cell r="D3727" t="str">
            <v>Rancho Landero No. 94</v>
          </cell>
          <cell r="E3727" t="str">
            <v>Medina</v>
          </cell>
          <cell r="F3727">
            <v>150</v>
          </cell>
          <cell r="G3727">
            <v>1</v>
          </cell>
          <cell r="H3727">
            <v>450</v>
          </cell>
          <cell r="I3727">
            <v>41784</v>
          </cell>
          <cell r="J3727">
            <v>0</v>
          </cell>
          <cell r="W3727">
            <v>0</v>
          </cell>
          <cell r="AJ3727">
            <v>0</v>
          </cell>
          <cell r="AM3727">
            <v>150</v>
          </cell>
          <cell r="AN3727">
            <v>150</v>
          </cell>
          <cell r="AO3727">
            <v>150</v>
          </cell>
          <cell r="AW3727">
            <v>450</v>
          </cell>
        </row>
        <row r="3728">
          <cell r="B3728">
            <v>8138</v>
          </cell>
          <cell r="C3728" t="str">
            <v>UP_46_</v>
          </cell>
          <cell r="D3728" t="str">
            <v>Rancho Upácuaro No. 46</v>
          </cell>
          <cell r="E3728" t="str">
            <v>Fuentes</v>
          </cell>
          <cell r="F3728">
            <v>300</v>
          </cell>
          <cell r="G3728">
            <v>1</v>
          </cell>
          <cell r="H3728">
            <v>300</v>
          </cell>
          <cell r="I3728">
            <v>41765</v>
          </cell>
          <cell r="J3728">
            <v>0</v>
          </cell>
          <cell r="W3728">
            <v>0</v>
          </cell>
          <cell r="AJ3728">
            <v>0</v>
          </cell>
          <cell r="AO3728">
            <v>300</v>
          </cell>
          <cell r="AW3728">
            <v>300</v>
          </cell>
        </row>
        <row r="3729">
          <cell r="C3729" t="str">
            <v>CM_130_A</v>
          </cell>
          <cell r="D3729" t="str">
            <v>Rancho Estanzuela No. 130, A</v>
          </cell>
          <cell r="E3729" t="str">
            <v>Colegio Carmel</v>
          </cell>
          <cell r="F3729">
            <v>10000</v>
          </cell>
          <cell r="G3729">
            <v>1</v>
          </cell>
          <cell r="H3729">
            <v>10000</v>
          </cell>
          <cell r="I3729">
            <v>41785</v>
          </cell>
          <cell r="J3729">
            <v>0</v>
          </cell>
          <cell r="W3729">
            <v>0</v>
          </cell>
          <cell r="AJ3729">
            <v>0</v>
          </cell>
          <cell r="AN3729">
            <v>10000</v>
          </cell>
          <cell r="AW3729">
            <v>10000</v>
          </cell>
        </row>
        <row r="3730">
          <cell r="C3730" t="str">
            <v>CM_130_A</v>
          </cell>
          <cell r="D3730" t="str">
            <v>Rancho Estanzuela No. 130, A</v>
          </cell>
          <cell r="E3730" t="str">
            <v>Colegio Carmel</v>
          </cell>
          <cell r="F3730">
            <v>10000</v>
          </cell>
          <cell r="G3730">
            <v>1</v>
          </cell>
          <cell r="H3730">
            <v>10000</v>
          </cell>
          <cell r="I3730">
            <v>41785</v>
          </cell>
          <cell r="J3730">
            <v>0</v>
          </cell>
          <cell r="W3730">
            <v>0</v>
          </cell>
          <cell r="AJ3730">
            <v>0</v>
          </cell>
          <cell r="AO3730">
            <v>10000</v>
          </cell>
          <cell r="AW3730">
            <v>10000</v>
          </cell>
        </row>
        <row r="3731">
          <cell r="B3731" t="str">
            <v>NÚMERO</v>
          </cell>
          <cell r="C3731" t="str">
            <v>CASA</v>
          </cell>
          <cell r="D3731" t="str">
            <v>DOMICILIO</v>
          </cell>
          <cell r="E3731" t="str">
            <v>FAMILIA</v>
          </cell>
          <cell r="F3731" t="str">
            <v>CUOTA</v>
          </cell>
          <cell r="G3731" t="str">
            <v>C_ING</v>
          </cell>
          <cell r="H3731" t="str">
            <v>IMPORTE</v>
          </cell>
          <cell r="I3731" t="str">
            <v>FECHA</v>
          </cell>
          <cell r="J3731" t="str">
            <v>CHK</v>
          </cell>
          <cell r="K3731" t="str">
            <v>ENE
2012</v>
          </cell>
          <cell r="L3731" t="str">
            <v>FEB
2012</v>
          </cell>
          <cell r="M3731" t="str">
            <v>MAR
2012</v>
          </cell>
          <cell r="N3731" t="str">
            <v>ABR
2012</v>
          </cell>
          <cell r="O3731" t="str">
            <v>MAY
2012</v>
          </cell>
          <cell r="P3731" t="str">
            <v>JUN
2012</v>
          </cell>
          <cell r="Q3731" t="str">
            <v>JUL
2012</v>
          </cell>
          <cell r="R3731" t="str">
            <v>AGO
2012</v>
          </cell>
          <cell r="S3731" t="str">
            <v>SEP
2012</v>
          </cell>
          <cell r="T3731" t="str">
            <v>OCT
2012</v>
          </cell>
          <cell r="U3731" t="str">
            <v>NOV
2012</v>
          </cell>
          <cell r="V3731" t="str">
            <v>DIC
2012</v>
          </cell>
          <cell r="W3731" t="str">
            <v>SUMA
2012</v>
          </cell>
          <cell r="X3731" t="str">
            <v>ENE
2013</v>
          </cell>
          <cell r="Y3731" t="str">
            <v>FEB
2013</v>
          </cell>
          <cell r="Z3731" t="str">
            <v>MAR
2013</v>
          </cell>
          <cell r="AA3731" t="str">
            <v>ABR
2013</v>
          </cell>
          <cell r="AB3731" t="str">
            <v>MAY
2013</v>
          </cell>
          <cell r="AC3731" t="str">
            <v>JUN
2013</v>
          </cell>
          <cell r="AD3731" t="str">
            <v>JUL
2013</v>
          </cell>
          <cell r="AE3731" t="str">
            <v>AGO
2013</v>
          </cell>
          <cell r="AF3731" t="str">
            <v>SEP
2013</v>
          </cell>
          <cell r="AG3731" t="str">
            <v>OCT
2013</v>
          </cell>
          <cell r="AH3731" t="str">
            <v>NOV
2013</v>
          </cell>
          <cell r="AI3731" t="str">
            <v>DIC
2013</v>
          </cell>
          <cell r="AJ3731" t="str">
            <v>SUMA
2013</v>
          </cell>
          <cell r="AK3731" t="str">
            <v>ENE
2014</v>
          </cell>
          <cell r="AL3731" t="str">
            <v>FEB
2014</v>
          </cell>
          <cell r="AM3731" t="str">
            <v>MAR
2014</v>
          </cell>
          <cell r="AN3731" t="str">
            <v>ABR
2014</v>
          </cell>
          <cell r="AO3731" t="str">
            <v>MAY
2014</v>
          </cell>
          <cell r="AP3731" t="str">
            <v>JUN
2014</v>
          </cell>
          <cell r="AQ3731" t="str">
            <v>JUL
2014</v>
          </cell>
          <cell r="AR3731" t="str">
            <v>AGO
2014</v>
          </cell>
          <cell r="AS3731" t="str">
            <v>SEP
2014</v>
          </cell>
          <cell r="AT3731" t="str">
            <v>OCT
2014</v>
          </cell>
          <cell r="AU3731" t="str">
            <v>NOV
2014</v>
          </cell>
          <cell r="AV3731" t="str">
            <v>DIC
2014</v>
          </cell>
          <cell r="AW3731" t="str">
            <v>SUMA
2014</v>
          </cell>
        </row>
        <row r="3732">
          <cell r="B3732">
            <v>7194</v>
          </cell>
          <cell r="C3732" t="str">
            <v>EZ_55_</v>
          </cell>
          <cell r="D3732" t="str">
            <v>Rancho Estanzuela No. 55</v>
          </cell>
          <cell r="E3732" t="str">
            <v>Rodríguez Acevedo</v>
          </cell>
          <cell r="F3732">
            <v>300</v>
          </cell>
          <cell r="G3732">
            <v>4</v>
          </cell>
          <cell r="H3732">
            <v>160</v>
          </cell>
          <cell r="I3732">
            <v>41788</v>
          </cell>
          <cell r="J3732" t="str">
            <v>NO SUMA</v>
          </cell>
          <cell r="W3732">
            <v>0</v>
          </cell>
          <cell r="AJ3732">
            <v>0</v>
          </cell>
          <cell r="AW3732">
            <v>0</v>
          </cell>
        </row>
        <row r="3733">
          <cell r="B3733">
            <v>7195</v>
          </cell>
          <cell r="D3733" t="str">
            <v/>
          </cell>
          <cell r="E3733" t="str">
            <v/>
          </cell>
          <cell r="F3733" t="str">
            <v/>
          </cell>
          <cell r="G3733">
            <v>8</v>
          </cell>
          <cell r="I3733">
            <v>41791</v>
          </cell>
          <cell r="J3733" t="str">
            <v>NO SUMA</v>
          </cell>
          <cell r="W3733">
            <v>0</v>
          </cell>
          <cell r="AJ3733">
            <v>0</v>
          </cell>
          <cell r="AW3733">
            <v>0</v>
          </cell>
        </row>
        <row r="3734">
          <cell r="B3734">
            <v>7196</v>
          </cell>
          <cell r="C3734" t="str">
            <v>RV_173_</v>
          </cell>
          <cell r="D3734" t="str">
            <v>Rancho Recoveco No. 173</v>
          </cell>
          <cell r="E3734" t="str">
            <v>Velarde</v>
          </cell>
          <cell r="F3734">
            <v>300</v>
          </cell>
          <cell r="G3734">
            <v>1</v>
          </cell>
          <cell r="H3734">
            <v>600</v>
          </cell>
          <cell r="I3734">
            <v>41789</v>
          </cell>
          <cell r="J3734">
            <v>0</v>
          </cell>
          <cell r="W3734">
            <v>0</v>
          </cell>
          <cell r="AJ3734">
            <v>0</v>
          </cell>
          <cell r="AO3734">
            <v>300</v>
          </cell>
          <cell r="AP3734">
            <v>300</v>
          </cell>
          <cell r="AW3734">
            <v>600</v>
          </cell>
        </row>
        <row r="3735">
          <cell r="B3735">
            <v>7197</v>
          </cell>
          <cell r="C3735" t="str">
            <v>UP_120_</v>
          </cell>
          <cell r="D3735" t="str">
            <v>Rancho Upácuaro No. 120</v>
          </cell>
          <cell r="E3735" t="str">
            <v>Rayas Rivera</v>
          </cell>
          <cell r="F3735">
            <v>300</v>
          </cell>
          <cell r="G3735">
            <v>1</v>
          </cell>
          <cell r="H3735">
            <v>400</v>
          </cell>
          <cell r="I3735">
            <v>41791</v>
          </cell>
          <cell r="J3735">
            <v>0</v>
          </cell>
          <cell r="W3735">
            <v>0</v>
          </cell>
          <cell r="AJ3735">
            <v>0</v>
          </cell>
          <cell r="AP3735">
            <v>400</v>
          </cell>
          <cell r="AW3735">
            <v>400</v>
          </cell>
        </row>
        <row r="3736">
          <cell r="B3736">
            <v>7198</v>
          </cell>
          <cell r="C3736" t="str">
            <v>UP_76_</v>
          </cell>
          <cell r="D3736" t="str">
            <v>Rancho Upácuaro No. 76</v>
          </cell>
          <cell r="E3736" t="str">
            <v>Ruiz de San Pedro</v>
          </cell>
          <cell r="F3736">
            <v>300</v>
          </cell>
          <cell r="G3736">
            <v>1</v>
          </cell>
          <cell r="H3736">
            <v>400</v>
          </cell>
          <cell r="I3736">
            <v>41791</v>
          </cell>
          <cell r="J3736">
            <v>0</v>
          </cell>
          <cell r="W3736">
            <v>0</v>
          </cell>
          <cell r="AJ3736">
            <v>0</v>
          </cell>
          <cell r="AP3736">
            <v>400</v>
          </cell>
          <cell r="AW3736">
            <v>400</v>
          </cell>
        </row>
        <row r="3737">
          <cell r="B3737">
            <v>7199</v>
          </cell>
          <cell r="C3737" t="str">
            <v>CL_68_</v>
          </cell>
          <cell r="D3737" t="str">
            <v>Rancho La Cuchilla No. 68</v>
          </cell>
          <cell r="E3737" t="str">
            <v>Montesinos</v>
          </cell>
          <cell r="F3737">
            <v>300</v>
          </cell>
          <cell r="G3737">
            <v>1</v>
          </cell>
          <cell r="H3737">
            <v>200</v>
          </cell>
          <cell r="I3737">
            <v>41791</v>
          </cell>
          <cell r="J3737">
            <v>0</v>
          </cell>
          <cell r="W3737">
            <v>0</v>
          </cell>
          <cell r="AJ3737">
            <v>0</v>
          </cell>
          <cell r="AP3737">
            <v>200</v>
          </cell>
          <cell r="AW3737">
            <v>200</v>
          </cell>
        </row>
        <row r="3738">
          <cell r="B3738">
            <v>7200</v>
          </cell>
          <cell r="C3738" t="str">
            <v>LD_42_</v>
          </cell>
          <cell r="D3738" t="str">
            <v>Rancho Landero No. 42</v>
          </cell>
          <cell r="E3738" t="str">
            <v>Ávila Fidel</v>
          </cell>
          <cell r="F3738">
            <v>300</v>
          </cell>
          <cell r="G3738">
            <v>1</v>
          </cell>
          <cell r="H3738">
            <v>400</v>
          </cell>
          <cell r="I3738">
            <v>41791</v>
          </cell>
          <cell r="J3738">
            <v>0</v>
          </cell>
          <cell r="W3738">
            <v>0</v>
          </cell>
          <cell r="AJ3738">
            <v>0</v>
          </cell>
          <cell r="AP3738">
            <v>400</v>
          </cell>
          <cell r="AW3738">
            <v>400</v>
          </cell>
        </row>
        <row r="3739">
          <cell r="B3739">
            <v>7201</v>
          </cell>
          <cell r="C3739" t="str">
            <v>UP_140_</v>
          </cell>
          <cell r="D3739" t="str">
            <v>Rancho Upácuaro No. 140</v>
          </cell>
          <cell r="E3739" t="str">
            <v>Gozain</v>
          </cell>
          <cell r="F3739">
            <v>300</v>
          </cell>
          <cell r="G3739">
            <v>1</v>
          </cell>
          <cell r="H3739">
            <v>400</v>
          </cell>
          <cell r="I3739">
            <v>41791</v>
          </cell>
          <cell r="J3739">
            <v>0</v>
          </cell>
          <cell r="W3739">
            <v>0</v>
          </cell>
          <cell r="AJ3739">
            <v>0</v>
          </cell>
          <cell r="AP3739">
            <v>400</v>
          </cell>
          <cell r="AW3739">
            <v>400</v>
          </cell>
        </row>
        <row r="3740">
          <cell r="B3740">
            <v>7202</v>
          </cell>
          <cell r="C3740" t="str">
            <v>LD_80_</v>
          </cell>
          <cell r="D3740" t="str">
            <v>Rancho Landero No. 80</v>
          </cell>
          <cell r="E3740" t="str">
            <v>Villaseñor Sánchez</v>
          </cell>
          <cell r="F3740">
            <v>300</v>
          </cell>
          <cell r="G3740">
            <v>1</v>
          </cell>
          <cell r="H3740">
            <v>400</v>
          </cell>
          <cell r="I3740">
            <v>41791</v>
          </cell>
          <cell r="J3740">
            <v>0</v>
          </cell>
          <cell r="W3740">
            <v>0</v>
          </cell>
          <cell r="AJ3740">
            <v>0</v>
          </cell>
          <cell r="AP3740">
            <v>400</v>
          </cell>
          <cell r="AW3740">
            <v>400</v>
          </cell>
        </row>
        <row r="3741">
          <cell r="B3741">
            <v>7203</v>
          </cell>
          <cell r="C3741" t="str">
            <v>CL_43_B</v>
          </cell>
          <cell r="D3741" t="str">
            <v>Rancho La Cuchilla No. 43, B</v>
          </cell>
          <cell r="E3741" t="str">
            <v>Luna Albertano</v>
          </cell>
          <cell r="F3741">
            <v>125</v>
          </cell>
          <cell r="G3741">
            <v>1</v>
          </cell>
          <cell r="H3741">
            <v>125</v>
          </cell>
          <cell r="I3741">
            <v>41791</v>
          </cell>
          <cell r="J3741">
            <v>0</v>
          </cell>
          <cell r="W3741">
            <v>0</v>
          </cell>
          <cell r="AJ3741">
            <v>0</v>
          </cell>
          <cell r="AP3741">
            <v>125</v>
          </cell>
          <cell r="AW3741">
            <v>125</v>
          </cell>
        </row>
        <row r="3742">
          <cell r="B3742">
            <v>7204</v>
          </cell>
          <cell r="C3742" t="str">
            <v>RM_33_</v>
          </cell>
          <cell r="D3742" t="str">
            <v>Rancho Romeral No. 33</v>
          </cell>
          <cell r="E3742" t="str">
            <v>Juárez Alva</v>
          </cell>
          <cell r="F3742">
            <v>300</v>
          </cell>
          <cell r="G3742">
            <v>1</v>
          </cell>
          <cell r="H3742">
            <v>800</v>
          </cell>
          <cell r="I3742">
            <v>41791</v>
          </cell>
          <cell r="J3742">
            <v>0</v>
          </cell>
          <cell r="W3742">
            <v>0</v>
          </cell>
          <cell r="AJ3742">
            <v>0</v>
          </cell>
          <cell r="AN3742">
            <v>400</v>
          </cell>
          <cell r="AO3742">
            <v>400</v>
          </cell>
          <cell r="AW3742">
            <v>800</v>
          </cell>
        </row>
        <row r="3743">
          <cell r="B3743">
            <v>7205</v>
          </cell>
          <cell r="C3743" t="str">
            <v>RM_33_</v>
          </cell>
          <cell r="D3743" t="str">
            <v>Rancho Romeral No. 33</v>
          </cell>
          <cell r="E3743" t="str">
            <v>Juárez Alva</v>
          </cell>
          <cell r="F3743">
            <v>300</v>
          </cell>
          <cell r="G3743">
            <v>3</v>
          </cell>
          <cell r="H3743">
            <v>160</v>
          </cell>
          <cell r="I3743">
            <v>41791</v>
          </cell>
          <cell r="J3743" t="str">
            <v>NO SUMA</v>
          </cell>
          <cell r="W3743">
            <v>0</v>
          </cell>
          <cell r="AJ3743">
            <v>0</v>
          </cell>
          <cell r="AW3743">
            <v>0</v>
          </cell>
        </row>
        <row r="3744">
          <cell r="B3744">
            <v>7206</v>
          </cell>
          <cell r="D3744" t="str">
            <v/>
          </cell>
          <cell r="E3744" t="str">
            <v/>
          </cell>
          <cell r="F3744" t="str">
            <v/>
          </cell>
          <cell r="G3744">
            <v>8</v>
          </cell>
          <cell r="I3744">
            <v>41791</v>
          </cell>
          <cell r="J3744" t="str">
            <v>NO SUMA</v>
          </cell>
          <cell r="W3744">
            <v>0</v>
          </cell>
          <cell r="AJ3744">
            <v>0</v>
          </cell>
          <cell r="AW3744">
            <v>0</v>
          </cell>
        </row>
        <row r="3745">
          <cell r="B3745">
            <v>7207</v>
          </cell>
          <cell r="C3745" t="str">
            <v>UP_134_</v>
          </cell>
          <cell r="D3745" t="str">
            <v>Rancho Upácuaro No. 134</v>
          </cell>
          <cell r="E3745" t="str">
            <v>Flores Pérez</v>
          </cell>
          <cell r="F3745">
            <v>300</v>
          </cell>
          <cell r="G3745">
            <v>1</v>
          </cell>
          <cell r="H3745">
            <v>800</v>
          </cell>
          <cell r="I3745">
            <v>41791</v>
          </cell>
          <cell r="J3745">
            <v>0</v>
          </cell>
          <cell r="W3745">
            <v>0</v>
          </cell>
          <cell r="AJ3745">
            <v>0</v>
          </cell>
          <cell r="AN3745">
            <v>400</v>
          </cell>
          <cell r="AO3745">
            <v>400</v>
          </cell>
          <cell r="AW3745">
            <v>800</v>
          </cell>
        </row>
        <row r="3746">
          <cell r="B3746">
            <v>7208</v>
          </cell>
          <cell r="C3746" t="str">
            <v>ZB_44_</v>
          </cell>
          <cell r="D3746" t="str">
            <v>Rancho Zinamba No. 44</v>
          </cell>
          <cell r="E3746" t="str">
            <v>Canales</v>
          </cell>
          <cell r="F3746">
            <v>300</v>
          </cell>
          <cell r="G3746">
            <v>1</v>
          </cell>
          <cell r="H3746">
            <v>400</v>
          </cell>
          <cell r="I3746">
            <v>41791</v>
          </cell>
          <cell r="J3746">
            <v>0</v>
          </cell>
          <cell r="W3746">
            <v>0</v>
          </cell>
          <cell r="AJ3746">
            <v>0</v>
          </cell>
          <cell r="AP3746">
            <v>400</v>
          </cell>
          <cell r="AW3746">
            <v>400</v>
          </cell>
        </row>
        <row r="3747">
          <cell r="B3747">
            <v>7209</v>
          </cell>
          <cell r="C3747" t="str">
            <v>CL_19_</v>
          </cell>
          <cell r="D3747" t="str">
            <v>Rancho La Cuchilla No. 19</v>
          </cell>
          <cell r="E3747" t="str">
            <v>Tapia Vázquez</v>
          </cell>
          <cell r="F3747">
            <v>300</v>
          </cell>
          <cell r="G3747">
            <v>1</v>
          </cell>
          <cell r="H3747">
            <v>300</v>
          </cell>
          <cell r="I3747">
            <v>41791</v>
          </cell>
          <cell r="J3747">
            <v>0</v>
          </cell>
          <cell r="W3747">
            <v>0</v>
          </cell>
          <cell r="AJ3747">
            <v>0</v>
          </cell>
          <cell r="AP3747">
            <v>300</v>
          </cell>
          <cell r="AW3747">
            <v>300</v>
          </cell>
        </row>
        <row r="3748">
          <cell r="B3748">
            <v>7210</v>
          </cell>
          <cell r="C3748" t="str">
            <v>UP_85_</v>
          </cell>
          <cell r="D3748" t="str">
            <v>Rancho Upácuaro No. 85</v>
          </cell>
          <cell r="E3748" t="str">
            <v>Del Toro Huerta</v>
          </cell>
          <cell r="F3748">
            <v>300</v>
          </cell>
          <cell r="G3748">
            <v>1</v>
          </cell>
          <cell r="H3748">
            <v>400</v>
          </cell>
          <cell r="I3748">
            <v>41791</v>
          </cell>
          <cell r="J3748">
            <v>0</v>
          </cell>
          <cell r="W3748">
            <v>0</v>
          </cell>
          <cell r="AJ3748">
            <v>0</v>
          </cell>
          <cell r="AP3748">
            <v>400</v>
          </cell>
          <cell r="AW3748">
            <v>400</v>
          </cell>
        </row>
        <row r="3749">
          <cell r="B3749">
            <v>7211</v>
          </cell>
          <cell r="C3749" t="str">
            <v>CL_20_</v>
          </cell>
          <cell r="D3749" t="str">
            <v>Rancho La Cuchilla No. 20</v>
          </cell>
          <cell r="E3749" t="str">
            <v>Sánchez López</v>
          </cell>
          <cell r="F3749">
            <v>300</v>
          </cell>
          <cell r="G3749">
            <v>1</v>
          </cell>
          <cell r="H3749">
            <v>400</v>
          </cell>
          <cell r="I3749">
            <v>41791</v>
          </cell>
          <cell r="J3749">
            <v>0</v>
          </cell>
          <cell r="W3749">
            <v>0</v>
          </cell>
          <cell r="AJ3749">
            <v>0</v>
          </cell>
          <cell r="AP3749">
            <v>400</v>
          </cell>
          <cell r="AW3749">
            <v>400</v>
          </cell>
        </row>
        <row r="3750">
          <cell r="B3750">
            <v>7212</v>
          </cell>
          <cell r="C3750" t="str">
            <v>LD_73_</v>
          </cell>
          <cell r="D3750" t="str">
            <v>Rancho Landero No. 73</v>
          </cell>
          <cell r="E3750" t="str">
            <v>Islas Palacios</v>
          </cell>
          <cell r="F3750">
            <v>300</v>
          </cell>
          <cell r="G3750">
            <v>1</v>
          </cell>
          <cell r="H3750">
            <v>400</v>
          </cell>
          <cell r="I3750">
            <v>41791</v>
          </cell>
          <cell r="J3750">
            <v>0</v>
          </cell>
          <cell r="W3750">
            <v>0</v>
          </cell>
          <cell r="AJ3750">
            <v>0</v>
          </cell>
          <cell r="AO3750">
            <v>400</v>
          </cell>
          <cell r="AW3750">
            <v>400</v>
          </cell>
        </row>
        <row r="3751">
          <cell r="B3751">
            <v>7213</v>
          </cell>
          <cell r="C3751" t="str">
            <v>UP_18_</v>
          </cell>
          <cell r="D3751" t="str">
            <v>Rancho Upácuaro No. 18</v>
          </cell>
          <cell r="E3751" t="str">
            <v>Guzmán</v>
          </cell>
          <cell r="F3751">
            <v>300</v>
          </cell>
          <cell r="G3751">
            <v>1</v>
          </cell>
          <cell r="H3751">
            <v>300</v>
          </cell>
          <cell r="I3751">
            <v>41791</v>
          </cell>
          <cell r="J3751">
            <v>0</v>
          </cell>
          <cell r="W3751">
            <v>0</v>
          </cell>
          <cell r="AJ3751">
            <v>0</v>
          </cell>
          <cell r="AP3751">
            <v>300</v>
          </cell>
          <cell r="AW3751">
            <v>300</v>
          </cell>
        </row>
        <row r="3752">
          <cell r="B3752">
            <v>7214</v>
          </cell>
          <cell r="C3752" t="str">
            <v>EZ_31_</v>
          </cell>
          <cell r="D3752" t="str">
            <v>Rancho Estanzuela No. 31</v>
          </cell>
          <cell r="E3752" t="str">
            <v>Chávez Valdés</v>
          </cell>
          <cell r="F3752">
            <v>300</v>
          </cell>
          <cell r="G3752">
            <v>1</v>
          </cell>
          <cell r="H3752">
            <v>400</v>
          </cell>
          <cell r="I3752">
            <v>41791</v>
          </cell>
          <cell r="J3752">
            <v>0</v>
          </cell>
          <cell r="W3752">
            <v>0</v>
          </cell>
          <cell r="AJ3752">
            <v>0</v>
          </cell>
          <cell r="AO3752">
            <v>400</v>
          </cell>
          <cell r="AW3752">
            <v>400</v>
          </cell>
        </row>
        <row r="3753">
          <cell r="B3753">
            <v>7215</v>
          </cell>
          <cell r="C3753" t="str">
            <v>RV_197_</v>
          </cell>
          <cell r="D3753" t="str">
            <v>Rancho Recoveco No. 197</v>
          </cell>
          <cell r="E3753" t="str">
            <v>Colín González</v>
          </cell>
          <cell r="F3753">
            <v>300</v>
          </cell>
          <cell r="G3753">
            <v>1</v>
          </cell>
          <cell r="H3753">
            <v>400</v>
          </cell>
          <cell r="I3753">
            <v>41791</v>
          </cell>
          <cell r="J3753">
            <v>0</v>
          </cell>
          <cell r="W3753">
            <v>0</v>
          </cell>
          <cell r="AJ3753">
            <v>0</v>
          </cell>
          <cell r="AP3753">
            <v>400</v>
          </cell>
          <cell r="AW3753">
            <v>400</v>
          </cell>
        </row>
        <row r="3754">
          <cell r="B3754">
            <v>7216</v>
          </cell>
          <cell r="C3754" t="str">
            <v>RV_175_B</v>
          </cell>
          <cell r="D3754" t="str">
            <v>Rancho Recoveco No. 175, B</v>
          </cell>
          <cell r="E3754" t="str">
            <v>García Calderón</v>
          </cell>
          <cell r="F3754">
            <v>150</v>
          </cell>
          <cell r="G3754">
            <v>1</v>
          </cell>
          <cell r="H3754">
            <v>200</v>
          </cell>
          <cell r="I3754">
            <v>41791</v>
          </cell>
          <cell r="J3754">
            <v>0</v>
          </cell>
          <cell r="W3754">
            <v>0</v>
          </cell>
          <cell r="AJ3754">
            <v>0</v>
          </cell>
          <cell r="AP3754">
            <v>200</v>
          </cell>
          <cell r="AW3754">
            <v>200</v>
          </cell>
        </row>
        <row r="3755">
          <cell r="B3755">
            <v>7217</v>
          </cell>
          <cell r="C3755" t="str">
            <v>EZ_35_</v>
          </cell>
          <cell r="D3755" t="str">
            <v>Rancho Estanzuela No. 35</v>
          </cell>
          <cell r="E3755" t="str">
            <v>Rodríguez</v>
          </cell>
          <cell r="F3755">
            <v>300</v>
          </cell>
          <cell r="G3755">
            <v>1</v>
          </cell>
          <cell r="H3755">
            <v>400</v>
          </cell>
          <cell r="I3755">
            <v>41791</v>
          </cell>
          <cell r="J3755">
            <v>0</v>
          </cell>
          <cell r="W3755">
            <v>0</v>
          </cell>
          <cell r="AJ3755">
            <v>0</v>
          </cell>
          <cell r="AO3755">
            <v>400</v>
          </cell>
          <cell r="AW3755">
            <v>400</v>
          </cell>
        </row>
        <row r="3756">
          <cell r="B3756">
            <v>7218</v>
          </cell>
          <cell r="C3756" t="str">
            <v>CL_40_</v>
          </cell>
          <cell r="D3756" t="str">
            <v>Rancho La Cuchilla No. 40</v>
          </cell>
          <cell r="E3756" t="str">
            <v>López Pico</v>
          </cell>
          <cell r="F3756">
            <v>300</v>
          </cell>
          <cell r="G3756">
            <v>1</v>
          </cell>
          <cell r="H3756">
            <v>400</v>
          </cell>
          <cell r="I3756">
            <v>41791</v>
          </cell>
          <cell r="J3756">
            <v>0</v>
          </cell>
          <cell r="W3756">
            <v>0</v>
          </cell>
          <cell r="AJ3756">
            <v>0</v>
          </cell>
          <cell r="AP3756">
            <v>400</v>
          </cell>
          <cell r="AW3756">
            <v>400</v>
          </cell>
        </row>
        <row r="3757">
          <cell r="B3757">
            <v>7219</v>
          </cell>
          <cell r="C3757" t="str">
            <v>UP_69_</v>
          </cell>
          <cell r="D3757" t="str">
            <v>Rancho Upácuaro No. 69</v>
          </cell>
          <cell r="E3757" t="str">
            <v>Gómez</v>
          </cell>
          <cell r="F3757">
            <v>300</v>
          </cell>
          <cell r="G3757">
            <v>1</v>
          </cell>
          <cell r="H3757">
            <v>400</v>
          </cell>
          <cell r="I3757">
            <v>41791</v>
          </cell>
          <cell r="J3757">
            <v>0</v>
          </cell>
          <cell r="W3757">
            <v>0</v>
          </cell>
          <cell r="AJ3757">
            <v>0</v>
          </cell>
          <cell r="AN3757">
            <v>400</v>
          </cell>
          <cell r="AW3757">
            <v>400</v>
          </cell>
        </row>
        <row r="3758">
          <cell r="B3758">
            <v>7220</v>
          </cell>
          <cell r="C3758" t="str">
            <v>CL_139_</v>
          </cell>
          <cell r="D3758" t="str">
            <v>Rancho La Cuchilla No. 139</v>
          </cell>
          <cell r="E3758" t="str">
            <v>Santos</v>
          </cell>
          <cell r="F3758">
            <v>200</v>
          </cell>
          <cell r="G3758">
            <v>1</v>
          </cell>
          <cell r="H3758">
            <v>200</v>
          </cell>
          <cell r="I3758">
            <v>41791</v>
          </cell>
          <cell r="J3758">
            <v>0</v>
          </cell>
          <cell r="W3758">
            <v>0</v>
          </cell>
          <cell r="AJ3758">
            <v>0</v>
          </cell>
          <cell r="AP3758">
            <v>200</v>
          </cell>
          <cell r="AW3758">
            <v>200</v>
          </cell>
        </row>
        <row r="3759">
          <cell r="B3759">
            <v>7221</v>
          </cell>
          <cell r="C3759" t="str">
            <v>CL_45_</v>
          </cell>
          <cell r="D3759" t="str">
            <v>Rancho La Cuchilla No. 45</v>
          </cell>
          <cell r="E3759" t="str">
            <v>Estévez Hernández</v>
          </cell>
          <cell r="F3759">
            <v>300</v>
          </cell>
          <cell r="G3759">
            <v>1</v>
          </cell>
          <cell r="H3759">
            <v>400</v>
          </cell>
          <cell r="I3759">
            <v>41791</v>
          </cell>
          <cell r="J3759">
            <v>0</v>
          </cell>
          <cell r="W3759">
            <v>0</v>
          </cell>
          <cell r="AJ3759">
            <v>0</v>
          </cell>
          <cell r="AP3759">
            <v>400</v>
          </cell>
          <cell r="AW3759">
            <v>400</v>
          </cell>
        </row>
        <row r="3760">
          <cell r="B3760">
            <v>7222</v>
          </cell>
          <cell r="C3760" t="str">
            <v>UP_70_</v>
          </cell>
          <cell r="D3760" t="str">
            <v>Rancho Upácuaro No. 70</v>
          </cell>
          <cell r="E3760" t="str">
            <v>Ramírez Tejeda</v>
          </cell>
          <cell r="F3760">
            <v>300</v>
          </cell>
          <cell r="G3760">
            <v>1</v>
          </cell>
          <cell r="H3760">
            <v>300</v>
          </cell>
          <cell r="I3760">
            <v>41791</v>
          </cell>
          <cell r="J3760">
            <v>0</v>
          </cell>
          <cell r="W3760">
            <v>0</v>
          </cell>
          <cell r="AJ3760">
            <v>0</v>
          </cell>
          <cell r="AP3760">
            <v>300</v>
          </cell>
          <cell r="AW3760">
            <v>300</v>
          </cell>
        </row>
        <row r="3761">
          <cell r="B3761">
            <v>7223</v>
          </cell>
          <cell r="C3761" t="str">
            <v>UP_23_</v>
          </cell>
          <cell r="D3761" t="str">
            <v>Rancho Upácuaro No. 23</v>
          </cell>
          <cell r="E3761" t="str">
            <v>Arredondo</v>
          </cell>
          <cell r="F3761">
            <v>300</v>
          </cell>
          <cell r="G3761">
            <v>1</v>
          </cell>
          <cell r="H3761">
            <v>350</v>
          </cell>
          <cell r="I3761">
            <v>41791</v>
          </cell>
          <cell r="J3761">
            <v>0</v>
          </cell>
          <cell r="W3761">
            <v>0</v>
          </cell>
          <cell r="AJ3761">
            <v>0</v>
          </cell>
          <cell r="AP3761">
            <v>350</v>
          </cell>
          <cell r="AW3761">
            <v>350</v>
          </cell>
        </row>
        <row r="3762">
          <cell r="B3762">
            <v>7224</v>
          </cell>
          <cell r="C3762" t="str">
            <v>CL_107_</v>
          </cell>
          <cell r="D3762" t="str">
            <v>Rancho La Cuchilla No. 107</v>
          </cell>
          <cell r="E3762" t="str">
            <v>Olivares Rivera</v>
          </cell>
          <cell r="F3762">
            <v>300</v>
          </cell>
          <cell r="G3762">
            <v>1</v>
          </cell>
          <cell r="H3762">
            <v>400</v>
          </cell>
          <cell r="I3762">
            <v>41791</v>
          </cell>
          <cell r="J3762">
            <v>0</v>
          </cell>
          <cell r="W3762">
            <v>0</v>
          </cell>
          <cell r="AJ3762">
            <v>0</v>
          </cell>
          <cell r="AP3762">
            <v>400</v>
          </cell>
          <cell r="AW3762">
            <v>400</v>
          </cell>
        </row>
        <row r="3763">
          <cell r="B3763">
            <v>7225</v>
          </cell>
          <cell r="C3763" t="str">
            <v>EZ_161_1</v>
          </cell>
          <cell r="D3763" t="str">
            <v>Rancho Estanzuela No. 161, 1</v>
          </cell>
          <cell r="E3763" t="str">
            <v>Guevara</v>
          </cell>
          <cell r="F3763">
            <v>150</v>
          </cell>
          <cell r="G3763">
            <v>1</v>
          </cell>
          <cell r="H3763">
            <v>200</v>
          </cell>
          <cell r="I3763">
            <v>41791</v>
          </cell>
          <cell r="J3763">
            <v>0</v>
          </cell>
          <cell r="W3763">
            <v>0</v>
          </cell>
          <cell r="AJ3763">
            <v>0</v>
          </cell>
          <cell r="AP3763">
            <v>200</v>
          </cell>
          <cell r="AW3763">
            <v>200</v>
          </cell>
        </row>
        <row r="3764">
          <cell r="B3764">
            <v>7226</v>
          </cell>
          <cell r="C3764" t="str">
            <v>EZ_139_</v>
          </cell>
          <cell r="D3764" t="str">
            <v>Rancho Estanzuela No. 139</v>
          </cell>
          <cell r="E3764" t="str">
            <v>Ortiz</v>
          </cell>
          <cell r="F3764">
            <v>300</v>
          </cell>
          <cell r="G3764">
            <v>1</v>
          </cell>
          <cell r="H3764">
            <v>400</v>
          </cell>
          <cell r="I3764">
            <v>41791</v>
          </cell>
          <cell r="J3764">
            <v>0</v>
          </cell>
          <cell r="W3764">
            <v>0</v>
          </cell>
          <cell r="AJ3764">
            <v>0</v>
          </cell>
          <cell r="AN3764">
            <v>400</v>
          </cell>
          <cell r="AW3764">
            <v>400</v>
          </cell>
        </row>
        <row r="3765">
          <cell r="B3765">
            <v>7227</v>
          </cell>
          <cell r="C3765" t="str">
            <v>ZB_56_</v>
          </cell>
          <cell r="D3765" t="str">
            <v>Rancho Zinamba No. 56</v>
          </cell>
          <cell r="E3765" t="str">
            <v>Aguado</v>
          </cell>
          <cell r="F3765">
            <v>250</v>
          </cell>
          <cell r="G3765">
            <v>1</v>
          </cell>
          <cell r="H3765">
            <v>350</v>
          </cell>
          <cell r="I3765">
            <v>41791</v>
          </cell>
          <cell r="J3765">
            <v>0</v>
          </cell>
          <cell r="W3765">
            <v>0</v>
          </cell>
          <cell r="AJ3765">
            <v>0</v>
          </cell>
          <cell r="AP3765">
            <v>350</v>
          </cell>
          <cell r="AW3765">
            <v>350</v>
          </cell>
        </row>
        <row r="3766">
          <cell r="B3766">
            <v>7228</v>
          </cell>
          <cell r="C3766" t="str">
            <v>UP_93_</v>
          </cell>
          <cell r="D3766" t="str">
            <v>Rancho Upácuaro No. 93</v>
          </cell>
          <cell r="E3766" t="str">
            <v>Valdés</v>
          </cell>
          <cell r="F3766">
            <v>300</v>
          </cell>
          <cell r="G3766">
            <v>1</v>
          </cell>
          <cell r="H3766">
            <v>400</v>
          </cell>
          <cell r="I3766">
            <v>41791</v>
          </cell>
          <cell r="J3766">
            <v>0</v>
          </cell>
          <cell r="W3766">
            <v>0</v>
          </cell>
          <cell r="AJ3766">
            <v>0</v>
          </cell>
          <cell r="AO3766">
            <v>400</v>
          </cell>
          <cell r="AW3766">
            <v>400</v>
          </cell>
        </row>
        <row r="3767">
          <cell r="B3767">
            <v>7229</v>
          </cell>
          <cell r="C3767" t="str">
            <v>CL_148_</v>
          </cell>
          <cell r="D3767" t="str">
            <v>Rancho La Cuchilla No. 148</v>
          </cell>
          <cell r="E3767" t="str">
            <v>Vázquez Vázquez</v>
          </cell>
          <cell r="F3767">
            <v>300</v>
          </cell>
          <cell r="G3767">
            <v>1</v>
          </cell>
          <cell r="H3767">
            <v>1200</v>
          </cell>
          <cell r="I3767">
            <v>41791</v>
          </cell>
          <cell r="J3767">
            <v>0</v>
          </cell>
          <cell r="W3767">
            <v>0</v>
          </cell>
          <cell r="AJ3767">
            <v>0</v>
          </cell>
          <cell r="AM3767">
            <v>400</v>
          </cell>
          <cell r="AN3767">
            <v>400</v>
          </cell>
          <cell r="AO3767">
            <v>400</v>
          </cell>
          <cell r="AW3767">
            <v>1200</v>
          </cell>
        </row>
        <row r="3768">
          <cell r="B3768">
            <v>7230</v>
          </cell>
          <cell r="C3768" t="str">
            <v>EZ_61_</v>
          </cell>
          <cell r="D3768" t="str">
            <v>Rancho Estanzuela No. 61</v>
          </cell>
          <cell r="E3768" t="str">
            <v>González Almazán</v>
          </cell>
          <cell r="F3768">
            <v>300</v>
          </cell>
          <cell r="G3768">
            <v>1</v>
          </cell>
          <cell r="H3768">
            <v>400</v>
          </cell>
          <cell r="I3768">
            <v>41791</v>
          </cell>
          <cell r="J3768">
            <v>0</v>
          </cell>
          <cell r="W3768">
            <v>0</v>
          </cell>
          <cell r="AJ3768">
            <v>0</v>
          </cell>
          <cell r="AO3768">
            <v>400</v>
          </cell>
          <cell r="AW3768">
            <v>400</v>
          </cell>
        </row>
        <row r="3769">
          <cell r="B3769">
            <v>7231</v>
          </cell>
          <cell r="C3769" t="str">
            <v>CL_72_</v>
          </cell>
          <cell r="D3769" t="str">
            <v>Rancho La Cuchilla No. 72</v>
          </cell>
          <cell r="E3769" t="str">
            <v>Ortiz González</v>
          </cell>
          <cell r="F3769">
            <v>300</v>
          </cell>
          <cell r="G3769">
            <v>1</v>
          </cell>
          <cell r="H3769">
            <v>400</v>
          </cell>
          <cell r="I3769">
            <v>41791</v>
          </cell>
          <cell r="J3769">
            <v>0</v>
          </cell>
          <cell r="W3769">
            <v>0</v>
          </cell>
          <cell r="AJ3769">
            <v>0</v>
          </cell>
          <cell r="AP3769">
            <v>400</v>
          </cell>
          <cell r="AW3769">
            <v>400</v>
          </cell>
        </row>
        <row r="3770">
          <cell r="B3770">
            <v>7232</v>
          </cell>
          <cell r="C3770" t="str">
            <v>RV_193_</v>
          </cell>
          <cell r="D3770" t="str">
            <v>Rancho Recoveco No. 193</v>
          </cell>
          <cell r="E3770" t="str">
            <v>Salazar Pérez</v>
          </cell>
          <cell r="F3770">
            <v>300</v>
          </cell>
          <cell r="G3770">
            <v>1</v>
          </cell>
          <cell r="H3770">
            <v>300</v>
          </cell>
          <cell r="I3770">
            <v>41791</v>
          </cell>
          <cell r="J3770">
            <v>0</v>
          </cell>
          <cell r="W3770">
            <v>0</v>
          </cell>
          <cell r="AJ3770">
            <v>0</v>
          </cell>
          <cell r="AP3770">
            <v>300</v>
          </cell>
          <cell r="AW3770">
            <v>300</v>
          </cell>
        </row>
        <row r="3771">
          <cell r="B3771">
            <v>7232</v>
          </cell>
          <cell r="C3771" t="str">
            <v>RV_193_</v>
          </cell>
          <cell r="D3771" t="str">
            <v>Rancho Recoveco No. 193</v>
          </cell>
          <cell r="E3771" t="str">
            <v>Salazar Pérez</v>
          </cell>
          <cell r="F3771">
            <v>300</v>
          </cell>
          <cell r="G3771">
            <v>4</v>
          </cell>
          <cell r="H3771">
            <v>160</v>
          </cell>
          <cell r="I3771">
            <v>41791</v>
          </cell>
          <cell r="J3771" t="str">
            <v>NO SUMA</v>
          </cell>
          <cell r="W3771">
            <v>0</v>
          </cell>
          <cell r="AJ3771">
            <v>0</v>
          </cell>
          <cell r="AW3771">
            <v>0</v>
          </cell>
        </row>
        <row r="3772">
          <cell r="B3772">
            <v>7233</v>
          </cell>
          <cell r="C3772" t="str">
            <v>UP_116_</v>
          </cell>
          <cell r="D3772" t="str">
            <v>Rancho Upácuaro No. 116</v>
          </cell>
          <cell r="E3772" t="str">
            <v>García Zamudio</v>
          </cell>
          <cell r="F3772">
            <v>300</v>
          </cell>
          <cell r="G3772">
            <v>1</v>
          </cell>
          <cell r="H3772">
            <v>800</v>
          </cell>
          <cell r="I3772">
            <v>41791</v>
          </cell>
          <cell r="J3772">
            <v>0</v>
          </cell>
          <cell r="W3772">
            <v>0</v>
          </cell>
          <cell r="AJ3772">
            <v>0</v>
          </cell>
          <cell r="AM3772">
            <v>400</v>
          </cell>
          <cell r="AN3772">
            <v>400</v>
          </cell>
          <cell r="AW3772">
            <v>800</v>
          </cell>
        </row>
        <row r="3773">
          <cell r="B3773">
            <v>7234</v>
          </cell>
          <cell r="C3773" t="str">
            <v>RV_193_</v>
          </cell>
          <cell r="D3773" t="str">
            <v>Rancho Recoveco No. 193</v>
          </cell>
          <cell r="E3773" t="str">
            <v>Salazar Pérez</v>
          </cell>
          <cell r="F3773">
            <v>300</v>
          </cell>
          <cell r="G3773">
            <v>1</v>
          </cell>
          <cell r="H3773">
            <v>600</v>
          </cell>
          <cell r="I3773">
            <v>41791</v>
          </cell>
          <cell r="J3773">
            <v>0</v>
          </cell>
          <cell r="W3773">
            <v>0</v>
          </cell>
          <cell r="AJ3773">
            <v>0</v>
          </cell>
          <cell r="AN3773">
            <v>300</v>
          </cell>
          <cell r="AO3773">
            <v>300</v>
          </cell>
          <cell r="AW3773">
            <v>600</v>
          </cell>
        </row>
        <row r="3774">
          <cell r="B3774">
            <v>7235</v>
          </cell>
          <cell r="C3774" t="str">
            <v>CL_31_</v>
          </cell>
          <cell r="D3774" t="str">
            <v>Rancho La Cuchilla No. 31</v>
          </cell>
          <cell r="E3774" t="str">
            <v>Espinoza Serrano</v>
          </cell>
          <cell r="F3774">
            <v>300</v>
          </cell>
          <cell r="G3774">
            <v>1</v>
          </cell>
          <cell r="H3774">
            <v>300</v>
          </cell>
          <cell r="I3774">
            <v>41791</v>
          </cell>
          <cell r="J3774">
            <v>0</v>
          </cell>
          <cell r="W3774">
            <v>0</v>
          </cell>
          <cell r="AJ3774">
            <v>0</v>
          </cell>
          <cell r="AO3774">
            <v>0</v>
          </cell>
          <cell r="AP3774">
            <v>300</v>
          </cell>
          <cell r="AW3774">
            <v>300</v>
          </cell>
        </row>
        <row r="3775">
          <cell r="B3775">
            <v>7236</v>
          </cell>
          <cell r="C3775" t="str">
            <v>CL_35_</v>
          </cell>
          <cell r="D3775" t="str">
            <v>Rancho La Cuchilla No. 35</v>
          </cell>
          <cell r="E3775" t="str">
            <v>Mendoza</v>
          </cell>
          <cell r="F3775">
            <v>150</v>
          </cell>
          <cell r="G3775">
            <v>1</v>
          </cell>
          <cell r="H3775">
            <v>300</v>
          </cell>
          <cell r="I3775">
            <v>41791</v>
          </cell>
          <cell r="J3775">
            <v>0</v>
          </cell>
          <cell r="W3775">
            <v>0</v>
          </cell>
          <cell r="AJ3775">
            <v>0</v>
          </cell>
          <cell r="AO3775">
            <v>150</v>
          </cell>
          <cell r="AP3775">
            <v>150</v>
          </cell>
          <cell r="AW3775">
            <v>300</v>
          </cell>
        </row>
        <row r="3776">
          <cell r="B3776">
            <v>7237</v>
          </cell>
          <cell r="C3776" t="str">
            <v>ZB_20_</v>
          </cell>
          <cell r="D3776" t="str">
            <v>Rancho Zinamba No. 20</v>
          </cell>
          <cell r="E3776" t="str">
            <v>Alegre Retana</v>
          </cell>
          <cell r="F3776">
            <v>300</v>
          </cell>
          <cell r="G3776">
            <v>1</v>
          </cell>
          <cell r="H3776">
            <v>400</v>
          </cell>
          <cell r="I3776">
            <v>41791</v>
          </cell>
          <cell r="J3776">
            <v>0</v>
          </cell>
          <cell r="W3776">
            <v>0</v>
          </cell>
          <cell r="AJ3776">
            <v>0</v>
          </cell>
          <cell r="AN3776">
            <v>400</v>
          </cell>
          <cell r="AW3776">
            <v>400</v>
          </cell>
        </row>
        <row r="3777">
          <cell r="B3777">
            <v>7238</v>
          </cell>
          <cell r="C3777" t="str">
            <v>CL_118_</v>
          </cell>
          <cell r="D3777" t="str">
            <v>Rancho La Cuchilla No. 118</v>
          </cell>
          <cell r="E3777" t="str">
            <v>Astorga Ruiz</v>
          </cell>
          <cell r="F3777">
            <v>300</v>
          </cell>
          <cell r="G3777">
            <v>1</v>
          </cell>
          <cell r="H3777">
            <v>400</v>
          </cell>
          <cell r="I3777">
            <v>41791</v>
          </cell>
          <cell r="J3777">
            <v>0</v>
          </cell>
          <cell r="W3777">
            <v>0</v>
          </cell>
          <cell r="AJ3777">
            <v>0</v>
          </cell>
          <cell r="AP3777">
            <v>400</v>
          </cell>
          <cell r="AW3777">
            <v>400</v>
          </cell>
        </row>
        <row r="3778">
          <cell r="B3778">
            <v>7239</v>
          </cell>
          <cell r="C3778" t="str">
            <v>CL_59_</v>
          </cell>
          <cell r="D3778" t="str">
            <v>Rancho La Cuchilla No. 59</v>
          </cell>
          <cell r="E3778" t="str">
            <v>Ortega Vega</v>
          </cell>
          <cell r="F3778">
            <v>300</v>
          </cell>
          <cell r="G3778">
            <v>1</v>
          </cell>
          <cell r="H3778">
            <v>300</v>
          </cell>
          <cell r="I3778">
            <v>41791</v>
          </cell>
          <cell r="J3778">
            <v>0</v>
          </cell>
          <cell r="W3778">
            <v>0</v>
          </cell>
          <cell r="AJ3778">
            <v>0</v>
          </cell>
          <cell r="AO3778">
            <v>300</v>
          </cell>
          <cell r="AW3778">
            <v>300</v>
          </cell>
        </row>
        <row r="3779">
          <cell r="B3779">
            <v>7240</v>
          </cell>
          <cell r="C3779" t="str">
            <v>CL_59_</v>
          </cell>
          <cell r="D3779" t="str">
            <v>Rancho La Cuchilla No. 59</v>
          </cell>
          <cell r="E3779" t="str">
            <v>Ortega Vega</v>
          </cell>
          <cell r="F3779">
            <v>300</v>
          </cell>
          <cell r="G3779">
            <v>4</v>
          </cell>
          <cell r="H3779">
            <v>160</v>
          </cell>
          <cell r="I3779">
            <v>41791</v>
          </cell>
          <cell r="J3779" t="str">
            <v>NO SUMA</v>
          </cell>
          <cell r="W3779">
            <v>0</v>
          </cell>
          <cell r="AJ3779">
            <v>0</v>
          </cell>
          <cell r="AW3779">
            <v>0</v>
          </cell>
        </row>
        <row r="3780">
          <cell r="B3780">
            <v>7241</v>
          </cell>
          <cell r="C3780" t="str">
            <v>CL_129_</v>
          </cell>
          <cell r="D3780" t="str">
            <v>Rancho La Cuchilla No. 129</v>
          </cell>
          <cell r="E3780" t="str">
            <v>Gamboa Rueda</v>
          </cell>
          <cell r="F3780">
            <v>200</v>
          </cell>
          <cell r="G3780">
            <v>1</v>
          </cell>
          <cell r="H3780">
            <v>300</v>
          </cell>
          <cell r="I3780">
            <v>41791</v>
          </cell>
          <cell r="J3780">
            <v>0</v>
          </cell>
          <cell r="W3780">
            <v>0</v>
          </cell>
          <cell r="AJ3780">
            <v>0</v>
          </cell>
          <cell r="AP3780">
            <v>300</v>
          </cell>
          <cell r="AW3780">
            <v>300</v>
          </cell>
        </row>
        <row r="3781">
          <cell r="B3781">
            <v>7242</v>
          </cell>
          <cell r="C3781" t="str">
            <v>EZ_101_</v>
          </cell>
          <cell r="D3781" t="str">
            <v>Rancho Estanzuela No. 101</v>
          </cell>
          <cell r="E3781" t="str">
            <v>Calderón Celis</v>
          </cell>
          <cell r="F3781">
            <v>300</v>
          </cell>
          <cell r="G3781">
            <v>1</v>
          </cell>
          <cell r="H3781">
            <v>1200</v>
          </cell>
          <cell r="I3781">
            <v>41791</v>
          </cell>
          <cell r="J3781">
            <v>0</v>
          </cell>
          <cell r="W3781">
            <v>0</v>
          </cell>
          <cell r="AJ3781">
            <v>0</v>
          </cell>
          <cell r="AM3781">
            <v>400</v>
          </cell>
          <cell r="AN3781">
            <v>400</v>
          </cell>
          <cell r="AO3781">
            <v>400</v>
          </cell>
          <cell r="AW3781">
            <v>1200</v>
          </cell>
        </row>
        <row r="3782">
          <cell r="B3782">
            <v>7243</v>
          </cell>
          <cell r="C3782" t="str">
            <v>CL_89_</v>
          </cell>
          <cell r="D3782" t="str">
            <v>Rancho La Cuchilla No. 89</v>
          </cell>
          <cell r="E3782" t="str">
            <v>Gálvez</v>
          </cell>
          <cell r="F3782">
            <v>300</v>
          </cell>
          <cell r="G3782">
            <v>1</v>
          </cell>
          <cell r="H3782">
            <v>400</v>
          </cell>
          <cell r="I3782">
            <v>41791</v>
          </cell>
          <cell r="J3782">
            <v>0</v>
          </cell>
          <cell r="W3782">
            <v>0</v>
          </cell>
          <cell r="AJ3782">
            <v>0</v>
          </cell>
          <cell r="AP3782">
            <v>400</v>
          </cell>
          <cell r="AW3782">
            <v>400</v>
          </cell>
        </row>
        <row r="3783">
          <cell r="B3783">
            <v>7244</v>
          </cell>
          <cell r="C3783" t="str">
            <v>CL_18_</v>
          </cell>
          <cell r="D3783" t="str">
            <v>Rancho La Cuchilla No. 18</v>
          </cell>
          <cell r="E3783" t="str">
            <v>Aldana Sánchez</v>
          </cell>
          <cell r="F3783">
            <v>300</v>
          </cell>
          <cell r="G3783">
            <v>1</v>
          </cell>
          <cell r="H3783">
            <v>800</v>
          </cell>
          <cell r="I3783">
            <v>41791</v>
          </cell>
          <cell r="J3783">
            <v>0</v>
          </cell>
          <cell r="W3783">
            <v>0</v>
          </cell>
          <cell r="AJ3783">
            <v>0</v>
          </cell>
          <cell r="AO3783">
            <v>400</v>
          </cell>
          <cell r="AP3783">
            <v>400</v>
          </cell>
          <cell r="AW3783">
            <v>800</v>
          </cell>
        </row>
        <row r="3784">
          <cell r="B3784">
            <v>7245</v>
          </cell>
          <cell r="C3784" t="str">
            <v>ZB_68_</v>
          </cell>
          <cell r="D3784" t="str">
            <v>Rancho Zinamba No. 68</v>
          </cell>
          <cell r="E3784" t="str">
            <v>Rivera Villicaña</v>
          </cell>
          <cell r="F3784">
            <v>300</v>
          </cell>
          <cell r="G3784">
            <v>1</v>
          </cell>
          <cell r="H3784">
            <v>300</v>
          </cell>
          <cell r="I3784">
            <v>41791</v>
          </cell>
          <cell r="J3784">
            <v>0</v>
          </cell>
          <cell r="W3784">
            <v>0</v>
          </cell>
          <cell r="AJ3784">
            <v>0</v>
          </cell>
          <cell r="AP3784">
            <v>300</v>
          </cell>
          <cell r="AW3784">
            <v>300</v>
          </cell>
        </row>
        <row r="3785">
          <cell r="B3785">
            <v>7246</v>
          </cell>
          <cell r="C3785" t="str">
            <v>UP_101_</v>
          </cell>
          <cell r="D3785" t="str">
            <v>Rancho Upácuaro No. 101</v>
          </cell>
          <cell r="E3785" t="str">
            <v>Chávez, Arturo</v>
          </cell>
          <cell r="F3785">
            <v>300</v>
          </cell>
          <cell r="G3785">
            <v>1</v>
          </cell>
          <cell r="H3785">
            <v>400</v>
          </cell>
          <cell r="I3785">
            <v>41791</v>
          </cell>
          <cell r="J3785">
            <v>0</v>
          </cell>
          <cell r="W3785">
            <v>0</v>
          </cell>
          <cell r="AJ3785">
            <v>0</v>
          </cell>
          <cell r="AP3785">
            <v>400</v>
          </cell>
          <cell r="AW3785">
            <v>400</v>
          </cell>
        </row>
        <row r="3786">
          <cell r="B3786">
            <v>7247</v>
          </cell>
          <cell r="C3786" t="str">
            <v>CL_33_</v>
          </cell>
          <cell r="D3786" t="str">
            <v>Rancho La Cuchilla No. 33</v>
          </cell>
          <cell r="E3786" t="str">
            <v>Tanús</v>
          </cell>
          <cell r="F3786">
            <v>300</v>
          </cell>
          <cell r="G3786">
            <v>1</v>
          </cell>
          <cell r="H3786">
            <v>400</v>
          </cell>
          <cell r="I3786">
            <v>41791</v>
          </cell>
          <cell r="J3786">
            <v>0</v>
          </cell>
          <cell r="W3786">
            <v>0</v>
          </cell>
          <cell r="AJ3786">
            <v>0</v>
          </cell>
          <cell r="AP3786">
            <v>400</v>
          </cell>
          <cell r="AW3786">
            <v>400</v>
          </cell>
        </row>
        <row r="3787">
          <cell r="B3787">
            <v>7248</v>
          </cell>
          <cell r="C3787" t="str">
            <v>EZ_100_</v>
          </cell>
          <cell r="D3787" t="str">
            <v>Rancho Estanzuela No. 100</v>
          </cell>
          <cell r="E3787" t="str">
            <v>Arias Monter</v>
          </cell>
          <cell r="F3787">
            <v>300</v>
          </cell>
          <cell r="G3787">
            <v>1</v>
          </cell>
          <cell r="H3787">
            <v>1200</v>
          </cell>
          <cell r="I3787">
            <v>41791</v>
          </cell>
          <cell r="J3787">
            <v>0</v>
          </cell>
          <cell r="W3787">
            <v>0</v>
          </cell>
          <cell r="AJ3787">
            <v>0</v>
          </cell>
          <cell r="AN3787">
            <v>400</v>
          </cell>
          <cell r="AO3787">
            <v>400</v>
          </cell>
          <cell r="AP3787">
            <v>400</v>
          </cell>
          <cell r="AW3787">
            <v>1200</v>
          </cell>
        </row>
        <row r="3788">
          <cell r="B3788">
            <v>7248</v>
          </cell>
          <cell r="C3788" t="str">
            <v>EZ_100_</v>
          </cell>
          <cell r="D3788" t="str">
            <v>Rancho Estanzuela No. 100</v>
          </cell>
          <cell r="E3788" t="str">
            <v>Arias Monter</v>
          </cell>
          <cell r="F3788">
            <v>300</v>
          </cell>
          <cell r="G3788">
            <v>4</v>
          </cell>
          <cell r="H3788">
            <v>160</v>
          </cell>
          <cell r="I3788">
            <v>41791</v>
          </cell>
          <cell r="J3788" t="str">
            <v>NO SUMA</v>
          </cell>
          <cell r="W3788">
            <v>0</v>
          </cell>
          <cell r="AJ3788">
            <v>0</v>
          </cell>
          <cell r="AW3788">
            <v>0</v>
          </cell>
        </row>
        <row r="3789">
          <cell r="B3789">
            <v>7249</v>
          </cell>
          <cell r="C3789" t="str">
            <v>ZB_46_</v>
          </cell>
          <cell r="D3789" t="str">
            <v>Rancho Zinamba No. 46</v>
          </cell>
          <cell r="E3789" t="str">
            <v>Olguín</v>
          </cell>
          <cell r="F3789">
            <v>300</v>
          </cell>
          <cell r="G3789">
            <v>1</v>
          </cell>
          <cell r="H3789">
            <v>400</v>
          </cell>
          <cell r="I3789">
            <v>41792</v>
          </cell>
          <cell r="J3789">
            <v>0</v>
          </cell>
          <cell r="W3789">
            <v>0</v>
          </cell>
          <cell r="AJ3789">
            <v>0</v>
          </cell>
          <cell r="AN3789">
            <v>200</v>
          </cell>
          <cell r="AO3789">
            <v>200</v>
          </cell>
          <cell r="AW3789">
            <v>400</v>
          </cell>
        </row>
        <row r="3790">
          <cell r="B3790">
            <v>7250</v>
          </cell>
          <cell r="C3790" t="str">
            <v>EZ_129_</v>
          </cell>
          <cell r="D3790" t="str">
            <v>Rancho Estanzuela No. 129</v>
          </cell>
          <cell r="E3790" t="str">
            <v>González</v>
          </cell>
          <cell r="F3790">
            <v>300</v>
          </cell>
          <cell r="G3790">
            <v>1</v>
          </cell>
          <cell r="H3790">
            <v>250</v>
          </cell>
          <cell r="I3790">
            <v>41793</v>
          </cell>
          <cell r="J3790">
            <v>0</v>
          </cell>
          <cell r="W3790">
            <v>0</v>
          </cell>
          <cell r="AJ3790">
            <v>0</v>
          </cell>
          <cell r="AO3790">
            <v>250</v>
          </cell>
          <cell r="AW3790">
            <v>250</v>
          </cell>
        </row>
        <row r="3791">
          <cell r="B3791">
            <v>7251</v>
          </cell>
          <cell r="C3791" t="str">
            <v>EZ_119_1</v>
          </cell>
          <cell r="D3791" t="str">
            <v>Rancho Estanzuela No. 119</v>
          </cell>
          <cell r="E3791" t="str">
            <v>López Tovar</v>
          </cell>
          <cell r="F3791">
            <v>300</v>
          </cell>
          <cell r="G3791">
            <v>4</v>
          </cell>
          <cell r="H3791">
            <v>160</v>
          </cell>
          <cell r="I3791">
            <v>41795</v>
          </cell>
          <cell r="J3791" t="str">
            <v>NO SUMA</v>
          </cell>
          <cell r="W3791">
            <v>0</v>
          </cell>
          <cell r="AJ3791">
            <v>0</v>
          </cell>
          <cell r="AW3791">
            <v>0</v>
          </cell>
        </row>
        <row r="3792">
          <cell r="B3792">
            <v>7252</v>
          </cell>
          <cell r="C3792" t="str">
            <v>CL_97_</v>
          </cell>
          <cell r="D3792" t="str">
            <v>Rancho La Cuchilla No. 97</v>
          </cell>
          <cell r="E3792" t="str">
            <v>López Ruiz</v>
          </cell>
          <cell r="F3792">
            <v>300</v>
          </cell>
          <cell r="G3792">
            <v>1</v>
          </cell>
          <cell r="H3792">
            <v>300</v>
          </cell>
          <cell r="I3792">
            <v>41795</v>
          </cell>
          <cell r="J3792">
            <v>0</v>
          </cell>
          <cell r="W3792">
            <v>0</v>
          </cell>
          <cell r="AJ3792">
            <v>0</v>
          </cell>
          <cell r="AO3792">
            <v>300</v>
          </cell>
          <cell r="AW3792">
            <v>300</v>
          </cell>
        </row>
        <row r="3793">
          <cell r="B3793">
            <v>7253</v>
          </cell>
          <cell r="C3793" t="str">
            <v>EP_18_</v>
          </cell>
          <cell r="D3793" t="str">
            <v>Rancho Estopila No. 18</v>
          </cell>
          <cell r="E3793" t="str">
            <v>Aguilar Zarmeño</v>
          </cell>
          <cell r="F3793">
            <v>300</v>
          </cell>
          <cell r="G3793">
            <v>1</v>
          </cell>
          <cell r="H3793">
            <v>400</v>
          </cell>
          <cell r="I3793">
            <v>41798</v>
          </cell>
          <cell r="J3793">
            <v>0</v>
          </cell>
          <cell r="W3793">
            <v>0</v>
          </cell>
          <cell r="AJ3793">
            <v>0</v>
          </cell>
          <cell r="AO3793">
            <v>400</v>
          </cell>
          <cell r="AW3793">
            <v>400</v>
          </cell>
        </row>
        <row r="3794">
          <cell r="B3794">
            <v>7254</v>
          </cell>
          <cell r="C3794" t="str">
            <v>EZ_63_</v>
          </cell>
          <cell r="D3794" t="str">
            <v>Rancho Estanzuela No. 63</v>
          </cell>
          <cell r="E3794" t="str">
            <v>Mendoza Q.</v>
          </cell>
          <cell r="F3794">
            <v>200</v>
          </cell>
          <cell r="G3794">
            <v>3</v>
          </cell>
          <cell r="H3794">
            <v>320</v>
          </cell>
          <cell r="I3794">
            <v>41798</v>
          </cell>
          <cell r="J3794" t="str">
            <v>NO SUMA</v>
          </cell>
          <cell r="W3794">
            <v>0</v>
          </cell>
          <cell r="AJ3794">
            <v>0</v>
          </cell>
          <cell r="AW3794">
            <v>0</v>
          </cell>
        </row>
        <row r="3795">
          <cell r="B3795">
            <v>7255</v>
          </cell>
          <cell r="C3795" t="str">
            <v>LD_65_</v>
          </cell>
          <cell r="D3795" t="str">
            <v>Rancho Landero No. 65</v>
          </cell>
          <cell r="E3795" t="str">
            <v>Alpizar</v>
          </cell>
          <cell r="F3795">
            <v>300</v>
          </cell>
          <cell r="G3795">
            <v>1</v>
          </cell>
          <cell r="H3795">
            <v>800</v>
          </cell>
          <cell r="I3795">
            <v>41798</v>
          </cell>
          <cell r="J3795">
            <v>0</v>
          </cell>
          <cell r="W3795">
            <v>0</v>
          </cell>
          <cell r="AJ3795">
            <v>0</v>
          </cell>
          <cell r="AO3795">
            <v>400</v>
          </cell>
          <cell r="AP3795">
            <v>400</v>
          </cell>
          <cell r="AW3795">
            <v>800</v>
          </cell>
        </row>
        <row r="3796">
          <cell r="B3796">
            <v>7256</v>
          </cell>
          <cell r="C3796" t="str">
            <v>ZB_36_</v>
          </cell>
          <cell r="D3796" t="str">
            <v>Rancho Zinamba No. 36</v>
          </cell>
          <cell r="E3796" t="str">
            <v>Rodríguez Ortiz</v>
          </cell>
          <cell r="F3796">
            <v>300</v>
          </cell>
          <cell r="G3796">
            <v>1</v>
          </cell>
          <cell r="H3796">
            <v>400</v>
          </cell>
          <cell r="I3796">
            <v>41798</v>
          </cell>
          <cell r="J3796">
            <v>0</v>
          </cell>
          <cell r="W3796">
            <v>0</v>
          </cell>
          <cell r="AJ3796">
            <v>0</v>
          </cell>
          <cell r="AP3796">
            <v>400</v>
          </cell>
          <cell r="AW3796">
            <v>400</v>
          </cell>
        </row>
        <row r="3797">
          <cell r="B3797">
            <v>7257</v>
          </cell>
          <cell r="C3797" t="str">
            <v>UP_49_</v>
          </cell>
          <cell r="D3797" t="str">
            <v>Rancho Upácuaro No. 49</v>
          </cell>
          <cell r="E3797" t="str">
            <v>Sánchez Romano</v>
          </cell>
          <cell r="F3797">
            <v>300</v>
          </cell>
          <cell r="G3797">
            <v>1</v>
          </cell>
          <cell r="H3797">
            <v>400</v>
          </cell>
          <cell r="I3797">
            <v>41798</v>
          </cell>
          <cell r="J3797">
            <v>0</v>
          </cell>
          <cell r="W3797">
            <v>0</v>
          </cell>
          <cell r="AJ3797">
            <v>0</v>
          </cell>
          <cell r="AN3797">
            <v>400</v>
          </cell>
          <cell r="AW3797">
            <v>400</v>
          </cell>
        </row>
        <row r="3798">
          <cell r="B3798">
            <v>7258</v>
          </cell>
          <cell r="C3798" t="str">
            <v>UP_32_</v>
          </cell>
          <cell r="D3798" t="str">
            <v>Rancho Upácuaro No. 32</v>
          </cell>
          <cell r="E3798" t="str">
            <v>Sairafi Carmen</v>
          </cell>
          <cell r="F3798">
            <v>300</v>
          </cell>
          <cell r="G3798">
            <v>1</v>
          </cell>
          <cell r="H3798">
            <v>400</v>
          </cell>
          <cell r="I3798">
            <v>41798</v>
          </cell>
          <cell r="J3798">
            <v>0</v>
          </cell>
          <cell r="W3798">
            <v>0</v>
          </cell>
          <cell r="AJ3798">
            <v>0</v>
          </cell>
          <cell r="AP3798">
            <v>400</v>
          </cell>
          <cell r="AW3798">
            <v>400</v>
          </cell>
        </row>
        <row r="3799">
          <cell r="B3799">
            <v>7259</v>
          </cell>
          <cell r="C3799" t="str">
            <v>CL_55_</v>
          </cell>
          <cell r="D3799" t="str">
            <v>Rancho La Cuchilla No. 55</v>
          </cell>
          <cell r="E3799" t="str">
            <v>López Velázquez</v>
          </cell>
          <cell r="F3799">
            <v>300</v>
          </cell>
          <cell r="G3799">
            <v>1</v>
          </cell>
          <cell r="H3799">
            <v>800</v>
          </cell>
          <cell r="I3799">
            <v>41798</v>
          </cell>
          <cell r="J3799">
            <v>0</v>
          </cell>
          <cell r="W3799">
            <v>0</v>
          </cell>
          <cell r="AJ3799">
            <v>0</v>
          </cell>
          <cell r="AO3799">
            <v>400</v>
          </cell>
          <cell r="AP3799">
            <v>400</v>
          </cell>
          <cell r="AW3799">
            <v>800</v>
          </cell>
        </row>
        <row r="3800">
          <cell r="B3800">
            <v>7260</v>
          </cell>
          <cell r="C3800" t="str">
            <v>EZ_47_</v>
          </cell>
          <cell r="D3800" t="str">
            <v>Rancho Estanzuela No. 47</v>
          </cell>
          <cell r="E3800" t="str">
            <v>Bussey García</v>
          </cell>
          <cell r="F3800">
            <v>300</v>
          </cell>
          <cell r="G3800">
            <v>1</v>
          </cell>
          <cell r="H3800">
            <v>400</v>
          </cell>
          <cell r="I3800">
            <v>41798</v>
          </cell>
          <cell r="J3800">
            <v>0</v>
          </cell>
          <cell r="W3800">
            <v>0</v>
          </cell>
          <cell r="AJ3800">
            <v>0</v>
          </cell>
          <cell r="AP3800">
            <v>400</v>
          </cell>
          <cell r="AW3800">
            <v>400</v>
          </cell>
        </row>
        <row r="3801">
          <cell r="B3801">
            <v>7261</v>
          </cell>
          <cell r="C3801" t="str">
            <v>CL_81_A</v>
          </cell>
          <cell r="D3801" t="str">
            <v>Rancho La Cuchilla No. 81, A</v>
          </cell>
          <cell r="E3801" t="str">
            <v>Barrientos López</v>
          </cell>
          <cell r="F3801">
            <v>300</v>
          </cell>
          <cell r="G3801">
            <v>1</v>
          </cell>
          <cell r="H3801">
            <v>400</v>
          </cell>
          <cell r="I3801">
            <v>41798</v>
          </cell>
          <cell r="J3801">
            <v>0</v>
          </cell>
          <cell r="W3801">
            <v>0</v>
          </cell>
          <cell r="AJ3801">
            <v>0</v>
          </cell>
          <cell r="AP3801">
            <v>400</v>
          </cell>
          <cell r="AW3801">
            <v>400</v>
          </cell>
        </row>
        <row r="3802">
          <cell r="B3802">
            <v>7262</v>
          </cell>
          <cell r="C3802" t="str">
            <v>RV_195_</v>
          </cell>
          <cell r="D3802" t="str">
            <v>Rancho Recoveco No. 195</v>
          </cell>
          <cell r="E3802" t="str">
            <v>Sandoval</v>
          </cell>
          <cell r="F3802">
            <v>300</v>
          </cell>
          <cell r="G3802">
            <v>1</v>
          </cell>
          <cell r="H3802">
            <v>400</v>
          </cell>
          <cell r="I3802">
            <v>41798</v>
          </cell>
          <cell r="J3802">
            <v>0</v>
          </cell>
          <cell r="W3802">
            <v>0</v>
          </cell>
          <cell r="AJ3802">
            <v>0</v>
          </cell>
          <cell r="AP3802">
            <v>400</v>
          </cell>
          <cell r="AW3802">
            <v>400</v>
          </cell>
        </row>
        <row r="3803">
          <cell r="B3803">
            <v>7263</v>
          </cell>
          <cell r="C3803" t="str">
            <v>CL_111_</v>
          </cell>
          <cell r="D3803" t="str">
            <v>Rancho La Cuchilla No. 111</v>
          </cell>
          <cell r="E3803" t="str">
            <v>García Santos Ofelia</v>
          </cell>
          <cell r="F3803">
            <v>150</v>
          </cell>
          <cell r="G3803">
            <v>1</v>
          </cell>
          <cell r="H3803">
            <v>200</v>
          </cell>
          <cell r="I3803">
            <v>41798</v>
          </cell>
          <cell r="J3803">
            <v>0</v>
          </cell>
          <cell r="W3803">
            <v>0</v>
          </cell>
          <cell r="AJ3803">
            <v>0</v>
          </cell>
          <cell r="AP3803">
            <v>200</v>
          </cell>
          <cell r="AW3803">
            <v>200</v>
          </cell>
        </row>
        <row r="3804">
          <cell r="B3804">
            <v>7264</v>
          </cell>
          <cell r="C3804" t="str">
            <v>LD_83_</v>
          </cell>
          <cell r="D3804" t="str">
            <v>Rancho Landero No. 83</v>
          </cell>
          <cell r="E3804" t="str">
            <v>Aguilar</v>
          </cell>
          <cell r="F3804">
            <v>300</v>
          </cell>
          <cell r="G3804">
            <v>1</v>
          </cell>
          <cell r="H3804">
            <v>350</v>
          </cell>
          <cell r="I3804">
            <v>41798</v>
          </cell>
          <cell r="J3804">
            <v>0</v>
          </cell>
          <cell r="W3804">
            <v>0</v>
          </cell>
          <cell r="AJ3804">
            <v>0</v>
          </cell>
          <cell r="AP3804">
            <v>350</v>
          </cell>
          <cell r="AW3804">
            <v>350</v>
          </cell>
        </row>
        <row r="3805">
          <cell r="B3805">
            <v>7265</v>
          </cell>
          <cell r="C3805" t="str">
            <v>ZB_34_</v>
          </cell>
          <cell r="D3805" t="str">
            <v>Rancho Zinamba No. 34</v>
          </cell>
          <cell r="E3805" t="str">
            <v>Torres Zavala</v>
          </cell>
          <cell r="F3805">
            <v>300</v>
          </cell>
          <cell r="G3805">
            <v>4</v>
          </cell>
          <cell r="H3805">
            <v>160</v>
          </cell>
          <cell r="I3805">
            <v>41798</v>
          </cell>
          <cell r="J3805" t="str">
            <v>NO SUMA</v>
          </cell>
          <cell r="W3805">
            <v>0</v>
          </cell>
          <cell r="AJ3805">
            <v>0</v>
          </cell>
          <cell r="AW3805">
            <v>0</v>
          </cell>
        </row>
        <row r="3806">
          <cell r="B3806">
            <v>7266</v>
          </cell>
          <cell r="C3806" t="str">
            <v>CL_92_</v>
          </cell>
          <cell r="D3806" t="str">
            <v>Rancho La Cuchilla No. 92</v>
          </cell>
          <cell r="E3806" t="str">
            <v>Cabrera</v>
          </cell>
          <cell r="F3806">
            <v>300</v>
          </cell>
          <cell r="G3806">
            <v>1</v>
          </cell>
          <cell r="H3806">
            <v>400</v>
          </cell>
          <cell r="I3806">
            <v>41798</v>
          </cell>
          <cell r="J3806">
            <v>0</v>
          </cell>
          <cell r="W3806">
            <v>0</v>
          </cell>
          <cell r="AJ3806">
            <v>0</v>
          </cell>
          <cell r="AP3806">
            <v>400</v>
          </cell>
          <cell r="AW3806">
            <v>400</v>
          </cell>
        </row>
        <row r="3807">
          <cell r="B3807">
            <v>7267</v>
          </cell>
          <cell r="C3807" t="str">
            <v>CL_82_</v>
          </cell>
          <cell r="D3807" t="str">
            <v>Rancho La Cuchilla No. 82</v>
          </cell>
          <cell r="E3807" t="str">
            <v>Cruz</v>
          </cell>
          <cell r="F3807">
            <v>300</v>
          </cell>
          <cell r="G3807">
            <v>1</v>
          </cell>
          <cell r="H3807">
            <v>1200</v>
          </cell>
          <cell r="I3807">
            <v>41798</v>
          </cell>
          <cell r="J3807">
            <v>0</v>
          </cell>
          <cell r="W3807">
            <v>0</v>
          </cell>
          <cell r="AJ3807">
            <v>0</v>
          </cell>
          <cell r="AO3807">
            <v>400</v>
          </cell>
          <cell r="AP3807">
            <v>400</v>
          </cell>
          <cell r="AQ3807">
            <v>400</v>
          </cell>
          <cell r="AW3807">
            <v>1200</v>
          </cell>
        </row>
        <row r="3808">
          <cell r="B3808">
            <v>7268</v>
          </cell>
          <cell r="C3808" t="str">
            <v>LD_77_</v>
          </cell>
          <cell r="D3808" t="str">
            <v>Rancho Landero No. 77</v>
          </cell>
          <cell r="E3808" t="str">
            <v>Muñoz</v>
          </cell>
          <cell r="F3808">
            <v>300</v>
          </cell>
          <cell r="G3808">
            <v>1</v>
          </cell>
          <cell r="H3808">
            <v>1200</v>
          </cell>
          <cell r="I3808">
            <v>41798</v>
          </cell>
          <cell r="J3808">
            <v>0</v>
          </cell>
          <cell r="W3808">
            <v>0</v>
          </cell>
          <cell r="AJ3808">
            <v>0</v>
          </cell>
          <cell r="AN3808">
            <v>400</v>
          </cell>
          <cell r="AO3808">
            <v>400</v>
          </cell>
          <cell r="AP3808">
            <v>400</v>
          </cell>
          <cell r="AW3808">
            <v>1200</v>
          </cell>
        </row>
        <row r="3809">
          <cell r="B3809">
            <v>7269</v>
          </cell>
          <cell r="C3809" t="str">
            <v>LD_90_</v>
          </cell>
          <cell r="D3809" t="str">
            <v>Rancho Landero No. 90</v>
          </cell>
          <cell r="E3809" t="str">
            <v>Córdova Reséndiz</v>
          </cell>
          <cell r="F3809">
            <v>300</v>
          </cell>
          <cell r="G3809">
            <v>1</v>
          </cell>
          <cell r="H3809">
            <v>300</v>
          </cell>
          <cell r="I3809">
            <v>41798</v>
          </cell>
          <cell r="J3809">
            <v>0</v>
          </cell>
          <cell r="W3809">
            <v>0</v>
          </cell>
          <cell r="AJ3809">
            <v>0</v>
          </cell>
          <cell r="AP3809">
            <v>300</v>
          </cell>
          <cell r="AW3809">
            <v>300</v>
          </cell>
        </row>
        <row r="3810">
          <cell r="B3810">
            <v>7270</v>
          </cell>
          <cell r="C3810" t="str">
            <v>ZB_24_</v>
          </cell>
          <cell r="D3810" t="str">
            <v>Rancho Zinamba No. 24</v>
          </cell>
          <cell r="E3810" t="str">
            <v>Monroy García</v>
          </cell>
          <cell r="F3810">
            <v>300</v>
          </cell>
          <cell r="G3810">
            <v>1</v>
          </cell>
          <cell r="H3810">
            <v>400</v>
          </cell>
          <cell r="I3810">
            <v>41798</v>
          </cell>
          <cell r="J3810">
            <v>0</v>
          </cell>
          <cell r="W3810">
            <v>0</v>
          </cell>
          <cell r="AJ3810">
            <v>0</v>
          </cell>
          <cell r="AP3810">
            <v>400</v>
          </cell>
          <cell r="AW3810">
            <v>400</v>
          </cell>
        </row>
        <row r="3811">
          <cell r="B3811">
            <v>7271</v>
          </cell>
          <cell r="C3811" t="str">
            <v>RV_179_</v>
          </cell>
          <cell r="D3811" t="str">
            <v>Rancho Recoveco No. 179</v>
          </cell>
          <cell r="E3811" t="str">
            <v>Flores Delgado</v>
          </cell>
          <cell r="F3811">
            <v>300</v>
          </cell>
          <cell r="G3811">
            <v>1</v>
          </cell>
          <cell r="H3811">
            <v>400</v>
          </cell>
          <cell r="I3811">
            <v>41798</v>
          </cell>
          <cell r="J3811">
            <v>0</v>
          </cell>
          <cell r="W3811">
            <v>0</v>
          </cell>
          <cell r="AJ3811">
            <v>0</v>
          </cell>
          <cell r="AP3811">
            <v>400</v>
          </cell>
          <cell r="AW3811">
            <v>400</v>
          </cell>
        </row>
        <row r="3812">
          <cell r="B3812">
            <v>7272</v>
          </cell>
          <cell r="C3812" t="str">
            <v>EZ_151_</v>
          </cell>
          <cell r="D3812" t="str">
            <v>Rancho Estanzuela No. 151</v>
          </cell>
          <cell r="E3812" t="str">
            <v>Pérez Salazar</v>
          </cell>
          <cell r="F3812">
            <v>300</v>
          </cell>
          <cell r="G3812">
            <v>1</v>
          </cell>
          <cell r="H3812">
            <v>400</v>
          </cell>
          <cell r="I3812">
            <v>41798</v>
          </cell>
          <cell r="J3812">
            <v>0</v>
          </cell>
          <cell r="W3812">
            <v>0</v>
          </cell>
          <cell r="AJ3812">
            <v>0</v>
          </cell>
          <cell r="AP3812">
            <v>400</v>
          </cell>
          <cell r="AW3812">
            <v>400</v>
          </cell>
        </row>
        <row r="3813">
          <cell r="B3813">
            <v>7273</v>
          </cell>
          <cell r="C3813" t="str">
            <v>EZ_143_B</v>
          </cell>
          <cell r="D3813" t="str">
            <v>Rancho Estanzuela No. 143, B</v>
          </cell>
          <cell r="E3813" t="str">
            <v>López</v>
          </cell>
          <cell r="F3813">
            <v>300</v>
          </cell>
          <cell r="G3813">
            <v>3</v>
          </cell>
          <cell r="H3813">
            <v>320</v>
          </cell>
          <cell r="I3813">
            <v>41798</v>
          </cell>
          <cell r="J3813" t="str">
            <v>NO SUMA</v>
          </cell>
          <cell r="W3813">
            <v>0</v>
          </cell>
          <cell r="AJ3813">
            <v>0</v>
          </cell>
          <cell r="AW3813">
            <v>0</v>
          </cell>
        </row>
        <row r="3814">
          <cell r="B3814">
            <v>7274</v>
          </cell>
          <cell r="C3814" t="str">
            <v>EZ_65_</v>
          </cell>
          <cell r="D3814" t="str">
            <v>Rancho Estanzuela No. 65</v>
          </cell>
          <cell r="E3814" t="str">
            <v>López Becerril</v>
          </cell>
          <cell r="F3814">
            <v>300</v>
          </cell>
          <cell r="G3814">
            <v>1</v>
          </cell>
          <cell r="H3814">
            <v>400</v>
          </cell>
          <cell r="I3814">
            <v>41798</v>
          </cell>
          <cell r="J3814">
            <v>0</v>
          </cell>
          <cell r="W3814">
            <v>0</v>
          </cell>
          <cell r="AJ3814">
            <v>0</v>
          </cell>
          <cell r="AP3814">
            <v>400</v>
          </cell>
          <cell r="AW3814">
            <v>400</v>
          </cell>
        </row>
        <row r="3815">
          <cell r="B3815">
            <v>7275</v>
          </cell>
          <cell r="C3815" t="str">
            <v>CL_94_</v>
          </cell>
          <cell r="D3815" t="str">
            <v>Rancho La Cuchilla No. 94</v>
          </cell>
          <cell r="E3815" t="str">
            <v>Sánchez Márquez</v>
          </cell>
          <cell r="F3815">
            <v>300</v>
          </cell>
          <cell r="G3815">
            <v>1</v>
          </cell>
          <cell r="H3815">
            <v>400</v>
          </cell>
          <cell r="I3815">
            <v>41798</v>
          </cell>
          <cell r="J3815">
            <v>0</v>
          </cell>
          <cell r="W3815">
            <v>0</v>
          </cell>
          <cell r="AJ3815">
            <v>0</v>
          </cell>
          <cell r="AP3815">
            <v>400</v>
          </cell>
          <cell r="AW3815">
            <v>400</v>
          </cell>
        </row>
        <row r="3816">
          <cell r="B3816">
            <v>7276</v>
          </cell>
          <cell r="C3816" t="str">
            <v>EZ_91_</v>
          </cell>
          <cell r="D3816" t="str">
            <v>Rancho Estanzuela No. 91</v>
          </cell>
          <cell r="E3816" t="str">
            <v>Lobato Torres</v>
          </cell>
          <cell r="F3816">
            <v>300</v>
          </cell>
          <cell r="G3816">
            <v>1</v>
          </cell>
          <cell r="H3816">
            <v>800</v>
          </cell>
          <cell r="I3816">
            <v>41798</v>
          </cell>
          <cell r="J3816">
            <v>0</v>
          </cell>
          <cell r="W3816">
            <v>0</v>
          </cell>
          <cell r="AJ3816">
            <v>0</v>
          </cell>
          <cell r="AO3816">
            <v>400</v>
          </cell>
          <cell r="AP3816">
            <v>400</v>
          </cell>
          <cell r="AW3816">
            <v>800</v>
          </cell>
        </row>
        <row r="3817">
          <cell r="B3817">
            <v>7277</v>
          </cell>
          <cell r="C3817" t="str">
            <v>EZ_89_</v>
          </cell>
          <cell r="D3817" t="str">
            <v>Rancho Estanzuela No. 89</v>
          </cell>
          <cell r="E3817" t="str">
            <v>Romero Ortiz</v>
          </cell>
          <cell r="F3817">
            <v>300</v>
          </cell>
          <cell r="G3817">
            <v>1</v>
          </cell>
          <cell r="H3817">
            <v>400</v>
          </cell>
          <cell r="I3817">
            <v>41798</v>
          </cell>
          <cell r="J3817">
            <v>0</v>
          </cell>
          <cell r="W3817">
            <v>0</v>
          </cell>
          <cell r="AJ3817">
            <v>0</v>
          </cell>
          <cell r="AP3817">
            <v>400</v>
          </cell>
          <cell r="AW3817">
            <v>400</v>
          </cell>
        </row>
        <row r="3818">
          <cell r="B3818">
            <v>7278</v>
          </cell>
          <cell r="C3818" t="str">
            <v>RM_17_</v>
          </cell>
          <cell r="D3818" t="str">
            <v>Rancho Romeral No. 17</v>
          </cell>
          <cell r="E3818" t="str">
            <v>Aguilar Lomelí</v>
          </cell>
          <cell r="F3818">
            <v>300</v>
          </cell>
          <cell r="G3818">
            <v>1</v>
          </cell>
          <cell r="H3818">
            <v>400</v>
          </cell>
          <cell r="I3818">
            <v>41798</v>
          </cell>
          <cell r="J3818">
            <v>0</v>
          </cell>
          <cell r="W3818">
            <v>0</v>
          </cell>
          <cell r="AJ3818">
            <v>0</v>
          </cell>
          <cell r="AP3818">
            <v>400</v>
          </cell>
          <cell r="AW3818">
            <v>400</v>
          </cell>
        </row>
        <row r="3819">
          <cell r="B3819">
            <v>7279</v>
          </cell>
          <cell r="C3819" t="str">
            <v>UP_96_</v>
          </cell>
          <cell r="D3819" t="str">
            <v>Rancho Upácuaro No. 96</v>
          </cell>
          <cell r="E3819" t="str">
            <v>Daza Gutiérrez</v>
          </cell>
          <cell r="F3819">
            <v>300</v>
          </cell>
          <cell r="G3819">
            <v>1</v>
          </cell>
          <cell r="H3819">
            <v>800</v>
          </cell>
          <cell r="I3819">
            <v>41798</v>
          </cell>
          <cell r="J3819">
            <v>0</v>
          </cell>
          <cell r="W3819">
            <v>0</v>
          </cell>
          <cell r="AJ3819">
            <v>0</v>
          </cell>
          <cell r="AO3819">
            <v>400</v>
          </cell>
          <cell r="AP3819">
            <v>400</v>
          </cell>
          <cell r="AW3819">
            <v>800</v>
          </cell>
        </row>
        <row r="3820">
          <cell r="B3820">
            <v>7280</v>
          </cell>
          <cell r="C3820" t="str">
            <v>UP_87_</v>
          </cell>
          <cell r="D3820" t="str">
            <v>Rancho Upácuaro No. 87</v>
          </cell>
          <cell r="E3820" t="str">
            <v>Rodríguez Parés</v>
          </cell>
          <cell r="F3820">
            <v>300</v>
          </cell>
          <cell r="G3820">
            <v>1</v>
          </cell>
          <cell r="H3820">
            <v>400</v>
          </cell>
          <cell r="I3820">
            <v>41798</v>
          </cell>
          <cell r="J3820">
            <v>0</v>
          </cell>
          <cell r="W3820">
            <v>0</v>
          </cell>
          <cell r="AJ3820">
            <v>0</v>
          </cell>
          <cell r="AP3820">
            <v>400</v>
          </cell>
          <cell r="AW3820">
            <v>400</v>
          </cell>
        </row>
        <row r="3821">
          <cell r="B3821">
            <v>7281</v>
          </cell>
          <cell r="C3821" t="str">
            <v>LD_19_</v>
          </cell>
          <cell r="D3821" t="str">
            <v>Rancho Landero No. 19</v>
          </cell>
          <cell r="E3821" t="str">
            <v>Jiménez Guadarrama</v>
          </cell>
          <cell r="F3821">
            <v>300</v>
          </cell>
          <cell r="G3821">
            <v>1</v>
          </cell>
          <cell r="H3821">
            <v>1200</v>
          </cell>
          <cell r="I3821">
            <v>41798</v>
          </cell>
          <cell r="J3821">
            <v>0</v>
          </cell>
          <cell r="W3821">
            <v>0</v>
          </cell>
          <cell r="AJ3821">
            <v>0</v>
          </cell>
          <cell r="AL3821">
            <v>300</v>
          </cell>
          <cell r="AM3821">
            <v>300</v>
          </cell>
          <cell r="AN3821">
            <v>300</v>
          </cell>
          <cell r="AO3821">
            <v>300</v>
          </cell>
          <cell r="AW3821">
            <v>1200</v>
          </cell>
        </row>
        <row r="3822">
          <cell r="B3822">
            <v>7282</v>
          </cell>
          <cell r="D3822" t="str">
            <v/>
          </cell>
          <cell r="E3822" t="str">
            <v/>
          </cell>
          <cell r="F3822" t="str">
            <v/>
          </cell>
          <cell r="G3822">
            <v>8</v>
          </cell>
          <cell r="I3822">
            <v>41798</v>
          </cell>
          <cell r="J3822" t="str">
            <v>NO SUMA</v>
          </cell>
          <cell r="W3822">
            <v>0</v>
          </cell>
          <cell r="AJ3822">
            <v>0</v>
          </cell>
          <cell r="AW3822">
            <v>0</v>
          </cell>
        </row>
        <row r="3823">
          <cell r="B3823">
            <v>7283</v>
          </cell>
          <cell r="C3823" t="str">
            <v>RV_175_A</v>
          </cell>
          <cell r="D3823" t="str">
            <v>Rancho Recoveco No. 175, A</v>
          </cell>
          <cell r="E3823" t="str">
            <v>Pérez</v>
          </cell>
          <cell r="F3823">
            <v>300</v>
          </cell>
          <cell r="G3823">
            <v>1</v>
          </cell>
          <cell r="H3823">
            <v>400</v>
          </cell>
          <cell r="I3823">
            <v>41798</v>
          </cell>
          <cell r="J3823">
            <v>0</v>
          </cell>
          <cell r="W3823">
            <v>0</v>
          </cell>
          <cell r="AJ3823">
            <v>0</v>
          </cell>
          <cell r="AP3823">
            <v>400</v>
          </cell>
          <cell r="AW3823">
            <v>400</v>
          </cell>
        </row>
        <row r="3824">
          <cell r="B3824">
            <v>7284</v>
          </cell>
          <cell r="C3824" t="str">
            <v>CL_46_</v>
          </cell>
          <cell r="D3824" t="str">
            <v>Rancho La Cuchilla No. 46</v>
          </cell>
          <cell r="E3824" t="str">
            <v>Cruz López</v>
          </cell>
          <cell r="F3824">
            <v>300</v>
          </cell>
          <cell r="G3824">
            <v>1</v>
          </cell>
          <cell r="H3824">
            <v>800</v>
          </cell>
          <cell r="I3824">
            <v>41798</v>
          </cell>
          <cell r="J3824">
            <v>0</v>
          </cell>
          <cell r="W3824">
            <v>0</v>
          </cell>
          <cell r="AJ3824">
            <v>0</v>
          </cell>
          <cell r="AO3824">
            <v>400</v>
          </cell>
          <cell r="AP3824">
            <v>400</v>
          </cell>
          <cell r="AW3824">
            <v>800</v>
          </cell>
        </row>
        <row r="3825">
          <cell r="B3825">
            <v>7285</v>
          </cell>
          <cell r="C3825" t="str">
            <v>UP_71_</v>
          </cell>
          <cell r="D3825" t="str">
            <v>Rancho Upácuaro No. 71</v>
          </cell>
          <cell r="E3825" t="str">
            <v>Trejo Méndez</v>
          </cell>
          <cell r="F3825">
            <v>300</v>
          </cell>
          <cell r="G3825">
            <v>1</v>
          </cell>
          <cell r="H3825">
            <v>400</v>
          </cell>
          <cell r="I3825">
            <v>41798</v>
          </cell>
          <cell r="J3825">
            <v>0</v>
          </cell>
          <cell r="W3825">
            <v>0</v>
          </cell>
          <cell r="AJ3825">
            <v>0</v>
          </cell>
          <cell r="AP3825">
            <v>400</v>
          </cell>
          <cell r="AW3825">
            <v>400</v>
          </cell>
        </row>
        <row r="3826">
          <cell r="B3826">
            <v>7286</v>
          </cell>
          <cell r="C3826" t="str">
            <v>EZ_67_</v>
          </cell>
          <cell r="D3826" t="str">
            <v>Rancho Estanzuela No. 67</v>
          </cell>
          <cell r="E3826" t="str">
            <v>Carmona Galarza</v>
          </cell>
          <cell r="F3826">
            <v>300</v>
          </cell>
          <cell r="G3826">
            <v>1</v>
          </cell>
          <cell r="H3826">
            <v>800</v>
          </cell>
          <cell r="I3826">
            <v>41799</v>
          </cell>
          <cell r="J3826">
            <v>0</v>
          </cell>
          <cell r="W3826">
            <v>0</v>
          </cell>
          <cell r="AJ3826">
            <v>0</v>
          </cell>
          <cell r="AP3826">
            <v>400</v>
          </cell>
          <cell r="AQ3826">
            <v>400</v>
          </cell>
          <cell r="AW3826">
            <v>800</v>
          </cell>
        </row>
        <row r="3827">
          <cell r="B3827">
            <v>7287</v>
          </cell>
          <cell r="C3827" t="str">
            <v>EZ_69_</v>
          </cell>
          <cell r="D3827" t="str">
            <v>Rancho Estanzuela No. 69</v>
          </cell>
          <cell r="E3827" t="str">
            <v>Apaez</v>
          </cell>
          <cell r="F3827">
            <v>300</v>
          </cell>
          <cell r="G3827">
            <v>1</v>
          </cell>
          <cell r="H3827">
            <v>800</v>
          </cell>
          <cell r="I3827">
            <v>41799</v>
          </cell>
          <cell r="J3827">
            <v>0</v>
          </cell>
          <cell r="W3827">
            <v>0</v>
          </cell>
          <cell r="AJ3827">
            <v>0</v>
          </cell>
          <cell r="AO3827">
            <v>400</v>
          </cell>
          <cell r="AP3827">
            <v>400</v>
          </cell>
          <cell r="AW3827">
            <v>800</v>
          </cell>
        </row>
        <row r="3828">
          <cell r="B3828">
            <v>7288</v>
          </cell>
          <cell r="C3828" t="str">
            <v>ZB_88_</v>
          </cell>
          <cell r="D3828" t="str">
            <v>Rancho Zinamba No. 88</v>
          </cell>
          <cell r="E3828" t="str">
            <v>Martínez</v>
          </cell>
          <cell r="F3828">
            <v>250</v>
          </cell>
          <cell r="G3828">
            <v>1</v>
          </cell>
          <cell r="H3828">
            <v>700</v>
          </cell>
          <cell r="I3828">
            <v>41799</v>
          </cell>
          <cell r="J3828">
            <v>0</v>
          </cell>
          <cell r="W3828">
            <v>0</v>
          </cell>
          <cell r="AJ3828">
            <v>0</v>
          </cell>
          <cell r="AO3828">
            <v>350</v>
          </cell>
          <cell r="AP3828">
            <v>350</v>
          </cell>
          <cell r="AW3828">
            <v>700</v>
          </cell>
        </row>
        <row r="3829">
          <cell r="B3829">
            <v>7289</v>
          </cell>
          <cell r="C3829" t="str">
            <v>UP_108_</v>
          </cell>
          <cell r="D3829" t="str">
            <v>Rancho Upácuaro No. 108</v>
          </cell>
          <cell r="E3829" t="str">
            <v>Mejía</v>
          </cell>
          <cell r="F3829">
            <v>300</v>
          </cell>
          <cell r="G3829">
            <v>1</v>
          </cell>
          <cell r="H3829">
            <v>300</v>
          </cell>
          <cell r="I3829">
            <v>41799</v>
          </cell>
          <cell r="J3829">
            <v>0</v>
          </cell>
          <cell r="W3829">
            <v>0</v>
          </cell>
          <cell r="AJ3829">
            <v>0</v>
          </cell>
          <cell r="AP3829">
            <v>300</v>
          </cell>
          <cell r="AW3829">
            <v>300</v>
          </cell>
        </row>
        <row r="3830">
          <cell r="B3830">
            <v>7290</v>
          </cell>
          <cell r="C3830" t="str">
            <v>LD_54_2</v>
          </cell>
          <cell r="D3830" t="str">
            <v>Rancho Landero No. 54, 2</v>
          </cell>
          <cell r="E3830" t="str">
            <v>Montemayor Santana</v>
          </cell>
          <cell r="F3830">
            <v>300</v>
          </cell>
          <cell r="G3830">
            <v>1</v>
          </cell>
          <cell r="H3830">
            <v>450</v>
          </cell>
          <cell r="I3830">
            <v>41799</v>
          </cell>
          <cell r="J3830">
            <v>0</v>
          </cell>
          <cell r="W3830">
            <v>0</v>
          </cell>
          <cell r="AJ3830">
            <v>0</v>
          </cell>
          <cell r="AM3830">
            <v>150</v>
          </cell>
          <cell r="AN3830">
            <v>150</v>
          </cell>
          <cell r="AO3830">
            <v>150</v>
          </cell>
          <cell r="AW3830">
            <v>450</v>
          </cell>
        </row>
        <row r="3831">
          <cell r="B3831">
            <v>7291</v>
          </cell>
          <cell r="D3831" t="str">
            <v/>
          </cell>
          <cell r="E3831" t="str">
            <v/>
          </cell>
          <cell r="F3831" t="str">
            <v/>
          </cell>
          <cell r="G3831">
            <v>8</v>
          </cell>
          <cell r="I3831">
            <v>41799</v>
          </cell>
          <cell r="J3831" t="str">
            <v>NO SUMA</v>
          </cell>
          <cell r="W3831">
            <v>0</v>
          </cell>
          <cell r="AJ3831">
            <v>0</v>
          </cell>
          <cell r="AW3831">
            <v>0</v>
          </cell>
        </row>
        <row r="3832">
          <cell r="B3832">
            <v>7292</v>
          </cell>
          <cell r="C3832" t="str">
            <v>UP_94_</v>
          </cell>
          <cell r="D3832" t="str">
            <v>Rancho Upácuaro No. 94</v>
          </cell>
          <cell r="E3832" t="str">
            <v>Juárez Patiño</v>
          </cell>
          <cell r="F3832">
            <v>300</v>
          </cell>
          <cell r="G3832">
            <v>1</v>
          </cell>
          <cell r="H3832">
            <v>400</v>
          </cell>
          <cell r="I3832">
            <v>41800</v>
          </cell>
          <cell r="J3832">
            <v>0</v>
          </cell>
          <cell r="W3832">
            <v>0</v>
          </cell>
          <cell r="AJ3832">
            <v>0</v>
          </cell>
          <cell r="AN3832">
            <v>400</v>
          </cell>
          <cell r="AW3832">
            <v>400</v>
          </cell>
        </row>
        <row r="3833">
          <cell r="B3833">
            <v>7292</v>
          </cell>
          <cell r="C3833" t="str">
            <v>UP_94_</v>
          </cell>
          <cell r="D3833" t="str">
            <v>Rancho Upácuaro No. 94</v>
          </cell>
          <cell r="E3833" t="str">
            <v>Juárez Patiño</v>
          </cell>
          <cell r="F3833">
            <v>300</v>
          </cell>
          <cell r="G3833">
            <v>3</v>
          </cell>
          <cell r="H3833">
            <v>160</v>
          </cell>
          <cell r="I3833">
            <v>41800</v>
          </cell>
          <cell r="J3833" t="str">
            <v>NO SUMA</v>
          </cell>
          <cell r="W3833">
            <v>0</v>
          </cell>
          <cell r="AJ3833">
            <v>0</v>
          </cell>
          <cell r="AW3833">
            <v>0</v>
          </cell>
        </row>
        <row r="3834">
          <cell r="B3834">
            <v>7293</v>
          </cell>
          <cell r="C3834" t="str">
            <v>CL_86_</v>
          </cell>
          <cell r="D3834" t="str">
            <v>Rancho La Cuchilla No. 86</v>
          </cell>
          <cell r="E3834" t="str">
            <v>Del Villar</v>
          </cell>
          <cell r="F3834">
            <v>300</v>
          </cell>
          <cell r="G3834">
            <v>1</v>
          </cell>
          <cell r="H3834">
            <v>400</v>
          </cell>
          <cell r="I3834">
            <v>41801</v>
          </cell>
          <cell r="J3834">
            <v>0</v>
          </cell>
          <cell r="W3834">
            <v>0</v>
          </cell>
          <cell r="AJ3834">
            <v>0</v>
          </cell>
          <cell r="AO3834">
            <v>400</v>
          </cell>
          <cell r="AW3834">
            <v>400</v>
          </cell>
        </row>
        <row r="3835">
          <cell r="B3835">
            <v>7294</v>
          </cell>
          <cell r="D3835" t="str">
            <v/>
          </cell>
          <cell r="E3835" t="str">
            <v/>
          </cell>
          <cell r="F3835" t="str">
            <v/>
          </cell>
          <cell r="G3835">
            <v>8</v>
          </cell>
          <cell r="I3835">
            <v>41801</v>
          </cell>
          <cell r="J3835" t="str">
            <v>NO SUMA</v>
          </cell>
          <cell r="W3835">
            <v>0</v>
          </cell>
          <cell r="AJ3835">
            <v>0</v>
          </cell>
          <cell r="AW3835">
            <v>0</v>
          </cell>
        </row>
        <row r="3836">
          <cell r="B3836">
            <v>7295</v>
          </cell>
          <cell r="D3836" t="str">
            <v/>
          </cell>
          <cell r="E3836" t="str">
            <v/>
          </cell>
          <cell r="F3836" t="str">
            <v/>
          </cell>
          <cell r="G3836">
            <v>8</v>
          </cell>
          <cell r="I3836">
            <v>41801</v>
          </cell>
          <cell r="J3836" t="str">
            <v>NO SUMA</v>
          </cell>
          <cell r="W3836">
            <v>0</v>
          </cell>
          <cell r="AJ3836">
            <v>0</v>
          </cell>
          <cell r="AW3836">
            <v>0</v>
          </cell>
        </row>
        <row r="3837">
          <cell r="B3837">
            <v>7296</v>
          </cell>
          <cell r="C3837" t="str">
            <v>LD_24_</v>
          </cell>
          <cell r="D3837" t="str">
            <v>Rancho Landero No. 24</v>
          </cell>
          <cell r="E3837" t="str">
            <v>Vázquez Peralta</v>
          </cell>
          <cell r="F3837">
            <v>300</v>
          </cell>
          <cell r="G3837">
            <v>1</v>
          </cell>
          <cell r="H3837">
            <v>400</v>
          </cell>
          <cell r="I3837">
            <v>41805</v>
          </cell>
          <cell r="J3837">
            <v>0</v>
          </cell>
          <cell r="W3837">
            <v>0</v>
          </cell>
          <cell r="AJ3837">
            <v>0</v>
          </cell>
          <cell r="AO3837">
            <v>400</v>
          </cell>
          <cell r="AW3837">
            <v>400</v>
          </cell>
        </row>
        <row r="3838">
          <cell r="B3838">
            <v>7297</v>
          </cell>
          <cell r="C3838" t="str">
            <v>UP_69_</v>
          </cell>
          <cell r="D3838" t="str">
            <v>Rancho Upácuaro No. 69</v>
          </cell>
          <cell r="E3838" t="str">
            <v>Gómez</v>
          </cell>
          <cell r="F3838">
            <v>300</v>
          </cell>
          <cell r="G3838">
            <v>1</v>
          </cell>
          <cell r="H3838">
            <v>400</v>
          </cell>
          <cell r="I3838">
            <v>41805</v>
          </cell>
          <cell r="J3838">
            <v>0</v>
          </cell>
          <cell r="W3838">
            <v>0</v>
          </cell>
          <cell r="AJ3838">
            <v>0</v>
          </cell>
          <cell r="AO3838">
            <v>400</v>
          </cell>
          <cell r="AW3838">
            <v>400</v>
          </cell>
        </row>
        <row r="3839">
          <cell r="B3839">
            <v>7298</v>
          </cell>
          <cell r="C3839" t="str">
            <v>LD_96_</v>
          </cell>
          <cell r="D3839" t="str">
            <v>Rancho Landero No. 96</v>
          </cell>
          <cell r="E3839" t="str">
            <v>Espinoza Aguirre</v>
          </cell>
          <cell r="F3839">
            <v>300</v>
          </cell>
          <cell r="G3839">
            <v>1</v>
          </cell>
          <cell r="H3839">
            <v>400</v>
          </cell>
          <cell r="I3839">
            <v>41805</v>
          </cell>
          <cell r="J3839">
            <v>0</v>
          </cell>
          <cell r="W3839">
            <v>0</v>
          </cell>
          <cell r="AJ3839">
            <v>0</v>
          </cell>
          <cell r="AO3839">
            <v>400</v>
          </cell>
          <cell r="AW3839">
            <v>400</v>
          </cell>
        </row>
        <row r="3840">
          <cell r="B3840">
            <v>7299</v>
          </cell>
          <cell r="C3840" t="str">
            <v>EZ_111_</v>
          </cell>
          <cell r="D3840" t="str">
            <v>Rancho Estanzuela No. 111</v>
          </cell>
          <cell r="E3840" t="str">
            <v>Flores Pérez</v>
          </cell>
          <cell r="F3840">
            <v>300</v>
          </cell>
          <cell r="G3840">
            <v>1</v>
          </cell>
          <cell r="H3840">
            <v>400</v>
          </cell>
          <cell r="I3840">
            <v>41805</v>
          </cell>
          <cell r="J3840">
            <v>0</v>
          </cell>
          <cell r="W3840">
            <v>0</v>
          </cell>
          <cell r="AJ3840">
            <v>0</v>
          </cell>
          <cell r="AO3840">
            <v>400</v>
          </cell>
          <cell r="AW3840">
            <v>400</v>
          </cell>
        </row>
        <row r="3841">
          <cell r="B3841">
            <v>7300</v>
          </cell>
          <cell r="C3841" t="str">
            <v>LD_7_</v>
          </cell>
          <cell r="D3841" t="str">
            <v>Rancho Landero No. 7</v>
          </cell>
          <cell r="E3841" t="str">
            <v>Robles</v>
          </cell>
          <cell r="F3841">
            <v>150</v>
          </cell>
          <cell r="G3841">
            <v>1</v>
          </cell>
          <cell r="H3841">
            <v>150</v>
          </cell>
          <cell r="I3841">
            <v>41805</v>
          </cell>
          <cell r="J3841">
            <v>0</v>
          </cell>
          <cell r="W3841">
            <v>0</v>
          </cell>
          <cell r="AJ3841">
            <v>0</v>
          </cell>
          <cell r="AP3841">
            <v>150</v>
          </cell>
          <cell r="AW3841">
            <v>150</v>
          </cell>
        </row>
        <row r="3842">
          <cell r="B3842">
            <v>7301</v>
          </cell>
          <cell r="C3842" t="str">
            <v>UP_33_</v>
          </cell>
          <cell r="D3842" t="str">
            <v>Rancho Upácuaro No. 33</v>
          </cell>
          <cell r="E3842" t="str">
            <v>Ulloa Miranda</v>
          </cell>
          <cell r="F3842">
            <v>300</v>
          </cell>
          <cell r="G3842">
            <v>1</v>
          </cell>
          <cell r="H3842">
            <v>400</v>
          </cell>
          <cell r="I3842">
            <v>41805</v>
          </cell>
          <cell r="J3842">
            <v>0</v>
          </cell>
          <cell r="W3842">
            <v>0</v>
          </cell>
          <cell r="AJ3842">
            <v>0</v>
          </cell>
          <cell r="AP3842">
            <v>400</v>
          </cell>
          <cell r="AW3842">
            <v>400</v>
          </cell>
        </row>
        <row r="3843">
          <cell r="B3843">
            <v>7302</v>
          </cell>
          <cell r="C3843" t="str">
            <v>EZ_157_1</v>
          </cell>
          <cell r="D3843" t="str">
            <v>Rancho Estanzuela No. 157, 1</v>
          </cell>
          <cell r="E3843" t="str">
            <v>Anzures</v>
          </cell>
          <cell r="F3843">
            <v>450</v>
          </cell>
          <cell r="G3843">
            <v>1</v>
          </cell>
          <cell r="H3843">
            <v>150</v>
          </cell>
          <cell r="I3843">
            <v>41805</v>
          </cell>
          <cell r="J3843">
            <v>0</v>
          </cell>
          <cell r="W3843">
            <v>0</v>
          </cell>
          <cell r="AJ3843">
            <v>0</v>
          </cell>
          <cell r="AP3843">
            <v>150</v>
          </cell>
          <cell r="AW3843">
            <v>150</v>
          </cell>
        </row>
        <row r="3844">
          <cell r="B3844">
            <v>7302</v>
          </cell>
          <cell r="C3844" t="str">
            <v>EZ_157_2</v>
          </cell>
          <cell r="D3844" t="str">
            <v>Rancho Estanzuela No. 157, 2</v>
          </cell>
          <cell r="E3844" t="str">
            <v>Arias</v>
          </cell>
          <cell r="F3844">
            <v>150</v>
          </cell>
          <cell r="G3844">
            <v>1</v>
          </cell>
          <cell r="H3844">
            <v>150</v>
          </cell>
          <cell r="I3844">
            <v>41805</v>
          </cell>
          <cell r="J3844">
            <v>0</v>
          </cell>
          <cell r="W3844">
            <v>0</v>
          </cell>
          <cell r="AJ3844">
            <v>0</v>
          </cell>
          <cell r="AP3844">
            <v>150</v>
          </cell>
          <cell r="AW3844">
            <v>150</v>
          </cell>
        </row>
        <row r="3845">
          <cell r="B3845">
            <v>7302</v>
          </cell>
          <cell r="C3845" t="str">
            <v>EZ_157_3</v>
          </cell>
          <cell r="D3845" t="str">
            <v>Rancho Estanzuela No. 157, 3</v>
          </cell>
          <cell r="E3845" t="str">
            <v>Conde</v>
          </cell>
          <cell r="F3845">
            <v>300</v>
          </cell>
          <cell r="G3845">
            <v>1</v>
          </cell>
          <cell r="H3845">
            <v>150</v>
          </cell>
          <cell r="I3845">
            <v>41805</v>
          </cell>
          <cell r="J3845">
            <v>0</v>
          </cell>
          <cell r="W3845">
            <v>0</v>
          </cell>
          <cell r="AJ3845">
            <v>0</v>
          </cell>
          <cell r="AP3845">
            <v>150</v>
          </cell>
          <cell r="AW3845">
            <v>150</v>
          </cell>
        </row>
        <row r="3846">
          <cell r="B3846">
            <v>7303</v>
          </cell>
          <cell r="C3846" t="str">
            <v>RM_10_A</v>
          </cell>
          <cell r="D3846" t="str">
            <v>Rancho Romeral No. 10, A</v>
          </cell>
          <cell r="E3846" t="str">
            <v>Casillas Álvarez</v>
          </cell>
          <cell r="F3846">
            <v>150</v>
          </cell>
          <cell r="G3846">
            <v>1</v>
          </cell>
          <cell r="H3846">
            <v>400</v>
          </cell>
          <cell r="I3846">
            <v>41805</v>
          </cell>
          <cell r="J3846">
            <v>0</v>
          </cell>
          <cell r="W3846">
            <v>0</v>
          </cell>
          <cell r="AJ3846">
            <v>0</v>
          </cell>
          <cell r="AQ3846">
            <v>200</v>
          </cell>
          <cell r="AR3846">
            <v>200</v>
          </cell>
          <cell r="AW3846">
            <v>400</v>
          </cell>
        </row>
        <row r="3847">
          <cell r="B3847">
            <v>7304</v>
          </cell>
          <cell r="C3847" t="str">
            <v>LD_18_</v>
          </cell>
          <cell r="D3847" t="str">
            <v>Rancho Landero No. 18</v>
          </cell>
          <cell r="E3847" t="str">
            <v>Rosado</v>
          </cell>
          <cell r="F3847">
            <v>250</v>
          </cell>
          <cell r="G3847">
            <v>1</v>
          </cell>
          <cell r="H3847">
            <v>300</v>
          </cell>
          <cell r="I3847">
            <v>41805</v>
          </cell>
          <cell r="J3847">
            <v>0</v>
          </cell>
          <cell r="W3847">
            <v>0</v>
          </cell>
          <cell r="AJ3847">
            <v>0</v>
          </cell>
          <cell r="AP3847">
            <v>300</v>
          </cell>
          <cell r="AW3847">
            <v>300</v>
          </cell>
        </row>
        <row r="3848">
          <cell r="B3848">
            <v>7305</v>
          </cell>
          <cell r="C3848" t="str">
            <v>CL_15_</v>
          </cell>
          <cell r="D3848" t="str">
            <v>Rancho La Cuchilla No. 15</v>
          </cell>
          <cell r="E3848" t="str">
            <v>Guerrero Ponce</v>
          </cell>
          <cell r="F3848">
            <v>300</v>
          </cell>
          <cell r="G3848">
            <v>1</v>
          </cell>
          <cell r="H3848">
            <v>600</v>
          </cell>
          <cell r="I3848">
            <v>41805</v>
          </cell>
          <cell r="J3848">
            <v>0</v>
          </cell>
          <cell r="W3848">
            <v>0</v>
          </cell>
          <cell r="AJ3848">
            <v>0</v>
          </cell>
          <cell r="AP3848">
            <v>300</v>
          </cell>
          <cell r="AQ3848">
            <v>300</v>
          </cell>
          <cell r="AW3848">
            <v>600</v>
          </cell>
        </row>
        <row r="3849">
          <cell r="B3849">
            <v>7306</v>
          </cell>
          <cell r="C3849" t="str">
            <v>LD_22_</v>
          </cell>
          <cell r="D3849" t="str">
            <v>Rancho Landero No. 22</v>
          </cell>
          <cell r="E3849" t="str">
            <v>Reyes</v>
          </cell>
          <cell r="F3849">
            <v>150</v>
          </cell>
          <cell r="G3849">
            <v>1</v>
          </cell>
          <cell r="H3849">
            <v>200</v>
          </cell>
          <cell r="I3849">
            <v>41805</v>
          </cell>
          <cell r="J3849">
            <v>0</v>
          </cell>
          <cell r="W3849">
            <v>0</v>
          </cell>
          <cell r="AJ3849">
            <v>0</v>
          </cell>
          <cell r="AP3849">
            <v>200</v>
          </cell>
          <cell r="AW3849">
            <v>200</v>
          </cell>
        </row>
        <row r="3850">
          <cell r="B3850">
            <v>7307</v>
          </cell>
          <cell r="C3850" t="str">
            <v>UP_100_</v>
          </cell>
          <cell r="D3850" t="str">
            <v>Rancho Upácuaro No. 100</v>
          </cell>
          <cell r="E3850" t="str">
            <v>Mancera Rodríguez</v>
          </cell>
          <cell r="F3850">
            <v>300</v>
          </cell>
          <cell r="G3850">
            <v>1</v>
          </cell>
          <cell r="H3850">
            <v>400</v>
          </cell>
          <cell r="I3850">
            <v>41805</v>
          </cell>
          <cell r="J3850">
            <v>0</v>
          </cell>
          <cell r="W3850">
            <v>0</v>
          </cell>
          <cell r="AJ3850">
            <v>0</v>
          </cell>
          <cell r="AP3850">
            <v>400</v>
          </cell>
          <cell r="AW3850">
            <v>400</v>
          </cell>
        </row>
        <row r="3851">
          <cell r="B3851">
            <v>7308</v>
          </cell>
          <cell r="C3851" t="str">
            <v>CL_93_</v>
          </cell>
          <cell r="D3851" t="str">
            <v>Rancho La Cuchilla No. 93</v>
          </cell>
          <cell r="E3851" t="str">
            <v>Alcántara Silva</v>
          </cell>
          <cell r="F3851">
            <v>300</v>
          </cell>
          <cell r="G3851">
            <v>1</v>
          </cell>
          <cell r="H3851">
            <v>1200</v>
          </cell>
          <cell r="I3851">
            <v>41805</v>
          </cell>
          <cell r="J3851">
            <v>0</v>
          </cell>
          <cell r="W3851">
            <v>0</v>
          </cell>
          <cell r="AJ3851">
            <v>0</v>
          </cell>
          <cell r="AM3851">
            <v>400</v>
          </cell>
          <cell r="AN3851">
            <v>400</v>
          </cell>
          <cell r="AO3851">
            <v>400</v>
          </cell>
          <cell r="AW3851">
            <v>1200</v>
          </cell>
        </row>
        <row r="3852">
          <cell r="B3852">
            <v>7309</v>
          </cell>
          <cell r="C3852" t="str">
            <v>CL_43_A</v>
          </cell>
          <cell r="D3852" t="str">
            <v>Rancho La Cuchilla No. 43, A</v>
          </cell>
          <cell r="E3852" t="str">
            <v>De la Rosa</v>
          </cell>
          <cell r="F3852">
            <v>200</v>
          </cell>
          <cell r="G3852">
            <v>1</v>
          </cell>
          <cell r="H3852">
            <v>400</v>
          </cell>
          <cell r="I3852">
            <v>41805</v>
          </cell>
          <cell r="J3852">
            <v>0</v>
          </cell>
          <cell r="W3852">
            <v>0</v>
          </cell>
          <cell r="AJ3852">
            <v>0</v>
          </cell>
          <cell r="AP3852">
            <v>400</v>
          </cell>
          <cell r="AW3852">
            <v>400</v>
          </cell>
        </row>
        <row r="3853">
          <cell r="B3853">
            <v>7310</v>
          </cell>
          <cell r="C3853" t="str">
            <v>CL_54_</v>
          </cell>
          <cell r="D3853" t="str">
            <v>Rancho La Cuchilla No. 54</v>
          </cell>
          <cell r="E3853" t="str">
            <v>Mendoza León</v>
          </cell>
          <cell r="F3853">
            <v>300</v>
          </cell>
          <cell r="G3853">
            <v>1</v>
          </cell>
          <cell r="H3853">
            <v>400</v>
          </cell>
          <cell r="I3853">
            <v>41805</v>
          </cell>
          <cell r="J3853">
            <v>0</v>
          </cell>
          <cell r="W3853">
            <v>0</v>
          </cell>
          <cell r="AJ3853">
            <v>0</v>
          </cell>
          <cell r="AO3853">
            <v>400</v>
          </cell>
          <cell r="AW3853">
            <v>400</v>
          </cell>
        </row>
        <row r="3854">
          <cell r="B3854">
            <v>7311</v>
          </cell>
          <cell r="C3854" t="str">
            <v>ZB_42_</v>
          </cell>
          <cell r="D3854" t="str">
            <v>Rancho Zinamba No. 42</v>
          </cell>
          <cell r="E3854" t="str">
            <v>López Aldave</v>
          </cell>
          <cell r="F3854">
            <v>250</v>
          </cell>
          <cell r="G3854">
            <v>1</v>
          </cell>
          <cell r="H3854">
            <v>600</v>
          </cell>
          <cell r="I3854">
            <v>41805</v>
          </cell>
          <cell r="J3854">
            <v>0</v>
          </cell>
          <cell r="W3854">
            <v>0</v>
          </cell>
          <cell r="AJ3854">
            <v>0</v>
          </cell>
          <cell r="AP3854">
            <v>300</v>
          </cell>
          <cell r="AQ3854">
            <v>300</v>
          </cell>
          <cell r="AW3854">
            <v>600</v>
          </cell>
        </row>
        <row r="3855">
          <cell r="B3855">
            <v>7312</v>
          </cell>
          <cell r="C3855" t="str">
            <v>CL_75_</v>
          </cell>
          <cell r="D3855" t="str">
            <v>Rancho La Cuchilla No. 75</v>
          </cell>
          <cell r="E3855" t="str">
            <v>Sosa Lucio</v>
          </cell>
          <cell r="F3855">
            <v>300</v>
          </cell>
          <cell r="G3855">
            <v>1</v>
          </cell>
          <cell r="H3855">
            <v>400</v>
          </cell>
          <cell r="I3855">
            <v>41805</v>
          </cell>
          <cell r="J3855">
            <v>0</v>
          </cell>
          <cell r="W3855">
            <v>0</v>
          </cell>
          <cell r="AJ3855">
            <v>0</v>
          </cell>
          <cell r="AP3855">
            <v>400</v>
          </cell>
          <cell r="AW3855">
            <v>400</v>
          </cell>
        </row>
        <row r="3856">
          <cell r="B3856">
            <v>7313</v>
          </cell>
          <cell r="C3856" t="str">
            <v>CL_87_</v>
          </cell>
          <cell r="D3856" t="str">
            <v>Rancho La Cuchilla No. 87</v>
          </cell>
          <cell r="E3856" t="str">
            <v>Villanueva S.</v>
          </cell>
          <cell r="F3856">
            <v>300</v>
          </cell>
          <cell r="G3856">
            <v>1</v>
          </cell>
          <cell r="H3856">
            <v>400</v>
          </cell>
          <cell r="I3856">
            <v>41805</v>
          </cell>
          <cell r="J3856">
            <v>0</v>
          </cell>
          <cell r="W3856">
            <v>0</v>
          </cell>
          <cell r="AJ3856">
            <v>0</v>
          </cell>
          <cell r="AP3856">
            <v>400</v>
          </cell>
          <cell r="AW3856">
            <v>400</v>
          </cell>
        </row>
        <row r="3857">
          <cell r="B3857">
            <v>7314</v>
          </cell>
          <cell r="C3857" t="str">
            <v>EZ_55_</v>
          </cell>
          <cell r="D3857" t="str">
            <v>Rancho Estanzuela No. 55</v>
          </cell>
          <cell r="E3857" t="str">
            <v>Rodríguez Acevedo</v>
          </cell>
          <cell r="F3857">
            <v>300</v>
          </cell>
          <cell r="G3857">
            <v>1</v>
          </cell>
          <cell r="H3857">
            <v>400</v>
          </cell>
          <cell r="I3857">
            <v>41805</v>
          </cell>
          <cell r="J3857">
            <v>0</v>
          </cell>
          <cell r="W3857">
            <v>0</v>
          </cell>
          <cell r="AJ3857">
            <v>0</v>
          </cell>
          <cell r="AP3857">
            <v>400</v>
          </cell>
          <cell r="AW3857">
            <v>400</v>
          </cell>
        </row>
        <row r="3858">
          <cell r="B3858">
            <v>7315</v>
          </cell>
          <cell r="D3858" t="str">
            <v/>
          </cell>
          <cell r="E3858" t="str">
            <v/>
          </cell>
          <cell r="F3858" t="str">
            <v/>
          </cell>
          <cell r="G3858">
            <v>8</v>
          </cell>
          <cell r="I3858">
            <v>41805</v>
          </cell>
          <cell r="J3858" t="str">
            <v>NO SUMA</v>
          </cell>
          <cell r="W3858">
            <v>0</v>
          </cell>
          <cell r="AJ3858">
            <v>0</v>
          </cell>
          <cell r="AW3858">
            <v>0</v>
          </cell>
        </row>
        <row r="3859">
          <cell r="B3859">
            <v>7316</v>
          </cell>
          <cell r="C3859" t="str">
            <v>UP_142_</v>
          </cell>
          <cell r="D3859" t="str">
            <v>Rancho Upácuaro No. 142</v>
          </cell>
          <cell r="E3859" t="str">
            <v>Fierro Villaneda</v>
          </cell>
          <cell r="F3859">
            <v>300</v>
          </cell>
          <cell r="G3859">
            <v>1</v>
          </cell>
          <cell r="H3859">
            <v>800</v>
          </cell>
          <cell r="I3859">
            <v>41805</v>
          </cell>
          <cell r="J3859">
            <v>0</v>
          </cell>
          <cell r="W3859">
            <v>0</v>
          </cell>
          <cell r="AJ3859">
            <v>0</v>
          </cell>
          <cell r="AQ3859">
            <v>400</v>
          </cell>
          <cell r="AR3859">
            <v>400</v>
          </cell>
          <cell r="AW3859">
            <v>800</v>
          </cell>
        </row>
        <row r="3860">
          <cell r="B3860">
            <v>7317</v>
          </cell>
          <cell r="C3860" t="str">
            <v>CL_30_</v>
          </cell>
          <cell r="D3860" t="str">
            <v>Rancho La Cuchilla No. 30</v>
          </cell>
          <cell r="E3860" t="str">
            <v>Ruiz Navarrete</v>
          </cell>
          <cell r="F3860">
            <v>300</v>
          </cell>
          <cell r="G3860">
            <v>3</v>
          </cell>
          <cell r="H3860">
            <v>160</v>
          </cell>
          <cell r="I3860">
            <v>41805</v>
          </cell>
          <cell r="J3860" t="str">
            <v>NO SUMA</v>
          </cell>
          <cell r="W3860">
            <v>0</v>
          </cell>
          <cell r="AJ3860">
            <v>0</v>
          </cell>
          <cell r="AW3860">
            <v>0</v>
          </cell>
        </row>
        <row r="3861">
          <cell r="B3861">
            <v>7318</v>
          </cell>
          <cell r="C3861" t="str">
            <v>EZ_11_A</v>
          </cell>
          <cell r="D3861" t="str">
            <v>Rancho Estanzuela No. 11, A</v>
          </cell>
          <cell r="E3861" t="str">
            <v>Evans González</v>
          </cell>
          <cell r="F3861">
            <v>300</v>
          </cell>
          <cell r="G3861">
            <v>1</v>
          </cell>
          <cell r="H3861">
            <v>900</v>
          </cell>
          <cell r="I3861">
            <v>41805</v>
          </cell>
          <cell r="J3861">
            <v>0</v>
          </cell>
          <cell r="W3861">
            <v>0</v>
          </cell>
          <cell r="AJ3861">
            <v>0</v>
          </cell>
          <cell r="AO3861">
            <v>300</v>
          </cell>
          <cell r="AP3861">
            <v>300</v>
          </cell>
          <cell r="AQ3861">
            <v>300</v>
          </cell>
          <cell r="AW3861">
            <v>900</v>
          </cell>
        </row>
        <row r="3862">
          <cell r="B3862">
            <v>7319</v>
          </cell>
          <cell r="C3862" t="str">
            <v>CL_147_2</v>
          </cell>
          <cell r="D3862" t="str">
            <v>Rancho La Cuchilla No. 147</v>
          </cell>
          <cell r="E3862" t="str">
            <v>Lagos</v>
          </cell>
          <cell r="F3862">
            <v>400</v>
          </cell>
          <cell r="G3862">
            <v>1</v>
          </cell>
          <cell r="H3862">
            <v>400</v>
          </cell>
          <cell r="I3862">
            <v>41807</v>
          </cell>
          <cell r="J3862">
            <v>0</v>
          </cell>
          <cell r="W3862">
            <v>0</v>
          </cell>
          <cell r="AJ3862">
            <v>0</v>
          </cell>
          <cell r="AP3862">
            <v>400</v>
          </cell>
          <cell r="AW3862">
            <v>400</v>
          </cell>
        </row>
        <row r="3863">
          <cell r="B3863">
            <v>7320</v>
          </cell>
          <cell r="C3863" t="str">
            <v>LD_85_</v>
          </cell>
          <cell r="D3863" t="str">
            <v>Rancho Landero No. 85</v>
          </cell>
          <cell r="E3863" t="str">
            <v>Martínez Olague</v>
          </cell>
          <cell r="F3863">
            <v>300</v>
          </cell>
          <cell r="G3863">
            <v>1</v>
          </cell>
          <cell r="H3863">
            <v>400</v>
          </cell>
          <cell r="I3863">
            <v>41807</v>
          </cell>
          <cell r="J3863">
            <v>0</v>
          </cell>
          <cell r="W3863">
            <v>0</v>
          </cell>
          <cell r="AJ3863">
            <v>0</v>
          </cell>
          <cell r="AP3863">
            <v>400</v>
          </cell>
          <cell r="AW3863">
            <v>400</v>
          </cell>
        </row>
        <row r="3864">
          <cell r="B3864">
            <v>7321</v>
          </cell>
          <cell r="C3864" t="str">
            <v>EZ_7_A</v>
          </cell>
          <cell r="D3864" t="str">
            <v>Rancho Estanzuela No. 7, A</v>
          </cell>
          <cell r="E3864" t="str">
            <v>Herrera Izquierdo</v>
          </cell>
          <cell r="F3864">
            <v>150</v>
          </cell>
          <cell r="G3864">
            <v>1</v>
          </cell>
          <cell r="H3864">
            <v>200</v>
          </cell>
          <cell r="I3864">
            <v>41807</v>
          </cell>
          <cell r="J3864">
            <v>0</v>
          </cell>
          <cell r="W3864">
            <v>0</v>
          </cell>
          <cell r="AJ3864">
            <v>0</v>
          </cell>
          <cell r="AP3864">
            <v>200</v>
          </cell>
          <cell r="AW3864">
            <v>200</v>
          </cell>
        </row>
        <row r="3865">
          <cell r="B3865">
            <v>7322</v>
          </cell>
          <cell r="C3865" t="str">
            <v>UP_64_</v>
          </cell>
          <cell r="D3865" t="str">
            <v>Rancho Upácuaro No. 64</v>
          </cell>
          <cell r="E3865" t="str">
            <v>Méndez Oliva</v>
          </cell>
          <cell r="F3865">
            <v>300</v>
          </cell>
          <cell r="G3865">
            <v>1</v>
          </cell>
          <cell r="H3865">
            <v>300</v>
          </cell>
          <cell r="I3865">
            <v>41812</v>
          </cell>
          <cell r="J3865">
            <v>0</v>
          </cell>
          <cell r="W3865">
            <v>0</v>
          </cell>
          <cell r="AJ3865">
            <v>0</v>
          </cell>
          <cell r="AP3865">
            <v>300</v>
          </cell>
          <cell r="AW3865">
            <v>300</v>
          </cell>
        </row>
        <row r="3866">
          <cell r="B3866">
            <v>7323</v>
          </cell>
          <cell r="C3866" t="str">
            <v>LD_63_</v>
          </cell>
          <cell r="D3866" t="str">
            <v>Rancho Landero No. 63</v>
          </cell>
          <cell r="E3866" t="str">
            <v>Hernández Chávez</v>
          </cell>
          <cell r="F3866">
            <v>300</v>
          </cell>
          <cell r="G3866">
            <v>1</v>
          </cell>
          <cell r="H3866">
            <v>800</v>
          </cell>
          <cell r="I3866">
            <v>41812</v>
          </cell>
          <cell r="J3866">
            <v>0</v>
          </cell>
          <cell r="W3866">
            <v>0</v>
          </cell>
          <cell r="AJ3866">
            <v>0</v>
          </cell>
          <cell r="AN3866">
            <v>400</v>
          </cell>
          <cell r="AO3866">
            <v>400</v>
          </cell>
          <cell r="AW3866">
            <v>800</v>
          </cell>
        </row>
        <row r="3867">
          <cell r="B3867">
            <v>7324</v>
          </cell>
          <cell r="C3867" t="str">
            <v>LD_58_</v>
          </cell>
          <cell r="D3867" t="str">
            <v>Rancho Landero No. 58</v>
          </cell>
          <cell r="E3867" t="str">
            <v>Valero</v>
          </cell>
          <cell r="F3867">
            <v>300</v>
          </cell>
          <cell r="G3867">
            <v>1</v>
          </cell>
          <cell r="H3867">
            <v>400</v>
          </cell>
          <cell r="I3867">
            <v>41812</v>
          </cell>
          <cell r="J3867">
            <v>0</v>
          </cell>
          <cell r="W3867">
            <v>0</v>
          </cell>
          <cell r="AJ3867">
            <v>0</v>
          </cell>
          <cell r="AP3867">
            <v>400</v>
          </cell>
          <cell r="AW3867">
            <v>400</v>
          </cell>
        </row>
        <row r="3868">
          <cell r="B3868">
            <v>7325</v>
          </cell>
          <cell r="C3868" t="str">
            <v>EP_18_</v>
          </cell>
          <cell r="D3868" t="str">
            <v>Rancho Estopila No. 18</v>
          </cell>
          <cell r="E3868" t="str">
            <v>Aguilar Zarmeño</v>
          </cell>
          <cell r="F3868">
            <v>300</v>
          </cell>
          <cell r="G3868">
            <v>1</v>
          </cell>
          <cell r="H3868">
            <v>800</v>
          </cell>
          <cell r="I3868">
            <v>41812</v>
          </cell>
          <cell r="J3868">
            <v>0</v>
          </cell>
          <cell r="W3868">
            <v>0</v>
          </cell>
          <cell r="AJ3868">
            <v>0</v>
          </cell>
          <cell r="AQ3868">
            <v>400</v>
          </cell>
          <cell r="AR3868">
            <v>400</v>
          </cell>
          <cell r="AW3868">
            <v>800</v>
          </cell>
        </row>
        <row r="3869">
          <cell r="B3869">
            <v>7326</v>
          </cell>
          <cell r="C3869" t="str">
            <v>CL_120_</v>
          </cell>
          <cell r="D3869" t="str">
            <v>Rancho La Cuchilla No. 120</v>
          </cell>
          <cell r="E3869" t="str">
            <v>Pozos Vilchis</v>
          </cell>
          <cell r="F3869">
            <v>300</v>
          </cell>
          <cell r="G3869">
            <v>1</v>
          </cell>
          <cell r="H3869">
            <v>400</v>
          </cell>
          <cell r="I3869">
            <v>41812</v>
          </cell>
          <cell r="J3869">
            <v>0</v>
          </cell>
          <cell r="W3869">
            <v>0</v>
          </cell>
          <cell r="AJ3869">
            <v>0</v>
          </cell>
          <cell r="AP3869">
            <v>400</v>
          </cell>
          <cell r="AW3869">
            <v>400</v>
          </cell>
        </row>
        <row r="3870">
          <cell r="B3870">
            <v>7327</v>
          </cell>
          <cell r="C3870" t="str">
            <v>EZ_99_</v>
          </cell>
          <cell r="D3870" t="str">
            <v>Rancho Estanzuela No. 99</v>
          </cell>
          <cell r="E3870" t="str">
            <v>García López</v>
          </cell>
          <cell r="F3870">
            <v>300</v>
          </cell>
          <cell r="G3870">
            <v>1</v>
          </cell>
          <cell r="H3870">
            <v>400</v>
          </cell>
          <cell r="I3870">
            <v>41812</v>
          </cell>
          <cell r="J3870">
            <v>0</v>
          </cell>
          <cell r="W3870">
            <v>0</v>
          </cell>
          <cell r="AJ3870">
            <v>0</v>
          </cell>
          <cell r="AP3870">
            <v>400</v>
          </cell>
          <cell r="AW3870">
            <v>400</v>
          </cell>
        </row>
        <row r="3871">
          <cell r="B3871">
            <v>7328</v>
          </cell>
          <cell r="C3871" t="str">
            <v>EZ_127_</v>
          </cell>
          <cell r="D3871" t="str">
            <v>Rancho Estanzuela No. 127</v>
          </cell>
          <cell r="E3871" t="str">
            <v>Luna Zepeda</v>
          </cell>
          <cell r="F3871">
            <v>200</v>
          </cell>
          <cell r="G3871">
            <v>1</v>
          </cell>
          <cell r="H3871">
            <v>150</v>
          </cell>
          <cell r="I3871">
            <v>41812</v>
          </cell>
          <cell r="J3871">
            <v>0</v>
          </cell>
          <cell r="W3871">
            <v>0</v>
          </cell>
          <cell r="AJ3871">
            <v>0</v>
          </cell>
          <cell r="AN3871">
            <v>150</v>
          </cell>
          <cell r="AW3871">
            <v>150</v>
          </cell>
        </row>
        <row r="3872">
          <cell r="B3872">
            <v>7329</v>
          </cell>
          <cell r="C3872" t="str">
            <v>CL_131_</v>
          </cell>
          <cell r="D3872" t="str">
            <v>Rancho La Cuchilla No. 131</v>
          </cell>
          <cell r="E3872" t="str">
            <v>Cabrera Marquez</v>
          </cell>
          <cell r="F3872">
            <v>300</v>
          </cell>
          <cell r="G3872">
            <v>1</v>
          </cell>
          <cell r="H3872">
            <v>400</v>
          </cell>
          <cell r="I3872">
            <v>41812</v>
          </cell>
          <cell r="J3872">
            <v>0</v>
          </cell>
          <cell r="W3872">
            <v>0</v>
          </cell>
          <cell r="AJ3872">
            <v>0</v>
          </cell>
          <cell r="AP3872">
            <v>400</v>
          </cell>
          <cell r="AW3872">
            <v>400</v>
          </cell>
        </row>
        <row r="3873">
          <cell r="B3873">
            <v>7330</v>
          </cell>
          <cell r="C3873" t="str">
            <v>CL_12_</v>
          </cell>
          <cell r="D3873" t="str">
            <v>Rancho La Cuchilla No. 12</v>
          </cell>
          <cell r="E3873" t="str">
            <v>Rivera Flores</v>
          </cell>
          <cell r="F3873">
            <v>300</v>
          </cell>
          <cell r="G3873">
            <v>1</v>
          </cell>
          <cell r="H3873">
            <v>300</v>
          </cell>
          <cell r="I3873">
            <v>41812</v>
          </cell>
          <cell r="J3873">
            <v>0</v>
          </cell>
          <cell r="W3873">
            <v>0</v>
          </cell>
          <cell r="AJ3873">
            <v>0</v>
          </cell>
          <cell r="AP3873">
            <v>300</v>
          </cell>
          <cell r="AW3873">
            <v>300</v>
          </cell>
        </row>
        <row r="3874">
          <cell r="B3874">
            <v>7331</v>
          </cell>
          <cell r="C3874" t="str">
            <v>LD_35_</v>
          </cell>
          <cell r="D3874" t="str">
            <v>Rancho Landero No. 35</v>
          </cell>
          <cell r="E3874" t="str">
            <v>Loperena</v>
          </cell>
          <cell r="F3874">
            <v>300</v>
          </cell>
          <cell r="G3874">
            <v>1</v>
          </cell>
          <cell r="H3874">
            <v>400</v>
          </cell>
          <cell r="I3874">
            <v>41812</v>
          </cell>
          <cell r="J3874">
            <v>0</v>
          </cell>
          <cell r="W3874">
            <v>0</v>
          </cell>
          <cell r="AJ3874">
            <v>0</v>
          </cell>
          <cell r="AO3874">
            <v>400</v>
          </cell>
          <cell r="AW3874">
            <v>400</v>
          </cell>
        </row>
        <row r="3875">
          <cell r="B3875">
            <v>7332</v>
          </cell>
          <cell r="C3875" t="str">
            <v>LD_76_</v>
          </cell>
          <cell r="D3875" t="str">
            <v>Rancho Landero No. 76</v>
          </cell>
          <cell r="E3875" t="str">
            <v>Ugarte</v>
          </cell>
          <cell r="F3875">
            <v>300</v>
          </cell>
          <cell r="G3875">
            <v>1</v>
          </cell>
          <cell r="H3875">
            <v>400</v>
          </cell>
          <cell r="I3875">
            <v>41812</v>
          </cell>
          <cell r="J3875">
            <v>0</v>
          </cell>
          <cell r="W3875">
            <v>0</v>
          </cell>
          <cell r="AJ3875">
            <v>0</v>
          </cell>
          <cell r="AP3875">
            <v>400</v>
          </cell>
          <cell r="AW3875">
            <v>400</v>
          </cell>
        </row>
        <row r="3876">
          <cell r="B3876">
            <v>7333</v>
          </cell>
          <cell r="C3876" t="str">
            <v>UP_88_</v>
          </cell>
          <cell r="D3876" t="str">
            <v>Rancho Upácuaro No. 88</v>
          </cell>
          <cell r="E3876" t="str">
            <v>Millán Núñez</v>
          </cell>
          <cell r="F3876">
            <v>300</v>
          </cell>
          <cell r="G3876">
            <v>1</v>
          </cell>
          <cell r="H3876">
            <v>400</v>
          </cell>
          <cell r="I3876">
            <v>41812</v>
          </cell>
          <cell r="J3876">
            <v>0</v>
          </cell>
          <cell r="W3876">
            <v>0</v>
          </cell>
          <cell r="AJ3876">
            <v>0</v>
          </cell>
          <cell r="AP3876">
            <v>400</v>
          </cell>
          <cell r="AW3876">
            <v>400</v>
          </cell>
        </row>
        <row r="3877">
          <cell r="B3877">
            <v>7334</v>
          </cell>
          <cell r="C3877" t="str">
            <v>UP_60_</v>
          </cell>
          <cell r="D3877" t="str">
            <v>Rancho Upácuaro No. 60</v>
          </cell>
          <cell r="E3877" t="str">
            <v>Zavala</v>
          </cell>
          <cell r="F3877">
            <v>300</v>
          </cell>
          <cell r="G3877">
            <v>1</v>
          </cell>
          <cell r="H3877">
            <v>800</v>
          </cell>
          <cell r="I3877">
            <v>41812</v>
          </cell>
          <cell r="J3877">
            <v>0</v>
          </cell>
          <cell r="W3877">
            <v>0</v>
          </cell>
          <cell r="AJ3877">
            <v>0</v>
          </cell>
          <cell r="AO3877">
            <v>400</v>
          </cell>
          <cell r="AP3877">
            <v>400</v>
          </cell>
          <cell r="AW3877">
            <v>800</v>
          </cell>
        </row>
        <row r="3878">
          <cell r="B3878">
            <v>7335</v>
          </cell>
          <cell r="C3878" t="str">
            <v>UP_69_</v>
          </cell>
          <cell r="D3878" t="str">
            <v>Rancho Upácuaro No. 69</v>
          </cell>
          <cell r="E3878" t="str">
            <v>Gómez</v>
          </cell>
          <cell r="F3878">
            <v>300</v>
          </cell>
          <cell r="G3878">
            <v>1</v>
          </cell>
          <cell r="H3878">
            <v>400</v>
          </cell>
          <cell r="I3878">
            <v>41812</v>
          </cell>
          <cell r="J3878">
            <v>0</v>
          </cell>
          <cell r="W3878">
            <v>0</v>
          </cell>
          <cell r="AJ3878">
            <v>0</v>
          </cell>
          <cell r="AP3878">
            <v>400</v>
          </cell>
          <cell r="AW3878">
            <v>400</v>
          </cell>
        </row>
        <row r="3879">
          <cell r="B3879">
            <v>7336</v>
          </cell>
          <cell r="C3879" t="str">
            <v>UP_14_</v>
          </cell>
          <cell r="D3879" t="str">
            <v>Rancho Upácuaro No. 14</v>
          </cell>
          <cell r="E3879" t="str">
            <v>Guerrero</v>
          </cell>
          <cell r="F3879">
            <v>300</v>
          </cell>
          <cell r="G3879">
            <v>1</v>
          </cell>
          <cell r="H3879">
            <v>400</v>
          </cell>
          <cell r="I3879">
            <v>41812</v>
          </cell>
          <cell r="J3879">
            <v>0</v>
          </cell>
          <cell r="W3879">
            <v>0</v>
          </cell>
          <cell r="AJ3879">
            <v>0</v>
          </cell>
          <cell r="AP3879">
            <v>400</v>
          </cell>
          <cell r="AW3879">
            <v>400</v>
          </cell>
        </row>
        <row r="3880">
          <cell r="B3880">
            <v>7337</v>
          </cell>
          <cell r="C3880" t="str">
            <v>CL_32_</v>
          </cell>
          <cell r="D3880" t="str">
            <v>Rancho La Cuchilla No. 32</v>
          </cell>
          <cell r="E3880" t="str">
            <v>Hernández</v>
          </cell>
          <cell r="F3880">
            <v>300</v>
          </cell>
          <cell r="G3880">
            <v>1</v>
          </cell>
          <cell r="H3880">
            <v>400</v>
          </cell>
          <cell r="I3880">
            <v>41812</v>
          </cell>
          <cell r="J3880">
            <v>0</v>
          </cell>
          <cell r="W3880">
            <v>0</v>
          </cell>
          <cell r="AJ3880">
            <v>0</v>
          </cell>
          <cell r="AO3880">
            <v>400</v>
          </cell>
          <cell r="AW3880">
            <v>400</v>
          </cell>
        </row>
        <row r="3881">
          <cell r="B3881">
            <v>7338</v>
          </cell>
          <cell r="C3881" t="str">
            <v>UP_138_</v>
          </cell>
          <cell r="D3881" t="str">
            <v>Rancho Upácuaro No. 138</v>
          </cell>
          <cell r="E3881" t="str">
            <v>Ramírez Valencia</v>
          </cell>
          <cell r="F3881">
            <v>300</v>
          </cell>
          <cell r="G3881">
            <v>3</v>
          </cell>
          <cell r="H3881">
            <v>160</v>
          </cell>
          <cell r="I3881">
            <v>41812</v>
          </cell>
          <cell r="J3881" t="str">
            <v>NO SUMA</v>
          </cell>
          <cell r="W3881">
            <v>0</v>
          </cell>
          <cell r="AJ3881">
            <v>0</v>
          </cell>
          <cell r="AW3881">
            <v>0</v>
          </cell>
        </row>
        <row r="3882">
          <cell r="B3882">
            <v>7339</v>
          </cell>
          <cell r="C3882" t="str">
            <v>CL_110_</v>
          </cell>
          <cell r="D3882" t="str">
            <v>Rancho La Cuchilla No. 110</v>
          </cell>
          <cell r="E3882" t="str">
            <v>Domínguez Canudas</v>
          </cell>
          <cell r="F3882">
            <v>300</v>
          </cell>
          <cell r="G3882">
            <v>1</v>
          </cell>
          <cell r="H3882">
            <v>400</v>
          </cell>
          <cell r="I3882">
            <v>41812</v>
          </cell>
          <cell r="J3882">
            <v>0</v>
          </cell>
          <cell r="W3882">
            <v>0</v>
          </cell>
          <cell r="AJ3882">
            <v>0</v>
          </cell>
          <cell r="AP3882">
            <v>400</v>
          </cell>
          <cell r="AW3882">
            <v>400</v>
          </cell>
        </row>
        <row r="3883">
          <cell r="B3883">
            <v>7340</v>
          </cell>
          <cell r="C3883" t="str">
            <v>UP_114_</v>
          </cell>
          <cell r="D3883" t="str">
            <v>Rancho Upácuaro No. 114</v>
          </cell>
          <cell r="E3883" t="str">
            <v>Hernández Cornejo</v>
          </cell>
          <cell r="F3883">
            <v>300</v>
          </cell>
          <cell r="G3883">
            <v>1</v>
          </cell>
          <cell r="H3883">
            <v>400</v>
          </cell>
          <cell r="I3883">
            <v>41812</v>
          </cell>
          <cell r="J3883">
            <v>0</v>
          </cell>
          <cell r="W3883">
            <v>0</v>
          </cell>
          <cell r="AJ3883">
            <v>0</v>
          </cell>
          <cell r="AP3883">
            <v>400</v>
          </cell>
          <cell r="AW3883">
            <v>400</v>
          </cell>
        </row>
        <row r="3884">
          <cell r="B3884">
            <v>7341</v>
          </cell>
          <cell r="C3884" t="str">
            <v>EZ_15_A</v>
          </cell>
          <cell r="D3884" t="str">
            <v>Rancho Estanzuela No. 15, A</v>
          </cell>
          <cell r="E3884" t="str">
            <v>González</v>
          </cell>
          <cell r="F3884">
            <v>150</v>
          </cell>
          <cell r="G3884">
            <v>1</v>
          </cell>
          <cell r="H3884">
            <v>400</v>
          </cell>
          <cell r="I3884">
            <v>41812</v>
          </cell>
          <cell r="J3884">
            <v>0</v>
          </cell>
          <cell r="W3884">
            <v>0</v>
          </cell>
          <cell r="AJ3884">
            <v>0</v>
          </cell>
          <cell r="AO3884">
            <v>200</v>
          </cell>
          <cell r="AP3884">
            <v>200</v>
          </cell>
          <cell r="AW3884">
            <v>400</v>
          </cell>
        </row>
        <row r="3885">
          <cell r="B3885">
            <v>7342</v>
          </cell>
          <cell r="C3885" t="str">
            <v>CL_66_</v>
          </cell>
          <cell r="D3885" t="str">
            <v>Rancho La Cuchilla No. 66</v>
          </cell>
          <cell r="E3885" t="str">
            <v>Prieto</v>
          </cell>
          <cell r="F3885">
            <v>300</v>
          </cell>
          <cell r="G3885">
            <v>1</v>
          </cell>
          <cell r="H3885">
            <v>400</v>
          </cell>
          <cell r="I3885">
            <v>41812</v>
          </cell>
          <cell r="J3885">
            <v>0</v>
          </cell>
          <cell r="W3885">
            <v>0</v>
          </cell>
          <cell r="AJ3885">
            <v>0</v>
          </cell>
          <cell r="AP3885">
            <v>400</v>
          </cell>
          <cell r="AW3885">
            <v>400</v>
          </cell>
        </row>
        <row r="3886">
          <cell r="B3886">
            <v>7343</v>
          </cell>
          <cell r="C3886" t="str">
            <v>LD_91_</v>
          </cell>
          <cell r="D3886" t="str">
            <v>Rancho Landero No. 91</v>
          </cell>
          <cell r="E3886" t="str">
            <v>Llaca</v>
          </cell>
          <cell r="F3886">
            <v>300</v>
          </cell>
          <cell r="G3886">
            <v>1</v>
          </cell>
          <cell r="H3886">
            <v>400</v>
          </cell>
          <cell r="I3886">
            <v>41812</v>
          </cell>
          <cell r="J3886">
            <v>0</v>
          </cell>
          <cell r="W3886">
            <v>0</v>
          </cell>
          <cell r="AJ3886">
            <v>0</v>
          </cell>
          <cell r="AP3886">
            <v>400</v>
          </cell>
          <cell r="AW3886">
            <v>400</v>
          </cell>
        </row>
        <row r="3887">
          <cell r="B3887">
            <v>7344</v>
          </cell>
          <cell r="C3887" t="str">
            <v>CL_41_</v>
          </cell>
          <cell r="D3887" t="str">
            <v>Rancho La Cuchilla No. 41</v>
          </cell>
          <cell r="E3887" t="str">
            <v>Arriaga Lemus</v>
          </cell>
          <cell r="F3887">
            <v>250</v>
          </cell>
          <cell r="G3887">
            <v>1</v>
          </cell>
          <cell r="H3887">
            <v>400</v>
          </cell>
          <cell r="I3887">
            <v>41812</v>
          </cell>
          <cell r="J3887">
            <v>0</v>
          </cell>
          <cell r="W3887">
            <v>0</v>
          </cell>
          <cell r="AJ3887">
            <v>0</v>
          </cell>
          <cell r="AP3887">
            <v>400</v>
          </cell>
          <cell r="AW3887">
            <v>400</v>
          </cell>
        </row>
        <row r="3888">
          <cell r="B3888">
            <v>7345</v>
          </cell>
          <cell r="C3888" t="str">
            <v>UP_80_</v>
          </cell>
          <cell r="D3888" t="str">
            <v>Rancho Upácuaro No. 80</v>
          </cell>
          <cell r="E3888" t="str">
            <v>De los Ríos</v>
          </cell>
          <cell r="F3888">
            <v>300</v>
          </cell>
          <cell r="G3888">
            <v>1</v>
          </cell>
          <cell r="H3888">
            <v>800</v>
          </cell>
          <cell r="I3888">
            <v>41812</v>
          </cell>
          <cell r="J3888">
            <v>0</v>
          </cell>
          <cell r="W3888">
            <v>0</v>
          </cell>
          <cell r="AJ3888">
            <v>0</v>
          </cell>
          <cell r="AO3888">
            <v>400</v>
          </cell>
          <cell r="AP3888">
            <v>400</v>
          </cell>
          <cell r="AW3888">
            <v>800</v>
          </cell>
        </row>
        <row r="3889">
          <cell r="B3889">
            <v>7346</v>
          </cell>
          <cell r="C3889" t="str">
            <v>EZ_65_</v>
          </cell>
          <cell r="D3889" t="str">
            <v>Rancho Estanzuela No. 65</v>
          </cell>
          <cell r="E3889" t="str">
            <v>López Becerril</v>
          </cell>
          <cell r="F3889">
            <v>300</v>
          </cell>
          <cell r="G3889">
            <v>1</v>
          </cell>
          <cell r="H3889">
            <v>400</v>
          </cell>
          <cell r="I3889">
            <v>41812</v>
          </cell>
          <cell r="J3889">
            <v>0</v>
          </cell>
          <cell r="W3889">
            <v>0</v>
          </cell>
          <cell r="AJ3889">
            <v>0</v>
          </cell>
          <cell r="AQ3889">
            <v>400</v>
          </cell>
          <cell r="AW3889">
            <v>400</v>
          </cell>
        </row>
        <row r="3890">
          <cell r="B3890">
            <v>7347</v>
          </cell>
          <cell r="C3890" t="str">
            <v>LD_40_</v>
          </cell>
          <cell r="D3890" t="str">
            <v>Rancho Landero No. 40</v>
          </cell>
          <cell r="E3890" t="str">
            <v>Almaguer Mireles</v>
          </cell>
          <cell r="F3890">
            <v>300</v>
          </cell>
          <cell r="G3890">
            <v>1</v>
          </cell>
          <cell r="H3890">
            <v>400</v>
          </cell>
          <cell r="I3890">
            <v>41812</v>
          </cell>
          <cell r="J3890">
            <v>0</v>
          </cell>
          <cell r="W3890">
            <v>0</v>
          </cell>
          <cell r="AJ3890">
            <v>0</v>
          </cell>
          <cell r="AN3890">
            <v>400</v>
          </cell>
          <cell r="AW3890">
            <v>400</v>
          </cell>
        </row>
        <row r="3891">
          <cell r="B3891">
            <v>7348</v>
          </cell>
          <cell r="C3891" t="str">
            <v>CL_71_</v>
          </cell>
          <cell r="D3891" t="str">
            <v>Rancho La Cuchilla No. 71</v>
          </cell>
          <cell r="E3891" t="str">
            <v>Pulido</v>
          </cell>
          <cell r="F3891">
            <v>300</v>
          </cell>
          <cell r="G3891">
            <v>1</v>
          </cell>
          <cell r="H3891">
            <v>350</v>
          </cell>
          <cell r="I3891">
            <v>41812</v>
          </cell>
          <cell r="J3891">
            <v>0</v>
          </cell>
          <cell r="W3891">
            <v>0</v>
          </cell>
          <cell r="AJ3891">
            <v>0</v>
          </cell>
          <cell r="AO3891">
            <v>350</v>
          </cell>
          <cell r="AW3891">
            <v>350</v>
          </cell>
        </row>
        <row r="3892">
          <cell r="B3892">
            <v>7349</v>
          </cell>
          <cell r="C3892" t="str">
            <v>UP_136_</v>
          </cell>
          <cell r="D3892" t="str">
            <v>Rancho Upácuaro No. 136</v>
          </cell>
          <cell r="E3892" t="str">
            <v>López Lena</v>
          </cell>
          <cell r="F3892">
            <v>300</v>
          </cell>
          <cell r="G3892">
            <v>1</v>
          </cell>
          <cell r="H3892">
            <v>400</v>
          </cell>
          <cell r="I3892">
            <v>41812</v>
          </cell>
          <cell r="J3892">
            <v>0</v>
          </cell>
          <cell r="W3892">
            <v>0</v>
          </cell>
          <cell r="AJ3892">
            <v>0</v>
          </cell>
          <cell r="AO3892">
            <v>400</v>
          </cell>
          <cell r="AW3892">
            <v>400</v>
          </cell>
        </row>
        <row r="3893">
          <cell r="B3893">
            <v>7350</v>
          </cell>
          <cell r="D3893" t="str">
            <v/>
          </cell>
          <cell r="E3893" t="str">
            <v/>
          </cell>
          <cell r="F3893" t="str">
            <v/>
          </cell>
          <cell r="G3893">
            <v>8</v>
          </cell>
          <cell r="I3893">
            <v>41812</v>
          </cell>
          <cell r="J3893" t="str">
            <v>NO SUMA</v>
          </cell>
          <cell r="W3893">
            <v>0</v>
          </cell>
          <cell r="AJ3893">
            <v>0</v>
          </cell>
          <cell r="AW3893">
            <v>0</v>
          </cell>
        </row>
        <row r="3894">
          <cell r="B3894">
            <v>7351</v>
          </cell>
          <cell r="C3894" t="str">
            <v>UP_130_</v>
          </cell>
          <cell r="D3894" t="str">
            <v>Rancho Upácuaro No. 130</v>
          </cell>
          <cell r="E3894" t="str">
            <v>Rodríguez Álvarez</v>
          </cell>
          <cell r="F3894">
            <v>150</v>
          </cell>
          <cell r="G3894">
            <v>1</v>
          </cell>
          <cell r="H3894">
            <v>400</v>
          </cell>
          <cell r="I3894">
            <v>41812</v>
          </cell>
          <cell r="J3894">
            <v>0</v>
          </cell>
          <cell r="W3894">
            <v>0</v>
          </cell>
          <cell r="AJ3894">
            <v>0</v>
          </cell>
          <cell r="AN3894">
            <v>200</v>
          </cell>
          <cell r="AO3894">
            <v>200</v>
          </cell>
          <cell r="AW3894">
            <v>400</v>
          </cell>
        </row>
        <row r="3895">
          <cell r="B3895">
            <v>7352</v>
          </cell>
          <cell r="C3895" t="str">
            <v>LD_1_A</v>
          </cell>
          <cell r="D3895" t="str">
            <v>Rancho Landero No. 1, A</v>
          </cell>
          <cell r="E3895" t="str">
            <v>Ebysos</v>
          </cell>
          <cell r="F3895">
            <v>300</v>
          </cell>
          <cell r="G3895">
            <v>1</v>
          </cell>
          <cell r="H3895">
            <v>400</v>
          </cell>
          <cell r="I3895">
            <v>41813</v>
          </cell>
          <cell r="J3895">
            <v>0</v>
          </cell>
          <cell r="W3895">
            <v>0</v>
          </cell>
          <cell r="AJ3895">
            <v>0</v>
          </cell>
          <cell r="AP3895">
            <v>400</v>
          </cell>
          <cell r="AW3895">
            <v>400</v>
          </cell>
        </row>
        <row r="3896">
          <cell r="B3896">
            <v>7353</v>
          </cell>
          <cell r="C3896" t="str">
            <v>EP_18_</v>
          </cell>
          <cell r="D3896" t="str">
            <v>Rancho Estopila No. 18</v>
          </cell>
          <cell r="E3896" t="str">
            <v>Aguilar Zarmeño</v>
          </cell>
          <cell r="F3896">
            <v>300</v>
          </cell>
          <cell r="G3896">
            <v>1</v>
          </cell>
          <cell r="H3896">
            <v>400</v>
          </cell>
          <cell r="I3896">
            <v>41817</v>
          </cell>
          <cell r="J3896">
            <v>0</v>
          </cell>
          <cell r="W3896">
            <v>0</v>
          </cell>
          <cell r="AJ3896">
            <v>0</v>
          </cell>
          <cell r="AP3896">
            <v>400</v>
          </cell>
          <cell r="AW3896">
            <v>400</v>
          </cell>
        </row>
        <row r="3897">
          <cell r="B3897">
            <v>7354</v>
          </cell>
          <cell r="C3897" t="str">
            <v>CL_147_1</v>
          </cell>
          <cell r="D3897" t="str">
            <v>Rancho La Cuchilla No. 147, 1</v>
          </cell>
          <cell r="E3897" t="str">
            <v>Mena</v>
          </cell>
          <cell r="F3897">
            <v>300</v>
          </cell>
          <cell r="G3897">
            <v>4</v>
          </cell>
          <cell r="H3897">
            <v>160</v>
          </cell>
          <cell r="I3897">
            <v>41819</v>
          </cell>
          <cell r="J3897" t="str">
            <v>NO SUMA</v>
          </cell>
          <cell r="W3897">
            <v>0</v>
          </cell>
          <cell r="AJ3897">
            <v>0</v>
          </cell>
          <cell r="AW3897">
            <v>0</v>
          </cell>
        </row>
        <row r="3898">
          <cell r="B3898">
            <v>7355</v>
          </cell>
          <cell r="C3898" t="str">
            <v>RV_181_</v>
          </cell>
          <cell r="D3898" t="str">
            <v>Rancho Recoveco No. 181</v>
          </cell>
          <cell r="E3898" t="str">
            <v>Rubio</v>
          </cell>
          <cell r="F3898">
            <v>300</v>
          </cell>
          <cell r="G3898">
            <v>1</v>
          </cell>
          <cell r="H3898">
            <v>800</v>
          </cell>
          <cell r="I3898">
            <v>41820</v>
          </cell>
          <cell r="J3898">
            <v>0</v>
          </cell>
          <cell r="W3898">
            <v>0</v>
          </cell>
          <cell r="AJ3898">
            <v>0</v>
          </cell>
          <cell r="AO3898">
            <v>400</v>
          </cell>
          <cell r="AP3898">
            <v>400</v>
          </cell>
          <cell r="AW3898">
            <v>800</v>
          </cell>
        </row>
        <row r="3899">
          <cell r="B3899">
            <v>7356</v>
          </cell>
          <cell r="C3899" t="str">
            <v>RV_181_</v>
          </cell>
          <cell r="D3899" t="str">
            <v>Rancho Recoveco No. 181</v>
          </cell>
          <cell r="E3899" t="str">
            <v>Rubio</v>
          </cell>
          <cell r="F3899">
            <v>300</v>
          </cell>
          <cell r="G3899">
            <v>1</v>
          </cell>
          <cell r="H3899">
            <v>400</v>
          </cell>
          <cell r="I3899">
            <v>41820</v>
          </cell>
          <cell r="J3899">
            <v>0</v>
          </cell>
          <cell r="W3899">
            <v>0</v>
          </cell>
          <cell r="AJ3899">
            <v>0</v>
          </cell>
          <cell r="AN3899">
            <v>400</v>
          </cell>
          <cell r="AW3899">
            <v>400</v>
          </cell>
        </row>
        <row r="3900">
          <cell r="B3900">
            <v>8138</v>
          </cell>
          <cell r="C3900" t="str">
            <v>UP_46_</v>
          </cell>
          <cell r="D3900" t="str">
            <v>Rancho Upácuaro No. 46</v>
          </cell>
          <cell r="E3900" t="str">
            <v>Fuentes</v>
          </cell>
          <cell r="F3900">
            <v>300</v>
          </cell>
          <cell r="G3900">
            <v>1</v>
          </cell>
          <cell r="H3900">
            <v>300</v>
          </cell>
          <cell r="I3900">
            <v>41800</v>
          </cell>
          <cell r="J3900">
            <v>0</v>
          </cell>
          <cell r="W3900">
            <v>0</v>
          </cell>
          <cell r="AJ3900">
            <v>0</v>
          </cell>
          <cell r="AP3900">
            <v>300</v>
          </cell>
          <cell r="AW3900">
            <v>300</v>
          </cell>
        </row>
        <row r="3901">
          <cell r="C3901" t="str">
            <v>CM_130_A</v>
          </cell>
          <cell r="D3901" t="str">
            <v>Rancho Estanzuela No. 130, A</v>
          </cell>
          <cell r="E3901" t="str">
            <v>Colegio Carmel</v>
          </cell>
          <cell r="F3901">
            <v>10000</v>
          </cell>
          <cell r="G3901">
            <v>1</v>
          </cell>
          <cell r="H3901">
            <v>10000</v>
          </cell>
          <cell r="I3901">
            <v>41820</v>
          </cell>
          <cell r="J3901">
            <v>0</v>
          </cell>
          <cell r="W3901">
            <v>0</v>
          </cell>
          <cell r="AJ3901">
            <v>0</v>
          </cell>
          <cell r="AP3901">
            <v>10000</v>
          </cell>
          <cell r="AW3901">
            <v>10000</v>
          </cell>
        </row>
        <row r="3902">
          <cell r="B3902" t="str">
            <v>NÚMERO</v>
          </cell>
          <cell r="C3902" t="str">
            <v>CASA</v>
          </cell>
          <cell r="D3902" t="str">
            <v>DOMICILIO</v>
          </cell>
          <cell r="E3902" t="str">
            <v>FAMILIA</v>
          </cell>
          <cell r="F3902" t="str">
            <v>CUOTA</v>
          </cell>
          <cell r="G3902" t="str">
            <v>C_ING</v>
          </cell>
          <cell r="H3902" t="str">
            <v>IMPORTE</v>
          </cell>
          <cell r="I3902" t="str">
            <v>FECHA</v>
          </cell>
          <cell r="J3902" t="str">
            <v>CHK</v>
          </cell>
          <cell r="K3902" t="str">
            <v>ENE
2012</v>
          </cell>
          <cell r="L3902" t="str">
            <v>FEB
2012</v>
          </cell>
          <cell r="M3902" t="str">
            <v>MAR
2012</v>
          </cell>
          <cell r="N3902" t="str">
            <v>ABR
2012</v>
          </cell>
          <cell r="O3902" t="str">
            <v>MAY
2012</v>
          </cell>
          <cell r="P3902" t="str">
            <v>JUN
2012</v>
          </cell>
          <cell r="Q3902" t="str">
            <v>JUL
2012</v>
          </cell>
          <cell r="R3902" t="str">
            <v>AGO
2012</v>
          </cell>
          <cell r="S3902" t="str">
            <v>SEP
2012</v>
          </cell>
          <cell r="T3902" t="str">
            <v>OCT
2012</v>
          </cell>
          <cell r="U3902" t="str">
            <v>NOV
2012</v>
          </cell>
          <cell r="V3902" t="str">
            <v>DIC
2012</v>
          </cell>
          <cell r="W3902" t="str">
            <v>SUMA
2012</v>
          </cell>
          <cell r="X3902" t="str">
            <v>ENE
2013</v>
          </cell>
          <cell r="Y3902" t="str">
            <v>FEB
2013</v>
          </cell>
          <cell r="Z3902" t="str">
            <v>MAR
2013</v>
          </cell>
          <cell r="AA3902" t="str">
            <v>ABR
2013</v>
          </cell>
          <cell r="AB3902" t="str">
            <v>MAY
2013</v>
          </cell>
          <cell r="AC3902" t="str">
            <v>JUN
2013</v>
          </cell>
          <cell r="AD3902" t="str">
            <v>JUL
2013</v>
          </cell>
          <cell r="AE3902" t="str">
            <v>AGO
2013</v>
          </cell>
          <cell r="AF3902" t="str">
            <v>SEP
2013</v>
          </cell>
          <cell r="AG3902" t="str">
            <v>OCT
2013</v>
          </cell>
          <cell r="AH3902" t="str">
            <v>NOV
2013</v>
          </cell>
          <cell r="AI3902" t="str">
            <v>DIC
2013</v>
          </cell>
          <cell r="AJ3902" t="str">
            <v>SUMA
2013</v>
          </cell>
          <cell r="AK3902" t="str">
            <v>ENE
2014</v>
          </cell>
          <cell r="AL3902" t="str">
            <v>FEB
2014</v>
          </cell>
          <cell r="AM3902" t="str">
            <v>MAR
2014</v>
          </cell>
          <cell r="AN3902" t="str">
            <v>ABR
2014</v>
          </cell>
          <cell r="AO3902" t="str">
            <v>MAY
2014</v>
          </cell>
          <cell r="AP3902" t="str">
            <v>JUN
2014</v>
          </cell>
          <cell r="AQ3902" t="str">
            <v>JUL
2014</v>
          </cell>
          <cell r="AR3902" t="str">
            <v>AGO
2014</v>
          </cell>
          <cell r="AS3902" t="str">
            <v>SEP
2014</v>
          </cell>
          <cell r="AT3902" t="str">
            <v>OCT
2014</v>
          </cell>
          <cell r="AU3902" t="str">
            <v>NOV
2014</v>
          </cell>
          <cell r="AV3902" t="str">
            <v>DIC
2014</v>
          </cell>
          <cell r="AW3902" t="str">
            <v>SUMA
2014</v>
          </cell>
        </row>
        <row r="3903">
          <cell r="B3903">
            <v>7357</v>
          </cell>
          <cell r="C3903" t="str">
            <v>ZB_12_</v>
          </cell>
          <cell r="D3903" t="str">
            <v>Rancho Zinamba No. 12</v>
          </cell>
          <cell r="E3903" t="str">
            <v>S.P.Endoscopic</v>
          </cell>
          <cell r="F3903">
            <v>400</v>
          </cell>
          <cell r="G3903">
            <v>1</v>
          </cell>
          <cell r="H3903">
            <v>800</v>
          </cell>
          <cell r="I3903">
            <v>41822</v>
          </cell>
          <cell r="J3903">
            <v>0</v>
          </cell>
          <cell r="W3903">
            <v>0</v>
          </cell>
          <cell r="AJ3903">
            <v>0</v>
          </cell>
          <cell r="AO3903">
            <v>400</v>
          </cell>
          <cell r="AP3903">
            <v>400</v>
          </cell>
          <cell r="AW3903">
            <v>800</v>
          </cell>
        </row>
        <row r="3904">
          <cell r="B3904">
            <v>7358</v>
          </cell>
          <cell r="C3904" t="str">
            <v>ZB_10_</v>
          </cell>
          <cell r="D3904" t="str">
            <v>Rancho Zinamba No. 10</v>
          </cell>
          <cell r="E3904" t="str">
            <v>Roy Sánchez</v>
          </cell>
          <cell r="F3904">
            <v>300</v>
          </cell>
          <cell r="G3904">
            <v>4</v>
          </cell>
          <cell r="H3904">
            <v>160</v>
          </cell>
          <cell r="I3904">
            <v>41824</v>
          </cell>
          <cell r="J3904" t="str">
            <v>NO SUMA</v>
          </cell>
          <cell r="W3904">
            <v>0</v>
          </cell>
          <cell r="AJ3904">
            <v>0</v>
          </cell>
          <cell r="AW3904">
            <v>0</v>
          </cell>
        </row>
        <row r="3905">
          <cell r="B3905">
            <v>7359</v>
          </cell>
          <cell r="C3905" t="str">
            <v>CL_97_</v>
          </cell>
          <cell r="D3905" t="str">
            <v>Rancho La Cuchilla No. 97</v>
          </cell>
          <cell r="E3905" t="str">
            <v>López Ruiz</v>
          </cell>
          <cell r="F3905">
            <v>300</v>
          </cell>
          <cell r="G3905">
            <v>1</v>
          </cell>
          <cell r="H3905">
            <v>300</v>
          </cell>
          <cell r="I3905">
            <v>41824</v>
          </cell>
          <cell r="J3905">
            <v>0</v>
          </cell>
          <cell r="W3905">
            <v>0</v>
          </cell>
          <cell r="AJ3905">
            <v>0</v>
          </cell>
          <cell r="AP3905">
            <v>300</v>
          </cell>
          <cell r="AW3905">
            <v>300</v>
          </cell>
        </row>
        <row r="3906">
          <cell r="B3906">
            <v>7360</v>
          </cell>
          <cell r="C3906" t="str">
            <v>CL_68_</v>
          </cell>
          <cell r="D3906" t="str">
            <v>Rancho La Cuchilla No. 68</v>
          </cell>
          <cell r="E3906" t="str">
            <v>Montesinos</v>
          </cell>
          <cell r="F3906">
            <v>300</v>
          </cell>
          <cell r="G3906">
            <v>1</v>
          </cell>
          <cell r="H3906">
            <v>200</v>
          </cell>
          <cell r="I3906">
            <v>41826</v>
          </cell>
          <cell r="J3906">
            <v>0</v>
          </cell>
          <cell r="W3906">
            <v>0</v>
          </cell>
          <cell r="AJ3906">
            <v>0</v>
          </cell>
          <cell r="AQ3906">
            <v>200</v>
          </cell>
          <cell r="AW3906">
            <v>200</v>
          </cell>
        </row>
        <row r="3907">
          <cell r="B3907">
            <v>7361</v>
          </cell>
          <cell r="C3907" t="str">
            <v>LD_30_</v>
          </cell>
          <cell r="D3907" t="str">
            <v>Rancho Landero No. 30</v>
          </cell>
          <cell r="E3907" t="str">
            <v>Torres Guzmán</v>
          </cell>
          <cell r="F3907">
            <v>300</v>
          </cell>
          <cell r="G3907">
            <v>1</v>
          </cell>
          <cell r="H3907">
            <v>1200</v>
          </cell>
          <cell r="I3907">
            <v>41826</v>
          </cell>
          <cell r="J3907">
            <v>0</v>
          </cell>
          <cell r="W3907">
            <v>0</v>
          </cell>
          <cell r="AJ3907">
            <v>0</v>
          </cell>
          <cell r="AQ3907">
            <v>400</v>
          </cell>
          <cell r="AR3907">
            <v>400</v>
          </cell>
          <cell r="AS3907">
            <v>400</v>
          </cell>
          <cell r="AW3907">
            <v>1200</v>
          </cell>
        </row>
        <row r="3908">
          <cell r="B3908">
            <v>7362</v>
          </cell>
          <cell r="C3908" t="str">
            <v>CL_42_</v>
          </cell>
          <cell r="D3908" t="str">
            <v>Rancho La Cuchilla No. 42</v>
          </cell>
          <cell r="E3908" t="str">
            <v>Mac Kinney</v>
          </cell>
          <cell r="F3908">
            <v>300</v>
          </cell>
          <cell r="G3908">
            <v>1</v>
          </cell>
          <cell r="H3908">
            <v>1200</v>
          </cell>
          <cell r="I3908">
            <v>41826</v>
          </cell>
          <cell r="J3908">
            <v>0</v>
          </cell>
          <cell r="W3908">
            <v>0</v>
          </cell>
          <cell r="AJ3908">
            <v>0</v>
          </cell>
          <cell r="AM3908">
            <v>400</v>
          </cell>
          <cell r="AN3908">
            <v>400</v>
          </cell>
          <cell r="AO3908">
            <v>400</v>
          </cell>
          <cell r="AW3908">
            <v>1200</v>
          </cell>
        </row>
        <row r="3909">
          <cell r="B3909">
            <v>7363</v>
          </cell>
          <cell r="C3909" t="str">
            <v>CL_95_</v>
          </cell>
          <cell r="D3909" t="str">
            <v>Rancho La Cuchilla No. 95</v>
          </cell>
          <cell r="E3909" t="str">
            <v>Gutiérrez Sánchez</v>
          </cell>
          <cell r="F3909">
            <v>300</v>
          </cell>
          <cell r="G3909">
            <v>1</v>
          </cell>
          <cell r="H3909">
            <v>1200</v>
          </cell>
          <cell r="I3909">
            <v>41826</v>
          </cell>
          <cell r="J3909">
            <v>0</v>
          </cell>
          <cell r="W3909">
            <v>0</v>
          </cell>
          <cell r="AJ3909">
            <v>0</v>
          </cell>
          <cell r="AQ3909">
            <v>400</v>
          </cell>
          <cell r="AR3909">
            <v>400</v>
          </cell>
          <cell r="AS3909">
            <v>400</v>
          </cell>
          <cell r="AW3909">
            <v>1200</v>
          </cell>
        </row>
        <row r="3910">
          <cell r="B3910">
            <v>7364</v>
          </cell>
          <cell r="C3910" t="str">
            <v>EZ_133_</v>
          </cell>
          <cell r="D3910" t="str">
            <v>Rancho Estanzuela No. 133</v>
          </cell>
          <cell r="E3910" t="str">
            <v>Hernández Salazar</v>
          </cell>
          <cell r="F3910">
            <v>250</v>
          </cell>
          <cell r="G3910">
            <v>1</v>
          </cell>
          <cell r="H3910">
            <v>900</v>
          </cell>
          <cell r="I3910">
            <v>41826</v>
          </cell>
          <cell r="J3910">
            <v>0</v>
          </cell>
          <cell r="W3910">
            <v>0</v>
          </cell>
          <cell r="AJ3910">
            <v>0</v>
          </cell>
          <cell r="AL3910">
            <v>300</v>
          </cell>
          <cell r="AM3910">
            <v>300</v>
          </cell>
          <cell r="AN3910">
            <v>300</v>
          </cell>
          <cell r="AW3910">
            <v>900</v>
          </cell>
        </row>
        <row r="3911">
          <cell r="B3911">
            <v>7365</v>
          </cell>
          <cell r="C3911" t="str">
            <v>UP_101_</v>
          </cell>
          <cell r="D3911" t="str">
            <v>Rancho Upácuaro No. 101</v>
          </cell>
          <cell r="E3911" t="str">
            <v>Chávez, Arturo</v>
          </cell>
          <cell r="F3911">
            <v>300</v>
          </cell>
          <cell r="G3911">
            <v>1</v>
          </cell>
          <cell r="H3911">
            <v>400</v>
          </cell>
          <cell r="I3911">
            <v>41826</v>
          </cell>
          <cell r="J3911">
            <v>0</v>
          </cell>
          <cell r="W3911">
            <v>0</v>
          </cell>
          <cell r="AJ3911">
            <v>0</v>
          </cell>
          <cell r="AQ3911">
            <v>400</v>
          </cell>
          <cell r="AW3911">
            <v>400</v>
          </cell>
        </row>
        <row r="3912">
          <cell r="B3912">
            <v>7365</v>
          </cell>
          <cell r="C3912" t="str">
            <v>UP_101_</v>
          </cell>
          <cell r="D3912" t="str">
            <v>Rancho Upácuaro No. 101</v>
          </cell>
          <cell r="E3912" t="str">
            <v>Chávez, Arturo</v>
          </cell>
          <cell r="F3912">
            <v>300</v>
          </cell>
          <cell r="G3912">
            <v>3</v>
          </cell>
          <cell r="H3912">
            <v>160</v>
          </cell>
          <cell r="I3912">
            <v>41826</v>
          </cell>
          <cell r="J3912" t="str">
            <v>NO SUMA</v>
          </cell>
          <cell r="W3912">
            <v>0</v>
          </cell>
          <cell r="AJ3912">
            <v>0</v>
          </cell>
          <cell r="AW3912">
            <v>0</v>
          </cell>
        </row>
        <row r="3913">
          <cell r="B3913">
            <v>7366</v>
          </cell>
          <cell r="C3913" t="str">
            <v>CL_131_</v>
          </cell>
          <cell r="D3913" t="str">
            <v>Rancho La Cuchilla No. 131</v>
          </cell>
          <cell r="E3913" t="str">
            <v>Cabrera Marquez</v>
          </cell>
          <cell r="F3913">
            <v>300</v>
          </cell>
          <cell r="G3913">
            <v>3</v>
          </cell>
          <cell r="H3913">
            <v>160</v>
          </cell>
          <cell r="I3913">
            <v>41826</v>
          </cell>
          <cell r="J3913" t="str">
            <v>NO SUMA</v>
          </cell>
          <cell r="W3913">
            <v>0</v>
          </cell>
          <cell r="AJ3913">
            <v>0</v>
          </cell>
          <cell r="AW3913">
            <v>0</v>
          </cell>
        </row>
        <row r="3914">
          <cell r="B3914">
            <v>7367</v>
          </cell>
          <cell r="C3914" t="str">
            <v>ZB_36_</v>
          </cell>
          <cell r="D3914" t="str">
            <v>Rancho Zinamba No. 36</v>
          </cell>
          <cell r="E3914" t="str">
            <v>Rodríguez Ortiz</v>
          </cell>
          <cell r="F3914">
            <v>300</v>
          </cell>
          <cell r="G3914">
            <v>1</v>
          </cell>
          <cell r="H3914">
            <v>400</v>
          </cell>
          <cell r="I3914">
            <v>41826</v>
          </cell>
          <cell r="J3914">
            <v>0</v>
          </cell>
          <cell r="W3914">
            <v>0</v>
          </cell>
          <cell r="AJ3914">
            <v>0</v>
          </cell>
          <cell r="AQ3914">
            <v>400</v>
          </cell>
          <cell r="AW3914">
            <v>400</v>
          </cell>
        </row>
        <row r="3915">
          <cell r="B3915">
            <v>7368</v>
          </cell>
          <cell r="C3915" t="str">
            <v>UP_63_</v>
          </cell>
          <cell r="D3915" t="str">
            <v>Rancho Upácuaro No. 63</v>
          </cell>
          <cell r="E3915" t="str">
            <v>González Benavides</v>
          </cell>
          <cell r="F3915">
            <v>300</v>
          </cell>
          <cell r="G3915">
            <v>1</v>
          </cell>
          <cell r="H3915">
            <v>1200</v>
          </cell>
          <cell r="I3915">
            <v>41826</v>
          </cell>
          <cell r="J3915">
            <v>0</v>
          </cell>
          <cell r="W3915">
            <v>0</v>
          </cell>
          <cell r="AJ3915">
            <v>0</v>
          </cell>
          <cell r="AO3915">
            <v>400</v>
          </cell>
          <cell r="AP3915">
            <v>400</v>
          </cell>
          <cell r="AQ3915">
            <v>400</v>
          </cell>
          <cell r="AW3915">
            <v>1200</v>
          </cell>
        </row>
        <row r="3916">
          <cell r="B3916">
            <v>7369</v>
          </cell>
          <cell r="C3916" t="str">
            <v>LD_42_</v>
          </cell>
          <cell r="D3916" t="str">
            <v>Rancho Landero No. 42</v>
          </cell>
          <cell r="E3916" t="str">
            <v>Ávila Fidel</v>
          </cell>
          <cell r="F3916">
            <v>300</v>
          </cell>
          <cell r="G3916">
            <v>1</v>
          </cell>
          <cell r="H3916">
            <v>400</v>
          </cell>
          <cell r="I3916">
            <v>41826</v>
          </cell>
          <cell r="J3916">
            <v>0</v>
          </cell>
          <cell r="W3916">
            <v>0</v>
          </cell>
          <cell r="AJ3916">
            <v>0</v>
          </cell>
          <cell r="AQ3916">
            <v>400</v>
          </cell>
          <cell r="AW3916">
            <v>400</v>
          </cell>
        </row>
        <row r="3917">
          <cell r="B3917">
            <v>7370</v>
          </cell>
          <cell r="C3917" t="str">
            <v>CL_14_</v>
          </cell>
          <cell r="D3917" t="str">
            <v>Rancho La Cuchilla No. 14</v>
          </cell>
          <cell r="E3917" t="str">
            <v>Chávez Lara</v>
          </cell>
          <cell r="F3917">
            <v>300</v>
          </cell>
          <cell r="G3917">
            <v>1</v>
          </cell>
          <cell r="H3917">
            <v>800</v>
          </cell>
          <cell r="I3917">
            <v>41826</v>
          </cell>
          <cell r="J3917">
            <v>0</v>
          </cell>
          <cell r="W3917">
            <v>0</v>
          </cell>
          <cell r="AJ3917">
            <v>0</v>
          </cell>
          <cell r="AO3917">
            <v>400</v>
          </cell>
          <cell r="AP3917">
            <v>400</v>
          </cell>
          <cell r="AW3917">
            <v>800</v>
          </cell>
        </row>
        <row r="3918">
          <cell r="B3918">
            <v>7371</v>
          </cell>
          <cell r="C3918" t="str">
            <v>CL_19_</v>
          </cell>
          <cell r="D3918" t="str">
            <v>Rancho La Cuchilla No. 19</v>
          </cell>
          <cell r="E3918" t="str">
            <v>Tapia Vázquez</v>
          </cell>
          <cell r="F3918">
            <v>300</v>
          </cell>
          <cell r="G3918">
            <v>1</v>
          </cell>
          <cell r="H3918">
            <v>300</v>
          </cell>
          <cell r="I3918">
            <v>41826</v>
          </cell>
          <cell r="J3918">
            <v>0</v>
          </cell>
          <cell r="W3918">
            <v>0</v>
          </cell>
          <cell r="AJ3918">
            <v>0</v>
          </cell>
          <cell r="AQ3918">
            <v>300</v>
          </cell>
          <cell r="AW3918">
            <v>300</v>
          </cell>
        </row>
        <row r="3919">
          <cell r="B3919">
            <v>7372</v>
          </cell>
          <cell r="C3919" t="str">
            <v>CL_139_</v>
          </cell>
          <cell r="D3919" t="str">
            <v>Rancho La Cuchilla No. 139</v>
          </cell>
          <cell r="E3919" t="str">
            <v>Garcia</v>
          </cell>
          <cell r="F3919">
            <v>200</v>
          </cell>
          <cell r="G3919">
            <v>1</v>
          </cell>
          <cell r="H3919">
            <v>200</v>
          </cell>
          <cell r="I3919">
            <v>41826</v>
          </cell>
          <cell r="J3919">
            <v>0</v>
          </cell>
          <cell r="W3919">
            <v>0</v>
          </cell>
          <cell r="AJ3919">
            <v>0</v>
          </cell>
          <cell r="AQ3919">
            <v>200</v>
          </cell>
          <cell r="AW3919">
            <v>200</v>
          </cell>
        </row>
        <row r="3920">
          <cell r="B3920">
            <v>7373</v>
          </cell>
          <cell r="C3920" t="str">
            <v>EZ_47_</v>
          </cell>
          <cell r="D3920" t="str">
            <v>Rancho Estanzuela No. 47</v>
          </cell>
          <cell r="E3920" t="str">
            <v>Bussey García</v>
          </cell>
          <cell r="F3920">
            <v>300</v>
          </cell>
          <cell r="G3920">
            <v>1</v>
          </cell>
          <cell r="H3920">
            <v>400</v>
          </cell>
          <cell r="I3920">
            <v>41826</v>
          </cell>
          <cell r="J3920">
            <v>0</v>
          </cell>
          <cell r="W3920">
            <v>0</v>
          </cell>
          <cell r="AJ3920">
            <v>0</v>
          </cell>
          <cell r="AQ3920">
            <v>400</v>
          </cell>
          <cell r="AW3920">
            <v>400</v>
          </cell>
        </row>
        <row r="3921">
          <cell r="B3921">
            <v>7374</v>
          </cell>
          <cell r="C3921" t="str">
            <v>UP_88_</v>
          </cell>
          <cell r="D3921" t="str">
            <v>Rancho Upácuaro No. 88</v>
          </cell>
          <cell r="E3921" t="str">
            <v>Millán Núñez</v>
          </cell>
          <cell r="F3921">
            <v>300</v>
          </cell>
          <cell r="G3921">
            <v>1</v>
          </cell>
          <cell r="H3921">
            <v>400</v>
          </cell>
          <cell r="I3921">
            <v>41826</v>
          </cell>
          <cell r="J3921">
            <v>0</v>
          </cell>
          <cell r="W3921">
            <v>0</v>
          </cell>
          <cell r="AJ3921">
            <v>0</v>
          </cell>
          <cell r="AQ3921">
            <v>400</v>
          </cell>
          <cell r="AW3921">
            <v>400</v>
          </cell>
        </row>
        <row r="3922">
          <cell r="B3922">
            <v>7375</v>
          </cell>
          <cell r="C3922" t="str">
            <v>LD_38_</v>
          </cell>
          <cell r="D3922" t="str">
            <v>Rancho Landero No. 38</v>
          </cell>
          <cell r="E3922" t="str">
            <v>Sánchez Peña</v>
          </cell>
          <cell r="F3922">
            <v>300</v>
          </cell>
          <cell r="G3922">
            <v>1</v>
          </cell>
          <cell r="H3922">
            <v>800</v>
          </cell>
          <cell r="I3922">
            <v>41826</v>
          </cell>
          <cell r="J3922">
            <v>0</v>
          </cell>
          <cell r="W3922">
            <v>0</v>
          </cell>
          <cell r="AJ3922">
            <v>0</v>
          </cell>
          <cell r="AQ3922">
            <v>400</v>
          </cell>
          <cell r="AR3922">
            <v>400</v>
          </cell>
          <cell r="AW3922">
            <v>800</v>
          </cell>
        </row>
        <row r="3923">
          <cell r="B3923">
            <v>7376</v>
          </cell>
          <cell r="C3923" t="str">
            <v>CL_33_</v>
          </cell>
          <cell r="D3923" t="str">
            <v>Rancho La Cuchilla No. 33</v>
          </cell>
          <cell r="E3923" t="str">
            <v>Tanús</v>
          </cell>
          <cell r="F3923">
            <v>300</v>
          </cell>
          <cell r="G3923">
            <v>1</v>
          </cell>
          <cell r="H3923">
            <v>400</v>
          </cell>
          <cell r="I3923">
            <v>41826</v>
          </cell>
          <cell r="J3923">
            <v>0</v>
          </cell>
          <cell r="W3923">
            <v>0</v>
          </cell>
          <cell r="AJ3923">
            <v>0</v>
          </cell>
          <cell r="AQ3923">
            <v>400</v>
          </cell>
          <cell r="AW3923">
            <v>400</v>
          </cell>
        </row>
        <row r="3924">
          <cell r="B3924">
            <v>7377</v>
          </cell>
          <cell r="C3924" t="str">
            <v>CL_107_</v>
          </cell>
          <cell r="D3924" t="str">
            <v>Rancho La Cuchilla No. 107</v>
          </cell>
          <cell r="E3924" t="str">
            <v>Olivares Rivera</v>
          </cell>
          <cell r="F3924">
            <v>300</v>
          </cell>
          <cell r="G3924">
            <v>1</v>
          </cell>
          <cell r="H3924">
            <v>400</v>
          </cell>
          <cell r="I3924">
            <v>41826</v>
          </cell>
          <cell r="J3924">
            <v>0</v>
          </cell>
          <cell r="W3924">
            <v>0</v>
          </cell>
          <cell r="AJ3924">
            <v>0</v>
          </cell>
          <cell r="AQ3924">
            <v>400</v>
          </cell>
          <cell r="AW3924">
            <v>400</v>
          </cell>
        </row>
        <row r="3925">
          <cell r="B3925">
            <v>7378</v>
          </cell>
          <cell r="C3925" t="str">
            <v>CL_43_B</v>
          </cell>
          <cell r="D3925" t="str">
            <v>Rancho La Cuchilla No. 43, B</v>
          </cell>
          <cell r="E3925" t="str">
            <v>Luna Albertano</v>
          </cell>
          <cell r="F3925">
            <v>125</v>
          </cell>
          <cell r="G3925">
            <v>1</v>
          </cell>
          <cell r="H3925">
            <v>125</v>
          </cell>
          <cell r="I3925">
            <v>41826</v>
          </cell>
          <cell r="J3925">
            <v>0</v>
          </cell>
          <cell r="W3925">
            <v>0</v>
          </cell>
          <cell r="AJ3925">
            <v>0</v>
          </cell>
          <cell r="AQ3925">
            <v>125</v>
          </cell>
          <cell r="AW3925">
            <v>125</v>
          </cell>
        </row>
        <row r="3926">
          <cell r="B3926">
            <v>7379</v>
          </cell>
          <cell r="C3926" t="str">
            <v>LD_2_3</v>
          </cell>
          <cell r="D3926" t="str">
            <v>Rancho Landero No. 2, 3</v>
          </cell>
          <cell r="E3926" t="str">
            <v>Pineda Laura</v>
          </cell>
          <cell r="F3926">
            <v>150</v>
          </cell>
          <cell r="G3926">
            <v>1</v>
          </cell>
          <cell r="H3926">
            <v>1050</v>
          </cell>
          <cell r="I3926">
            <v>41826</v>
          </cell>
          <cell r="J3926">
            <v>0</v>
          </cell>
          <cell r="W3926">
            <v>0</v>
          </cell>
          <cell r="AJ3926">
            <v>0</v>
          </cell>
          <cell r="AK3926">
            <v>150</v>
          </cell>
          <cell r="AL3926">
            <v>150</v>
          </cell>
          <cell r="AM3926">
            <v>150</v>
          </cell>
          <cell r="AN3926">
            <v>150</v>
          </cell>
          <cell r="AO3926">
            <v>150</v>
          </cell>
          <cell r="AP3926">
            <v>150</v>
          </cell>
          <cell r="AQ3926">
            <v>150</v>
          </cell>
          <cell r="AW3926">
            <v>1050</v>
          </cell>
        </row>
        <row r="3927">
          <cell r="B3927">
            <v>7380</v>
          </cell>
          <cell r="C3927" t="str">
            <v>CL_130_</v>
          </cell>
          <cell r="D3927" t="str">
            <v>Rancho La Cuchilla No. 130</v>
          </cell>
          <cell r="E3927" t="str">
            <v>Gonzalez</v>
          </cell>
          <cell r="F3927">
            <v>300</v>
          </cell>
          <cell r="G3927">
            <v>1</v>
          </cell>
          <cell r="H3927">
            <v>800</v>
          </cell>
          <cell r="I3927">
            <v>41826</v>
          </cell>
          <cell r="J3927">
            <v>0</v>
          </cell>
          <cell r="W3927">
            <v>0</v>
          </cell>
          <cell r="AJ3927">
            <v>0</v>
          </cell>
          <cell r="AQ3927">
            <v>400</v>
          </cell>
          <cell r="AR3927">
            <v>400</v>
          </cell>
          <cell r="AW3927">
            <v>800</v>
          </cell>
        </row>
        <row r="3928">
          <cell r="B3928">
            <v>7381</v>
          </cell>
          <cell r="C3928" t="str">
            <v>ZB_82_</v>
          </cell>
          <cell r="D3928" t="str">
            <v>Rancho Zinamba No. 82</v>
          </cell>
          <cell r="E3928" t="str">
            <v>Morán Carmona</v>
          </cell>
          <cell r="F3928">
            <v>150</v>
          </cell>
          <cell r="G3928">
            <v>1</v>
          </cell>
          <cell r="H3928">
            <v>600</v>
          </cell>
          <cell r="I3928">
            <v>41826</v>
          </cell>
          <cell r="J3928">
            <v>0</v>
          </cell>
          <cell r="W3928">
            <v>0</v>
          </cell>
          <cell r="AJ3928">
            <v>0</v>
          </cell>
          <cell r="AN3928">
            <v>200</v>
          </cell>
          <cell r="AO3928">
            <v>200</v>
          </cell>
          <cell r="AP3928">
            <v>200</v>
          </cell>
          <cell r="AW3928">
            <v>600</v>
          </cell>
        </row>
        <row r="3929">
          <cell r="B3929">
            <v>7382</v>
          </cell>
          <cell r="C3929" t="str">
            <v>LD_83_</v>
          </cell>
          <cell r="D3929" t="str">
            <v>Rancho Landero No. 83</v>
          </cell>
          <cell r="E3929" t="str">
            <v>Aguilar</v>
          </cell>
          <cell r="F3929">
            <v>300</v>
          </cell>
          <cell r="G3929">
            <v>1</v>
          </cell>
          <cell r="H3929">
            <v>350</v>
          </cell>
          <cell r="I3929">
            <v>41826</v>
          </cell>
          <cell r="J3929">
            <v>0</v>
          </cell>
          <cell r="W3929">
            <v>0</v>
          </cell>
          <cell r="AJ3929">
            <v>0</v>
          </cell>
          <cell r="AQ3929">
            <v>350</v>
          </cell>
          <cell r="AW3929">
            <v>350</v>
          </cell>
        </row>
        <row r="3930">
          <cell r="B3930">
            <v>7383</v>
          </cell>
          <cell r="C3930" t="str">
            <v>LD_90_</v>
          </cell>
          <cell r="D3930" t="str">
            <v>Rancho Landero No. 90</v>
          </cell>
          <cell r="E3930" t="str">
            <v>Córdova Reséndiz</v>
          </cell>
          <cell r="F3930">
            <v>300</v>
          </cell>
          <cell r="G3930">
            <v>1</v>
          </cell>
          <cell r="H3930">
            <v>300</v>
          </cell>
          <cell r="I3930">
            <v>41826</v>
          </cell>
          <cell r="J3930">
            <v>0</v>
          </cell>
          <cell r="W3930">
            <v>0</v>
          </cell>
          <cell r="AJ3930">
            <v>0</v>
          </cell>
          <cell r="AQ3930">
            <v>300</v>
          </cell>
          <cell r="AW3930">
            <v>300</v>
          </cell>
        </row>
        <row r="3931">
          <cell r="B3931">
            <v>7384</v>
          </cell>
          <cell r="C3931" t="str">
            <v>ZB_44_</v>
          </cell>
          <cell r="D3931" t="str">
            <v>Rancho Zinamba No. 44</v>
          </cell>
          <cell r="E3931" t="str">
            <v>Canales</v>
          </cell>
          <cell r="F3931">
            <v>300</v>
          </cell>
          <cell r="G3931">
            <v>1</v>
          </cell>
          <cell r="H3931">
            <v>400</v>
          </cell>
          <cell r="I3931">
            <v>41826</v>
          </cell>
          <cell r="J3931">
            <v>0</v>
          </cell>
          <cell r="W3931">
            <v>0</v>
          </cell>
          <cell r="AJ3931">
            <v>0</v>
          </cell>
          <cell r="AQ3931">
            <v>400</v>
          </cell>
          <cell r="AW3931">
            <v>400</v>
          </cell>
        </row>
        <row r="3932">
          <cell r="B3932">
            <v>7385</v>
          </cell>
          <cell r="C3932" t="str">
            <v>UP_116_</v>
          </cell>
          <cell r="D3932" t="str">
            <v>Rancho Upácuaro No. 116</v>
          </cell>
          <cell r="E3932" t="str">
            <v>García Zamudio</v>
          </cell>
          <cell r="F3932">
            <v>300</v>
          </cell>
          <cell r="G3932">
            <v>1</v>
          </cell>
          <cell r="H3932">
            <v>800</v>
          </cell>
          <cell r="I3932">
            <v>41826</v>
          </cell>
          <cell r="J3932">
            <v>0</v>
          </cell>
          <cell r="W3932">
            <v>0</v>
          </cell>
          <cell r="AJ3932">
            <v>0</v>
          </cell>
          <cell r="AO3932">
            <v>400</v>
          </cell>
          <cell r="AP3932">
            <v>400</v>
          </cell>
          <cell r="AW3932">
            <v>800</v>
          </cell>
        </row>
        <row r="3933">
          <cell r="B3933">
            <v>7386</v>
          </cell>
          <cell r="C3933" t="str">
            <v>LD_71_</v>
          </cell>
          <cell r="D3933" t="str">
            <v>Rancho Landero No. 71</v>
          </cell>
          <cell r="E3933" t="str">
            <v>Cabrera Balcázar</v>
          </cell>
          <cell r="F3933">
            <v>300</v>
          </cell>
          <cell r="G3933">
            <v>1</v>
          </cell>
          <cell r="H3933">
            <v>400</v>
          </cell>
          <cell r="I3933">
            <v>41826</v>
          </cell>
          <cell r="J3933">
            <v>0</v>
          </cell>
          <cell r="W3933">
            <v>0</v>
          </cell>
          <cell r="AJ3933">
            <v>0</v>
          </cell>
          <cell r="AP3933">
            <v>400</v>
          </cell>
          <cell r="AW3933">
            <v>400</v>
          </cell>
        </row>
        <row r="3934">
          <cell r="B3934">
            <v>7387</v>
          </cell>
          <cell r="C3934" t="str">
            <v>ZB_24_</v>
          </cell>
          <cell r="D3934" t="str">
            <v>Rancho Zinamba No. 24</v>
          </cell>
          <cell r="E3934" t="str">
            <v>Monroy García</v>
          </cell>
          <cell r="F3934">
            <v>300</v>
          </cell>
          <cell r="G3934">
            <v>1</v>
          </cell>
          <cell r="H3934">
            <v>400</v>
          </cell>
          <cell r="I3934">
            <v>41826</v>
          </cell>
          <cell r="J3934">
            <v>0</v>
          </cell>
          <cell r="W3934">
            <v>0</v>
          </cell>
          <cell r="AJ3934">
            <v>0</v>
          </cell>
          <cell r="AQ3934">
            <v>400</v>
          </cell>
          <cell r="AW3934">
            <v>400</v>
          </cell>
        </row>
        <row r="3935">
          <cell r="B3935">
            <v>7388</v>
          </cell>
          <cell r="C3935" t="str">
            <v>ZB_6_</v>
          </cell>
          <cell r="D3935" t="str">
            <v>Rancho Zinamba No. 6</v>
          </cell>
          <cell r="E3935" t="str">
            <v>Villafaña</v>
          </cell>
          <cell r="F3935">
            <v>300</v>
          </cell>
          <cell r="G3935">
            <v>1</v>
          </cell>
          <cell r="H3935">
            <v>2400</v>
          </cell>
          <cell r="I3935">
            <v>41826</v>
          </cell>
          <cell r="J3935">
            <v>0</v>
          </cell>
          <cell r="W3935">
            <v>0</v>
          </cell>
          <cell r="AJ3935">
            <v>0</v>
          </cell>
          <cell r="AQ3935">
            <v>400</v>
          </cell>
          <cell r="AR3935">
            <v>400</v>
          </cell>
          <cell r="AS3935">
            <v>400</v>
          </cell>
          <cell r="AT3935">
            <v>400</v>
          </cell>
          <cell r="AU3935">
            <v>400</v>
          </cell>
          <cell r="AV3935">
            <v>400</v>
          </cell>
          <cell r="AW3935">
            <v>2400</v>
          </cell>
        </row>
        <row r="3936">
          <cell r="B3936">
            <v>7389</v>
          </cell>
          <cell r="C3936" t="str">
            <v>EZ_11_B</v>
          </cell>
          <cell r="D3936" t="str">
            <v>Rancho Estanzuela No. 11, B</v>
          </cell>
          <cell r="E3936" t="str">
            <v>Gómez Miguel</v>
          </cell>
          <cell r="F3936">
            <v>200</v>
          </cell>
          <cell r="G3936">
            <v>1</v>
          </cell>
          <cell r="H3936">
            <v>400</v>
          </cell>
          <cell r="I3936">
            <v>41826</v>
          </cell>
          <cell r="J3936">
            <v>0</v>
          </cell>
          <cell r="W3936">
            <v>0</v>
          </cell>
          <cell r="AJ3936">
            <v>0</v>
          </cell>
          <cell r="AM3936">
            <v>200</v>
          </cell>
          <cell r="AN3936">
            <v>200</v>
          </cell>
          <cell r="AW3936">
            <v>400</v>
          </cell>
        </row>
        <row r="3937">
          <cell r="B3937">
            <v>7390</v>
          </cell>
          <cell r="C3937" t="str">
            <v>RV_179_</v>
          </cell>
          <cell r="D3937" t="str">
            <v>Rancho Recoveco No. 179</v>
          </cell>
          <cell r="E3937" t="str">
            <v>Flores Delgado</v>
          </cell>
          <cell r="F3937">
            <v>300</v>
          </cell>
          <cell r="G3937">
            <v>1</v>
          </cell>
          <cell r="H3937">
            <v>400</v>
          </cell>
          <cell r="I3937">
            <v>41826</v>
          </cell>
          <cell r="J3937">
            <v>0</v>
          </cell>
          <cell r="W3937">
            <v>0</v>
          </cell>
          <cell r="AJ3937">
            <v>0</v>
          </cell>
          <cell r="AQ3937">
            <v>400</v>
          </cell>
          <cell r="AW3937">
            <v>400</v>
          </cell>
        </row>
        <row r="3938">
          <cell r="B3938">
            <v>7391</v>
          </cell>
          <cell r="C3938" t="str">
            <v>RV_179_</v>
          </cell>
          <cell r="D3938" t="str">
            <v>Rancho Recoveco No. 179</v>
          </cell>
          <cell r="E3938" t="str">
            <v>Flores Delgado</v>
          </cell>
          <cell r="F3938">
            <v>300</v>
          </cell>
          <cell r="G3938">
            <v>4</v>
          </cell>
          <cell r="H3938">
            <v>160</v>
          </cell>
          <cell r="I3938">
            <v>41826</v>
          </cell>
          <cell r="J3938" t="str">
            <v>NO SUMA</v>
          </cell>
          <cell r="W3938">
            <v>0</v>
          </cell>
          <cell r="AJ3938">
            <v>0</v>
          </cell>
          <cell r="AW3938">
            <v>0</v>
          </cell>
        </row>
        <row r="3939">
          <cell r="B3939">
            <v>7392</v>
          </cell>
          <cell r="C3939" t="str">
            <v>UP_32_</v>
          </cell>
          <cell r="D3939" t="str">
            <v>Rancho Upácuaro No. 32</v>
          </cell>
          <cell r="E3939" t="str">
            <v>Sairafi Carmen</v>
          </cell>
          <cell r="F3939">
            <v>300</v>
          </cell>
          <cell r="G3939">
            <v>1</v>
          </cell>
          <cell r="H3939">
            <v>400</v>
          </cell>
          <cell r="I3939">
            <v>41826</v>
          </cell>
          <cell r="J3939">
            <v>0</v>
          </cell>
          <cell r="W3939">
            <v>0</v>
          </cell>
          <cell r="AJ3939">
            <v>0</v>
          </cell>
          <cell r="AQ3939">
            <v>400</v>
          </cell>
          <cell r="AW3939">
            <v>400</v>
          </cell>
        </row>
        <row r="3940">
          <cell r="B3940">
            <v>7393</v>
          </cell>
          <cell r="C3940" t="str">
            <v>CL_20_</v>
          </cell>
          <cell r="D3940" t="str">
            <v>Rancho La Cuchilla No. 20</v>
          </cell>
          <cell r="E3940" t="str">
            <v>Sánchez López</v>
          </cell>
          <cell r="F3940">
            <v>300</v>
          </cell>
          <cell r="G3940">
            <v>1</v>
          </cell>
          <cell r="H3940">
            <v>800</v>
          </cell>
          <cell r="I3940">
            <v>41826</v>
          </cell>
          <cell r="J3940">
            <v>0</v>
          </cell>
          <cell r="W3940">
            <v>0</v>
          </cell>
          <cell r="AJ3940">
            <v>0</v>
          </cell>
          <cell r="AQ3940">
            <v>400</v>
          </cell>
          <cell r="AR3940">
            <v>400</v>
          </cell>
          <cell r="AW3940">
            <v>800</v>
          </cell>
        </row>
        <row r="3941">
          <cell r="B3941">
            <v>7394</v>
          </cell>
          <cell r="C3941" t="str">
            <v>UP_76_</v>
          </cell>
          <cell r="D3941" t="str">
            <v>Rancho Upácuaro No. 76</v>
          </cell>
          <cell r="E3941" t="str">
            <v>Ruiz de San Pedro</v>
          </cell>
          <cell r="F3941">
            <v>300</v>
          </cell>
          <cell r="G3941">
            <v>1</v>
          </cell>
          <cell r="H3941">
            <v>400</v>
          </cell>
          <cell r="I3941">
            <v>41826</v>
          </cell>
          <cell r="J3941">
            <v>0</v>
          </cell>
          <cell r="W3941">
            <v>0</v>
          </cell>
          <cell r="AJ3941">
            <v>0</v>
          </cell>
          <cell r="AQ3941">
            <v>400</v>
          </cell>
          <cell r="AW3941">
            <v>400</v>
          </cell>
        </row>
        <row r="3942">
          <cell r="B3942">
            <v>7395</v>
          </cell>
          <cell r="C3942" t="str">
            <v>UP_23_</v>
          </cell>
          <cell r="D3942" t="str">
            <v>Rancho Upácuaro No. 23</v>
          </cell>
          <cell r="E3942" t="str">
            <v>Arredondo</v>
          </cell>
          <cell r="F3942">
            <v>300</v>
          </cell>
          <cell r="G3942">
            <v>1</v>
          </cell>
          <cell r="H3942">
            <v>350</v>
          </cell>
          <cell r="I3942">
            <v>41826</v>
          </cell>
          <cell r="J3942">
            <v>0</v>
          </cell>
          <cell r="W3942">
            <v>0</v>
          </cell>
          <cell r="AJ3942">
            <v>0</v>
          </cell>
          <cell r="AQ3942">
            <v>350</v>
          </cell>
          <cell r="AW3942">
            <v>350</v>
          </cell>
        </row>
        <row r="3943">
          <cell r="B3943">
            <v>7396</v>
          </cell>
          <cell r="C3943" t="str">
            <v>UP_18_</v>
          </cell>
          <cell r="D3943" t="str">
            <v>Rancho Upácuaro No. 18</v>
          </cell>
          <cell r="E3943" t="str">
            <v>Guzmán</v>
          </cell>
          <cell r="F3943">
            <v>300</v>
          </cell>
          <cell r="G3943">
            <v>1</v>
          </cell>
          <cell r="H3943">
            <v>300</v>
          </cell>
          <cell r="I3943">
            <v>41826</v>
          </cell>
          <cell r="J3943">
            <v>0</v>
          </cell>
          <cell r="W3943">
            <v>0</v>
          </cell>
          <cell r="AJ3943">
            <v>0</v>
          </cell>
          <cell r="AQ3943">
            <v>300</v>
          </cell>
          <cell r="AW3943">
            <v>300</v>
          </cell>
        </row>
        <row r="3944">
          <cell r="B3944">
            <v>7397</v>
          </cell>
          <cell r="C3944" t="str">
            <v>LD_20_</v>
          </cell>
          <cell r="D3944" t="str">
            <v>Rancho Landero No. 20</v>
          </cell>
          <cell r="E3944" t="str">
            <v>Velasco</v>
          </cell>
          <cell r="F3944">
            <v>300</v>
          </cell>
          <cell r="G3944">
            <v>1</v>
          </cell>
          <cell r="H3944">
            <v>600</v>
          </cell>
          <cell r="I3944">
            <v>41826</v>
          </cell>
          <cell r="J3944">
            <v>0</v>
          </cell>
          <cell r="W3944">
            <v>0</v>
          </cell>
          <cell r="AJ3944">
            <v>0</v>
          </cell>
          <cell r="AP3944">
            <v>300</v>
          </cell>
          <cell r="AQ3944">
            <v>300</v>
          </cell>
          <cell r="AW3944">
            <v>600</v>
          </cell>
        </row>
        <row r="3945">
          <cell r="B3945">
            <v>7398</v>
          </cell>
          <cell r="C3945" t="str">
            <v>CL_40_</v>
          </cell>
          <cell r="D3945" t="str">
            <v>Rancho La Cuchilla No. 40</v>
          </cell>
          <cell r="E3945" t="str">
            <v>López Pico</v>
          </cell>
          <cell r="F3945">
            <v>300</v>
          </cell>
          <cell r="G3945">
            <v>1</v>
          </cell>
          <cell r="H3945">
            <v>400</v>
          </cell>
          <cell r="I3945">
            <v>41826</v>
          </cell>
          <cell r="J3945">
            <v>0</v>
          </cell>
          <cell r="W3945">
            <v>0</v>
          </cell>
          <cell r="AJ3945">
            <v>0</v>
          </cell>
          <cell r="AQ3945">
            <v>400</v>
          </cell>
          <cell r="AW3945">
            <v>400</v>
          </cell>
        </row>
        <row r="3946">
          <cell r="B3946">
            <v>7399</v>
          </cell>
          <cell r="C3946" t="str">
            <v>LD_73_</v>
          </cell>
          <cell r="D3946" t="str">
            <v>Rancho Landero No. 73</v>
          </cell>
          <cell r="E3946" t="str">
            <v>Islas Palacios</v>
          </cell>
          <cell r="F3946">
            <v>300</v>
          </cell>
          <cell r="G3946">
            <v>1</v>
          </cell>
          <cell r="H3946">
            <v>400</v>
          </cell>
          <cell r="I3946">
            <v>41826</v>
          </cell>
          <cell r="J3946">
            <v>0</v>
          </cell>
          <cell r="W3946">
            <v>0</v>
          </cell>
          <cell r="AJ3946">
            <v>0</v>
          </cell>
          <cell r="AP3946">
            <v>400</v>
          </cell>
          <cell r="AW3946">
            <v>400</v>
          </cell>
        </row>
        <row r="3947">
          <cell r="B3947">
            <v>7400</v>
          </cell>
          <cell r="C3947" t="str">
            <v>ZB_80_</v>
          </cell>
          <cell r="D3947" t="str">
            <v>Rancho Zinamba No. 80</v>
          </cell>
          <cell r="E3947" t="str">
            <v>Vázquez</v>
          </cell>
          <cell r="F3947">
            <v>250</v>
          </cell>
          <cell r="G3947">
            <v>1</v>
          </cell>
          <cell r="H3947">
            <v>600</v>
          </cell>
          <cell r="I3947">
            <v>41826</v>
          </cell>
          <cell r="J3947">
            <v>0</v>
          </cell>
          <cell r="W3947">
            <v>0</v>
          </cell>
          <cell r="AJ3947">
            <v>0</v>
          </cell>
          <cell r="AP3947">
            <v>300</v>
          </cell>
          <cell r="AQ3947">
            <v>300</v>
          </cell>
          <cell r="AW3947">
            <v>600</v>
          </cell>
        </row>
        <row r="3948">
          <cell r="B3948">
            <v>7401</v>
          </cell>
          <cell r="C3948" t="str">
            <v>RV_175_B</v>
          </cell>
          <cell r="D3948" t="str">
            <v>Rancho Recoveco No. 175, B</v>
          </cell>
          <cell r="E3948" t="str">
            <v>García Calderón</v>
          </cell>
          <cell r="F3948">
            <v>150</v>
          </cell>
          <cell r="G3948">
            <v>1</v>
          </cell>
          <cell r="H3948">
            <v>200</v>
          </cell>
          <cell r="I3948">
            <v>41826</v>
          </cell>
          <cell r="J3948">
            <v>0</v>
          </cell>
          <cell r="W3948">
            <v>0</v>
          </cell>
          <cell r="AJ3948">
            <v>0</v>
          </cell>
          <cell r="AQ3948">
            <v>200</v>
          </cell>
          <cell r="AW3948">
            <v>200</v>
          </cell>
        </row>
        <row r="3949">
          <cell r="B3949">
            <v>7402</v>
          </cell>
          <cell r="C3949" t="str">
            <v>CL_72_</v>
          </cell>
          <cell r="D3949" t="str">
            <v>Rancho La Cuchilla No. 72</v>
          </cell>
          <cell r="E3949" t="str">
            <v>Ortiz González</v>
          </cell>
          <cell r="F3949">
            <v>300</v>
          </cell>
          <cell r="G3949">
            <v>1</v>
          </cell>
          <cell r="H3949">
            <v>400</v>
          </cell>
          <cell r="I3949">
            <v>41826</v>
          </cell>
          <cell r="J3949">
            <v>0</v>
          </cell>
          <cell r="W3949">
            <v>0</v>
          </cell>
          <cell r="AJ3949">
            <v>0</v>
          </cell>
          <cell r="AQ3949">
            <v>400</v>
          </cell>
          <cell r="AW3949">
            <v>400</v>
          </cell>
        </row>
        <row r="3950">
          <cell r="B3950">
            <v>7403</v>
          </cell>
          <cell r="C3950" t="str">
            <v>UP_140_</v>
          </cell>
          <cell r="D3950" t="str">
            <v>Rancho Upácuaro No. 140</v>
          </cell>
          <cell r="E3950" t="str">
            <v>Gozain</v>
          </cell>
          <cell r="F3950">
            <v>300</v>
          </cell>
          <cell r="G3950">
            <v>1</v>
          </cell>
          <cell r="H3950">
            <v>400</v>
          </cell>
          <cell r="I3950">
            <v>41826</v>
          </cell>
          <cell r="J3950">
            <v>0</v>
          </cell>
          <cell r="W3950">
            <v>0</v>
          </cell>
          <cell r="AJ3950">
            <v>0</v>
          </cell>
          <cell r="AQ3950">
            <v>400</v>
          </cell>
          <cell r="AW3950">
            <v>400</v>
          </cell>
        </row>
        <row r="3951">
          <cell r="B3951">
            <v>7404</v>
          </cell>
          <cell r="C3951" t="str">
            <v>ZB_50_</v>
          </cell>
          <cell r="D3951" t="str">
            <v>Rancho Zinamba No. 50</v>
          </cell>
          <cell r="E3951" t="str">
            <v>Del Castillo</v>
          </cell>
          <cell r="F3951">
            <v>300</v>
          </cell>
          <cell r="G3951">
            <v>1</v>
          </cell>
          <cell r="H3951">
            <v>400</v>
          </cell>
          <cell r="I3951">
            <v>41826</v>
          </cell>
          <cell r="J3951">
            <v>0</v>
          </cell>
          <cell r="W3951">
            <v>0</v>
          </cell>
          <cell r="AJ3951">
            <v>0</v>
          </cell>
          <cell r="AO3951">
            <v>400</v>
          </cell>
          <cell r="AW3951">
            <v>400</v>
          </cell>
        </row>
        <row r="3952">
          <cell r="B3952">
            <v>7405</v>
          </cell>
          <cell r="C3952" t="str">
            <v>ZB_34_</v>
          </cell>
          <cell r="D3952" t="str">
            <v>Rancho Zinamba No. 34</v>
          </cell>
          <cell r="E3952" t="str">
            <v>Torres Zavala</v>
          </cell>
          <cell r="F3952">
            <v>300</v>
          </cell>
          <cell r="G3952">
            <v>1</v>
          </cell>
          <cell r="H3952">
            <v>400</v>
          </cell>
          <cell r="I3952">
            <v>41826</v>
          </cell>
          <cell r="J3952">
            <v>0</v>
          </cell>
          <cell r="W3952">
            <v>0</v>
          </cell>
          <cell r="AJ3952">
            <v>0</v>
          </cell>
          <cell r="AP3952">
            <v>400</v>
          </cell>
          <cell r="AW3952">
            <v>400</v>
          </cell>
        </row>
        <row r="3953">
          <cell r="B3953">
            <v>7406</v>
          </cell>
          <cell r="C3953" t="str">
            <v>UP_93_</v>
          </cell>
          <cell r="D3953" t="str">
            <v>Rancho Upácuaro No. 93</v>
          </cell>
          <cell r="E3953" t="str">
            <v>Valdés</v>
          </cell>
          <cell r="F3953">
            <v>300</v>
          </cell>
          <cell r="G3953">
            <v>1</v>
          </cell>
          <cell r="H3953">
            <v>400</v>
          </cell>
          <cell r="I3953">
            <v>41826</v>
          </cell>
          <cell r="J3953">
            <v>0</v>
          </cell>
          <cell r="W3953">
            <v>0</v>
          </cell>
          <cell r="AJ3953">
            <v>0</v>
          </cell>
          <cell r="AQ3953">
            <v>400</v>
          </cell>
          <cell r="AW3953">
            <v>400</v>
          </cell>
        </row>
        <row r="3954">
          <cell r="B3954">
            <v>7407</v>
          </cell>
          <cell r="C3954" t="str">
            <v>LD_7_</v>
          </cell>
          <cell r="D3954" t="str">
            <v>Rancho Landero No. 7</v>
          </cell>
          <cell r="E3954" t="str">
            <v>Robles</v>
          </cell>
          <cell r="F3954">
            <v>150</v>
          </cell>
          <cell r="G3954">
            <v>1</v>
          </cell>
          <cell r="H3954">
            <v>150</v>
          </cell>
          <cell r="I3954">
            <v>41826</v>
          </cell>
          <cell r="J3954">
            <v>0</v>
          </cell>
          <cell r="W3954">
            <v>0</v>
          </cell>
          <cell r="AJ3954">
            <v>0</v>
          </cell>
          <cell r="AQ3954">
            <v>150</v>
          </cell>
          <cell r="AW3954">
            <v>150</v>
          </cell>
        </row>
        <row r="3955">
          <cell r="B3955">
            <v>7408</v>
          </cell>
          <cell r="C3955" t="str">
            <v>UP_54_</v>
          </cell>
          <cell r="D3955" t="str">
            <v>Rancho Upácuaro No. 54</v>
          </cell>
          <cell r="E3955" t="str">
            <v>García Rueda</v>
          </cell>
          <cell r="F3955">
            <v>200</v>
          </cell>
          <cell r="G3955">
            <v>1</v>
          </cell>
          <cell r="H3955">
            <v>400</v>
          </cell>
          <cell r="I3955">
            <v>41826</v>
          </cell>
          <cell r="J3955">
            <v>0</v>
          </cell>
          <cell r="W3955">
            <v>0</v>
          </cell>
          <cell r="AJ3955">
            <v>0</v>
          </cell>
          <cell r="AQ3955">
            <v>200</v>
          </cell>
          <cell r="AR3955">
            <v>200</v>
          </cell>
          <cell r="AW3955">
            <v>400</v>
          </cell>
        </row>
        <row r="3956">
          <cell r="B3956">
            <v>7409</v>
          </cell>
          <cell r="C3956" t="str">
            <v>CL_94_</v>
          </cell>
          <cell r="D3956" t="str">
            <v>Rancho La Cuchilla No. 94</v>
          </cell>
          <cell r="E3956" t="str">
            <v>Sánchez Márquez</v>
          </cell>
          <cell r="F3956">
            <v>300</v>
          </cell>
          <cell r="G3956">
            <v>1</v>
          </cell>
          <cell r="H3956">
            <v>400</v>
          </cell>
          <cell r="I3956">
            <v>41826</v>
          </cell>
          <cell r="J3956">
            <v>0</v>
          </cell>
          <cell r="W3956">
            <v>0</v>
          </cell>
          <cell r="AJ3956">
            <v>0</v>
          </cell>
          <cell r="AQ3956">
            <v>400</v>
          </cell>
          <cell r="AW3956">
            <v>400</v>
          </cell>
        </row>
        <row r="3957">
          <cell r="B3957">
            <v>7410</v>
          </cell>
          <cell r="C3957" t="str">
            <v>RM_9_A</v>
          </cell>
          <cell r="D3957" t="str">
            <v>Rancho Romeral No. 9, A</v>
          </cell>
          <cell r="E3957" t="str">
            <v>Quiñones Hernández</v>
          </cell>
          <cell r="F3957">
            <v>300</v>
          </cell>
          <cell r="G3957">
            <v>1</v>
          </cell>
          <cell r="H3957">
            <v>2000</v>
          </cell>
          <cell r="I3957">
            <v>41826</v>
          </cell>
          <cell r="J3957">
            <v>0</v>
          </cell>
          <cell r="W3957">
            <v>0</v>
          </cell>
          <cell r="AJ3957">
            <v>0</v>
          </cell>
          <cell r="AL3957">
            <v>400</v>
          </cell>
          <cell r="AM3957">
            <v>400</v>
          </cell>
          <cell r="AN3957">
            <v>400</v>
          </cell>
          <cell r="AO3957">
            <v>400</v>
          </cell>
          <cell r="AP3957">
            <v>400</v>
          </cell>
          <cell r="AW3957">
            <v>2000</v>
          </cell>
        </row>
        <row r="3958">
          <cell r="B3958">
            <v>7411</v>
          </cell>
          <cell r="C3958" t="str">
            <v>EZ_89_</v>
          </cell>
          <cell r="D3958" t="str">
            <v>Rancho Estanzuela No. 89</v>
          </cell>
          <cell r="E3958" t="str">
            <v>Romero Ortiz</v>
          </cell>
          <cell r="F3958">
            <v>300</v>
          </cell>
          <cell r="G3958">
            <v>1</v>
          </cell>
          <cell r="H3958">
            <v>400</v>
          </cell>
          <cell r="I3958">
            <v>41826</v>
          </cell>
          <cell r="J3958">
            <v>0</v>
          </cell>
          <cell r="W3958">
            <v>0</v>
          </cell>
          <cell r="AJ3958">
            <v>0</v>
          </cell>
          <cell r="AQ3958">
            <v>400</v>
          </cell>
          <cell r="AW3958">
            <v>400</v>
          </cell>
        </row>
        <row r="3959">
          <cell r="B3959">
            <v>7411</v>
          </cell>
          <cell r="C3959" t="str">
            <v>EZ_89_</v>
          </cell>
          <cell r="D3959" t="str">
            <v>Rancho Estanzuela No. 89</v>
          </cell>
          <cell r="E3959" t="str">
            <v>Romero Ortiz</v>
          </cell>
          <cell r="F3959">
            <v>300</v>
          </cell>
          <cell r="G3959">
            <v>4</v>
          </cell>
          <cell r="H3959">
            <v>160</v>
          </cell>
          <cell r="I3959">
            <v>41826</v>
          </cell>
          <cell r="J3959" t="str">
            <v>NO SUMA</v>
          </cell>
          <cell r="W3959">
            <v>0</v>
          </cell>
          <cell r="AJ3959">
            <v>0</v>
          </cell>
          <cell r="AW3959">
            <v>0</v>
          </cell>
        </row>
        <row r="3960">
          <cell r="B3960">
            <v>7412</v>
          </cell>
          <cell r="C3960" t="str">
            <v>UP_47_</v>
          </cell>
          <cell r="D3960" t="str">
            <v>Rancho Upácuaro No. 47</v>
          </cell>
          <cell r="E3960" t="str">
            <v>Flores Muñoz</v>
          </cell>
          <cell r="F3960">
            <v>300</v>
          </cell>
          <cell r="G3960">
            <v>1</v>
          </cell>
          <cell r="H3960">
            <v>400</v>
          </cell>
          <cell r="I3960">
            <v>41826</v>
          </cell>
          <cell r="J3960">
            <v>0</v>
          </cell>
          <cell r="W3960">
            <v>0</v>
          </cell>
          <cell r="AJ3960">
            <v>0</v>
          </cell>
          <cell r="AQ3960">
            <v>400</v>
          </cell>
          <cell r="AW3960">
            <v>400</v>
          </cell>
        </row>
        <row r="3961">
          <cell r="B3961">
            <v>7413</v>
          </cell>
          <cell r="C3961" t="str">
            <v>CL_112_PB</v>
          </cell>
          <cell r="D3961" t="str">
            <v>Rancho La Cuchilla No. 112, PB</v>
          </cell>
          <cell r="E3961" t="str">
            <v>Soreque</v>
          </cell>
          <cell r="F3961">
            <v>150</v>
          </cell>
          <cell r="G3961">
            <v>1</v>
          </cell>
          <cell r="H3961">
            <v>400</v>
          </cell>
          <cell r="I3961">
            <v>41826</v>
          </cell>
          <cell r="J3961">
            <v>0</v>
          </cell>
          <cell r="W3961">
            <v>0</v>
          </cell>
          <cell r="AJ3961">
            <v>0</v>
          </cell>
          <cell r="AP3961">
            <v>200</v>
          </cell>
          <cell r="AQ3961">
            <v>200</v>
          </cell>
          <cell r="AW3961">
            <v>400</v>
          </cell>
        </row>
        <row r="3962">
          <cell r="B3962">
            <v>7414</v>
          </cell>
          <cell r="C3962" t="str">
            <v>CL_129_</v>
          </cell>
          <cell r="D3962" t="str">
            <v>Rancho La Cuchilla No. 129</v>
          </cell>
          <cell r="E3962" t="str">
            <v>Gamboa Rueda</v>
          </cell>
          <cell r="F3962">
            <v>200</v>
          </cell>
          <cell r="G3962">
            <v>1</v>
          </cell>
          <cell r="H3962">
            <v>300</v>
          </cell>
          <cell r="I3962">
            <v>41826</v>
          </cell>
          <cell r="J3962">
            <v>0</v>
          </cell>
          <cell r="W3962">
            <v>0</v>
          </cell>
          <cell r="AJ3962">
            <v>0</v>
          </cell>
          <cell r="AQ3962">
            <v>300</v>
          </cell>
          <cell r="AW3962">
            <v>300</v>
          </cell>
        </row>
        <row r="3963">
          <cell r="B3963">
            <v>7415</v>
          </cell>
          <cell r="C3963" t="str">
            <v>LD_101_</v>
          </cell>
          <cell r="D3963" t="str">
            <v>Rancho Landero No. 101</v>
          </cell>
          <cell r="E3963" t="str">
            <v>Ramírez</v>
          </cell>
          <cell r="F3963">
            <v>300</v>
          </cell>
          <cell r="G3963">
            <v>1</v>
          </cell>
          <cell r="H3963">
            <v>1200</v>
          </cell>
          <cell r="I3963">
            <v>41826</v>
          </cell>
          <cell r="J3963">
            <v>0</v>
          </cell>
          <cell r="W3963">
            <v>0</v>
          </cell>
          <cell r="AJ3963">
            <v>0</v>
          </cell>
          <cell r="AO3963">
            <v>400</v>
          </cell>
          <cell r="AP3963">
            <v>400</v>
          </cell>
          <cell r="AQ3963">
            <v>400</v>
          </cell>
          <cell r="AW3963">
            <v>1200</v>
          </cell>
        </row>
        <row r="3964">
          <cell r="B3964">
            <v>7416</v>
          </cell>
          <cell r="C3964" t="str">
            <v>UP_71_</v>
          </cell>
          <cell r="D3964" t="str">
            <v>Rancho Upácuaro No. 71</v>
          </cell>
          <cell r="E3964" t="str">
            <v>Trejo Méndez</v>
          </cell>
          <cell r="F3964">
            <v>300</v>
          </cell>
          <cell r="G3964">
            <v>1</v>
          </cell>
          <cell r="H3964">
            <v>400</v>
          </cell>
          <cell r="I3964">
            <v>41826</v>
          </cell>
          <cell r="J3964">
            <v>0</v>
          </cell>
          <cell r="W3964">
            <v>0</v>
          </cell>
          <cell r="AJ3964">
            <v>0</v>
          </cell>
          <cell r="AQ3964">
            <v>400</v>
          </cell>
          <cell r="AW3964">
            <v>400</v>
          </cell>
        </row>
        <row r="3965">
          <cell r="B3965">
            <v>7417</v>
          </cell>
          <cell r="C3965" t="str">
            <v>EZ_111_</v>
          </cell>
          <cell r="D3965" t="str">
            <v>Rancho Estanzuela No. 111</v>
          </cell>
          <cell r="E3965" t="str">
            <v>Flores Pérez</v>
          </cell>
          <cell r="F3965">
            <v>300</v>
          </cell>
          <cell r="G3965">
            <v>1</v>
          </cell>
          <cell r="H3965">
            <v>800</v>
          </cell>
          <cell r="I3965">
            <v>41827</v>
          </cell>
          <cell r="J3965">
            <v>0</v>
          </cell>
          <cell r="W3965">
            <v>0</v>
          </cell>
          <cell r="AJ3965">
            <v>0</v>
          </cell>
          <cell r="AP3965">
            <v>400</v>
          </cell>
          <cell r="AQ3965">
            <v>400</v>
          </cell>
          <cell r="AW3965">
            <v>800</v>
          </cell>
        </row>
        <row r="3966">
          <cell r="B3966">
            <v>7418</v>
          </cell>
          <cell r="C3966" t="str">
            <v>RM_10_B</v>
          </cell>
          <cell r="D3966" t="str">
            <v>Rancho Romeral No. 10, B</v>
          </cell>
          <cell r="E3966" t="str">
            <v>López Castellano</v>
          </cell>
          <cell r="F3966">
            <v>300</v>
          </cell>
          <cell r="G3966">
            <v>1</v>
          </cell>
          <cell r="H3966">
            <v>900</v>
          </cell>
          <cell r="I3966">
            <v>41828</v>
          </cell>
          <cell r="J3966">
            <v>0</v>
          </cell>
          <cell r="W3966">
            <v>0</v>
          </cell>
          <cell r="AJ3966">
            <v>0</v>
          </cell>
          <cell r="AO3966">
            <v>300</v>
          </cell>
          <cell r="AP3966">
            <v>300</v>
          </cell>
          <cell r="AQ3966">
            <v>300</v>
          </cell>
          <cell r="AW3966">
            <v>900</v>
          </cell>
        </row>
        <row r="3967">
          <cell r="B3967">
            <v>7419</v>
          </cell>
          <cell r="C3967" t="str">
            <v>CL_86_</v>
          </cell>
          <cell r="D3967" t="str">
            <v>Rancho La Cuchilla No. 86</v>
          </cell>
          <cell r="E3967" t="str">
            <v>Del Villar</v>
          </cell>
          <cell r="F3967">
            <v>300</v>
          </cell>
          <cell r="G3967">
            <v>1</v>
          </cell>
          <cell r="H3967">
            <v>400</v>
          </cell>
          <cell r="I3967">
            <v>41830</v>
          </cell>
          <cell r="J3967">
            <v>0</v>
          </cell>
          <cell r="W3967">
            <v>0</v>
          </cell>
          <cell r="AJ3967">
            <v>0</v>
          </cell>
          <cell r="AP3967">
            <v>400</v>
          </cell>
          <cell r="AW3967">
            <v>400</v>
          </cell>
        </row>
        <row r="3968">
          <cell r="B3968">
            <v>7420</v>
          </cell>
          <cell r="C3968" t="str">
            <v>HS_828_</v>
          </cell>
          <cell r="D3968" t="str">
            <v>Calzada del Hueso No. 828</v>
          </cell>
          <cell r="E3968" t="str">
            <v>Cervantes, Miguel</v>
          </cell>
          <cell r="F3968">
            <v>300</v>
          </cell>
          <cell r="G3968">
            <v>1</v>
          </cell>
          <cell r="H3968">
            <v>800</v>
          </cell>
          <cell r="I3968">
            <v>41830</v>
          </cell>
          <cell r="J3968">
            <v>0</v>
          </cell>
          <cell r="W3968">
            <v>0</v>
          </cell>
          <cell r="AJ3968">
            <v>0</v>
          </cell>
          <cell r="AM3968">
            <v>400</v>
          </cell>
          <cell r="AN3968">
            <v>400</v>
          </cell>
          <cell r="AW3968">
            <v>800</v>
          </cell>
        </row>
        <row r="3969">
          <cell r="B3969">
            <v>7421</v>
          </cell>
          <cell r="C3969" t="str">
            <v>RV_3_</v>
          </cell>
          <cell r="D3969" t="str">
            <v>Rancho Recoveco No. 3</v>
          </cell>
          <cell r="E3969" t="str">
            <v>Garduño</v>
          </cell>
          <cell r="F3969">
            <v>300</v>
          </cell>
          <cell r="G3969">
            <v>1</v>
          </cell>
          <cell r="H3969">
            <v>600</v>
          </cell>
          <cell r="I3969">
            <v>41830</v>
          </cell>
          <cell r="J3969">
            <v>0</v>
          </cell>
          <cell r="W3969">
            <v>0</v>
          </cell>
          <cell r="AJ3969">
            <v>0</v>
          </cell>
          <cell r="AP3969">
            <v>300</v>
          </cell>
          <cell r="AQ3969">
            <v>300</v>
          </cell>
          <cell r="AW3969">
            <v>600</v>
          </cell>
        </row>
        <row r="3970">
          <cell r="B3970">
            <v>7422</v>
          </cell>
          <cell r="C3970" t="str">
            <v>CL_61_</v>
          </cell>
          <cell r="D3970" t="str">
            <v>Rancho La Cuchilla No. 61</v>
          </cell>
          <cell r="E3970" t="str">
            <v>Rivera</v>
          </cell>
          <cell r="F3970">
            <v>300</v>
          </cell>
          <cell r="G3970">
            <v>1</v>
          </cell>
          <cell r="H3970">
            <v>800</v>
          </cell>
          <cell r="I3970">
            <v>41831</v>
          </cell>
          <cell r="J3970">
            <v>0</v>
          </cell>
          <cell r="W3970">
            <v>0</v>
          </cell>
          <cell r="AJ3970">
            <v>0</v>
          </cell>
          <cell r="AM3970">
            <v>200</v>
          </cell>
          <cell r="AN3970">
            <v>200</v>
          </cell>
          <cell r="AO3970">
            <v>200</v>
          </cell>
          <cell r="AP3970">
            <v>200</v>
          </cell>
          <cell r="AW3970">
            <v>800</v>
          </cell>
        </row>
        <row r="3971">
          <cell r="B3971">
            <v>7423</v>
          </cell>
          <cell r="C3971" t="str">
            <v>CL_36_</v>
          </cell>
          <cell r="D3971" t="str">
            <v>Rancho La Cuchilla No. 36</v>
          </cell>
          <cell r="E3971" t="str">
            <v>Castillo</v>
          </cell>
          <cell r="F3971">
            <v>300</v>
          </cell>
          <cell r="G3971">
            <v>1</v>
          </cell>
          <cell r="H3971">
            <v>1200</v>
          </cell>
          <cell r="I3971">
            <v>41833</v>
          </cell>
          <cell r="J3971">
            <v>0</v>
          </cell>
          <cell r="W3971">
            <v>0</v>
          </cell>
          <cell r="AJ3971">
            <v>0</v>
          </cell>
          <cell r="AN3971">
            <v>400</v>
          </cell>
          <cell r="AO3971">
            <v>400</v>
          </cell>
          <cell r="AP3971">
            <v>400</v>
          </cell>
          <cell r="AW3971">
            <v>1200</v>
          </cell>
        </row>
        <row r="3972">
          <cell r="B3972">
            <v>7424</v>
          </cell>
          <cell r="C3972" t="str">
            <v>EZ_147_1</v>
          </cell>
          <cell r="D3972" t="str">
            <v>Rancho Estanzuela No. 147, 1</v>
          </cell>
          <cell r="E3972" t="str">
            <v>De la Rosa Enrique</v>
          </cell>
          <cell r="F3972">
            <v>100</v>
          </cell>
          <cell r="G3972">
            <v>1</v>
          </cell>
          <cell r="H3972">
            <v>400</v>
          </cell>
          <cell r="I3972">
            <v>41833</v>
          </cell>
          <cell r="J3972">
            <v>0</v>
          </cell>
          <cell r="W3972">
            <v>0</v>
          </cell>
          <cell r="AJ3972">
            <v>0</v>
          </cell>
          <cell r="AP3972">
            <v>200</v>
          </cell>
          <cell r="AQ3972">
            <v>200</v>
          </cell>
          <cell r="AW3972">
            <v>400</v>
          </cell>
        </row>
        <row r="3973">
          <cell r="B3973">
            <v>7425</v>
          </cell>
          <cell r="C3973" t="str">
            <v>LD_21_</v>
          </cell>
          <cell r="D3973" t="str">
            <v>Rancho Landero No. 21</v>
          </cell>
          <cell r="E3973" t="str">
            <v>Meza</v>
          </cell>
          <cell r="F3973">
            <v>300</v>
          </cell>
          <cell r="G3973">
            <v>1</v>
          </cell>
          <cell r="H3973">
            <v>800</v>
          </cell>
          <cell r="I3973">
            <v>41833</v>
          </cell>
          <cell r="J3973">
            <v>0</v>
          </cell>
          <cell r="W3973">
            <v>0</v>
          </cell>
          <cell r="AJ3973">
            <v>0</v>
          </cell>
          <cell r="AP3973">
            <v>400</v>
          </cell>
          <cell r="AQ3973">
            <v>400</v>
          </cell>
          <cell r="AW3973">
            <v>800</v>
          </cell>
        </row>
        <row r="3974">
          <cell r="B3974">
            <v>7426</v>
          </cell>
          <cell r="C3974" t="str">
            <v>CL_81_A</v>
          </cell>
          <cell r="D3974" t="str">
            <v>Rancho La Cuchilla No. 81, A</v>
          </cell>
          <cell r="E3974" t="str">
            <v>Barrientos López</v>
          </cell>
          <cell r="F3974">
            <v>300</v>
          </cell>
          <cell r="G3974">
            <v>1</v>
          </cell>
          <cell r="H3974">
            <v>400</v>
          </cell>
          <cell r="I3974">
            <v>41833</v>
          </cell>
          <cell r="J3974">
            <v>0</v>
          </cell>
          <cell r="W3974">
            <v>0</v>
          </cell>
          <cell r="AJ3974">
            <v>0</v>
          </cell>
          <cell r="AQ3974">
            <v>400</v>
          </cell>
          <cell r="AW3974">
            <v>400</v>
          </cell>
        </row>
        <row r="3975">
          <cell r="B3975">
            <v>7427</v>
          </cell>
          <cell r="D3975" t="str">
            <v/>
          </cell>
          <cell r="E3975" t="str">
            <v/>
          </cell>
          <cell r="F3975" t="str">
            <v/>
          </cell>
          <cell r="G3975">
            <v>8</v>
          </cell>
          <cell r="I3975">
            <v>41833</v>
          </cell>
          <cell r="J3975" t="str">
            <v>NO SUMA</v>
          </cell>
          <cell r="W3975">
            <v>0</v>
          </cell>
          <cell r="AJ3975">
            <v>0</v>
          </cell>
          <cell r="AW3975">
            <v>0</v>
          </cell>
        </row>
        <row r="3976">
          <cell r="B3976">
            <v>7428</v>
          </cell>
          <cell r="C3976" t="str">
            <v>UP_48_</v>
          </cell>
          <cell r="D3976" t="str">
            <v>Rancho Upácuaro No. 48</v>
          </cell>
          <cell r="E3976" t="str">
            <v>Bernal</v>
          </cell>
          <cell r="F3976">
            <v>200</v>
          </cell>
          <cell r="G3976">
            <v>1</v>
          </cell>
          <cell r="H3976">
            <v>200</v>
          </cell>
          <cell r="I3976">
            <v>41833</v>
          </cell>
          <cell r="J3976">
            <v>0</v>
          </cell>
          <cell r="W3976">
            <v>0</v>
          </cell>
          <cell r="AJ3976">
            <v>0</v>
          </cell>
          <cell r="AM3976">
            <v>200</v>
          </cell>
          <cell r="AW3976">
            <v>200</v>
          </cell>
        </row>
        <row r="3977">
          <cell r="B3977">
            <v>7429</v>
          </cell>
          <cell r="C3977" t="str">
            <v>CL_41_</v>
          </cell>
          <cell r="D3977" t="str">
            <v>Rancho La Cuchilla No. 41</v>
          </cell>
          <cell r="E3977" t="str">
            <v>Arriaga Lemus</v>
          </cell>
          <cell r="F3977">
            <v>250</v>
          </cell>
          <cell r="G3977">
            <v>1</v>
          </cell>
          <cell r="H3977">
            <v>400</v>
          </cell>
          <cell r="I3977">
            <v>41833</v>
          </cell>
          <cell r="J3977">
            <v>0</v>
          </cell>
          <cell r="W3977">
            <v>0</v>
          </cell>
          <cell r="AJ3977">
            <v>0</v>
          </cell>
          <cell r="AQ3977">
            <v>400</v>
          </cell>
          <cell r="AW3977">
            <v>400</v>
          </cell>
        </row>
        <row r="3978">
          <cell r="B3978">
            <v>7430</v>
          </cell>
          <cell r="C3978" t="str">
            <v>LD_84_</v>
          </cell>
          <cell r="D3978" t="str">
            <v>Rancho Landero No. 84</v>
          </cell>
          <cell r="E3978" t="str">
            <v>Alcántara</v>
          </cell>
          <cell r="F3978">
            <v>300</v>
          </cell>
          <cell r="G3978">
            <v>1</v>
          </cell>
          <cell r="H3978">
            <v>800</v>
          </cell>
          <cell r="I3978">
            <v>41833</v>
          </cell>
          <cell r="J3978">
            <v>0</v>
          </cell>
          <cell r="W3978">
            <v>0</v>
          </cell>
          <cell r="AJ3978">
            <v>0</v>
          </cell>
          <cell r="AP3978">
            <v>400</v>
          </cell>
          <cell r="AQ3978">
            <v>400</v>
          </cell>
          <cell r="AW3978">
            <v>800</v>
          </cell>
        </row>
        <row r="3979">
          <cell r="B3979">
            <v>7431</v>
          </cell>
          <cell r="C3979" t="str">
            <v>EZ_3_</v>
          </cell>
          <cell r="D3979" t="str">
            <v>Rancho Estanzuela No. 3</v>
          </cell>
          <cell r="E3979" t="str">
            <v>Villanueva Nájera</v>
          </cell>
          <cell r="F3979">
            <v>150</v>
          </cell>
          <cell r="G3979">
            <v>1</v>
          </cell>
          <cell r="H3979">
            <v>600</v>
          </cell>
          <cell r="I3979">
            <v>41833</v>
          </cell>
          <cell r="J3979">
            <v>0</v>
          </cell>
          <cell r="W3979">
            <v>0</v>
          </cell>
          <cell r="AJ3979">
            <v>0</v>
          </cell>
          <cell r="AQ3979">
            <v>200</v>
          </cell>
          <cell r="AR3979">
            <v>200</v>
          </cell>
          <cell r="AS3979">
            <v>200</v>
          </cell>
          <cell r="AW3979">
            <v>600</v>
          </cell>
        </row>
        <row r="3980">
          <cell r="B3980">
            <v>7432</v>
          </cell>
          <cell r="C3980" t="str">
            <v>EZ_99_</v>
          </cell>
          <cell r="D3980" t="str">
            <v>Rancho Estanzuela No. 99</v>
          </cell>
          <cell r="E3980" t="str">
            <v>García López</v>
          </cell>
          <cell r="F3980">
            <v>300</v>
          </cell>
          <cell r="G3980">
            <v>1</v>
          </cell>
          <cell r="H3980">
            <v>400</v>
          </cell>
          <cell r="I3980">
            <v>41833</v>
          </cell>
          <cell r="J3980">
            <v>0</v>
          </cell>
          <cell r="W3980">
            <v>0</v>
          </cell>
          <cell r="AJ3980">
            <v>0</v>
          </cell>
          <cell r="AQ3980">
            <v>400</v>
          </cell>
          <cell r="AW3980">
            <v>400</v>
          </cell>
        </row>
        <row r="3981">
          <cell r="B3981">
            <v>7433</v>
          </cell>
          <cell r="C3981" t="str">
            <v>CL_45_</v>
          </cell>
          <cell r="D3981" t="str">
            <v>Rancho La Cuchilla No. 45</v>
          </cell>
          <cell r="E3981" t="str">
            <v>Estévez Hernández</v>
          </cell>
          <cell r="F3981">
            <v>300</v>
          </cell>
          <cell r="G3981">
            <v>1</v>
          </cell>
          <cell r="H3981">
            <v>400</v>
          </cell>
          <cell r="I3981">
            <v>41833</v>
          </cell>
          <cell r="J3981">
            <v>0</v>
          </cell>
          <cell r="W3981">
            <v>0</v>
          </cell>
          <cell r="AJ3981">
            <v>0</v>
          </cell>
          <cell r="AQ3981">
            <v>400</v>
          </cell>
          <cell r="AW3981">
            <v>400</v>
          </cell>
        </row>
        <row r="3982">
          <cell r="B3982">
            <v>7434</v>
          </cell>
          <cell r="C3982" t="str">
            <v>RM_17_</v>
          </cell>
          <cell r="D3982" t="str">
            <v>Rancho Romeral No. 17</v>
          </cell>
          <cell r="E3982" t="str">
            <v>Aguilar Lomelí</v>
          </cell>
          <cell r="F3982">
            <v>300</v>
          </cell>
          <cell r="G3982">
            <v>1</v>
          </cell>
          <cell r="H3982">
            <v>400</v>
          </cell>
          <cell r="I3982">
            <v>41833</v>
          </cell>
          <cell r="J3982">
            <v>0</v>
          </cell>
          <cell r="W3982">
            <v>0</v>
          </cell>
          <cell r="AJ3982">
            <v>0</v>
          </cell>
          <cell r="AQ3982">
            <v>400</v>
          </cell>
          <cell r="AW3982">
            <v>400</v>
          </cell>
        </row>
        <row r="3983">
          <cell r="B3983">
            <v>7435</v>
          </cell>
          <cell r="C3983" t="str">
            <v>CL_120_</v>
          </cell>
          <cell r="D3983" t="str">
            <v>Rancho La Cuchilla No. 120</v>
          </cell>
          <cell r="E3983" t="str">
            <v>Pozos Vilchis</v>
          </cell>
          <cell r="F3983">
            <v>300</v>
          </cell>
          <cell r="G3983">
            <v>1</v>
          </cell>
          <cell r="H3983">
            <v>400</v>
          </cell>
          <cell r="I3983">
            <v>41833</v>
          </cell>
          <cell r="J3983">
            <v>0</v>
          </cell>
          <cell r="W3983">
            <v>0</v>
          </cell>
          <cell r="AJ3983">
            <v>0</v>
          </cell>
          <cell r="AQ3983">
            <v>400</v>
          </cell>
          <cell r="AW3983">
            <v>400</v>
          </cell>
        </row>
        <row r="3984">
          <cell r="B3984">
            <v>7436</v>
          </cell>
          <cell r="C3984" t="str">
            <v>EZ_31_</v>
          </cell>
          <cell r="D3984" t="str">
            <v>Rancho Estanzuela No. 31</v>
          </cell>
          <cell r="E3984" t="str">
            <v>Chávez Valdés</v>
          </cell>
          <cell r="F3984">
            <v>300</v>
          </cell>
          <cell r="G3984">
            <v>1</v>
          </cell>
          <cell r="H3984">
            <v>400</v>
          </cell>
          <cell r="I3984">
            <v>41833</v>
          </cell>
          <cell r="J3984">
            <v>0</v>
          </cell>
          <cell r="W3984">
            <v>0</v>
          </cell>
          <cell r="AJ3984">
            <v>0</v>
          </cell>
          <cell r="AP3984">
            <v>400</v>
          </cell>
          <cell r="AW3984">
            <v>400</v>
          </cell>
        </row>
        <row r="3985">
          <cell r="B3985">
            <v>7437</v>
          </cell>
          <cell r="C3985" t="str">
            <v>CL_111_</v>
          </cell>
          <cell r="D3985" t="str">
            <v>Rancho La Cuchilla No. 111</v>
          </cell>
          <cell r="E3985" t="str">
            <v>García Santos Ofelia</v>
          </cell>
          <cell r="F3985">
            <v>150</v>
          </cell>
          <cell r="G3985">
            <v>1</v>
          </cell>
          <cell r="H3985">
            <v>200</v>
          </cell>
          <cell r="I3985">
            <v>41833</v>
          </cell>
          <cell r="J3985">
            <v>0</v>
          </cell>
          <cell r="W3985">
            <v>0</v>
          </cell>
          <cell r="AJ3985">
            <v>0</v>
          </cell>
          <cell r="AQ3985">
            <v>200</v>
          </cell>
          <cell r="AW3985">
            <v>200</v>
          </cell>
        </row>
        <row r="3986">
          <cell r="B3986">
            <v>7438</v>
          </cell>
          <cell r="C3986" t="str">
            <v>EZ_55_</v>
          </cell>
          <cell r="D3986" t="str">
            <v>Rancho Estanzuela No. 55</v>
          </cell>
          <cell r="E3986" t="str">
            <v>Rodríguez Acevedo</v>
          </cell>
          <cell r="F3986">
            <v>300</v>
          </cell>
          <cell r="G3986">
            <v>1</v>
          </cell>
          <cell r="H3986">
            <v>400</v>
          </cell>
          <cell r="I3986">
            <v>41833</v>
          </cell>
          <cell r="J3986">
            <v>0</v>
          </cell>
          <cell r="W3986">
            <v>0</v>
          </cell>
          <cell r="AJ3986">
            <v>0</v>
          </cell>
          <cell r="AQ3986">
            <v>400</v>
          </cell>
          <cell r="AW3986">
            <v>400</v>
          </cell>
        </row>
        <row r="3987">
          <cell r="B3987">
            <v>7439</v>
          </cell>
          <cell r="C3987" t="str">
            <v>UP_73_A</v>
          </cell>
          <cell r="D3987" t="str">
            <v>Rancho Upácuaro No. 73, A</v>
          </cell>
          <cell r="E3987" t="str">
            <v>Ortega</v>
          </cell>
          <cell r="F3987">
            <v>150</v>
          </cell>
          <cell r="G3987">
            <v>1</v>
          </cell>
          <cell r="H3987">
            <v>200</v>
          </cell>
          <cell r="I3987">
            <v>41833</v>
          </cell>
          <cell r="J3987">
            <v>0</v>
          </cell>
          <cell r="W3987">
            <v>0</v>
          </cell>
          <cell r="AJ3987">
            <v>0</v>
          </cell>
          <cell r="AP3987">
            <v>200</v>
          </cell>
          <cell r="AW3987">
            <v>200</v>
          </cell>
        </row>
        <row r="3988">
          <cell r="B3988">
            <v>7440</v>
          </cell>
          <cell r="C3988" t="str">
            <v>RV_179_</v>
          </cell>
          <cell r="D3988" t="str">
            <v>Rancho Recoveco No. 179</v>
          </cell>
          <cell r="E3988" t="str">
            <v>Flores Delgado</v>
          </cell>
          <cell r="F3988">
            <v>300</v>
          </cell>
          <cell r="G3988">
            <v>3</v>
          </cell>
          <cell r="H3988">
            <v>160</v>
          </cell>
          <cell r="I3988">
            <v>41833</v>
          </cell>
          <cell r="J3988" t="str">
            <v>NO SUMA</v>
          </cell>
          <cell r="W3988">
            <v>0</v>
          </cell>
          <cell r="AJ3988">
            <v>0</v>
          </cell>
          <cell r="AW3988">
            <v>0</v>
          </cell>
        </row>
        <row r="3989">
          <cell r="B3989">
            <v>7441</v>
          </cell>
          <cell r="C3989" t="str">
            <v>UP_33_</v>
          </cell>
          <cell r="D3989" t="str">
            <v>Rancho Upácuaro No. 33</v>
          </cell>
          <cell r="E3989" t="str">
            <v>Ulloa Miranda</v>
          </cell>
          <cell r="F3989">
            <v>300</v>
          </cell>
          <cell r="G3989">
            <v>1</v>
          </cell>
          <cell r="H3989">
            <v>400</v>
          </cell>
          <cell r="I3989">
            <v>41833</v>
          </cell>
          <cell r="J3989">
            <v>0</v>
          </cell>
          <cell r="W3989">
            <v>0</v>
          </cell>
          <cell r="AJ3989">
            <v>0</v>
          </cell>
          <cell r="AQ3989">
            <v>400</v>
          </cell>
          <cell r="AW3989">
            <v>400</v>
          </cell>
        </row>
        <row r="3990">
          <cell r="B3990">
            <v>7442</v>
          </cell>
          <cell r="C3990" t="str">
            <v>UP_100_</v>
          </cell>
          <cell r="D3990" t="str">
            <v>Rancho Upácuaro No. 100</v>
          </cell>
          <cell r="E3990" t="str">
            <v>Mancera Rodríguez</v>
          </cell>
          <cell r="F3990">
            <v>300</v>
          </cell>
          <cell r="G3990">
            <v>1</v>
          </cell>
          <cell r="H3990">
            <v>400</v>
          </cell>
          <cell r="I3990">
            <v>41833</v>
          </cell>
          <cell r="J3990">
            <v>0</v>
          </cell>
          <cell r="W3990">
            <v>0</v>
          </cell>
          <cell r="AJ3990">
            <v>0</v>
          </cell>
          <cell r="AQ3990">
            <v>400</v>
          </cell>
          <cell r="AW3990">
            <v>400</v>
          </cell>
        </row>
        <row r="3991">
          <cell r="B3991">
            <v>7443</v>
          </cell>
          <cell r="C3991" t="str">
            <v>CL_89_</v>
          </cell>
          <cell r="D3991" t="str">
            <v>Rancho La Cuchilla No. 89</v>
          </cell>
          <cell r="E3991" t="str">
            <v>Gálvez</v>
          </cell>
          <cell r="F3991">
            <v>300</v>
          </cell>
          <cell r="G3991">
            <v>1</v>
          </cell>
          <cell r="H3991">
            <v>400</v>
          </cell>
          <cell r="I3991">
            <v>41833</v>
          </cell>
          <cell r="J3991">
            <v>0</v>
          </cell>
          <cell r="W3991">
            <v>0</v>
          </cell>
          <cell r="AJ3991">
            <v>0</v>
          </cell>
          <cell r="AQ3991">
            <v>400</v>
          </cell>
          <cell r="AW3991">
            <v>400</v>
          </cell>
        </row>
        <row r="3992">
          <cell r="B3992">
            <v>7444</v>
          </cell>
          <cell r="C3992" t="str">
            <v>EZ_161_1</v>
          </cell>
          <cell r="D3992" t="str">
            <v>Rancho Estanzuela No. 161, 1</v>
          </cell>
          <cell r="E3992" t="str">
            <v>Guevara</v>
          </cell>
          <cell r="F3992">
            <v>150</v>
          </cell>
          <cell r="G3992">
            <v>1</v>
          </cell>
          <cell r="H3992">
            <v>200</v>
          </cell>
          <cell r="I3992">
            <v>41833</v>
          </cell>
          <cell r="J3992">
            <v>0</v>
          </cell>
          <cell r="W3992">
            <v>0</v>
          </cell>
          <cell r="AJ3992">
            <v>0</v>
          </cell>
          <cell r="AQ3992">
            <v>200</v>
          </cell>
          <cell r="AW3992">
            <v>200</v>
          </cell>
        </row>
        <row r="3993">
          <cell r="B3993">
            <v>7445</v>
          </cell>
          <cell r="C3993" t="str">
            <v>UP_70_</v>
          </cell>
          <cell r="D3993" t="str">
            <v>Rancho Upácuaro No. 70</v>
          </cell>
          <cell r="E3993" t="str">
            <v>Ramírez Tejeda</v>
          </cell>
          <cell r="F3993">
            <v>300</v>
          </cell>
          <cell r="G3993">
            <v>1</v>
          </cell>
          <cell r="H3993">
            <v>300</v>
          </cell>
          <cell r="I3993">
            <v>41833</v>
          </cell>
          <cell r="J3993">
            <v>0</v>
          </cell>
          <cell r="W3993">
            <v>0</v>
          </cell>
          <cell r="AJ3993">
            <v>0</v>
          </cell>
          <cell r="AQ3993">
            <v>300</v>
          </cell>
          <cell r="AW3993">
            <v>300</v>
          </cell>
        </row>
        <row r="3994">
          <cell r="B3994">
            <v>7446</v>
          </cell>
          <cell r="C3994" t="str">
            <v>EP_22_A</v>
          </cell>
          <cell r="D3994" t="str">
            <v>Rancho Estopila No. 22, A</v>
          </cell>
          <cell r="E3994" t="str">
            <v>Ayala Carranza</v>
          </cell>
          <cell r="F3994">
            <v>150</v>
          </cell>
          <cell r="G3994">
            <v>1</v>
          </cell>
          <cell r="H3994">
            <v>400</v>
          </cell>
          <cell r="I3994">
            <v>41833</v>
          </cell>
          <cell r="J3994">
            <v>0</v>
          </cell>
          <cell r="W3994">
            <v>0</v>
          </cell>
          <cell r="AJ3994">
            <v>0</v>
          </cell>
          <cell r="AP3994">
            <v>200</v>
          </cell>
          <cell r="AQ3994">
            <v>200</v>
          </cell>
          <cell r="AW3994">
            <v>400</v>
          </cell>
        </row>
        <row r="3995">
          <cell r="B3995">
            <v>7447</v>
          </cell>
          <cell r="C3995" t="str">
            <v>UP_85_</v>
          </cell>
          <cell r="D3995" t="str">
            <v>Rancho Upácuaro No. 85</v>
          </cell>
          <cell r="E3995" t="str">
            <v>Del Toro Huerta</v>
          </cell>
          <cell r="F3995">
            <v>300</v>
          </cell>
          <cell r="G3995">
            <v>1</v>
          </cell>
          <cell r="H3995">
            <v>400</v>
          </cell>
          <cell r="I3995">
            <v>41833</v>
          </cell>
          <cell r="J3995">
            <v>0</v>
          </cell>
          <cell r="W3995">
            <v>0</v>
          </cell>
          <cell r="AJ3995">
            <v>0</v>
          </cell>
          <cell r="AQ3995">
            <v>400</v>
          </cell>
          <cell r="AW3995">
            <v>400</v>
          </cell>
        </row>
        <row r="3996">
          <cell r="B3996">
            <v>7448</v>
          </cell>
          <cell r="C3996" t="str">
            <v>RV_197_</v>
          </cell>
          <cell r="D3996" t="str">
            <v>Rancho Recoveco No. 197</v>
          </cell>
          <cell r="E3996" t="str">
            <v>Colín González</v>
          </cell>
          <cell r="F3996">
            <v>300</v>
          </cell>
          <cell r="G3996">
            <v>1</v>
          </cell>
          <cell r="H3996">
            <v>400</v>
          </cell>
          <cell r="I3996">
            <v>41833</v>
          </cell>
          <cell r="J3996">
            <v>0</v>
          </cell>
          <cell r="W3996">
            <v>0</v>
          </cell>
          <cell r="AJ3996">
            <v>0</v>
          </cell>
          <cell r="AQ3996">
            <v>400</v>
          </cell>
          <cell r="AW3996">
            <v>400</v>
          </cell>
        </row>
        <row r="3997">
          <cell r="B3997">
            <v>7449</v>
          </cell>
          <cell r="C3997" t="str">
            <v>EZ_61_</v>
          </cell>
          <cell r="D3997" t="str">
            <v>Rancho Estanzuela No. 61</v>
          </cell>
          <cell r="E3997" t="str">
            <v>González Almazán</v>
          </cell>
          <cell r="F3997">
            <v>300</v>
          </cell>
          <cell r="G3997">
            <v>1</v>
          </cell>
          <cell r="H3997">
            <v>800</v>
          </cell>
          <cell r="I3997">
            <v>41834</v>
          </cell>
          <cell r="J3997">
            <v>0</v>
          </cell>
          <cell r="W3997">
            <v>0</v>
          </cell>
          <cell r="AJ3997">
            <v>0</v>
          </cell>
          <cell r="AP3997">
            <v>400</v>
          </cell>
          <cell r="AQ3997">
            <v>400</v>
          </cell>
          <cell r="AW3997">
            <v>800</v>
          </cell>
        </row>
        <row r="3998">
          <cell r="B3998">
            <v>7450</v>
          </cell>
          <cell r="C3998" t="str">
            <v>RV_173_</v>
          </cell>
          <cell r="D3998" t="str">
            <v>Rancho Recoveco No. 173</v>
          </cell>
          <cell r="E3998" t="str">
            <v>Velarde</v>
          </cell>
          <cell r="F3998">
            <v>300</v>
          </cell>
          <cell r="G3998">
            <v>1</v>
          </cell>
          <cell r="H3998">
            <v>300</v>
          </cell>
          <cell r="I3998">
            <v>41835</v>
          </cell>
          <cell r="J3998">
            <v>0</v>
          </cell>
          <cell r="W3998">
            <v>0</v>
          </cell>
          <cell r="AJ3998">
            <v>0</v>
          </cell>
          <cell r="AQ3998">
            <v>300</v>
          </cell>
          <cell r="AW3998">
            <v>300</v>
          </cell>
        </row>
        <row r="3999">
          <cell r="B3999">
            <v>7451</v>
          </cell>
          <cell r="C3999" t="str">
            <v>LD_18_</v>
          </cell>
          <cell r="D3999" t="str">
            <v>Rancho Landero No. 18</v>
          </cell>
          <cell r="E3999" t="str">
            <v>Rosado</v>
          </cell>
          <cell r="F3999">
            <v>250</v>
          </cell>
          <cell r="G3999">
            <v>1</v>
          </cell>
          <cell r="H3999">
            <v>300</v>
          </cell>
          <cell r="I3999">
            <v>41840</v>
          </cell>
          <cell r="J3999">
            <v>0</v>
          </cell>
          <cell r="W3999">
            <v>0</v>
          </cell>
          <cell r="AJ3999">
            <v>0</v>
          </cell>
          <cell r="AQ3999">
            <v>300</v>
          </cell>
          <cell r="AW3999">
            <v>300</v>
          </cell>
        </row>
        <row r="4000">
          <cell r="B4000">
            <v>7452</v>
          </cell>
          <cell r="C4000" t="str">
            <v>EZ_101_</v>
          </cell>
          <cell r="D4000" t="str">
            <v>Rancho Estanzuela No. 101</v>
          </cell>
          <cell r="E4000" t="str">
            <v>Calderón Celis</v>
          </cell>
          <cell r="F4000">
            <v>300</v>
          </cell>
          <cell r="G4000">
            <v>1</v>
          </cell>
          <cell r="H4000">
            <v>400</v>
          </cell>
          <cell r="I4000">
            <v>41840</v>
          </cell>
          <cell r="J4000">
            <v>0</v>
          </cell>
          <cell r="W4000">
            <v>0</v>
          </cell>
          <cell r="AJ4000">
            <v>0</v>
          </cell>
          <cell r="AP4000">
            <v>400</v>
          </cell>
          <cell r="AW4000">
            <v>400</v>
          </cell>
        </row>
        <row r="4001">
          <cell r="B4001">
            <v>7453</v>
          </cell>
          <cell r="C4001" t="str">
            <v>EZ_119_1</v>
          </cell>
          <cell r="D4001" t="str">
            <v>Rancho Estanzuela No. 119, 1</v>
          </cell>
          <cell r="E4001" t="str">
            <v>López Tovar</v>
          </cell>
          <cell r="F4001">
            <v>300</v>
          </cell>
          <cell r="G4001">
            <v>1</v>
          </cell>
          <cell r="H4001">
            <v>400</v>
          </cell>
          <cell r="I4001">
            <v>41840</v>
          </cell>
          <cell r="J4001">
            <v>0</v>
          </cell>
          <cell r="W4001">
            <v>0</v>
          </cell>
          <cell r="AJ4001">
            <v>0</v>
          </cell>
          <cell r="AQ4001">
            <v>400</v>
          </cell>
          <cell r="AW4001">
            <v>400</v>
          </cell>
        </row>
        <row r="4002">
          <cell r="B4002">
            <v>7454</v>
          </cell>
          <cell r="C4002" t="str">
            <v>EZ_119_1</v>
          </cell>
          <cell r="D4002" t="str">
            <v>Rancho Estanzuela No. 119, 1</v>
          </cell>
          <cell r="E4002" t="str">
            <v>López Tovar</v>
          </cell>
          <cell r="F4002">
            <v>300</v>
          </cell>
          <cell r="G4002">
            <v>3</v>
          </cell>
          <cell r="H4002">
            <v>160</v>
          </cell>
          <cell r="I4002">
            <v>41840</v>
          </cell>
          <cell r="J4002" t="str">
            <v>NO SUMA</v>
          </cell>
          <cell r="W4002">
            <v>0</v>
          </cell>
          <cell r="AJ4002">
            <v>0</v>
          </cell>
          <cell r="AW4002">
            <v>0</v>
          </cell>
        </row>
        <row r="4003">
          <cell r="B4003">
            <v>7454</v>
          </cell>
          <cell r="C4003" t="str">
            <v>EZ_119_1</v>
          </cell>
          <cell r="D4003" t="str">
            <v>Rancho Estanzuela No. 119, 1</v>
          </cell>
          <cell r="E4003" t="str">
            <v>López Tovar</v>
          </cell>
          <cell r="F4003">
            <v>300</v>
          </cell>
          <cell r="G4003">
            <v>4</v>
          </cell>
          <cell r="H4003">
            <v>320</v>
          </cell>
          <cell r="I4003">
            <v>41840</v>
          </cell>
          <cell r="J4003" t="str">
            <v>NO SUMA</v>
          </cell>
          <cell r="W4003">
            <v>0</v>
          </cell>
          <cell r="AJ4003">
            <v>0</v>
          </cell>
          <cell r="AW4003">
            <v>0</v>
          </cell>
        </row>
        <row r="4004">
          <cell r="B4004">
            <v>7455</v>
          </cell>
          <cell r="C4004" t="str">
            <v>EZ_151_</v>
          </cell>
          <cell r="D4004" t="str">
            <v>Rancho Estanzuela No. 151</v>
          </cell>
          <cell r="E4004" t="str">
            <v>Pérez Salazar</v>
          </cell>
          <cell r="F4004">
            <v>300</v>
          </cell>
          <cell r="G4004">
            <v>1</v>
          </cell>
          <cell r="H4004">
            <v>400</v>
          </cell>
          <cell r="I4004">
            <v>41840</v>
          </cell>
          <cell r="J4004">
            <v>0</v>
          </cell>
          <cell r="W4004">
            <v>0</v>
          </cell>
          <cell r="AJ4004">
            <v>0</v>
          </cell>
          <cell r="AQ4004">
            <v>400</v>
          </cell>
          <cell r="AW4004">
            <v>400</v>
          </cell>
        </row>
        <row r="4005">
          <cell r="B4005">
            <v>7456</v>
          </cell>
          <cell r="C4005" t="str">
            <v>LD_71_</v>
          </cell>
          <cell r="D4005" t="str">
            <v>Rancho Landero No. 71</v>
          </cell>
          <cell r="E4005" t="str">
            <v>Cabrera Balcázar</v>
          </cell>
          <cell r="F4005">
            <v>300</v>
          </cell>
          <cell r="G4005">
            <v>1</v>
          </cell>
          <cell r="H4005">
            <v>400</v>
          </cell>
          <cell r="I4005">
            <v>41840</v>
          </cell>
          <cell r="J4005">
            <v>0</v>
          </cell>
          <cell r="W4005">
            <v>0</v>
          </cell>
          <cell r="AJ4005">
            <v>0</v>
          </cell>
          <cell r="AQ4005">
            <v>400</v>
          </cell>
          <cell r="AW4005">
            <v>400</v>
          </cell>
        </row>
        <row r="4006">
          <cell r="B4006">
            <v>7457</v>
          </cell>
          <cell r="C4006" t="str">
            <v>EZ_91_</v>
          </cell>
          <cell r="D4006" t="str">
            <v>Rancho Estanzuela No. 91</v>
          </cell>
          <cell r="E4006" t="str">
            <v>Lobato Torres</v>
          </cell>
          <cell r="F4006">
            <v>300</v>
          </cell>
          <cell r="G4006">
            <v>1</v>
          </cell>
          <cell r="H4006">
            <v>400</v>
          </cell>
          <cell r="I4006">
            <v>41840</v>
          </cell>
          <cell r="J4006">
            <v>0</v>
          </cell>
          <cell r="W4006">
            <v>0</v>
          </cell>
          <cell r="AJ4006">
            <v>0</v>
          </cell>
          <cell r="AQ4006">
            <v>400</v>
          </cell>
          <cell r="AW4006">
            <v>400</v>
          </cell>
        </row>
        <row r="4007">
          <cell r="B4007">
            <v>7458</v>
          </cell>
          <cell r="C4007" t="str">
            <v>LD_68_</v>
          </cell>
          <cell r="D4007" t="str">
            <v>Rancho Landero No. 68</v>
          </cell>
          <cell r="E4007" t="str">
            <v>Moreno</v>
          </cell>
          <cell r="F4007">
            <v>300</v>
          </cell>
          <cell r="G4007">
            <v>1</v>
          </cell>
          <cell r="H4007">
            <v>800</v>
          </cell>
          <cell r="I4007">
            <v>41840</v>
          </cell>
          <cell r="J4007">
            <v>0</v>
          </cell>
          <cell r="W4007">
            <v>0</v>
          </cell>
          <cell r="AJ4007">
            <v>0</v>
          </cell>
          <cell r="AO4007">
            <v>400</v>
          </cell>
          <cell r="AP4007">
            <v>400</v>
          </cell>
          <cell r="AW4007">
            <v>800</v>
          </cell>
        </row>
        <row r="4008">
          <cell r="B4008">
            <v>7459</v>
          </cell>
          <cell r="C4008" t="str">
            <v>LD_47_</v>
          </cell>
          <cell r="D4008" t="str">
            <v>Rancho Landero No. 47</v>
          </cell>
          <cell r="E4008" t="str">
            <v>García González</v>
          </cell>
          <cell r="F4008">
            <v>300</v>
          </cell>
          <cell r="G4008">
            <v>1</v>
          </cell>
          <cell r="H4008">
            <v>400</v>
          </cell>
          <cell r="I4008">
            <v>41840</v>
          </cell>
          <cell r="J4008">
            <v>0</v>
          </cell>
          <cell r="W4008">
            <v>0</v>
          </cell>
          <cell r="AJ4008">
            <v>0</v>
          </cell>
          <cell r="AP4008">
            <v>400</v>
          </cell>
          <cell r="AW4008">
            <v>400</v>
          </cell>
        </row>
        <row r="4009">
          <cell r="B4009">
            <v>7460</v>
          </cell>
          <cell r="C4009" t="str">
            <v>CL_71_</v>
          </cell>
          <cell r="D4009" t="str">
            <v>Rancho La Cuchilla No. 71</v>
          </cell>
          <cell r="E4009" t="str">
            <v>Pulido</v>
          </cell>
          <cell r="F4009">
            <v>300</v>
          </cell>
          <cell r="G4009">
            <v>1</v>
          </cell>
          <cell r="H4009">
            <v>200</v>
          </cell>
          <cell r="I4009">
            <v>41840</v>
          </cell>
          <cell r="J4009">
            <v>0</v>
          </cell>
          <cell r="W4009">
            <v>0</v>
          </cell>
          <cell r="AJ4009">
            <v>0</v>
          </cell>
          <cell r="AP4009">
            <v>200</v>
          </cell>
          <cell r="AW4009">
            <v>200</v>
          </cell>
        </row>
        <row r="4010">
          <cell r="B4010">
            <v>7461</v>
          </cell>
          <cell r="C4010" t="str">
            <v>LD_91_</v>
          </cell>
          <cell r="D4010" t="str">
            <v>Rancho Landero No. 91</v>
          </cell>
          <cell r="E4010" t="str">
            <v>Llaca</v>
          </cell>
          <cell r="F4010">
            <v>300</v>
          </cell>
          <cell r="G4010">
            <v>1</v>
          </cell>
          <cell r="H4010">
            <v>400</v>
          </cell>
          <cell r="I4010">
            <v>41840</v>
          </cell>
          <cell r="J4010">
            <v>0</v>
          </cell>
          <cell r="W4010">
            <v>0</v>
          </cell>
          <cell r="AJ4010">
            <v>0</v>
          </cell>
          <cell r="AQ4010">
            <v>400</v>
          </cell>
          <cell r="AW4010">
            <v>400</v>
          </cell>
        </row>
        <row r="4011">
          <cell r="B4011">
            <v>7462</v>
          </cell>
          <cell r="C4011" t="str">
            <v>LD_89_</v>
          </cell>
          <cell r="D4011" t="str">
            <v>Rancho Landero No. 89</v>
          </cell>
          <cell r="E4011" t="str">
            <v>Del Pozo Solís</v>
          </cell>
          <cell r="F4011">
            <v>300</v>
          </cell>
          <cell r="G4011">
            <v>1</v>
          </cell>
          <cell r="H4011">
            <v>600</v>
          </cell>
          <cell r="I4011">
            <v>41840</v>
          </cell>
          <cell r="J4011">
            <v>0</v>
          </cell>
          <cell r="W4011">
            <v>0</v>
          </cell>
          <cell r="AJ4011">
            <v>0</v>
          </cell>
          <cell r="AP4011">
            <v>300</v>
          </cell>
          <cell r="AQ4011">
            <v>300</v>
          </cell>
          <cell r="AW4011">
            <v>600</v>
          </cell>
        </row>
        <row r="4012">
          <cell r="B4012">
            <v>7463</v>
          </cell>
          <cell r="C4012" t="str">
            <v>ZB_68_</v>
          </cell>
          <cell r="D4012" t="str">
            <v>Rancho Zinamba No. 68</v>
          </cell>
          <cell r="E4012" t="str">
            <v>Rivera Villicaña</v>
          </cell>
          <cell r="F4012">
            <v>300</v>
          </cell>
          <cell r="G4012">
            <v>1</v>
          </cell>
          <cell r="H4012">
            <v>300</v>
          </cell>
          <cell r="I4012">
            <v>41840</v>
          </cell>
          <cell r="J4012">
            <v>0</v>
          </cell>
          <cell r="W4012">
            <v>0</v>
          </cell>
          <cell r="AJ4012">
            <v>0</v>
          </cell>
          <cell r="AQ4012">
            <v>300</v>
          </cell>
          <cell r="AW4012">
            <v>300</v>
          </cell>
        </row>
        <row r="4013">
          <cell r="B4013">
            <v>7464</v>
          </cell>
          <cell r="C4013" t="str">
            <v>LD_8_</v>
          </cell>
          <cell r="D4013" t="str">
            <v>Rancho Landero No. 8</v>
          </cell>
          <cell r="E4013" t="str">
            <v>Peña Torres</v>
          </cell>
          <cell r="F4013">
            <v>250</v>
          </cell>
          <cell r="G4013">
            <v>1</v>
          </cell>
          <cell r="H4013">
            <v>500</v>
          </cell>
          <cell r="I4013">
            <v>41840</v>
          </cell>
          <cell r="J4013">
            <v>0</v>
          </cell>
          <cell r="W4013">
            <v>0</v>
          </cell>
          <cell r="AJ4013">
            <v>0</v>
          </cell>
          <cell r="AQ4013">
            <v>250</v>
          </cell>
          <cell r="AR4013">
            <v>250</v>
          </cell>
          <cell r="AW4013">
            <v>500</v>
          </cell>
        </row>
        <row r="4014">
          <cell r="B4014">
            <v>7465</v>
          </cell>
          <cell r="C4014" t="str">
            <v>CL_132_</v>
          </cell>
          <cell r="D4014" t="str">
            <v>Rancho La Cuchilla No. 132</v>
          </cell>
          <cell r="E4014" t="str">
            <v>Téllez Girón</v>
          </cell>
          <cell r="F4014">
            <v>300</v>
          </cell>
          <cell r="G4014">
            <v>1</v>
          </cell>
          <cell r="H4014">
            <v>600</v>
          </cell>
          <cell r="I4014">
            <v>41840</v>
          </cell>
          <cell r="J4014">
            <v>0</v>
          </cell>
          <cell r="W4014">
            <v>0</v>
          </cell>
          <cell r="AJ4014">
            <v>0</v>
          </cell>
          <cell r="AP4014">
            <v>300</v>
          </cell>
          <cell r="AQ4014">
            <v>300</v>
          </cell>
          <cell r="AW4014">
            <v>600</v>
          </cell>
        </row>
        <row r="4015">
          <cell r="B4015">
            <v>7466</v>
          </cell>
          <cell r="C4015" t="str">
            <v>UP_106_</v>
          </cell>
          <cell r="D4015" t="str">
            <v>Rancho Upácuaro No. 106</v>
          </cell>
          <cell r="E4015" t="str">
            <v>Hernández Sánchez</v>
          </cell>
          <cell r="F4015">
            <v>300</v>
          </cell>
          <cell r="G4015">
            <v>1</v>
          </cell>
          <cell r="H4015">
            <v>1600</v>
          </cell>
          <cell r="I4015">
            <v>41840</v>
          </cell>
          <cell r="J4015">
            <v>0</v>
          </cell>
          <cell r="W4015">
            <v>0</v>
          </cell>
          <cell r="AJ4015">
            <v>0</v>
          </cell>
          <cell r="AK4015">
            <v>400</v>
          </cell>
          <cell r="AL4015">
            <v>400</v>
          </cell>
          <cell r="AM4015">
            <v>400</v>
          </cell>
          <cell r="AN4015">
            <v>400</v>
          </cell>
          <cell r="AW4015">
            <v>1600</v>
          </cell>
        </row>
        <row r="4016">
          <cell r="B4016">
            <v>7467</v>
          </cell>
          <cell r="C4016" t="str">
            <v>ZB_38_</v>
          </cell>
          <cell r="D4016" t="str">
            <v>Rancho Zinamba No. 38</v>
          </cell>
          <cell r="E4016" t="str">
            <v>Ramírez Díaz</v>
          </cell>
          <cell r="F4016">
            <v>300</v>
          </cell>
          <cell r="G4016">
            <v>1</v>
          </cell>
          <cell r="H4016">
            <v>800</v>
          </cell>
          <cell r="I4016">
            <v>41840</v>
          </cell>
          <cell r="J4016">
            <v>0</v>
          </cell>
          <cell r="W4016">
            <v>0</v>
          </cell>
          <cell r="AJ4016">
            <v>0</v>
          </cell>
          <cell r="AP4016">
            <v>400</v>
          </cell>
          <cell r="AQ4016">
            <v>400</v>
          </cell>
          <cell r="AW4016">
            <v>800</v>
          </cell>
        </row>
        <row r="4017">
          <cell r="B4017">
            <v>7468</v>
          </cell>
          <cell r="C4017" t="str">
            <v>LD_76_</v>
          </cell>
          <cell r="D4017" t="str">
            <v>Rancho Landero No. 76</v>
          </cell>
          <cell r="E4017" t="str">
            <v>Ugarte</v>
          </cell>
          <cell r="F4017">
            <v>300</v>
          </cell>
          <cell r="G4017">
            <v>1</v>
          </cell>
          <cell r="H4017">
            <v>400</v>
          </cell>
          <cell r="I4017">
            <v>41840</v>
          </cell>
          <cell r="J4017">
            <v>0</v>
          </cell>
          <cell r="W4017">
            <v>0</v>
          </cell>
          <cell r="AJ4017">
            <v>0</v>
          </cell>
          <cell r="AQ4017">
            <v>400</v>
          </cell>
          <cell r="AW4017">
            <v>400</v>
          </cell>
        </row>
        <row r="4018">
          <cell r="B4018">
            <v>7469</v>
          </cell>
          <cell r="C4018" t="str">
            <v>CL_127_</v>
          </cell>
          <cell r="D4018" t="str">
            <v>Rancho La Cuchilla No. 127</v>
          </cell>
          <cell r="E4018" t="str">
            <v>Quiñones</v>
          </cell>
          <cell r="F4018">
            <v>300</v>
          </cell>
          <cell r="G4018">
            <v>1</v>
          </cell>
          <cell r="H4018">
            <v>1200</v>
          </cell>
          <cell r="I4018">
            <v>41840</v>
          </cell>
          <cell r="J4018">
            <v>0</v>
          </cell>
          <cell r="W4018">
            <v>0</v>
          </cell>
          <cell r="AJ4018">
            <v>0</v>
          </cell>
          <cell r="AO4018">
            <v>400</v>
          </cell>
          <cell r="AP4018">
            <v>400</v>
          </cell>
          <cell r="AQ4018">
            <v>400</v>
          </cell>
          <cell r="AW4018">
            <v>1200</v>
          </cell>
        </row>
        <row r="4019">
          <cell r="B4019">
            <v>7470</v>
          </cell>
          <cell r="C4019" t="str">
            <v>EZ_7_A</v>
          </cell>
          <cell r="D4019" t="str">
            <v>Rancho Estanzuela No. 7, A</v>
          </cell>
          <cell r="E4019" t="str">
            <v>Herrera Izquierdo</v>
          </cell>
          <cell r="F4019">
            <v>150</v>
          </cell>
          <cell r="G4019">
            <v>1</v>
          </cell>
          <cell r="H4019">
            <v>200</v>
          </cell>
          <cell r="I4019">
            <v>41840</v>
          </cell>
          <cell r="J4019">
            <v>0</v>
          </cell>
          <cell r="W4019">
            <v>0</v>
          </cell>
          <cell r="AJ4019">
            <v>0</v>
          </cell>
          <cell r="AQ4019">
            <v>200</v>
          </cell>
          <cell r="AW4019">
            <v>200</v>
          </cell>
        </row>
        <row r="4020">
          <cell r="B4020">
            <v>7471</v>
          </cell>
          <cell r="C4020" t="str">
            <v>ZB_14_</v>
          </cell>
          <cell r="D4020" t="str">
            <v>Rancho Zinamba No. 14</v>
          </cell>
          <cell r="E4020" t="str">
            <v>Gutiérrez García</v>
          </cell>
          <cell r="F4020">
            <v>300</v>
          </cell>
          <cell r="G4020">
            <v>1</v>
          </cell>
          <cell r="H4020">
            <v>400</v>
          </cell>
          <cell r="I4020">
            <v>41840</v>
          </cell>
          <cell r="J4020">
            <v>0</v>
          </cell>
          <cell r="W4020">
            <v>0</v>
          </cell>
          <cell r="AJ4020">
            <v>0</v>
          </cell>
          <cell r="AP4020">
            <v>400</v>
          </cell>
          <cell r="AW4020">
            <v>400</v>
          </cell>
        </row>
        <row r="4021">
          <cell r="B4021">
            <v>7472</v>
          </cell>
          <cell r="C4021" t="str">
            <v>CL_87_</v>
          </cell>
          <cell r="D4021" t="str">
            <v>Rancho La Cuchilla No. 87</v>
          </cell>
          <cell r="E4021" t="str">
            <v>Villanueva S.</v>
          </cell>
          <cell r="F4021">
            <v>300</v>
          </cell>
          <cell r="G4021">
            <v>1</v>
          </cell>
          <cell r="H4021">
            <v>400</v>
          </cell>
          <cell r="I4021">
            <v>41840</v>
          </cell>
          <cell r="J4021">
            <v>0</v>
          </cell>
          <cell r="W4021">
            <v>0</v>
          </cell>
          <cell r="AJ4021">
            <v>0</v>
          </cell>
          <cell r="AQ4021">
            <v>400</v>
          </cell>
          <cell r="AW4021">
            <v>400</v>
          </cell>
        </row>
        <row r="4022">
          <cell r="B4022">
            <v>7473</v>
          </cell>
          <cell r="C4022" t="str">
            <v>CL_7_202</v>
          </cell>
          <cell r="D4022" t="str">
            <v>Rancho La Cuchilla No. 7, 202</v>
          </cell>
          <cell r="E4022" t="str">
            <v>Carbajal Zayas</v>
          </cell>
          <cell r="F4022">
            <v>100</v>
          </cell>
          <cell r="G4022">
            <v>1</v>
          </cell>
          <cell r="H4022">
            <v>200</v>
          </cell>
          <cell r="I4022">
            <v>41840</v>
          </cell>
          <cell r="J4022">
            <v>0</v>
          </cell>
          <cell r="W4022">
            <v>0</v>
          </cell>
          <cell r="AJ4022">
            <v>0</v>
          </cell>
          <cell r="AO4022">
            <v>100</v>
          </cell>
          <cell r="AP4022">
            <v>100</v>
          </cell>
          <cell r="AW4022">
            <v>200</v>
          </cell>
        </row>
        <row r="4023">
          <cell r="B4023">
            <v>7474</v>
          </cell>
          <cell r="C4023" t="str">
            <v>CL_18_</v>
          </cell>
          <cell r="D4023" t="str">
            <v>Rancho La Cuchilla No. 18</v>
          </cell>
          <cell r="E4023" t="str">
            <v>Aldana Sánchez</v>
          </cell>
          <cell r="F4023">
            <v>300</v>
          </cell>
          <cell r="G4023">
            <v>1</v>
          </cell>
          <cell r="H4023">
            <v>400</v>
          </cell>
          <cell r="I4023">
            <v>41840</v>
          </cell>
          <cell r="J4023">
            <v>0</v>
          </cell>
          <cell r="W4023">
            <v>0</v>
          </cell>
          <cell r="AJ4023">
            <v>0</v>
          </cell>
          <cell r="AQ4023">
            <v>400</v>
          </cell>
          <cell r="AW4023">
            <v>400</v>
          </cell>
        </row>
        <row r="4024">
          <cell r="B4024">
            <v>7475</v>
          </cell>
          <cell r="C4024" t="str">
            <v>EZ_25_</v>
          </cell>
          <cell r="D4024" t="str">
            <v>Rancho Estanzuela No. 25</v>
          </cell>
          <cell r="E4024" t="str">
            <v>Contreras Figueroa</v>
          </cell>
          <cell r="F4024">
            <v>300</v>
          </cell>
          <cell r="G4024">
            <v>1</v>
          </cell>
          <cell r="H4024">
            <v>1200</v>
          </cell>
          <cell r="I4024">
            <v>41840</v>
          </cell>
          <cell r="J4024">
            <v>0</v>
          </cell>
          <cell r="W4024">
            <v>0</v>
          </cell>
          <cell r="AJ4024">
            <v>0</v>
          </cell>
          <cell r="AN4024">
            <v>400</v>
          </cell>
          <cell r="AO4024">
            <v>400</v>
          </cell>
          <cell r="AP4024">
            <v>400</v>
          </cell>
          <cell r="AW4024">
            <v>1200</v>
          </cell>
        </row>
        <row r="4025">
          <cell r="B4025">
            <v>7476</v>
          </cell>
          <cell r="C4025" t="str">
            <v>LD_40_</v>
          </cell>
          <cell r="D4025" t="str">
            <v>Rancho Landero No. 40</v>
          </cell>
          <cell r="E4025" t="str">
            <v>Almaguer Mireles</v>
          </cell>
          <cell r="F4025">
            <v>300</v>
          </cell>
          <cell r="G4025">
            <v>1</v>
          </cell>
          <cell r="H4025">
            <v>400</v>
          </cell>
          <cell r="I4025">
            <v>41840</v>
          </cell>
          <cell r="J4025">
            <v>0</v>
          </cell>
          <cell r="W4025">
            <v>0</v>
          </cell>
          <cell r="AJ4025">
            <v>0</v>
          </cell>
          <cell r="AO4025">
            <v>400</v>
          </cell>
          <cell r="AW4025">
            <v>400</v>
          </cell>
        </row>
        <row r="4026">
          <cell r="B4026">
            <v>7477</v>
          </cell>
          <cell r="C4026" t="str">
            <v>CL_54_</v>
          </cell>
          <cell r="D4026" t="str">
            <v>Rancho La Cuchilla No. 54</v>
          </cell>
          <cell r="E4026" t="str">
            <v>Mendoza León</v>
          </cell>
          <cell r="F4026">
            <v>300</v>
          </cell>
          <cell r="G4026">
            <v>1</v>
          </cell>
          <cell r="H4026">
            <v>400</v>
          </cell>
          <cell r="I4026">
            <v>41840</v>
          </cell>
          <cell r="J4026">
            <v>0</v>
          </cell>
          <cell r="W4026">
            <v>0</v>
          </cell>
          <cell r="AJ4026">
            <v>0</v>
          </cell>
          <cell r="AP4026">
            <v>400</v>
          </cell>
          <cell r="AW4026">
            <v>400</v>
          </cell>
        </row>
        <row r="4027">
          <cell r="B4027">
            <v>7478</v>
          </cell>
          <cell r="C4027" t="str">
            <v>ZB_50_</v>
          </cell>
          <cell r="D4027" t="str">
            <v>Rancho Zinamba No. 50</v>
          </cell>
          <cell r="E4027" t="str">
            <v>Del Castillo</v>
          </cell>
          <cell r="F4027">
            <v>300</v>
          </cell>
          <cell r="G4027">
            <v>1</v>
          </cell>
          <cell r="H4027">
            <v>400</v>
          </cell>
          <cell r="I4027">
            <v>41840</v>
          </cell>
          <cell r="J4027">
            <v>0</v>
          </cell>
          <cell r="W4027">
            <v>0</v>
          </cell>
          <cell r="AJ4027">
            <v>0</v>
          </cell>
          <cell r="AP4027">
            <v>400</v>
          </cell>
          <cell r="AW4027">
            <v>400</v>
          </cell>
        </row>
        <row r="4028">
          <cell r="B4028">
            <v>7479</v>
          </cell>
          <cell r="C4028" t="str">
            <v>UP_73_A</v>
          </cell>
          <cell r="D4028" t="str">
            <v>Rancho Upácuaro No. 73, A</v>
          </cell>
          <cell r="E4028" t="str">
            <v>Ortega</v>
          </cell>
          <cell r="F4028">
            <v>150</v>
          </cell>
          <cell r="G4028">
            <v>1</v>
          </cell>
          <cell r="H4028">
            <v>200</v>
          </cell>
          <cell r="I4028">
            <v>41840</v>
          </cell>
          <cell r="J4028">
            <v>0</v>
          </cell>
          <cell r="W4028">
            <v>0</v>
          </cell>
          <cell r="AJ4028">
            <v>0</v>
          </cell>
          <cell r="AQ4028">
            <v>200</v>
          </cell>
          <cell r="AW4028">
            <v>200</v>
          </cell>
        </row>
        <row r="4029">
          <cell r="B4029">
            <v>7480</v>
          </cell>
          <cell r="C4029" t="str">
            <v>LD_47_</v>
          </cell>
          <cell r="D4029" t="str">
            <v>Rancho Landero No. 47</v>
          </cell>
          <cell r="E4029" t="str">
            <v>García González</v>
          </cell>
          <cell r="F4029">
            <v>300</v>
          </cell>
          <cell r="G4029">
            <v>1</v>
          </cell>
          <cell r="H4029">
            <v>400</v>
          </cell>
          <cell r="I4029">
            <v>41840</v>
          </cell>
          <cell r="J4029">
            <v>0</v>
          </cell>
          <cell r="W4029">
            <v>0</v>
          </cell>
          <cell r="AJ4029">
            <v>0</v>
          </cell>
          <cell r="AQ4029">
            <v>400</v>
          </cell>
          <cell r="AW4029">
            <v>400</v>
          </cell>
        </row>
        <row r="4030">
          <cell r="B4030">
            <v>7481</v>
          </cell>
          <cell r="C4030" t="str">
            <v>UP_14_</v>
          </cell>
          <cell r="D4030" t="str">
            <v>Rancho Upácuaro No. 14</v>
          </cell>
          <cell r="E4030" t="str">
            <v>Castillo Hernández</v>
          </cell>
          <cell r="F4030">
            <v>300</v>
          </cell>
          <cell r="G4030">
            <v>1</v>
          </cell>
          <cell r="H4030">
            <v>400</v>
          </cell>
          <cell r="I4030">
            <v>41840</v>
          </cell>
          <cell r="J4030">
            <v>0</v>
          </cell>
          <cell r="W4030">
            <v>0</v>
          </cell>
          <cell r="AJ4030">
            <v>0</v>
          </cell>
          <cell r="AQ4030">
            <v>400</v>
          </cell>
          <cell r="AW4030">
            <v>400</v>
          </cell>
        </row>
        <row r="4031">
          <cell r="B4031">
            <v>7482</v>
          </cell>
          <cell r="C4031" t="str">
            <v>CL_43_A</v>
          </cell>
          <cell r="D4031" t="str">
            <v>Rancho La Cuchilla No. 43, A</v>
          </cell>
          <cell r="E4031" t="str">
            <v>De la Rosa</v>
          </cell>
          <cell r="F4031">
            <v>200</v>
          </cell>
          <cell r="G4031">
            <v>1</v>
          </cell>
          <cell r="H4031">
            <v>400</v>
          </cell>
          <cell r="I4031">
            <v>41840</v>
          </cell>
          <cell r="J4031">
            <v>0</v>
          </cell>
          <cell r="W4031">
            <v>0</v>
          </cell>
          <cell r="AJ4031">
            <v>0</v>
          </cell>
          <cell r="AP4031">
            <v>400</v>
          </cell>
          <cell r="AW4031">
            <v>400</v>
          </cell>
        </row>
        <row r="4032">
          <cell r="B4032">
            <v>7483</v>
          </cell>
          <cell r="C4032" t="str">
            <v>EZ_69_</v>
          </cell>
          <cell r="D4032" t="str">
            <v>Rancho Estanzuela No. 69</v>
          </cell>
          <cell r="E4032" t="str">
            <v>Apaez</v>
          </cell>
          <cell r="F4032">
            <v>300</v>
          </cell>
          <cell r="G4032">
            <v>1</v>
          </cell>
          <cell r="H4032">
            <v>400</v>
          </cell>
          <cell r="I4032">
            <v>41840</v>
          </cell>
          <cell r="J4032">
            <v>0</v>
          </cell>
          <cell r="W4032">
            <v>0</v>
          </cell>
          <cell r="AJ4032">
            <v>0</v>
          </cell>
          <cell r="AQ4032">
            <v>400</v>
          </cell>
          <cell r="AW4032">
            <v>400</v>
          </cell>
        </row>
        <row r="4033">
          <cell r="B4033">
            <v>7551</v>
          </cell>
          <cell r="C4033" t="str">
            <v>EZ_119_1</v>
          </cell>
          <cell r="D4033" t="str">
            <v>Rancho Estanzuela No. 119, 1</v>
          </cell>
          <cell r="E4033" t="str">
            <v>López Tovar</v>
          </cell>
          <cell r="F4033">
            <v>300</v>
          </cell>
          <cell r="G4033">
            <v>1</v>
          </cell>
          <cell r="H4033">
            <v>400</v>
          </cell>
          <cell r="I4033">
            <v>41833</v>
          </cell>
          <cell r="J4033">
            <v>0</v>
          </cell>
          <cell r="W4033">
            <v>0</v>
          </cell>
          <cell r="AJ4033">
            <v>0</v>
          </cell>
          <cell r="AP4033">
            <v>400</v>
          </cell>
          <cell r="AW4033">
            <v>400</v>
          </cell>
        </row>
        <row r="4034">
          <cell r="B4034">
            <v>7552</v>
          </cell>
          <cell r="C4034" t="str">
            <v>EZ_119_1</v>
          </cell>
          <cell r="D4034" t="str">
            <v>Rancho Estanzuela No. 119, 1</v>
          </cell>
          <cell r="E4034" t="str">
            <v>López Tovar</v>
          </cell>
          <cell r="F4034">
            <v>300</v>
          </cell>
          <cell r="G4034">
            <v>3</v>
          </cell>
          <cell r="H4034">
            <v>160</v>
          </cell>
          <cell r="I4034">
            <v>41833</v>
          </cell>
          <cell r="J4034" t="str">
            <v>NO SUMA</v>
          </cell>
          <cell r="W4034">
            <v>0</v>
          </cell>
          <cell r="AJ4034">
            <v>0</v>
          </cell>
          <cell r="AW4034">
            <v>0</v>
          </cell>
        </row>
        <row r="4035">
          <cell r="B4035">
            <v>7553</v>
          </cell>
          <cell r="C4035" t="str">
            <v>LD_14_</v>
          </cell>
          <cell r="D4035" t="str">
            <v>Rancho Landero No. 14</v>
          </cell>
          <cell r="E4035" t="str">
            <v xml:space="preserve">Castrejón  </v>
          </cell>
          <cell r="F4035">
            <v>300</v>
          </cell>
          <cell r="G4035">
            <v>1</v>
          </cell>
          <cell r="H4035">
            <v>400</v>
          </cell>
          <cell r="I4035">
            <v>41833</v>
          </cell>
          <cell r="J4035">
            <v>0</v>
          </cell>
          <cell r="W4035">
            <v>0</v>
          </cell>
          <cell r="AJ4035">
            <v>0</v>
          </cell>
          <cell r="AQ4035">
            <v>400</v>
          </cell>
          <cell r="AW4035">
            <v>400</v>
          </cell>
        </row>
        <row r="4036">
          <cell r="B4036">
            <v>7354</v>
          </cell>
          <cell r="C4036" t="str">
            <v>RV_173_</v>
          </cell>
          <cell r="D4036" t="str">
            <v>Rancho Recoveco No. 173</v>
          </cell>
          <cell r="E4036" t="str">
            <v>Velarde</v>
          </cell>
          <cell r="F4036">
            <v>300</v>
          </cell>
          <cell r="G4036">
            <v>1</v>
          </cell>
          <cell r="H4036">
            <v>300</v>
          </cell>
          <cell r="I4036">
            <v>41835</v>
          </cell>
          <cell r="J4036">
            <v>0</v>
          </cell>
          <cell r="W4036">
            <v>0</v>
          </cell>
          <cell r="AJ4036">
            <v>0</v>
          </cell>
          <cell r="AR4036">
            <v>300</v>
          </cell>
          <cell r="AW4036">
            <v>300</v>
          </cell>
        </row>
        <row r="4037">
          <cell r="B4037">
            <v>7355</v>
          </cell>
          <cell r="C4037" t="str">
            <v>CL_147_1</v>
          </cell>
          <cell r="D4037" t="str">
            <v>Rancho La Cuchilla No. 147, 1</v>
          </cell>
          <cell r="E4037" t="str">
            <v>Mena</v>
          </cell>
          <cell r="F4037">
            <v>300</v>
          </cell>
          <cell r="G4037">
            <v>3</v>
          </cell>
          <cell r="H4037">
            <v>160</v>
          </cell>
          <cell r="I4037">
            <v>41835</v>
          </cell>
          <cell r="J4037" t="str">
            <v>NO SUMA</v>
          </cell>
          <cell r="W4037">
            <v>0</v>
          </cell>
          <cell r="AJ4037">
            <v>0</v>
          </cell>
          <cell r="AW4037">
            <v>0</v>
          </cell>
        </row>
        <row r="4038">
          <cell r="B4038">
            <v>7556</v>
          </cell>
          <cell r="C4038" t="str">
            <v>EZ_159_</v>
          </cell>
          <cell r="D4038" t="str">
            <v>Rancho Estanzuela No. 159</v>
          </cell>
          <cell r="E4038" t="str">
            <v>Silva</v>
          </cell>
          <cell r="F4038">
            <v>250</v>
          </cell>
          <cell r="G4038">
            <v>1</v>
          </cell>
          <cell r="H4038">
            <v>600</v>
          </cell>
          <cell r="I4038">
            <v>41835</v>
          </cell>
          <cell r="J4038">
            <v>0</v>
          </cell>
          <cell r="W4038">
            <v>0</v>
          </cell>
          <cell r="AJ4038">
            <v>0</v>
          </cell>
          <cell r="AP4038">
            <v>300</v>
          </cell>
          <cell r="AQ4038">
            <v>300</v>
          </cell>
          <cell r="AW4038">
            <v>600</v>
          </cell>
        </row>
        <row r="4039">
          <cell r="B4039">
            <v>7557</v>
          </cell>
          <cell r="C4039" t="str">
            <v>EZ_129_</v>
          </cell>
          <cell r="D4039" t="str">
            <v>Rancho Estanzuela No. 129</v>
          </cell>
          <cell r="E4039" t="str">
            <v>González</v>
          </cell>
          <cell r="F4039">
            <v>300</v>
          </cell>
          <cell r="G4039">
            <v>1</v>
          </cell>
          <cell r="H4039">
            <v>250</v>
          </cell>
          <cell r="I4039">
            <v>41836</v>
          </cell>
          <cell r="J4039">
            <v>0</v>
          </cell>
          <cell r="W4039">
            <v>0</v>
          </cell>
          <cell r="AJ4039">
            <v>0</v>
          </cell>
          <cell r="AP4039">
            <v>250</v>
          </cell>
          <cell r="AW4039">
            <v>250</v>
          </cell>
        </row>
        <row r="4040">
          <cell r="B4040">
            <v>7558</v>
          </cell>
          <cell r="C4040" t="str">
            <v>LD_54_2</v>
          </cell>
          <cell r="D4040" t="str">
            <v>Rancho Landero No. 54, 2</v>
          </cell>
          <cell r="E4040" t="str">
            <v>Montemayor Santana</v>
          </cell>
          <cell r="F4040">
            <v>300</v>
          </cell>
          <cell r="G4040">
            <v>1</v>
          </cell>
          <cell r="H4040">
            <v>150</v>
          </cell>
          <cell r="I4040">
            <v>41836</v>
          </cell>
          <cell r="J4040">
            <v>0</v>
          </cell>
          <cell r="W4040">
            <v>0</v>
          </cell>
          <cell r="AJ4040">
            <v>0</v>
          </cell>
          <cell r="AP4040">
            <v>150</v>
          </cell>
          <cell r="AW4040">
            <v>150</v>
          </cell>
        </row>
        <row r="4041">
          <cell r="B4041">
            <v>7559</v>
          </cell>
          <cell r="C4041" t="str">
            <v>EZ_79_</v>
          </cell>
          <cell r="D4041" t="str">
            <v>Rancho Estanzuela No. 79</v>
          </cell>
          <cell r="E4041" t="str">
            <v>Mendoza</v>
          </cell>
          <cell r="F4041">
            <v>300</v>
          </cell>
          <cell r="G4041">
            <v>3</v>
          </cell>
          <cell r="H4041">
            <v>160</v>
          </cell>
          <cell r="I4041">
            <v>41836</v>
          </cell>
          <cell r="J4041" t="str">
            <v>NO SUMA</v>
          </cell>
          <cell r="W4041">
            <v>0</v>
          </cell>
          <cell r="AJ4041">
            <v>0</v>
          </cell>
          <cell r="AW4041">
            <v>0</v>
          </cell>
        </row>
        <row r="4042">
          <cell r="B4042">
            <v>7560</v>
          </cell>
          <cell r="C4042" t="str">
            <v>EZ_139_</v>
          </cell>
          <cell r="D4042" t="str">
            <v>Rancho Estanzuela No. 139</v>
          </cell>
          <cell r="E4042" t="str">
            <v xml:space="preserve">Ortiz   </v>
          </cell>
          <cell r="F4042">
            <v>300</v>
          </cell>
          <cell r="G4042">
            <v>1</v>
          </cell>
          <cell r="H4042">
            <v>800</v>
          </cell>
          <cell r="I4042">
            <v>41836</v>
          </cell>
          <cell r="J4042">
            <v>0</v>
          </cell>
          <cell r="W4042">
            <v>0</v>
          </cell>
          <cell r="AJ4042">
            <v>0</v>
          </cell>
          <cell r="AO4042">
            <v>400</v>
          </cell>
          <cell r="AP4042">
            <v>400</v>
          </cell>
          <cell r="AW4042">
            <v>800</v>
          </cell>
        </row>
        <row r="4043">
          <cell r="B4043">
            <v>7561</v>
          </cell>
          <cell r="C4043" t="str">
            <v>EZ_79_</v>
          </cell>
          <cell r="D4043" t="str">
            <v>Rancho Estanzuela No. 79</v>
          </cell>
          <cell r="E4043" t="str">
            <v>Mendoza</v>
          </cell>
          <cell r="F4043">
            <v>300</v>
          </cell>
          <cell r="G4043">
            <v>1</v>
          </cell>
          <cell r="H4043">
            <v>1200</v>
          </cell>
          <cell r="I4043">
            <v>41840</v>
          </cell>
          <cell r="J4043">
            <v>0</v>
          </cell>
          <cell r="W4043">
            <v>0</v>
          </cell>
          <cell r="AJ4043">
            <v>0</v>
          </cell>
          <cell r="AN4043">
            <v>400</v>
          </cell>
          <cell r="AO4043">
            <v>400</v>
          </cell>
          <cell r="AP4043">
            <v>400</v>
          </cell>
          <cell r="AW4043">
            <v>1200</v>
          </cell>
        </row>
        <row r="4044">
          <cell r="B4044">
            <v>7561</v>
          </cell>
          <cell r="C4044" t="str">
            <v>EZ_79_</v>
          </cell>
          <cell r="D4044" t="str">
            <v>Rancho Estanzuela No. 79</v>
          </cell>
          <cell r="E4044" t="str">
            <v>Mendoza</v>
          </cell>
          <cell r="F4044">
            <v>300</v>
          </cell>
          <cell r="G4044">
            <v>3</v>
          </cell>
          <cell r="H4044">
            <v>160</v>
          </cell>
          <cell r="I4044">
            <v>41840</v>
          </cell>
          <cell r="J4044" t="str">
            <v>NO SUMA</v>
          </cell>
          <cell r="W4044">
            <v>0</v>
          </cell>
          <cell r="AJ4044">
            <v>0</v>
          </cell>
          <cell r="AW4044">
            <v>0</v>
          </cell>
        </row>
        <row r="4045">
          <cell r="B4045">
            <v>7561</v>
          </cell>
          <cell r="C4045" t="str">
            <v>EZ_79_</v>
          </cell>
          <cell r="D4045" t="str">
            <v>Rancho Estanzuela No. 79</v>
          </cell>
          <cell r="E4045" t="str">
            <v>Mendoza</v>
          </cell>
          <cell r="F4045">
            <v>300</v>
          </cell>
          <cell r="G4045">
            <v>4</v>
          </cell>
          <cell r="H4045">
            <v>160</v>
          </cell>
          <cell r="I4045">
            <v>41840</v>
          </cell>
          <cell r="J4045" t="str">
            <v>NO SUMA</v>
          </cell>
          <cell r="W4045">
            <v>0</v>
          </cell>
          <cell r="AJ4045">
            <v>0</v>
          </cell>
          <cell r="AW4045">
            <v>0</v>
          </cell>
        </row>
        <row r="4046">
          <cell r="B4046">
            <v>7484</v>
          </cell>
          <cell r="C4046" t="str">
            <v>LD_1_A</v>
          </cell>
          <cell r="D4046" t="str">
            <v>Rancho Landero No. 1, A</v>
          </cell>
          <cell r="E4046" t="str">
            <v>Ebysos</v>
          </cell>
          <cell r="F4046">
            <v>300</v>
          </cell>
          <cell r="G4046">
            <v>1</v>
          </cell>
          <cell r="H4046">
            <v>400</v>
          </cell>
          <cell r="I4046">
            <v>41841</v>
          </cell>
          <cell r="J4046">
            <v>0</v>
          </cell>
          <cell r="W4046">
            <v>0</v>
          </cell>
          <cell r="AJ4046">
            <v>0</v>
          </cell>
          <cell r="AQ4046">
            <v>400</v>
          </cell>
          <cell r="AW4046">
            <v>400</v>
          </cell>
        </row>
        <row r="4047">
          <cell r="B4047">
            <v>7485</v>
          </cell>
          <cell r="C4047" t="str">
            <v>EZ_123_</v>
          </cell>
          <cell r="D4047" t="str">
            <v>Rancho Estanzuela No. 123</v>
          </cell>
          <cell r="E4047" t="str">
            <v>Bueno Rendón</v>
          </cell>
          <cell r="F4047">
            <v>150</v>
          </cell>
          <cell r="G4047">
            <v>3</v>
          </cell>
          <cell r="H4047">
            <v>160</v>
          </cell>
          <cell r="I4047">
            <v>41841</v>
          </cell>
          <cell r="J4047" t="str">
            <v>NO SUMA</v>
          </cell>
          <cell r="W4047">
            <v>0</v>
          </cell>
          <cell r="AJ4047">
            <v>0</v>
          </cell>
          <cell r="AW4047">
            <v>0</v>
          </cell>
        </row>
        <row r="4048">
          <cell r="B4048">
            <v>7486</v>
          </cell>
          <cell r="C4048" t="str">
            <v>LD_85_</v>
          </cell>
          <cell r="D4048" t="str">
            <v>Rancho Landero No. 85</v>
          </cell>
          <cell r="E4048" t="str">
            <v>Martínez Olague</v>
          </cell>
          <cell r="F4048">
            <v>300</v>
          </cell>
          <cell r="G4048">
            <v>1</v>
          </cell>
          <cell r="H4048">
            <v>400</v>
          </cell>
          <cell r="I4048">
            <v>41842</v>
          </cell>
          <cell r="J4048">
            <v>0</v>
          </cell>
          <cell r="W4048">
            <v>0</v>
          </cell>
          <cell r="AJ4048">
            <v>0</v>
          </cell>
          <cell r="AQ4048">
            <v>400</v>
          </cell>
          <cell r="AW4048">
            <v>400</v>
          </cell>
        </row>
        <row r="4049">
          <cell r="B4049">
            <v>7487</v>
          </cell>
          <cell r="C4049" t="str">
            <v>EZ_103_A</v>
          </cell>
          <cell r="D4049" t="str">
            <v>Rancho Estanzuela No. 103, A</v>
          </cell>
          <cell r="E4049" t="str">
            <v>Valencia Aranda</v>
          </cell>
          <cell r="F4049">
            <v>300</v>
          </cell>
          <cell r="G4049">
            <v>1</v>
          </cell>
          <cell r="H4049">
            <v>1600</v>
          </cell>
          <cell r="I4049">
            <v>41846</v>
          </cell>
          <cell r="J4049">
            <v>0</v>
          </cell>
          <cell r="W4049">
            <v>0</v>
          </cell>
          <cell r="AJ4049">
            <v>0</v>
          </cell>
          <cell r="AO4049">
            <v>400</v>
          </cell>
          <cell r="AP4049">
            <v>400</v>
          </cell>
          <cell r="AQ4049">
            <v>400</v>
          </cell>
          <cell r="AR4049">
            <v>400</v>
          </cell>
          <cell r="AW4049">
            <v>1600</v>
          </cell>
        </row>
        <row r="4050">
          <cell r="B4050">
            <v>7488</v>
          </cell>
          <cell r="C4050" t="str">
            <v>UP_120_</v>
          </cell>
          <cell r="D4050" t="str">
            <v>Rancho Upácuaro No. 120</v>
          </cell>
          <cell r="E4050" t="str">
            <v>Rayas Rivera</v>
          </cell>
          <cell r="F4050">
            <v>300</v>
          </cell>
          <cell r="G4050">
            <v>1</v>
          </cell>
          <cell r="H4050">
            <v>400</v>
          </cell>
          <cell r="I4050">
            <v>41847</v>
          </cell>
          <cell r="J4050">
            <v>0</v>
          </cell>
          <cell r="W4050">
            <v>0</v>
          </cell>
          <cell r="AJ4050">
            <v>0</v>
          </cell>
          <cell r="AQ4050">
            <v>400</v>
          </cell>
          <cell r="AW4050">
            <v>400</v>
          </cell>
        </row>
        <row r="4051">
          <cell r="B4051">
            <v>7489</v>
          </cell>
          <cell r="C4051" t="str">
            <v>EZ_127_</v>
          </cell>
          <cell r="D4051" t="str">
            <v>Rancho Estanzuela No. 127</v>
          </cell>
          <cell r="E4051" t="str">
            <v>Luna Zepeda</v>
          </cell>
          <cell r="F4051">
            <v>200</v>
          </cell>
          <cell r="G4051">
            <v>1</v>
          </cell>
          <cell r="H4051">
            <v>150</v>
          </cell>
          <cell r="I4051">
            <v>41847</v>
          </cell>
          <cell r="J4051">
            <v>0</v>
          </cell>
          <cell r="W4051">
            <v>0</v>
          </cell>
          <cell r="AJ4051">
            <v>0</v>
          </cell>
          <cell r="AQ4051">
            <v>150</v>
          </cell>
          <cell r="AW4051">
            <v>150</v>
          </cell>
        </row>
        <row r="4052">
          <cell r="B4052">
            <v>7490</v>
          </cell>
          <cell r="C4052" t="str">
            <v>LD_70_</v>
          </cell>
          <cell r="D4052" t="str">
            <v>Rancho Landero No. 70</v>
          </cell>
          <cell r="E4052" t="str">
            <v>Olguín</v>
          </cell>
          <cell r="F4052">
            <v>100</v>
          </cell>
          <cell r="G4052">
            <v>1</v>
          </cell>
          <cell r="H4052">
            <v>300</v>
          </cell>
          <cell r="I4052">
            <v>41847</v>
          </cell>
          <cell r="J4052">
            <v>0</v>
          </cell>
          <cell r="W4052">
            <v>0</v>
          </cell>
          <cell r="AJ4052">
            <v>0</v>
          </cell>
          <cell r="AP4052">
            <v>100</v>
          </cell>
          <cell r="AQ4052">
            <v>100</v>
          </cell>
          <cell r="AR4052">
            <v>100</v>
          </cell>
          <cell r="AW4052">
            <v>300</v>
          </cell>
        </row>
        <row r="4053">
          <cell r="B4053">
            <v>7491</v>
          </cell>
          <cell r="C4053" t="str">
            <v>LD_45_</v>
          </cell>
          <cell r="D4053" t="str">
            <v>Rancho Landero No. 45</v>
          </cell>
          <cell r="E4053" t="str">
            <v>Solano</v>
          </cell>
          <cell r="F4053">
            <v>250</v>
          </cell>
          <cell r="G4053">
            <v>1</v>
          </cell>
          <cell r="H4053">
            <v>1200</v>
          </cell>
          <cell r="I4053">
            <v>41847</v>
          </cell>
          <cell r="J4053">
            <v>0</v>
          </cell>
          <cell r="W4053">
            <v>0</v>
          </cell>
          <cell r="AJ4053">
            <v>0</v>
          </cell>
          <cell r="AP4053">
            <v>400</v>
          </cell>
          <cell r="AQ4053">
            <v>400</v>
          </cell>
          <cell r="AR4053">
            <v>400</v>
          </cell>
          <cell r="AW4053">
            <v>1200</v>
          </cell>
        </row>
        <row r="4054">
          <cell r="B4054">
            <v>7492</v>
          </cell>
          <cell r="C4054" t="str">
            <v>RV_187_</v>
          </cell>
          <cell r="D4054" t="str">
            <v>Rancho Recoveco No. 187</v>
          </cell>
          <cell r="E4054" t="str">
            <v>Moreno</v>
          </cell>
          <cell r="F4054">
            <v>300</v>
          </cell>
          <cell r="G4054">
            <v>1</v>
          </cell>
          <cell r="H4054">
            <v>800</v>
          </cell>
          <cell r="I4054">
            <v>41847</v>
          </cell>
          <cell r="J4054">
            <v>0</v>
          </cell>
          <cell r="W4054">
            <v>0</v>
          </cell>
          <cell r="AJ4054">
            <v>0</v>
          </cell>
          <cell r="AO4054">
            <v>400</v>
          </cell>
          <cell r="AP4054">
            <v>400</v>
          </cell>
          <cell r="AW4054">
            <v>800</v>
          </cell>
        </row>
        <row r="4055">
          <cell r="B4055">
            <v>7493</v>
          </cell>
          <cell r="C4055" t="str">
            <v>EZ_95_</v>
          </cell>
          <cell r="D4055" t="str">
            <v>Rancho Estanzuela No. 95</v>
          </cell>
          <cell r="E4055" t="str">
            <v>Castro Puente</v>
          </cell>
          <cell r="F4055">
            <v>300</v>
          </cell>
          <cell r="G4055">
            <v>1</v>
          </cell>
          <cell r="H4055">
            <v>800</v>
          </cell>
          <cell r="I4055">
            <v>41847</v>
          </cell>
          <cell r="J4055">
            <v>0</v>
          </cell>
          <cell r="W4055">
            <v>0</v>
          </cell>
          <cell r="AJ4055">
            <v>0</v>
          </cell>
          <cell r="AQ4055">
            <v>400</v>
          </cell>
          <cell r="AR4055">
            <v>400</v>
          </cell>
          <cell r="AW4055">
            <v>800</v>
          </cell>
        </row>
        <row r="4056">
          <cell r="B4056">
            <v>7494</v>
          </cell>
          <cell r="C4056" t="str">
            <v>UP_146_</v>
          </cell>
          <cell r="D4056" t="str">
            <v>Rancho Upácuaro No. 146</v>
          </cell>
          <cell r="E4056" t="str">
            <v>Islas</v>
          </cell>
          <cell r="F4056">
            <v>300</v>
          </cell>
          <cell r="G4056">
            <v>1</v>
          </cell>
          <cell r="H4056">
            <v>800</v>
          </cell>
          <cell r="I4056">
            <v>41847</v>
          </cell>
          <cell r="J4056">
            <v>0</v>
          </cell>
          <cell r="W4056">
            <v>0</v>
          </cell>
          <cell r="AJ4056">
            <v>0</v>
          </cell>
          <cell r="AP4056">
            <v>400</v>
          </cell>
          <cell r="AQ4056">
            <v>400</v>
          </cell>
          <cell r="AW4056">
            <v>800</v>
          </cell>
        </row>
        <row r="4057">
          <cell r="B4057">
            <v>7495</v>
          </cell>
          <cell r="C4057" t="str">
            <v>RM_33_</v>
          </cell>
          <cell r="D4057" t="str">
            <v>Rancho Romeral No. 33</v>
          </cell>
          <cell r="E4057" t="str">
            <v>Juárez Alva</v>
          </cell>
          <cell r="F4057">
            <v>300</v>
          </cell>
          <cell r="G4057">
            <v>1</v>
          </cell>
          <cell r="H4057">
            <v>800</v>
          </cell>
          <cell r="I4057">
            <v>41847</v>
          </cell>
          <cell r="J4057">
            <v>0</v>
          </cell>
          <cell r="W4057">
            <v>0</v>
          </cell>
          <cell r="AJ4057">
            <v>0</v>
          </cell>
          <cell r="AP4057">
            <v>400</v>
          </cell>
          <cell r="AQ4057">
            <v>400</v>
          </cell>
          <cell r="AW4057">
            <v>800</v>
          </cell>
        </row>
        <row r="4058">
          <cell r="B4058">
            <v>7495</v>
          </cell>
          <cell r="C4058" t="str">
            <v>RM_33_</v>
          </cell>
          <cell r="D4058" t="str">
            <v>Rancho Romeral No. 33</v>
          </cell>
          <cell r="E4058" t="str">
            <v>Juárez Alva</v>
          </cell>
          <cell r="F4058">
            <v>300</v>
          </cell>
          <cell r="G4058">
            <v>3</v>
          </cell>
          <cell r="H4058">
            <v>160</v>
          </cell>
          <cell r="I4058">
            <v>41847</v>
          </cell>
          <cell r="J4058" t="str">
            <v>NO SUMA</v>
          </cell>
          <cell r="W4058">
            <v>0</v>
          </cell>
          <cell r="AJ4058">
            <v>0</v>
          </cell>
          <cell r="AW4058">
            <v>0</v>
          </cell>
        </row>
        <row r="4059">
          <cell r="B4059">
            <v>7496</v>
          </cell>
          <cell r="C4059" t="str">
            <v>EZ_9_B</v>
          </cell>
          <cell r="D4059" t="str">
            <v>Rancho Estanzuela No. 9, B</v>
          </cell>
          <cell r="E4059" t="str">
            <v>Velasco Rojas</v>
          </cell>
          <cell r="F4059">
            <v>200</v>
          </cell>
          <cell r="G4059">
            <v>1</v>
          </cell>
          <cell r="H4059">
            <v>400</v>
          </cell>
          <cell r="I4059">
            <v>41847</v>
          </cell>
          <cell r="J4059">
            <v>0</v>
          </cell>
          <cell r="W4059">
            <v>0</v>
          </cell>
          <cell r="AJ4059">
            <v>0</v>
          </cell>
          <cell r="AP4059">
            <v>200</v>
          </cell>
          <cell r="AQ4059">
            <v>200</v>
          </cell>
          <cell r="AW4059">
            <v>400</v>
          </cell>
        </row>
        <row r="4060">
          <cell r="B4060">
            <v>7497</v>
          </cell>
          <cell r="C4060" t="str">
            <v>LD_81_</v>
          </cell>
          <cell r="D4060" t="str">
            <v>Rancho Landero No. 81</v>
          </cell>
          <cell r="E4060" t="str">
            <v>Cebrían Saldaña</v>
          </cell>
          <cell r="F4060">
            <v>300</v>
          </cell>
          <cell r="G4060">
            <v>1</v>
          </cell>
          <cell r="H4060">
            <v>200</v>
          </cell>
          <cell r="I4060">
            <v>41847</v>
          </cell>
          <cell r="J4060">
            <v>0</v>
          </cell>
          <cell r="W4060">
            <v>0</v>
          </cell>
          <cell r="AJ4060">
            <v>0</v>
          </cell>
          <cell r="AQ4060">
            <v>200</v>
          </cell>
          <cell r="AW4060">
            <v>200</v>
          </cell>
        </row>
        <row r="4061">
          <cell r="B4061">
            <v>7498</v>
          </cell>
          <cell r="C4061" t="str">
            <v>UP_99_</v>
          </cell>
          <cell r="D4061" t="str">
            <v>Rancho Upácuaro No. 99</v>
          </cell>
          <cell r="E4061" t="str">
            <v>Frías</v>
          </cell>
          <cell r="F4061">
            <v>300</v>
          </cell>
          <cell r="G4061">
            <v>1</v>
          </cell>
          <cell r="H4061">
            <v>1000</v>
          </cell>
          <cell r="I4061">
            <v>41847</v>
          </cell>
          <cell r="J4061">
            <v>0</v>
          </cell>
          <cell r="W4061">
            <v>0</v>
          </cell>
          <cell r="AJ4061">
            <v>0</v>
          </cell>
          <cell r="AN4061">
            <v>200</v>
          </cell>
          <cell r="AO4061">
            <v>200</v>
          </cell>
          <cell r="AP4061">
            <v>200</v>
          </cell>
          <cell r="AQ4061">
            <v>200</v>
          </cell>
          <cell r="AR4061">
            <v>200</v>
          </cell>
          <cell r="AW4061">
            <v>1000</v>
          </cell>
        </row>
        <row r="4062">
          <cell r="B4062">
            <v>7499</v>
          </cell>
          <cell r="C4062" t="str">
            <v>CL_121_</v>
          </cell>
          <cell r="D4062" t="str">
            <v>Rancho La Cuchilla No. 121</v>
          </cell>
          <cell r="E4062" t="str">
            <v>Ramírez Márquez</v>
          </cell>
          <cell r="F4062">
            <v>300</v>
          </cell>
          <cell r="G4062">
            <v>1</v>
          </cell>
          <cell r="H4062">
            <v>1200</v>
          </cell>
          <cell r="I4062">
            <v>41847</v>
          </cell>
          <cell r="J4062">
            <v>0</v>
          </cell>
          <cell r="W4062">
            <v>0</v>
          </cell>
          <cell r="AJ4062">
            <v>0</v>
          </cell>
          <cell r="AQ4062">
            <v>400</v>
          </cell>
          <cell r="AR4062">
            <v>400</v>
          </cell>
          <cell r="AS4062">
            <v>400</v>
          </cell>
          <cell r="AW4062">
            <v>1200</v>
          </cell>
        </row>
        <row r="4063">
          <cell r="B4063">
            <v>7500</v>
          </cell>
          <cell r="C4063" t="str">
            <v>EZ_35_</v>
          </cell>
          <cell r="D4063" t="str">
            <v>Rancho Estanzuela No. 35</v>
          </cell>
          <cell r="E4063" t="str">
            <v>Rodríguez</v>
          </cell>
          <cell r="F4063">
            <v>300</v>
          </cell>
          <cell r="G4063">
            <v>1</v>
          </cell>
          <cell r="H4063">
            <v>800</v>
          </cell>
          <cell r="I4063">
            <v>41847</v>
          </cell>
          <cell r="J4063">
            <v>0</v>
          </cell>
          <cell r="W4063">
            <v>0</v>
          </cell>
          <cell r="AJ4063">
            <v>0</v>
          </cell>
          <cell r="AP4063">
            <v>400</v>
          </cell>
          <cell r="AQ4063">
            <v>400</v>
          </cell>
          <cell r="AW4063">
            <v>800</v>
          </cell>
        </row>
        <row r="4064">
          <cell r="B4064">
            <v>7501</v>
          </cell>
          <cell r="C4064" t="str">
            <v>CL_35_</v>
          </cell>
          <cell r="D4064" t="str">
            <v>Rancho La Cuchilla No. 35</v>
          </cell>
          <cell r="E4064" t="str">
            <v>Mendoza</v>
          </cell>
          <cell r="F4064">
            <v>150</v>
          </cell>
          <cell r="G4064">
            <v>1</v>
          </cell>
          <cell r="H4064">
            <v>150</v>
          </cell>
          <cell r="I4064">
            <v>41847</v>
          </cell>
          <cell r="J4064">
            <v>0</v>
          </cell>
          <cell r="W4064">
            <v>0</v>
          </cell>
          <cell r="AJ4064">
            <v>0</v>
          </cell>
          <cell r="AQ4064">
            <v>150</v>
          </cell>
          <cell r="AW4064">
            <v>150</v>
          </cell>
        </row>
        <row r="4065">
          <cell r="B4065">
            <v>7502</v>
          </cell>
          <cell r="C4065" t="str">
            <v>EZ_65_</v>
          </cell>
          <cell r="D4065" t="str">
            <v>Rancho Estanzuela No. 65</v>
          </cell>
          <cell r="E4065" t="str">
            <v>López Becerril</v>
          </cell>
          <cell r="F4065">
            <v>300</v>
          </cell>
          <cell r="G4065">
            <v>1</v>
          </cell>
          <cell r="H4065">
            <v>400</v>
          </cell>
          <cell r="I4065">
            <v>41847</v>
          </cell>
          <cell r="J4065">
            <v>0</v>
          </cell>
          <cell r="W4065">
            <v>0</v>
          </cell>
          <cell r="AJ4065">
            <v>0</v>
          </cell>
          <cell r="AR4065">
            <v>400</v>
          </cell>
          <cell r="AW4065">
            <v>400</v>
          </cell>
        </row>
        <row r="4066">
          <cell r="B4066">
            <v>7503</v>
          </cell>
          <cell r="C4066" t="str">
            <v>UP_64_</v>
          </cell>
          <cell r="D4066" t="str">
            <v>Rancho Upácuaro No. 64</v>
          </cell>
          <cell r="E4066" t="str">
            <v>Méndez Oliva</v>
          </cell>
          <cell r="F4066">
            <v>300</v>
          </cell>
          <cell r="G4066">
            <v>1</v>
          </cell>
          <cell r="H4066">
            <v>300</v>
          </cell>
          <cell r="I4066">
            <v>41847</v>
          </cell>
          <cell r="J4066">
            <v>0</v>
          </cell>
          <cell r="W4066">
            <v>0</v>
          </cell>
          <cell r="AJ4066">
            <v>0</v>
          </cell>
          <cell r="AQ4066">
            <v>300</v>
          </cell>
          <cell r="AW4066">
            <v>300</v>
          </cell>
        </row>
        <row r="4067">
          <cell r="B4067">
            <v>7504</v>
          </cell>
          <cell r="C4067" t="str">
            <v>LD_93_</v>
          </cell>
          <cell r="D4067" t="str">
            <v>Rancho Landero No. 93</v>
          </cell>
          <cell r="E4067" t="str">
            <v>Ortega López</v>
          </cell>
          <cell r="F4067">
            <v>300</v>
          </cell>
          <cell r="G4067">
            <v>1</v>
          </cell>
          <cell r="H4067">
            <v>2000</v>
          </cell>
          <cell r="I4067">
            <v>41847</v>
          </cell>
          <cell r="J4067">
            <v>0</v>
          </cell>
          <cell r="W4067">
            <v>0</v>
          </cell>
          <cell r="AJ4067">
            <v>0</v>
          </cell>
          <cell r="AM4067">
            <v>400</v>
          </cell>
          <cell r="AN4067">
            <v>400</v>
          </cell>
          <cell r="AO4067">
            <v>400</v>
          </cell>
          <cell r="AP4067">
            <v>400</v>
          </cell>
          <cell r="AQ4067">
            <v>400</v>
          </cell>
          <cell r="AW4067">
            <v>2000</v>
          </cell>
        </row>
        <row r="4068">
          <cell r="B4068">
            <v>7505</v>
          </cell>
          <cell r="C4068" t="str">
            <v>UP_21_</v>
          </cell>
          <cell r="D4068" t="str">
            <v>Rancho Upácuaro No. 21</v>
          </cell>
          <cell r="E4068" t="str">
            <v>Fierro Betancourt</v>
          </cell>
          <cell r="F4068">
            <v>150</v>
          </cell>
          <cell r="G4068">
            <v>1</v>
          </cell>
          <cell r="H4068">
            <v>200</v>
          </cell>
          <cell r="I4068">
            <v>41847</v>
          </cell>
          <cell r="J4068">
            <v>0</v>
          </cell>
          <cell r="W4068">
            <v>0</v>
          </cell>
          <cell r="AJ4068">
            <v>0</v>
          </cell>
          <cell r="AQ4068">
            <v>200</v>
          </cell>
          <cell r="AW4068">
            <v>200</v>
          </cell>
        </row>
        <row r="4069">
          <cell r="B4069">
            <v>7506</v>
          </cell>
          <cell r="C4069" t="str">
            <v>UP_69_</v>
          </cell>
          <cell r="D4069" t="str">
            <v>Rancho Upácuaro No. 69</v>
          </cell>
          <cell r="E4069" t="str">
            <v>Gómez</v>
          </cell>
          <cell r="F4069">
            <v>300</v>
          </cell>
          <cell r="G4069">
            <v>1</v>
          </cell>
          <cell r="H4069">
            <v>400</v>
          </cell>
          <cell r="I4069">
            <v>41847</v>
          </cell>
          <cell r="J4069">
            <v>0</v>
          </cell>
          <cell r="W4069">
            <v>0</v>
          </cell>
          <cell r="AJ4069">
            <v>0</v>
          </cell>
          <cell r="AQ4069">
            <v>400</v>
          </cell>
          <cell r="AW4069">
            <v>400</v>
          </cell>
        </row>
        <row r="4070">
          <cell r="B4070">
            <v>7507</v>
          </cell>
          <cell r="C4070" t="str">
            <v>LD_25_</v>
          </cell>
          <cell r="D4070" t="str">
            <v>Rancho Landero No. 25</v>
          </cell>
          <cell r="E4070" t="str">
            <v>Escamilla Martínez</v>
          </cell>
          <cell r="F4070">
            <v>300</v>
          </cell>
          <cell r="G4070">
            <v>1</v>
          </cell>
          <cell r="H4070">
            <v>1000</v>
          </cell>
          <cell r="I4070">
            <v>41847</v>
          </cell>
          <cell r="J4070">
            <v>0</v>
          </cell>
          <cell r="W4070">
            <v>0</v>
          </cell>
          <cell r="AJ4070">
            <v>0</v>
          </cell>
          <cell r="AO4070">
            <v>400</v>
          </cell>
          <cell r="AP4070">
            <v>400</v>
          </cell>
          <cell r="AQ4070">
            <v>200</v>
          </cell>
          <cell r="AW4070">
            <v>1000</v>
          </cell>
        </row>
        <row r="4071">
          <cell r="B4071">
            <v>7508</v>
          </cell>
          <cell r="C4071" t="str">
            <v>RV_175_A</v>
          </cell>
          <cell r="D4071" t="str">
            <v>Rancho Recoveco No. 175, A</v>
          </cell>
          <cell r="E4071" t="str">
            <v>Pérez</v>
          </cell>
          <cell r="F4071">
            <v>300</v>
          </cell>
          <cell r="G4071">
            <v>1</v>
          </cell>
          <cell r="H4071">
            <v>400</v>
          </cell>
          <cell r="I4071">
            <v>41847</v>
          </cell>
          <cell r="J4071">
            <v>0</v>
          </cell>
          <cell r="W4071">
            <v>0</v>
          </cell>
          <cell r="AJ4071">
            <v>0</v>
          </cell>
          <cell r="AQ4071">
            <v>400</v>
          </cell>
          <cell r="AW4071">
            <v>400</v>
          </cell>
        </row>
        <row r="4072">
          <cell r="B4072">
            <v>7509</v>
          </cell>
          <cell r="C4072" t="str">
            <v>UP_130_</v>
          </cell>
          <cell r="D4072" t="str">
            <v>Rancho Upácuaro No. 130</v>
          </cell>
          <cell r="E4072" t="str">
            <v>Rodríguez Álvarez</v>
          </cell>
          <cell r="F4072">
            <v>150</v>
          </cell>
          <cell r="G4072">
            <v>1</v>
          </cell>
          <cell r="H4072">
            <v>400</v>
          </cell>
          <cell r="I4072">
            <v>41847</v>
          </cell>
          <cell r="J4072">
            <v>0</v>
          </cell>
          <cell r="W4072">
            <v>0</v>
          </cell>
          <cell r="AJ4072">
            <v>0</v>
          </cell>
          <cell r="AP4072">
            <v>200</v>
          </cell>
          <cell r="AQ4072">
            <v>200</v>
          </cell>
          <cell r="AW4072">
            <v>400</v>
          </cell>
        </row>
        <row r="4073">
          <cell r="B4073">
            <v>7510</v>
          </cell>
          <cell r="C4073" t="str">
            <v>CL_81_B</v>
          </cell>
          <cell r="D4073" t="str">
            <v>Rancho La Cuchilla No. 81, B</v>
          </cell>
          <cell r="E4073" t="str">
            <v>Suárez</v>
          </cell>
          <cell r="F4073">
            <v>300</v>
          </cell>
          <cell r="G4073">
            <v>1</v>
          </cell>
          <cell r="H4073">
            <v>2000</v>
          </cell>
          <cell r="I4073">
            <v>41847</v>
          </cell>
          <cell r="J4073">
            <v>0</v>
          </cell>
          <cell r="W4073">
            <v>0</v>
          </cell>
          <cell r="AJ4073">
            <v>0</v>
          </cell>
          <cell r="AN4073">
            <v>400</v>
          </cell>
          <cell r="AO4073">
            <v>400</v>
          </cell>
          <cell r="AP4073">
            <v>400</v>
          </cell>
          <cell r="AQ4073">
            <v>400</v>
          </cell>
          <cell r="AR4073">
            <v>400</v>
          </cell>
          <cell r="AW4073">
            <v>2000</v>
          </cell>
        </row>
        <row r="4074">
          <cell r="B4074">
            <v>7511</v>
          </cell>
          <cell r="C4074" t="str">
            <v>LD_51_</v>
          </cell>
          <cell r="D4074" t="str">
            <v>Rancho Landero No. 51</v>
          </cell>
          <cell r="E4074" t="str">
            <v>H. Robles Tamayo</v>
          </cell>
          <cell r="F4074">
            <v>300</v>
          </cell>
          <cell r="G4074">
            <v>1</v>
          </cell>
          <cell r="H4074">
            <v>800</v>
          </cell>
          <cell r="I4074">
            <v>41847</v>
          </cell>
          <cell r="J4074">
            <v>0</v>
          </cell>
          <cell r="W4074">
            <v>0</v>
          </cell>
          <cell r="AJ4074">
            <v>0</v>
          </cell>
          <cell r="AP4074">
            <v>400</v>
          </cell>
          <cell r="AQ4074">
            <v>400</v>
          </cell>
          <cell r="AW4074">
            <v>800</v>
          </cell>
        </row>
        <row r="4075">
          <cell r="B4075">
            <v>7512</v>
          </cell>
          <cell r="C4075" t="str">
            <v>LD_24_</v>
          </cell>
          <cell r="D4075" t="str">
            <v>Rancho Landero No. 24</v>
          </cell>
          <cell r="E4075" t="str">
            <v>Vázquez Peralta</v>
          </cell>
          <cell r="F4075">
            <v>300</v>
          </cell>
          <cell r="G4075">
            <v>1</v>
          </cell>
          <cell r="H4075">
            <v>800</v>
          </cell>
          <cell r="I4075">
            <v>41847</v>
          </cell>
          <cell r="J4075">
            <v>0</v>
          </cell>
          <cell r="W4075">
            <v>0</v>
          </cell>
          <cell r="AJ4075">
            <v>0</v>
          </cell>
          <cell r="AP4075">
            <v>400</v>
          </cell>
          <cell r="AQ4075">
            <v>400</v>
          </cell>
          <cell r="AW4075">
            <v>800</v>
          </cell>
        </row>
        <row r="4076">
          <cell r="B4076">
            <v>7513</v>
          </cell>
          <cell r="C4076" t="str">
            <v>CL_46_</v>
          </cell>
          <cell r="D4076" t="str">
            <v>Rancho La Cuchilla No. 46</v>
          </cell>
          <cell r="E4076" t="str">
            <v>Cruz López</v>
          </cell>
          <cell r="F4076">
            <v>300</v>
          </cell>
          <cell r="G4076">
            <v>1</v>
          </cell>
          <cell r="H4076">
            <v>800</v>
          </cell>
          <cell r="I4076">
            <v>41847</v>
          </cell>
          <cell r="J4076">
            <v>0</v>
          </cell>
          <cell r="W4076">
            <v>0</v>
          </cell>
          <cell r="AJ4076">
            <v>0</v>
          </cell>
          <cell r="AQ4076">
            <v>400</v>
          </cell>
          <cell r="AR4076">
            <v>400</v>
          </cell>
          <cell r="AW4076">
            <v>800</v>
          </cell>
        </row>
        <row r="4077">
          <cell r="B4077">
            <v>8138</v>
          </cell>
          <cell r="C4077" t="str">
            <v>UP_46_</v>
          </cell>
          <cell r="D4077" t="str">
            <v>Rancho Upácuaro No. 46</v>
          </cell>
          <cell r="E4077" t="str">
            <v>Fuentes</v>
          </cell>
          <cell r="F4077">
            <v>300</v>
          </cell>
          <cell r="G4077">
            <v>1</v>
          </cell>
          <cell r="H4077">
            <v>300</v>
          </cell>
          <cell r="I4077">
            <v>41825</v>
          </cell>
          <cell r="J4077">
            <v>0</v>
          </cell>
          <cell r="W4077">
            <v>0</v>
          </cell>
          <cell r="AJ4077">
            <v>0</v>
          </cell>
          <cell r="AQ4077">
            <v>300</v>
          </cell>
          <cell r="AW4077">
            <v>300</v>
          </cell>
        </row>
        <row r="4078">
          <cell r="B4078" t="str">
            <v>NÚMERO</v>
          </cell>
          <cell r="C4078" t="str">
            <v>CASA</v>
          </cell>
          <cell r="D4078" t="str">
            <v>DOMICILIO</v>
          </cell>
          <cell r="E4078" t="str">
            <v>FAMILIA</v>
          </cell>
          <cell r="F4078" t="str">
            <v>CUOTA</v>
          </cell>
          <cell r="G4078" t="str">
            <v>C_ING</v>
          </cell>
          <cell r="H4078" t="str">
            <v>IMPORTE</v>
          </cell>
          <cell r="I4078" t="str">
            <v>FECHA</v>
          </cell>
          <cell r="J4078" t="str">
            <v>CHK</v>
          </cell>
          <cell r="K4078" t="str">
            <v>ENE
2012</v>
          </cell>
          <cell r="L4078" t="str">
            <v>FEB
2012</v>
          </cell>
          <cell r="M4078" t="str">
            <v>MAR
2012</v>
          </cell>
          <cell r="N4078" t="str">
            <v>ABR
2012</v>
          </cell>
          <cell r="O4078" t="str">
            <v>MAY
2012</v>
          </cell>
          <cell r="P4078" t="str">
            <v>JUN
2012</v>
          </cell>
          <cell r="Q4078" t="str">
            <v>JUL
2012</v>
          </cell>
          <cell r="R4078" t="str">
            <v>AGO
2012</v>
          </cell>
          <cell r="S4078" t="str">
            <v>SEP
2012</v>
          </cell>
          <cell r="T4078" t="str">
            <v>OCT
2012</v>
          </cell>
          <cell r="U4078" t="str">
            <v>NOV
2012</v>
          </cell>
          <cell r="V4078" t="str">
            <v>DIC
2012</v>
          </cell>
          <cell r="W4078" t="str">
            <v>SUMA
2012</v>
          </cell>
          <cell r="X4078" t="str">
            <v>ENE
2013</v>
          </cell>
          <cell r="Y4078" t="str">
            <v>FEB
2013</v>
          </cell>
          <cell r="Z4078" t="str">
            <v>MAR
2013</v>
          </cell>
          <cell r="AA4078" t="str">
            <v>ABR
2013</v>
          </cell>
          <cell r="AB4078" t="str">
            <v>MAY
2013</v>
          </cell>
          <cell r="AC4078" t="str">
            <v>JUN
2013</v>
          </cell>
          <cell r="AD4078" t="str">
            <v>JUL
2013</v>
          </cell>
          <cell r="AE4078" t="str">
            <v>AGO
2013</v>
          </cell>
          <cell r="AF4078" t="str">
            <v>SEP
2013</v>
          </cell>
          <cell r="AG4078" t="str">
            <v>OCT
2013</v>
          </cell>
          <cell r="AH4078" t="str">
            <v>NOV
2013</v>
          </cell>
          <cell r="AI4078" t="str">
            <v>DIC
2013</v>
          </cell>
          <cell r="AJ4078" t="str">
            <v>SUMA
2013</v>
          </cell>
          <cell r="AK4078" t="str">
            <v>ENE
2014</v>
          </cell>
          <cell r="AL4078" t="str">
            <v>FEB
2014</v>
          </cell>
          <cell r="AM4078" t="str">
            <v>MAR
2014</v>
          </cell>
          <cell r="AN4078" t="str">
            <v>ABR
2014</v>
          </cell>
          <cell r="AO4078" t="str">
            <v>MAY
2014</v>
          </cell>
          <cell r="AP4078" t="str">
            <v>JUN
2014</v>
          </cell>
          <cell r="AQ4078" t="str">
            <v>JUL
2014</v>
          </cell>
          <cell r="AR4078" t="str">
            <v>AGO
2014</v>
          </cell>
          <cell r="AS4078" t="str">
            <v>SEP
2014</v>
          </cell>
          <cell r="AT4078" t="str">
            <v>OCT
2014</v>
          </cell>
          <cell r="AU4078" t="str">
            <v>NOV
2014</v>
          </cell>
          <cell r="AV4078" t="str">
            <v>DIC
2014</v>
          </cell>
          <cell r="AW4078" t="str">
            <v>SUMA
2014</v>
          </cell>
        </row>
        <row r="4079">
          <cell r="B4079">
            <v>7514</v>
          </cell>
          <cell r="C4079" t="str">
            <v>CL_75_</v>
          </cell>
          <cell r="D4079" t="str">
            <v>Rancho La Cuchilla No. 75</v>
          </cell>
          <cell r="E4079" t="str">
            <v>Sosa Lucio</v>
          </cell>
          <cell r="F4079">
            <v>300</v>
          </cell>
          <cell r="G4079">
            <v>1</v>
          </cell>
          <cell r="H4079">
            <v>400</v>
          </cell>
          <cell r="I4079">
            <v>41847</v>
          </cell>
          <cell r="J4079">
            <v>0</v>
          </cell>
          <cell r="W4079">
            <v>0</v>
          </cell>
          <cell r="AJ4079">
            <v>0</v>
          </cell>
          <cell r="AQ4079">
            <v>400</v>
          </cell>
          <cell r="AW4079">
            <v>400</v>
          </cell>
        </row>
        <row r="4080">
          <cell r="B4080">
            <v>7515</v>
          </cell>
          <cell r="C4080" t="str">
            <v>HS_828_</v>
          </cell>
          <cell r="D4080" t="str">
            <v>Calzada del Hueso No. 828</v>
          </cell>
          <cell r="E4080" t="str">
            <v>Cervantes, Miguel</v>
          </cell>
          <cell r="F4080">
            <v>300</v>
          </cell>
          <cell r="G4080">
            <v>1</v>
          </cell>
          <cell r="H4080">
            <v>400</v>
          </cell>
          <cell r="I4080">
            <v>41849</v>
          </cell>
          <cell r="J4080">
            <v>0</v>
          </cell>
          <cell r="W4080">
            <v>0</v>
          </cell>
          <cell r="AJ4080">
            <v>0</v>
          </cell>
          <cell r="AO4080">
            <v>400</v>
          </cell>
          <cell r="AW4080">
            <v>400</v>
          </cell>
        </row>
        <row r="4081">
          <cell r="B4081">
            <v>7516</v>
          </cell>
          <cell r="C4081" t="str">
            <v>EZ_75_</v>
          </cell>
          <cell r="D4081" t="str">
            <v>Rancho Estanzuela No. 75</v>
          </cell>
          <cell r="E4081" t="str">
            <v>Candela Pons</v>
          </cell>
          <cell r="F4081">
            <v>150</v>
          </cell>
          <cell r="G4081">
            <v>1</v>
          </cell>
          <cell r="H4081">
            <v>1400</v>
          </cell>
          <cell r="I4081">
            <v>41849</v>
          </cell>
          <cell r="J4081">
            <v>0</v>
          </cell>
          <cell r="W4081">
            <v>0</v>
          </cell>
          <cell r="AJ4081">
            <v>0</v>
          </cell>
          <cell r="AL4081">
            <v>200</v>
          </cell>
          <cell r="AM4081">
            <v>200</v>
          </cell>
          <cell r="AN4081">
            <v>200</v>
          </cell>
          <cell r="AO4081">
            <v>200</v>
          </cell>
          <cell r="AP4081">
            <v>200</v>
          </cell>
          <cell r="AQ4081">
            <v>200</v>
          </cell>
          <cell r="AR4081">
            <v>200</v>
          </cell>
          <cell r="AW4081">
            <v>1400</v>
          </cell>
        </row>
        <row r="4082">
          <cell r="B4082">
            <v>7517</v>
          </cell>
          <cell r="C4082" t="str">
            <v>CL_147_1</v>
          </cell>
          <cell r="D4082" t="str">
            <v>Rancho La Cuchilla No. 147, 1</v>
          </cell>
          <cell r="E4082" t="str">
            <v>Mena</v>
          </cell>
          <cell r="F4082">
            <v>300</v>
          </cell>
          <cell r="G4082">
            <v>1</v>
          </cell>
          <cell r="H4082">
            <v>200</v>
          </cell>
          <cell r="I4082">
            <v>41849</v>
          </cell>
          <cell r="J4082">
            <v>0</v>
          </cell>
          <cell r="W4082">
            <v>0</v>
          </cell>
          <cell r="AJ4082">
            <v>0</v>
          </cell>
          <cell r="AQ4082">
            <v>200</v>
          </cell>
          <cell r="AW4082">
            <v>200</v>
          </cell>
        </row>
        <row r="4083">
          <cell r="B4083">
            <v>7518</v>
          </cell>
          <cell r="C4083" t="str">
            <v>CL_147_2</v>
          </cell>
          <cell r="D4083" t="str">
            <v>Rancho La Cuchilla No. 147, 2</v>
          </cell>
          <cell r="E4083" t="str">
            <v>Lagos</v>
          </cell>
          <cell r="F4083">
            <v>300</v>
          </cell>
          <cell r="G4083">
            <v>1</v>
          </cell>
          <cell r="H4083">
            <v>200</v>
          </cell>
          <cell r="I4083">
            <v>41849</v>
          </cell>
          <cell r="J4083">
            <v>0</v>
          </cell>
          <cell r="W4083">
            <v>0</v>
          </cell>
          <cell r="AJ4083">
            <v>0</v>
          </cell>
          <cell r="AQ4083">
            <v>200</v>
          </cell>
          <cell r="AW4083">
            <v>200</v>
          </cell>
        </row>
        <row r="4084">
          <cell r="B4084">
            <v>7519</v>
          </cell>
          <cell r="C4084" t="str">
            <v>EZ_133_</v>
          </cell>
          <cell r="D4084" t="str">
            <v>Rancho Estanzuela No. 133</v>
          </cell>
          <cell r="E4084" t="str">
            <v>Hernández Salazar</v>
          </cell>
          <cell r="F4084">
            <v>250</v>
          </cell>
          <cell r="G4084">
            <v>1</v>
          </cell>
          <cell r="H4084">
            <v>600</v>
          </cell>
          <cell r="I4084">
            <v>41850</v>
          </cell>
          <cell r="J4084">
            <v>0</v>
          </cell>
          <cell r="W4084">
            <v>0</v>
          </cell>
          <cell r="AJ4084">
            <v>0</v>
          </cell>
          <cell r="AO4084">
            <v>300</v>
          </cell>
          <cell r="AP4084">
            <v>300</v>
          </cell>
          <cell r="AW4084">
            <v>600</v>
          </cell>
        </row>
        <row r="4085">
          <cell r="B4085">
            <v>7520</v>
          </cell>
          <cell r="C4085" t="str">
            <v>UP_108_</v>
          </cell>
          <cell r="D4085" t="str">
            <v>Rancho Upácuaro No. 108</v>
          </cell>
          <cell r="E4085" t="str">
            <v>Mejía</v>
          </cell>
          <cell r="F4085">
            <v>300</v>
          </cell>
          <cell r="G4085">
            <v>1</v>
          </cell>
          <cell r="H4085">
            <v>300</v>
          </cell>
          <cell r="I4085">
            <v>41850</v>
          </cell>
          <cell r="J4085">
            <v>0</v>
          </cell>
          <cell r="W4085">
            <v>0</v>
          </cell>
          <cell r="AJ4085">
            <v>0</v>
          </cell>
          <cell r="AQ4085">
            <v>300</v>
          </cell>
          <cell r="AW4085">
            <v>300</v>
          </cell>
        </row>
        <row r="4086">
          <cell r="B4086">
            <v>7521</v>
          </cell>
          <cell r="C4086" t="str">
            <v>UP_40_</v>
          </cell>
          <cell r="D4086" t="str">
            <v>Rancho Upácuaro No. 40</v>
          </cell>
          <cell r="E4086" t="str">
            <v>López Ramírez</v>
          </cell>
          <cell r="F4086">
            <v>300</v>
          </cell>
          <cell r="G4086">
            <v>1</v>
          </cell>
          <cell r="H4086">
            <v>600</v>
          </cell>
          <cell r="I4086">
            <v>41850</v>
          </cell>
          <cell r="J4086">
            <v>0</v>
          </cell>
          <cell r="W4086">
            <v>0</v>
          </cell>
          <cell r="AJ4086">
            <v>0</v>
          </cell>
          <cell r="AN4086">
            <v>300</v>
          </cell>
          <cell r="AO4086">
            <v>300</v>
          </cell>
          <cell r="AW4086">
            <v>600</v>
          </cell>
        </row>
        <row r="4087">
          <cell r="B4087">
            <v>7522</v>
          </cell>
          <cell r="C4087" t="str">
            <v>CL_86_</v>
          </cell>
          <cell r="D4087" t="str">
            <v>Rancho La Cuchilla No. 86</v>
          </cell>
          <cell r="E4087" t="str">
            <v>Del Villar</v>
          </cell>
          <cell r="F4087">
            <v>300</v>
          </cell>
          <cell r="G4087">
            <v>1</v>
          </cell>
          <cell r="H4087">
            <v>400</v>
          </cell>
          <cell r="I4087">
            <v>41852</v>
          </cell>
          <cell r="J4087">
            <v>0</v>
          </cell>
          <cell r="W4087">
            <v>0</v>
          </cell>
          <cell r="AJ4087">
            <v>0</v>
          </cell>
          <cell r="AQ4087">
            <v>400</v>
          </cell>
          <cell r="AW4087">
            <v>400</v>
          </cell>
        </row>
        <row r="4088">
          <cell r="B4088">
            <v>7523</v>
          </cell>
          <cell r="C4088" t="str">
            <v>CL_36_</v>
          </cell>
          <cell r="D4088" t="str">
            <v>Rancho La Cuchilla No. 36</v>
          </cell>
          <cell r="E4088" t="str">
            <v>Castillo</v>
          </cell>
          <cell r="F4088">
            <v>300</v>
          </cell>
          <cell r="G4088">
            <v>1</v>
          </cell>
          <cell r="H4088">
            <v>400</v>
          </cell>
          <cell r="I4088">
            <v>41852</v>
          </cell>
          <cell r="J4088">
            <v>0</v>
          </cell>
          <cell r="W4088">
            <v>0</v>
          </cell>
          <cell r="AJ4088">
            <v>0</v>
          </cell>
          <cell r="AR4088">
            <v>400</v>
          </cell>
          <cell r="AW4088">
            <v>400</v>
          </cell>
        </row>
        <row r="4089">
          <cell r="B4089">
            <v>7524</v>
          </cell>
          <cell r="C4089" t="str">
            <v>RM_30_</v>
          </cell>
          <cell r="D4089" t="str">
            <v>Rancho Romeral No. 30</v>
          </cell>
          <cell r="E4089" t="str">
            <v>Osorio</v>
          </cell>
          <cell r="F4089">
            <v>200</v>
          </cell>
          <cell r="G4089">
            <v>1</v>
          </cell>
          <cell r="H4089">
            <v>800</v>
          </cell>
          <cell r="I4089">
            <v>41851</v>
          </cell>
          <cell r="J4089">
            <v>0</v>
          </cell>
          <cell r="W4089">
            <v>0</v>
          </cell>
          <cell r="AJ4089">
            <v>0</v>
          </cell>
          <cell r="AM4089">
            <v>200</v>
          </cell>
          <cell r="AN4089">
            <v>200</v>
          </cell>
          <cell r="AO4089">
            <v>200</v>
          </cell>
          <cell r="AP4089">
            <v>200</v>
          </cell>
          <cell r="AW4089">
            <v>800</v>
          </cell>
        </row>
        <row r="4090">
          <cell r="B4090">
            <v>7525</v>
          </cell>
          <cell r="C4090" t="str">
            <v>UP_85_</v>
          </cell>
          <cell r="D4090" t="str">
            <v>Rancho Upácuaro No. 85</v>
          </cell>
          <cell r="E4090" t="str">
            <v>Del Toro Huerta</v>
          </cell>
          <cell r="F4090">
            <v>300</v>
          </cell>
          <cell r="G4090">
            <v>1</v>
          </cell>
          <cell r="H4090">
            <v>400</v>
          </cell>
          <cell r="I4090">
            <v>41854</v>
          </cell>
          <cell r="J4090">
            <v>0</v>
          </cell>
          <cell r="W4090">
            <v>0</v>
          </cell>
          <cell r="AJ4090">
            <v>0</v>
          </cell>
          <cell r="AR4090">
            <v>400</v>
          </cell>
          <cell r="AW4090">
            <v>400</v>
          </cell>
        </row>
        <row r="4091">
          <cell r="B4091">
            <v>7526</v>
          </cell>
          <cell r="C4091" t="str">
            <v>CL_120_</v>
          </cell>
          <cell r="D4091" t="str">
            <v>Rancho La Cuchilla No. 120</v>
          </cell>
          <cell r="E4091" t="str">
            <v>Pozos Vilchis</v>
          </cell>
          <cell r="F4091">
            <v>300</v>
          </cell>
          <cell r="G4091">
            <v>1</v>
          </cell>
          <cell r="H4091">
            <v>400</v>
          </cell>
          <cell r="I4091">
            <v>41854</v>
          </cell>
          <cell r="J4091">
            <v>0</v>
          </cell>
          <cell r="W4091">
            <v>0</v>
          </cell>
          <cell r="AJ4091">
            <v>0</v>
          </cell>
          <cell r="AR4091">
            <v>400</v>
          </cell>
          <cell r="AW4091">
            <v>400</v>
          </cell>
        </row>
        <row r="4092">
          <cell r="B4092">
            <v>7527</v>
          </cell>
          <cell r="C4092" t="str">
            <v>UP_76_</v>
          </cell>
          <cell r="D4092" t="str">
            <v>Rancho Upácuaro No. 76</v>
          </cell>
          <cell r="E4092" t="str">
            <v>Ruiz de San Pedro</v>
          </cell>
          <cell r="F4092">
            <v>300</v>
          </cell>
          <cell r="G4092">
            <v>1</v>
          </cell>
          <cell r="H4092">
            <v>400</v>
          </cell>
          <cell r="I4092">
            <v>41854</v>
          </cell>
          <cell r="J4092">
            <v>0</v>
          </cell>
          <cell r="W4092">
            <v>0</v>
          </cell>
          <cell r="AJ4092">
            <v>0</v>
          </cell>
          <cell r="AR4092">
            <v>400</v>
          </cell>
          <cell r="AW4092">
            <v>400</v>
          </cell>
        </row>
        <row r="4093">
          <cell r="B4093">
            <v>7528</v>
          </cell>
          <cell r="C4093" t="str">
            <v>LD_22_</v>
          </cell>
          <cell r="D4093" t="str">
            <v>Rancho Landero No. 22</v>
          </cell>
          <cell r="E4093" t="str">
            <v>Reyes</v>
          </cell>
          <cell r="F4093">
            <v>150</v>
          </cell>
          <cell r="G4093">
            <v>1</v>
          </cell>
          <cell r="H4093">
            <v>200</v>
          </cell>
          <cell r="I4093">
            <v>41854</v>
          </cell>
          <cell r="J4093">
            <v>0</v>
          </cell>
          <cell r="W4093">
            <v>0</v>
          </cell>
          <cell r="AJ4093">
            <v>0</v>
          </cell>
          <cell r="AQ4093">
            <v>200</v>
          </cell>
          <cell r="AW4093">
            <v>200</v>
          </cell>
        </row>
        <row r="4094">
          <cell r="B4094">
            <v>7529</v>
          </cell>
          <cell r="C4094" t="str">
            <v>EZ_47_</v>
          </cell>
          <cell r="D4094" t="str">
            <v>Rancho Estanzuela No. 47</v>
          </cell>
          <cell r="E4094" t="str">
            <v>Bussey García</v>
          </cell>
          <cell r="F4094">
            <v>300</v>
          </cell>
          <cell r="G4094">
            <v>1</v>
          </cell>
          <cell r="H4094">
            <v>400</v>
          </cell>
          <cell r="I4094">
            <v>41854</v>
          </cell>
          <cell r="J4094">
            <v>0</v>
          </cell>
          <cell r="W4094">
            <v>0</v>
          </cell>
          <cell r="AJ4094">
            <v>0</v>
          </cell>
          <cell r="AR4094">
            <v>400</v>
          </cell>
          <cell r="AW4094">
            <v>400</v>
          </cell>
        </row>
        <row r="4095">
          <cell r="B4095">
            <v>7530</v>
          </cell>
          <cell r="C4095" t="str">
            <v>CL_43_B</v>
          </cell>
          <cell r="D4095" t="str">
            <v>Rancho La Cuchilla No. 43, B</v>
          </cell>
          <cell r="E4095" t="str">
            <v>Luna Albertano</v>
          </cell>
          <cell r="F4095">
            <v>125</v>
          </cell>
          <cell r="G4095">
            <v>1</v>
          </cell>
          <cell r="H4095">
            <v>125</v>
          </cell>
          <cell r="I4095">
            <v>41854</v>
          </cell>
          <cell r="J4095">
            <v>0</v>
          </cell>
          <cell r="W4095">
            <v>0</v>
          </cell>
          <cell r="AJ4095">
            <v>0</v>
          </cell>
          <cell r="AR4095">
            <v>125</v>
          </cell>
          <cell r="AW4095">
            <v>125</v>
          </cell>
        </row>
        <row r="4096">
          <cell r="B4096">
            <v>7531</v>
          </cell>
          <cell r="C4096" t="str">
            <v>CL_139_</v>
          </cell>
          <cell r="D4096" t="str">
            <v>Rancho La Cuchilla No. 139</v>
          </cell>
          <cell r="E4096" t="str">
            <v>Garcia</v>
          </cell>
          <cell r="F4096">
            <v>200</v>
          </cell>
          <cell r="G4096">
            <v>1</v>
          </cell>
          <cell r="H4096">
            <v>200</v>
          </cell>
          <cell r="I4096">
            <v>41854</v>
          </cell>
          <cell r="J4096">
            <v>0</v>
          </cell>
          <cell r="W4096">
            <v>0</v>
          </cell>
          <cell r="AJ4096">
            <v>0</v>
          </cell>
          <cell r="AR4096">
            <v>200</v>
          </cell>
          <cell r="AW4096">
            <v>200</v>
          </cell>
        </row>
        <row r="4097">
          <cell r="B4097">
            <v>7532</v>
          </cell>
          <cell r="C4097" t="str">
            <v>ZB_36_</v>
          </cell>
          <cell r="D4097" t="str">
            <v>Rancho Zinamba No. 36</v>
          </cell>
          <cell r="E4097" t="str">
            <v>Rodríguez Ortiz</v>
          </cell>
          <cell r="F4097">
            <v>300</v>
          </cell>
          <cell r="G4097">
            <v>1</v>
          </cell>
          <cell r="H4097">
            <v>400</v>
          </cell>
          <cell r="I4097">
            <v>41854</v>
          </cell>
          <cell r="J4097">
            <v>0</v>
          </cell>
          <cell r="W4097">
            <v>0</v>
          </cell>
          <cell r="AJ4097">
            <v>0</v>
          </cell>
          <cell r="AR4097">
            <v>400</v>
          </cell>
          <cell r="AW4097">
            <v>400</v>
          </cell>
        </row>
        <row r="4098">
          <cell r="B4098">
            <v>7533</v>
          </cell>
          <cell r="C4098" t="str">
            <v>CL_14_</v>
          </cell>
          <cell r="D4098" t="str">
            <v>Rancho La Cuchilla No. 14</v>
          </cell>
          <cell r="E4098" t="str">
            <v>Chávez Lara</v>
          </cell>
          <cell r="F4098">
            <v>300</v>
          </cell>
          <cell r="G4098">
            <v>1</v>
          </cell>
          <cell r="H4098">
            <v>800</v>
          </cell>
          <cell r="I4098">
            <v>41854</v>
          </cell>
          <cell r="J4098">
            <v>0</v>
          </cell>
          <cell r="W4098">
            <v>0</v>
          </cell>
          <cell r="AJ4098">
            <v>0</v>
          </cell>
          <cell r="AQ4098">
            <v>400</v>
          </cell>
          <cell r="AR4098">
            <v>400</v>
          </cell>
          <cell r="AW4098">
            <v>800</v>
          </cell>
        </row>
        <row r="4099">
          <cell r="B4099">
            <v>7534</v>
          </cell>
          <cell r="C4099" t="str">
            <v>CL_19_</v>
          </cell>
          <cell r="D4099" t="str">
            <v>Rancho La Cuchilla No. 19</v>
          </cell>
          <cell r="E4099" t="str">
            <v>Tapia Vázquez</v>
          </cell>
          <cell r="F4099">
            <v>300</v>
          </cell>
          <cell r="G4099">
            <v>1</v>
          </cell>
          <cell r="H4099">
            <v>300</v>
          </cell>
          <cell r="I4099">
            <v>41854</v>
          </cell>
          <cell r="J4099">
            <v>0</v>
          </cell>
          <cell r="W4099">
            <v>0</v>
          </cell>
          <cell r="AJ4099">
            <v>0</v>
          </cell>
          <cell r="AR4099">
            <v>300</v>
          </cell>
          <cell r="AW4099">
            <v>300</v>
          </cell>
        </row>
        <row r="4100">
          <cell r="B4100">
            <v>7535</v>
          </cell>
          <cell r="C4100" t="str">
            <v>LD_73_</v>
          </cell>
          <cell r="D4100" t="str">
            <v>Rancho Landero No. 73</v>
          </cell>
          <cell r="E4100" t="str">
            <v>Islas Palacios</v>
          </cell>
          <cell r="F4100">
            <v>300</v>
          </cell>
          <cell r="G4100">
            <v>1</v>
          </cell>
          <cell r="H4100">
            <v>400</v>
          </cell>
          <cell r="I4100">
            <v>41854</v>
          </cell>
          <cell r="J4100">
            <v>0</v>
          </cell>
          <cell r="W4100">
            <v>0</v>
          </cell>
          <cell r="AJ4100">
            <v>0</v>
          </cell>
          <cell r="AQ4100">
            <v>400</v>
          </cell>
          <cell r="AW4100">
            <v>400</v>
          </cell>
        </row>
        <row r="4101">
          <cell r="B4101">
            <v>7536</v>
          </cell>
          <cell r="C4101" t="str">
            <v>EZ_31_</v>
          </cell>
          <cell r="D4101" t="str">
            <v>Rancho Estanzuela No. 31</v>
          </cell>
          <cell r="E4101" t="str">
            <v>Chávez Valdés</v>
          </cell>
          <cell r="F4101">
            <v>300</v>
          </cell>
          <cell r="G4101">
            <v>1</v>
          </cell>
          <cell r="H4101">
            <v>400</v>
          </cell>
          <cell r="I4101">
            <v>41854</v>
          </cell>
          <cell r="J4101">
            <v>0</v>
          </cell>
          <cell r="W4101">
            <v>0</v>
          </cell>
          <cell r="AJ4101">
            <v>0</v>
          </cell>
          <cell r="AQ4101">
            <v>400</v>
          </cell>
          <cell r="AW4101">
            <v>400</v>
          </cell>
        </row>
        <row r="4102">
          <cell r="B4102">
            <v>7537</v>
          </cell>
          <cell r="C4102" t="str">
            <v>LD_35_</v>
          </cell>
          <cell r="D4102" t="str">
            <v>Rancho Landero No. 35</v>
          </cell>
          <cell r="E4102" t="str">
            <v>Loperena</v>
          </cell>
          <cell r="F4102">
            <v>300</v>
          </cell>
          <cell r="G4102">
            <v>1</v>
          </cell>
          <cell r="H4102">
            <v>400</v>
          </cell>
          <cell r="I4102">
            <v>41854</v>
          </cell>
          <cell r="J4102">
            <v>0</v>
          </cell>
          <cell r="W4102">
            <v>0</v>
          </cell>
          <cell r="AJ4102">
            <v>0</v>
          </cell>
          <cell r="AP4102">
            <v>400</v>
          </cell>
          <cell r="AW4102">
            <v>400</v>
          </cell>
        </row>
        <row r="4103">
          <cell r="B4103">
            <v>7538</v>
          </cell>
          <cell r="C4103" t="str">
            <v>UP_32_</v>
          </cell>
          <cell r="D4103" t="str">
            <v>Rancho Upácuaro No. 32</v>
          </cell>
          <cell r="E4103" t="str">
            <v>Sairafi Carmen</v>
          </cell>
          <cell r="F4103">
            <v>300</v>
          </cell>
          <cell r="G4103">
            <v>1</v>
          </cell>
          <cell r="H4103">
            <v>400</v>
          </cell>
          <cell r="I4103">
            <v>41854</v>
          </cell>
          <cell r="J4103">
            <v>0</v>
          </cell>
          <cell r="W4103">
            <v>0</v>
          </cell>
          <cell r="AJ4103">
            <v>0</v>
          </cell>
          <cell r="AR4103">
            <v>400</v>
          </cell>
          <cell r="AW4103">
            <v>400</v>
          </cell>
        </row>
        <row r="4104">
          <cell r="B4104">
            <v>7539</v>
          </cell>
          <cell r="C4104" t="str">
            <v>LD_35_</v>
          </cell>
          <cell r="D4104" t="str">
            <v>Rancho Landero No. 35</v>
          </cell>
          <cell r="E4104" t="str">
            <v>Loperena</v>
          </cell>
          <cell r="F4104">
            <v>300</v>
          </cell>
          <cell r="G4104">
            <v>1</v>
          </cell>
          <cell r="H4104">
            <v>400</v>
          </cell>
          <cell r="I4104">
            <v>41854</v>
          </cell>
          <cell r="J4104">
            <v>0</v>
          </cell>
          <cell r="W4104">
            <v>0</v>
          </cell>
          <cell r="AJ4104">
            <v>0</v>
          </cell>
          <cell r="AQ4104">
            <v>400</v>
          </cell>
          <cell r="AW4104">
            <v>400</v>
          </cell>
        </row>
        <row r="4105">
          <cell r="B4105">
            <v>7540</v>
          </cell>
          <cell r="C4105" t="str">
            <v>LD_42_</v>
          </cell>
          <cell r="D4105" t="str">
            <v>Rancho Landero No. 42</v>
          </cell>
          <cell r="E4105" t="str">
            <v>Ávila Fidel</v>
          </cell>
          <cell r="F4105">
            <v>300</v>
          </cell>
          <cell r="G4105">
            <v>1</v>
          </cell>
          <cell r="H4105">
            <v>400</v>
          </cell>
          <cell r="I4105">
            <v>41854</v>
          </cell>
          <cell r="J4105">
            <v>0</v>
          </cell>
          <cell r="W4105">
            <v>0</v>
          </cell>
          <cell r="AJ4105">
            <v>0</v>
          </cell>
          <cell r="AR4105">
            <v>400</v>
          </cell>
          <cell r="AW4105">
            <v>400</v>
          </cell>
        </row>
        <row r="4106">
          <cell r="B4106">
            <v>7541</v>
          </cell>
          <cell r="C4106" t="str">
            <v>UP_88_</v>
          </cell>
          <cell r="D4106" t="str">
            <v>Rancho Upácuaro No. 88</v>
          </cell>
          <cell r="E4106" t="str">
            <v>Millán Núñez</v>
          </cell>
          <cell r="F4106">
            <v>300</v>
          </cell>
          <cell r="G4106">
            <v>1</v>
          </cell>
          <cell r="H4106">
            <v>400</v>
          </cell>
          <cell r="I4106">
            <v>41854</v>
          </cell>
          <cell r="J4106">
            <v>0</v>
          </cell>
          <cell r="W4106">
            <v>0</v>
          </cell>
          <cell r="AJ4106">
            <v>0</v>
          </cell>
          <cell r="AR4106">
            <v>400</v>
          </cell>
          <cell r="AW4106">
            <v>400</v>
          </cell>
        </row>
        <row r="4107">
          <cell r="B4107">
            <v>7542</v>
          </cell>
          <cell r="C4107" t="str">
            <v>UP_93_</v>
          </cell>
          <cell r="D4107" t="str">
            <v>Rancho Upácuaro No. 93</v>
          </cell>
          <cell r="E4107" t="str">
            <v>Valdés</v>
          </cell>
          <cell r="F4107">
            <v>300</v>
          </cell>
          <cell r="G4107">
            <v>1</v>
          </cell>
          <cell r="H4107">
            <v>400</v>
          </cell>
          <cell r="I4107">
            <v>41854</v>
          </cell>
          <cell r="J4107">
            <v>0</v>
          </cell>
          <cell r="W4107">
            <v>0</v>
          </cell>
          <cell r="AJ4107">
            <v>0</v>
          </cell>
          <cell r="AR4107">
            <v>400</v>
          </cell>
          <cell r="AW4107">
            <v>400</v>
          </cell>
        </row>
        <row r="4108">
          <cell r="B4108">
            <v>7543</v>
          </cell>
          <cell r="C4108" t="str">
            <v>CL_7_202</v>
          </cell>
          <cell r="D4108" t="str">
            <v>Rancho La Cuchilla No. 7, 202</v>
          </cell>
          <cell r="E4108" t="str">
            <v>Carbajal Zayas</v>
          </cell>
          <cell r="F4108">
            <v>100</v>
          </cell>
          <cell r="G4108">
            <v>1</v>
          </cell>
          <cell r="H4108">
            <v>200</v>
          </cell>
          <cell r="I4108">
            <v>41854</v>
          </cell>
          <cell r="J4108">
            <v>0</v>
          </cell>
          <cell r="W4108">
            <v>0</v>
          </cell>
          <cell r="AJ4108">
            <v>0</v>
          </cell>
          <cell r="AQ4108">
            <v>100</v>
          </cell>
          <cell r="AR4108">
            <v>100</v>
          </cell>
          <cell r="AW4108">
            <v>200</v>
          </cell>
        </row>
        <row r="4109">
          <cell r="B4109">
            <v>7543</v>
          </cell>
          <cell r="C4109" t="str">
            <v>CL_7_202</v>
          </cell>
          <cell r="D4109" t="str">
            <v>Rancho La Cuchilla No. 7, 202</v>
          </cell>
          <cell r="E4109" t="str">
            <v>Carbajal Zayas</v>
          </cell>
          <cell r="F4109">
            <v>100</v>
          </cell>
          <cell r="G4109">
            <v>4</v>
          </cell>
          <cell r="H4109">
            <v>160</v>
          </cell>
          <cell r="I4109">
            <v>41854</v>
          </cell>
          <cell r="J4109" t="str">
            <v>NO SUMA</v>
          </cell>
          <cell r="W4109">
            <v>0</v>
          </cell>
          <cell r="AJ4109">
            <v>0</v>
          </cell>
          <cell r="AW4109">
            <v>0</v>
          </cell>
        </row>
        <row r="4110">
          <cell r="B4110">
            <v>7544</v>
          </cell>
          <cell r="C4110" t="str">
            <v>ZB_44_</v>
          </cell>
          <cell r="D4110" t="str">
            <v>Rancho Zinamba No. 44</v>
          </cell>
          <cell r="E4110" t="str">
            <v>Canales</v>
          </cell>
          <cell r="F4110">
            <v>300</v>
          </cell>
          <cell r="G4110">
            <v>1</v>
          </cell>
          <cell r="H4110">
            <v>400</v>
          </cell>
          <cell r="I4110">
            <v>41854</v>
          </cell>
          <cell r="J4110">
            <v>0</v>
          </cell>
          <cell r="W4110">
            <v>0</v>
          </cell>
          <cell r="AJ4110">
            <v>0</v>
          </cell>
          <cell r="AR4110">
            <v>400</v>
          </cell>
          <cell r="AW4110">
            <v>400</v>
          </cell>
        </row>
        <row r="4111">
          <cell r="B4111">
            <v>7545</v>
          </cell>
          <cell r="C4111" t="str">
            <v>RV_175_B</v>
          </cell>
          <cell r="D4111" t="str">
            <v>Rancho Recoveco No. 175, B</v>
          </cell>
          <cell r="E4111" t="str">
            <v>García Calderón</v>
          </cell>
          <cell r="F4111">
            <v>150</v>
          </cell>
          <cell r="G4111">
            <v>1</v>
          </cell>
          <cell r="H4111">
            <v>200</v>
          </cell>
          <cell r="I4111">
            <v>41854</v>
          </cell>
          <cell r="J4111">
            <v>0</v>
          </cell>
          <cell r="W4111">
            <v>0</v>
          </cell>
          <cell r="AJ4111">
            <v>0</v>
          </cell>
          <cell r="AR4111">
            <v>200</v>
          </cell>
          <cell r="AW4111">
            <v>200</v>
          </cell>
        </row>
        <row r="4112">
          <cell r="B4112">
            <v>7546</v>
          </cell>
          <cell r="C4112" t="str">
            <v>CL_107_</v>
          </cell>
          <cell r="D4112" t="str">
            <v>Rancho La Cuchilla No. 107</v>
          </cell>
          <cell r="E4112" t="str">
            <v>Olivares Rivera</v>
          </cell>
          <cell r="F4112">
            <v>300</v>
          </cell>
          <cell r="G4112">
            <v>1</v>
          </cell>
          <cell r="H4112">
            <v>400</v>
          </cell>
          <cell r="I4112">
            <v>41854</v>
          </cell>
          <cell r="J4112">
            <v>0</v>
          </cell>
          <cell r="W4112">
            <v>0</v>
          </cell>
          <cell r="AJ4112">
            <v>0</v>
          </cell>
          <cell r="AQ4112">
            <v>400</v>
          </cell>
          <cell r="AW4112">
            <v>400</v>
          </cell>
        </row>
        <row r="4113">
          <cell r="B4113">
            <v>7547</v>
          </cell>
          <cell r="C4113" t="str">
            <v>CL_115_</v>
          </cell>
          <cell r="D4113" t="str">
            <v>Rancho La Cuchilla No. 115</v>
          </cell>
          <cell r="E4113" t="str">
            <v>Alfaro</v>
          </cell>
          <cell r="F4113">
            <v>300</v>
          </cell>
          <cell r="G4113">
            <v>1</v>
          </cell>
          <cell r="H4113">
            <v>800</v>
          </cell>
          <cell r="I4113">
            <v>41854</v>
          </cell>
          <cell r="J4113">
            <v>0</v>
          </cell>
          <cell r="W4113">
            <v>0</v>
          </cell>
          <cell r="AJ4113">
            <v>0</v>
          </cell>
          <cell r="AK4113">
            <v>400</v>
          </cell>
          <cell r="AL4113">
            <v>400</v>
          </cell>
          <cell r="AW4113">
            <v>800</v>
          </cell>
        </row>
        <row r="4114">
          <cell r="B4114">
            <v>7548</v>
          </cell>
          <cell r="C4114" t="str">
            <v>CL_40_</v>
          </cell>
          <cell r="D4114" t="str">
            <v>Rancho La Cuchilla No. 40</v>
          </cell>
          <cell r="E4114" t="str">
            <v>López Pico</v>
          </cell>
          <cell r="F4114">
            <v>300</v>
          </cell>
          <cell r="G4114">
            <v>1</v>
          </cell>
          <cell r="H4114">
            <v>400</v>
          </cell>
          <cell r="I4114">
            <v>41854</v>
          </cell>
          <cell r="J4114">
            <v>0</v>
          </cell>
          <cell r="W4114">
            <v>0</v>
          </cell>
          <cell r="AJ4114">
            <v>0</v>
          </cell>
          <cell r="AR4114">
            <v>400</v>
          </cell>
          <cell r="AW4114">
            <v>400</v>
          </cell>
        </row>
        <row r="4115">
          <cell r="B4115">
            <v>7549</v>
          </cell>
          <cell r="C4115" t="str">
            <v>LD_8_</v>
          </cell>
          <cell r="D4115" t="str">
            <v>Rancho Landero No. 8</v>
          </cell>
          <cell r="E4115" t="str">
            <v>Peña Torres</v>
          </cell>
          <cell r="F4115">
            <v>250</v>
          </cell>
          <cell r="G4115">
            <v>4</v>
          </cell>
          <cell r="H4115">
            <v>160</v>
          </cell>
          <cell r="I4115">
            <v>41854</v>
          </cell>
          <cell r="J4115" t="str">
            <v>NO SUMA</v>
          </cell>
          <cell r="W4115">
            <v>0</v>
          </cell>
          <cell r="AJ4115">
            <v>0</v>
          </cell>
          <cell r="AW4115">
            <v>0</v>
          </cell>
        </row>
        <row r="4116">
          <cell r="B4116">
            <v>7550</v>
          </cell>
          <cell r="C4116" t="str">
            <v>ZB_38_</v>
          </cell>
          <cell r="D4116" t="str">
            <v>Rancho Zinamba No. 38</v>
          </cell>
          <cell r="E4116" t="str">
            <v>Ramírez Díaz</v>
          </cell>
          <cell r="F4116">
            <v>300</v>
          </cell>
          <cell r="G4116">
            <v>1</v>
          </cell>
          <cell r="H4116">
            <v>400</v>
          </cell>
          <cell r="I4116">
            <v>41854</v>
          </cell>
          <cell r="J4116">
            <v>0</v>
          </cell>
          <cell r="W4116">
            <v>0</v>
          </cell>
          <cell r="AJ4116">
            <v>0</v>
          </cell>
          <cell r="AR4116">
            <v>400</v>
          </cell>
          <cell r="AW4116">
            <v>400</v>
          </cell>
        </row>
        <row r="4117">
          <cell r="B4117">
            <v>7562</v>
          </cell>
          <cell r="D4117" t="str">
            <v/>
          </cell>
          <cell r="E4117" t="str">
            <v/>
          </cell>
          <cell r="F4117" t="str">
            <v/>
          </cell>
          <cell r="G4117">
            <v>8</v>
          </cell>
          <cell r="I4117">
            <v>41854</v>
          </cell>
          <cell r="J4117" t="str">
            <v>NO SUMA</v>
          </cell>
          <cell r="W4117">
            <v>0</v>
          </cell>
          <cell r="AJ4117">
            <v>0</v>
          </cell>
          <cell r="AW4117">
            <v>0</v>
          </cell>
        </row>
        <row r="4118">
          <cell r="B4118">
            <v>7563</v>
          </cell>
          <cell r="C4118" t="str">
            <v>ZB_56_</v>
          </cell>
          <cell r="D4118" t="str">
            <v>Rancho Zinamba No. 56</v>
          </cell>
          <cell r="E4118" t="str">
            <v>Aguado</v>
          </cell>
          <cell r="F4118">
            <v>250</v>
          </cell>
          <cell r="G4118">
            <v>1</v>
          </cell>
          <cell r="H4118">
            <v>700</v>
          </cell>
          <cell r="I4118">
            <v>41854</v>
          </cell>
          <cell r="J4118">
            <v>0</v>
          </cell>
          <cell r="W4118">
            <v>0</v>
          </cell>
          <cell r="AJ4118">
            <v>0</v>
          </cell>
          <cell r="AQ4118">
            <v>350</v>
          </cell>
          <cell r="AR4118">
            <v>350</v>
          </cell>
          <cell r="AW4118">
            <v>700</v>
          </cell>
        </row>
        <row r="4119">
          <cell r="B4119">
            <v>7564</v>
          </cell>
          <cell r="C4119" t="str">
            <v>EZ_143_B</v>
          </cell>
          <cell r="D4119" t="str">
            <v>Rancho Estanzuela No. 143, B</v>
          </cell>
          <cell r="E4119" t="str">
            <v>López</v>
          </cell>
          <cell r="F4119">
            <v>300</v>
          </cell>
          <cell r="G4119">
            <v>1</v>
          </cell>
          <cell r="H4119">
            <v>800</v>
          </cell>
          <cell r="I4119">
            <v>41854</v>
          </cell>
          <cell r="J4119">
            <v>0</v>
          </cell>
          <cell r="W4119">
            <v>0</v>
          </cell>
          <cell r="AJ4119">
            <v>0</v>
          </cell>
          <cell r="AQ4119">
            <v>400</v>
          </cell>
          <cell r="AR4119">
            <v>400</v>
          </cell>
          <cell r="AW4119">
            <v>800</v>
          </cell>
        </row>
        <row r="4120">
          <cell r="B4120">
            <v>7565</v>
          </cell>
          <cell r="C4120" t="str">
            <v>EZ_143_B</v>
          </cell>
          <cell r="D4120" t="str">
            <v>Rancho Estanzuela No. 143, B</v>
          </cell>
          <cell r="E4120" t="str">
            <v>López</v>
          </cell>
          <cell r="F4120">
            <v>300</v>
          </cell>
          <cell r="G4120">
            <v>3</v>
          </cell>
          <cell r="H4120">
            <v>160</v>
          </cell>
          <cell r="I4120">
            <v>41854</v>
          </cell>
          <cell r="J4120" t="str">
            <v>NO SUMA</v>
          </cell>
          <cell r="W4120">
            <v>0</v>
          </cell>
          <cell r="AJ4120">
            <v>0</v>
          </cell>
          <cell r="AW4120">
            <v>0</v>
          </cell>
        </row>
        <row r="4121">
          <cell r="B4121">
            <v>7565</v>
          </cell>
          <cell r="C4121" t="str">
            <v>EZ_143_B</v>
          </cell>
          <cell r="D4121" t="str">
            <v>Rancho Estanzuela No. 143, B</v>
          </cell>
          <cell r="E4121" t="str">
            <v>López</v>
          </cell>
          <cell r="F4121">
            <v>300</v>
          </cell>
          <cell r="G4121">
            <v>4</v>
          </cell>
          <cell r="H4121">
            <v>320</v>
          </cell>
          <cell r="I4121">
            <v>41854</v>
          </cell>
          <cell r="J4121" t="str">
            <v>NO SUMA</v>
          </cell>
          <cell r="W4121">
            <v>0</v>
          </cell>
          <cell r="AJ4121">
            <v>0</v>
          </cell>
          <cell r="AW4121">
            <v>0</v>
          </cell>
        </row>
        <row r="4122">
          <cell r="B4122">
            <v>7566</v>
          </cell>
          <cell r="C4122" t="str">
            <v>ZB_68_</v>
          </cell>
          <cell r="D4122" t="str">
            <v>Rancho Zinamba No. 68</v>
          </cell>
          <cell r="E4122" t="str">
            <v>Rivera Villicaña</v>
          </cell>
          <cell r="F4122">
            <v>300</v>
          </cell>
          <cell r="G4122">
            <v>1</v>
          </cell>
          <cell r="H4122">
            <v>300</v>
          </cell>
          <cell r="I4122">
            <v>41854</v>
          </cell>
          <cell r="J4122">
            <v>0</v>
          </cell>
          <cell r="W4122">
            <v>0</v>
          </cell>
          <cell r="AJ4122">
            <v>0</v>
          </cell>
          <cell r="AR4122">
            <v>300</v>
          </cell>
          <cell r="AW4122">
            <v>300</v>
          </cell>
        </row>
        <row r="4123">
          <cell r="B4123">
            <v>7567</v>
          </cell>
          <cell r="C4123" t="str">
            <v>UP_18_</v>
          </cell>
          <cell r="D4123" t="str">
            <v>Rancho Upácuaro No. 18</v>
          </cell>
          <cell r="E4123" t="str">
            <v>Guzmán</v>
          </cell>
          <cell r="F4123">
            <v>300</v>
          </cell>
          <cell r="G4123">
            <v>1</v>
          </cell>
          <cell r="H4123">
            <v>300</v>
          </cell>
          <cell r="I4123">
            <v>41854</v>
          </cell>
          <cell r="J4123">
            <v>0</v>
          </cell>
          <cell r="W4123">
            <v>0</v>
          </cell>
          <cell r="AJ4123">
            <v>0</v>
          </cell>
          <cell r="AR4123">
            <v>300</v>
          </cell>
          <cell r="AW4123">
            <v>300</v>
          </cell>
        </row>
        <row r="4124">
          <cell r="B4124">
            <v>7568</v>
          </cell>
          <cell r="C4124" t="str">
            <v>ZB_76_</v>
          </cell>
          <cell r="D4124" t="str">
            <v>Rancho Zinamba No. 76</v>
          </cell>
          <cell r="E4124" t="str">
            <v>Márquez</v>
          </cell>
          <cell r="F4124">
            <v>300</v>
          </cell>
          <cell r="G4124">
            <v>1</v>
          </cell>
          <cell r="H4124">
            <v>2000</v>
          </cell>
          <cell r="I4124">
            <v>41854</v>
          </cell>
          <cell r="J4124">
            <v>0</v>
          </cell>
          <cell r="W4124">
            <v>0</v>
          </cell>
          <cell r="AJ4124">
            <v>0</v>
          </cell>
          <cell r="AM4124">
            <v>400</v>
          </cell>
          <cell r="AN4124">
            <v>400</v>
          </cell>
          <cell r="AO4124">
            <v>400</v>
          </cell>
          <cell r="AP4124">
            <v>400</v>
          </cell>
          <cell r="AQ4124">
            <v>400</v>
          </cell>
          <cell r="AW4124">
            <v>2000</v>
          </cell>
        </row>
        <row r="4125">
          <cell r="B4125">
            <v>7569</v>
          </cell>
          <cell r="C4125" t="str">
            <v>EZ_77_</v>
          </cell>
          <cell r="D4125" t="str">
            <v>Rancho Estanzuela No. 77</v>
          </cell>
          <cell r="E4125" t="str">
            <v>De la Rosa Rico</v>
          </cell>
          <cell r="F4125">
            <v>300</v>
          </cell>
          <cell r="G4125">
            <v>1</v>
          </cell>
          <cell r="H4125">
            <v>1200</v>
          </cell>
          <cell r="I4125">
            <v>41854</v>
          </cell>
          <cell r="J4125">
            <v>0</v>
          </cell>
          <cell r="W4125">
            <v>0</v>
          </cell>
          <cell r="AJ4125">
            <v>0</v>
          </cell>
          <cell r="AN4125">
            <v>400</v>
          </cell>
          <cell r="AO4125">
            <v>400</v>
          </cell>
          <cell r="AP4125">
            <v>400</v>
          </cell>
          <cell r="AW4125">
            <v>1200</v>
          </cell>
        </row>
        <row r="4126">
          <cell r="B4126">
            <v>7570</v>
          </cell>
          <cell r="C4126" t="str">
            <v>UP_70_</v>
          </cell>
          <cell r="D4126" t="str">
            <v>Rancho Upácuaro No. 70</v>
          </cell>
          <cell r="E4126" t="str">
            <v>Ramírez Tejeda</v>
          </cell>
          <cell r="F4126">
            <v>300</v>
          </cell>
          <cell r="G4126">
            <v>1</v>
          </cell>
          <cell r="H4126">
            <v>300</v>
          </cell>
          <cell r="I4126">
            <v>41854</v>
          </cell>
          <cell r="J4126">
            <v>0</v>
          </cell>
          <cell r="W4126">
            <v>0</v>
          </cell>
          <cell r="AJ4126">
            <v>0</v>
          </cell>
          <cell r="AR4126">
            <v>300</v>
          </cell>
          <cell r="AW4126">
            <v>300</v>
          </cell>
        </row>
        <row r="4127">
          <cell r="B4127">
            <v>7571</v>
          </cell>
          <cell r="C4127" t="str">
            <v>EZ_89_</v>
          </cell>
          <cell r="D4127" t="str">
            <v>Rancho Estanzuela No. 89</v>
          </cell>
          <cell r="E4127" t="str">
            <v>Romero Ortiz</v>
          </cell>
          <cell r="F4127">
            <v>300</v>
          </cell>
          <cell r="G4127">
            <v>1</v>
          </cell>
          <cell r="H4127">
            <v>400</v>
          </cell>
          <cell r="I4127">
            <v>41854</v>
          </cell>
          <cell r="J4127">
            <v>0</v>
          </cell>
          <cell r="W4127">
            <v>0</v>
          </cell>
          <cell r="AJ4127">
            <v>0</v>
          </cell>
          <cell r="AR4127">
            <v>400</v>
          </cell>
          <cell r="AW4127">
            <v>400</v>
          </cell>
        </row>
        <row r="4128">
          <cell r="B4128">
            <v>7572</v>
          </cell>
          <cell r="C4128" t="str">
            <v>UP_47_</v>
          </cell>
          <cell r="D4128" t="str">
            <v>Rancho Upácuaro No. 47</v>
          </cell>
          <cell r="E4128" t="str">
            <v>Flores Muñoz</v>
          </cell>
          <cell r="F4128">
            <v>300</v>
          </cell>
          <cell r="G4128">
            <v>1</v>
          </cell>
          <cell r="H4128">
            <v>400</v>
          </cell>
          <cell r="I4128">
            <v>41854</v>
          </cell>
          <cell r="J4128">
            <v>0</v>
          </cell>
          <cell r="W4128">
            <v>0</v>
          </cell>
          <cell r="AJ4128">
            <v>0</v>
          </cell>
          <cell r="AR4128">
            <v>400</v>
          </cell>
          <cell r="AW4128">
            <v>400</v>
          </cell>
        </row>
        <row r="4129">
          <cell r="B4129">
            <v>7573</v>
          </cell>
          <cell r="C4129" t="str">
            <v>CL_87_</v>
          </cell>
          <cell r="D4129" t="str">
            <v>Rancho La Cuchilla No. 87</v>
          </cell>
          <cell r="E4129" t="str">
            <v>Villanueva S.</v>
          </cell>
          <cell r="F4129">
            <v>300</v>
          </cell>
          <cell r="G4129">
            <v>1</v>
          </cell>
          <cell r="H4129">
            <v>400</v>
          </cell>
          <cell r="I4129">
            <v>41854</v>
          </cell>
          <cell r="J4129">
            <v>0</v>
          </cell>
          <cell r="W4129">
            <v>0</v>
          </cell>
          <cell r="AJ4129">
            <v>0</v>
          </cell>
          <cell r="AR4129">
            <v>400</v>
          </cell>
          <cell r="AW4129">
            <v>400</v>
          </cell>
        </row>
        <row r="4130">
          <cell r="B4130">
            <v>7574</v>
          </cell>
          <cell r="C4130" t="str">
            <v>CL_33_</v>
          </cell>
          <cell r="D4130" t="str">
            <v>Rancho La Cuchilla No. 33</v>
          </cell>
          <cell r="E4130" t="str">
            <v>Tanús</v>
          </cell>
          <cell r="F4130">
            <v>300</v>
          </cell>
          <cell r="G4130">
            <v>1</v>
          </cell>
          <cell r="H4130">
            <v>400</v>
          </cell>
          <cell r="I4130">
            <v>41854</v>
          </cell>
          <cell r="J4130">
            <v>0</v>
          </cell>
          <cell r="W4130">
            <v>0</v>
          </cell>
          <cell r="AJ4130">
            <v>0</v>
          </cell>
          <cell r="AR4130">
            <v>400</v>
          </cell>
          <cell r="AW4130">
            <v>400</v>
          </cell>
        </row>
        <row r="4131">
          <cell r="B4131">
            <v>7575</v>
          </cell>
          <cell r="C4131" t="str">
            <v>CL_92_</v>
          </cell>
          <cell r="D4131" t="str">
            <v>Rancho La Cuchilla No. 92</v>
          </cell>
          <cell r="E4131" t="str">
            <v>Cabrera</v>
          </cell>
          <cell r="F4131">
            <v>300</v>
          </cell>
          <cell r="G4131">
            <v>1</v>
          </cell>
          <cell r="H4131">
            <v>800</v>
          </cell>
          <cell r="I4131">
            <v>41854</v>
          </cell>
          <cell r="J4131">
            <v>0</v>
          </cell>
          <cell r="W4131">
            <v>0</v>
          </cell>
          <cell r="AJ4131">
            <v>0</v>
          </cell>
          <cell r="AQ4131">
            <v>400</v>
          </cell>
          <cell r="AR4131">
            <v>400</v>
          </cell>
          <cell r="AW4131">
            <v>800</v>
          </cell>
        </row>
        <row r="4132">
          <cell r="B4132">
            <v>7576</v>
          </cell>
          <cell r="C4132" t="str">
            <v>RM_9_B</v>
          </cell>
          <cell r="D4132" t="str">
            <v>Rancho Romeral No. 9, B</v>
          </cell>
          <cell r="E4132" t="str">
            <v>Morales Macías</v>
          </cell>
          <cell r="F4132">
            <v>100</v>
          </cell>
          <cell r="G4132">
            <v>1</v>
          </cell>
          <cell r="H4132">
            <v>300</v>
          </cell>
          <cell r="I4132">
            <v>41854</v>
          </cell>
          <cell r="J4132">
            <v>0</v>
          </cell>
          <cell r="W4132">
            <v>0</v>
          </cell>
          <cell r="AJ4132">
            <v>0</v>
          </cell>
          <cell r="AP4132">
            <v>100</v>
          </cell>
          <cell r="AQ4132">
            <v>100</v>
          </cell>
          <cell r="AR4132">
            <v>100</v>
          </cell>
          <cell r="AW4132">
            <v>300</v>
          </cell>
        </row>
        <row r="4133">
          <cell r="B4133">
            <v>7577</v>
          </cell>
          <cell r="C4133" t="str">
            <v>UP_114_</v>
          </cell>
          <cell r="D4133" t="str">
            <v>Rancho Upácuaro No. 114</v>
          </cell>
          <cell r="E4133" t="str">
            <v>Hernández Cornejo</v>
          </cell>
          <cell r="F4133">
            <v>300</v>
          </cell>
          <cell r="G4133">
            <v>1</v>
          </cell>
          <cell r="H4133">
            <v>400</v>
          </cell>
          <cell r="I4133">
            <v>41854</v>
          </cell>
          <cell r="J4133">
            <v>0</v>
          </cell>
          <cell r="W4133">
            <v>0</v>
          </cell>
          <cell r="AJ4133">
            <v>0</v>
          </cell>
          <cell r="AQ4133">
            <v>400</v>
          </cell>
          <cell r="AW4133">
            <v>400</v>
          </cell>
        </row>
        <row r="4134">
          <cell r="B4134">
            <v>7578</v>
          </cell>
          <cell r="C4134" t="str">
            <v>UP_23_</v>
          </cell>
          <cell r="D4134" t="str">
            <v>Rancho Upácuaro No. 23</v>
          </cell>
          <cell r="E4134" t="str">
            <v>Arredondo</v>
          </cell>
          <cell r="F4134">
            <v>300</v>
          </cell>
          <cell r="G4134">
            <v>1</v>
          </cell>
          <cell r="H4134">
            <v>350</v>
          </cell>
          <cell r="I4134">
            <v>41854</v>
          </cell>
          <cell r="J4134">
            <v>0</v>
          </cell>
          <cell r="W4134">
            <v>0</v>
          </cell>
          <cell r="AJ4134">
            <v>0</v>
          </cell>
          <cell r="AR4134">
            <v>350</v>
          </cell>
          <cell r="AW4134">
            <v>350</v>
          </cell>
        </row>
        <row r="4135">
          <cell r="B4135">
            <v>7579</v>
          </cell>
          <cell r="C4135" t="str">
            <v>LD_77_</v>
          </cell>
          <cell r="D4135" t="str">
            <v>Rancho Landero No. 77</v>
          </cell>
          <cell r="E4135" t="str">
            <v>Muñoz</v>
          </cell>
          <cell r="F4135">
            <v>300</v>
          </cell>
          <cell r="G4135">
            <v>1</v>
          </cell>
          <cell r="H4135">
            <v>800</v>
          </cell>
          <cell r="I4135">
            <v>41854</v>
          </cell>
          <cell r="J4135">
            <v>0</v>
          </cell>
          <cell r="W4135">
            <v>0</v>
          </cell>
          <cell r="AJ4135">
            <v>0</v>
          </cell>
          <cell r="AQ4135">
            <v>400</v>
          </cell>
          <cell r="AR4135">
            <v>400</v>
          </cell>
          <cell r="AW4135">
            <v>800</v>
          </cell>
        </row>
        <row r="4136">
          <cell r="B4136">
            <v>7580</v>
          </cell>
          <cell r="C4136" t="str">
            <v>UP_87_</v>
          </cell>
          <cell r="D4136" t="str">
            <v>Rancho Upácuaro No. 87</v>
          </cell>
          <cell r="E4136" t="str">
            <v>Rodríguez Parés</v>
          </cell>
          <cell r="F4136">
            <v>300</v>
          </cell>
          <cell r="G4136">
            <v>1</v>
          </cell>
          <cell r="H4136">
            <v>400</v>
          </cell>
          <cell r="I4136">
            <v>41854</v>
          </cell>
          <cell r="J4136">
            <v>0</v>
          </cell>
          <cell r="W4136">
            <v>0</v>
          </cell>
          <cell r="AJ4136">
            <v>0</v>
          </cell>
          <cell r="AR4136">
            <v>400</v>
          </cell>
          <cell r="AW4136">
            <v>400</v>
          </cell>
        </row>
        <row r="4137">
          <cell r="B4137">
            <v>7581</v>
          </cell>
          <cell r="C4137" t="str">
            <v>RV_197_</v>
          </cell>
          <cell r="D4137" t="str">
            <v>Rancho Recoveco No. 197</v>
          </cell>
          <cell r="E4137" t="str">
            <v>Colín González</v>
          </cell>
          <cell r="F4137">
            <v>300</v>
          </cell>
          <cell r="G4137">
            <v>1</v>
          </cell>
          <cell r="H4137">
            <v>400</v>
          </cell>
          <cell r="I4137">
            <v>41854</v>
          </cell>
          <cell r="J4137">
            <v>0</v>
          </cell>
          <cell r="W4137">
            <v>0</v>
          </cell>
          <cell r="AJ4137">
            <v>0</v>
          </cell>
          <cell r="AR4137">
            <v>400</v>
          </cell>
          <cell r="AW4137">
            <v>400</v>
          </cell>
        </row>
        <row r="4138">
          <cell r="B4138">
            <v>7582</v>
          </cell>
          <cell r="C4138" t="str">
            <v>LD_80_</v>
          </cell>
          <cell r="D4138" t="str">
            <v>Rancho Landero No. 80</v>
          </cell>
          <cell r="E4138" t="str">
            <v>Villaseñor Sánchez</v>
          </cell>
          <cell r="F4138">
            <v>300</v>
          </cell>
          <cell r="G4138">
            <v>1</v>
          </cell>
          <cell r="H4138">
            <v>800</v>
          </cell>
          <cell r="I4138">
            <v>41854</v>
          </cell>
          <cell r="J4138">
            <v>0</v>
          </cell>
          <cell r="W4138">
            <v>0</v>
          </cell>
          <cell r="AJ4138">
            <v>0</v>
          </cell>
          <cell r="AQ4138">
            <v>400</v>
          </cell>
          <cell r="AR4138">
            <v>400</v>
          </cell>
          <cell r="AW4138">
            <v>800</v>
          </cell>
        </row>
        <row r="4139">
          <cell r="B4139">
            <v>7583</v>
          </cell>
          <cell r="C4139" t="str">
            <v>CL_118_</v>
          </cell>
          <cell r="D4139" t="str">
            <v>Rancho La Cuchilla No. 118</v>
          </cell>
          <cell r="E4139" t="str">
            <v>Astorga Ruiz</v>
          </cell>
          <cell r="F4139">
            <v>300</v>
          </cell>
          <cell r="G4139">
            <v>1</v>
          </cell>
          <cell r="H4139">
            <v>800</v>
          </cell>
          <cell r="I4139">
            <v>41854</v>
          </cell>
          <cell r="J4139">
            <v>0</v>
          </cell>
          <cell r="W4139">
            <v>0</v>
          </cell>
          <cell r="AJ4139">
            <v>0</v>
          </cell>
          <cell r="AQ4139">
            <v>400</v>
          </cell>
          <cell r="AR4139">
            <v>400</v>
          </cell>
          <cell r="AW4139">
            <v>800</v>
          </cell>
        </row>
        <row r="4140">
          <cell r="B4140">
            <v>7584</v>
          </cell>
          <cell r="C4140" t="str">
            <v>EZ_19_</v>
          </cell>
          <cell r="D4140" t="str">
            <v>Rancho Estanzuela No. 19</v>
          </cell>
          <cell r="E4140" t="str">
            <v>Robles</v>
          </cell>
          <cell r="F4140">
            <v>300</v>
          </cell>
          <cell r="G4140">
            <v>1</v>
          </cell>
          <cell r="H4140">
            <v>1200</v>
          </cell>
          <cell r="I4140">
            <v>41854</v>
          </cell>
          <cell r="J4140">
            <v>0</v>
          </cell>
          <cell r="W4140">
            <v>0</v>
          </cell>
          <cell r="AJ4140">
            <v>0</v>
          </cell>
          <cell r="AP4140">
            <v>400</v>
          </cell>
          <cell r="AQ4140">
            <v>400</v>
          </cell>
          <cell r="AR4140">
            <v>400</v>
          </cell>
          <cell r="AW4140">
            <v>1200</v>
          </cell>
        </row>
        <row r="4141">
          <cell r="B4141">
            <v>7585</v>
          </cell>
          <cell r="C4141" t="str">
            <v>CL_89_</v>
          </cell>
          <cell r="D4141" t="str">
            <v>Rancho La Cuchilla No. 89</v>
          </cell>
          <cell r="E4141" t="str">
            <v>Gálvez</v>
          </cell>
          <cell r="F4141">
            <v>300</v>
          </cell>
          <cell r="G4141">
            <v>1</v>
          </cell>
          <cell r="H4141">
            <v>400</v>
          </cell>
          <cell r="I4141">
            <v>41854</v>
          </cell>
          <cell r="J4141">
            <v>0</v>
          </cell>
          <cell r="W4141">
            <v>0</v>
          </cell>
          <cell r="AJ4141">
            <v>0</v>
          </cell>
          <cell r="AR4141">
            <v>400</v>
          </cell>
          <cell r="AW4141">
            <v>400</v>
          </cell>
        </row>
        <row r="4142">
          <cell r="B4142">
            <v>7586</v>
          </cell>
          <cell r="C4142" t="str">
            <v>CL_94_</v>
          </cell>
          <cell r="D4142" t="str">
            <v>Rancho La Cuchilla No. 94</v>
          </cell>
          <cell r="E4142" t="str">
            <v>Sánchez Márquez</v>
          </cell>
          <cell r="F4142">
            <v>300</v>
          </cell>
          <cell r="G4142">
            <v>1</v>
          </cell>
          <cell r="H4142">
            <v>400</v>
          </cell>
          <cell r="I4142">
            <v>41854</v>
          </cell>
          <cell r="J4142">
            <v>0</v>
          </cell>
          <cell r="W4142">
            <v>0</v>
          </cell>
          <cell r="AJ4142">
            <v>0</v>
          </cell>
          <cell r="AR4142">
            <v>400</v>
          </cell>
          <cell r="AW4142">
            <v>400</v>
          </cell>
        </row>
        <row r="4143">
          <cell r="B4143">
            <v>7587</v>
          </cell>
          <cell r="C4143" t="str">
            <v>EZ_63_</v>
          </cell>
          <cell r="D4143" t="str">
            <v>Rancho Estanzuela No. 63</v>
          </cell>
          <cell r="E4143" t="str">
            <v>Mendoza Q.</v>
          </cell>
          <cell r="F4143">
            <v>200</v>
          </cell>
          <cell r="G4143">
            <v>1</v>
          </cell>
          <cell r="H4143">
            <v>1800</v>
          </cell>
          <cell r="I4143">
            <v>41854</v>
          </cell>
          <cell r="J4143">
            <v>0</v>
          </cell>
          <cell r="W4143">
            <v>0</v>
          </cell>
          <cell r="AJ4143">
            <v>0</v>
          </cell>
          <cell r="AQ4143">
            <v>300</v>
          </cell>
          <cell r="AR4143">
            <v>300</v>
          </cell>
          <cell r="AS4143">
            <v>300</v>
          </cell>
          <cell r="AT4143">
            <v>300</v>
          </cell>
          <cell r="AU4143">
            <v>300</v>
          </cell>
          <cell r="AV4143">
            <v>300</v>
          </cell>
          <cell r="AW4143">
            <v>1800</v>
          </cell>
        </row>
        <row r="4144">
          <cell r="B4144">
            <v>7588</v>
          </cell>
          <cell r="C4144" t="str">
            <v>ZB_30_</v>
          </cell>
          <cell r="D4144" t="str">
            <v>Rancho Zinamba No. 30</v>
          </cell>
          <cell r="E4144" t="str">
            <v xml:space="preserve">Arroyo </v>
          </cell>
          <cell r="F4144">
            <v>300</v>
          </cell>
          <cell r="G4144">
            <v>1</v>
          </cell>
          <cell r="H4144">
            <v>1200</v>
          </cell>
          <cell r="I4144">
            <v>41861</v>
          </cell>
          <cell r="J4144">
            <v>0</v>
          </cell>
          <cell r="W4144">
            <v>0</v>
          </cell>
          <cell r="AJ4144">
            <v>0</v>
          </cell>
          <cell r="AO4144">
            <v>400</v>
          </cell>
          <cell r="AP4144">
            <v>400</v>
          </cell>
          <cell r="AQ4144">
            <v>400</v>
          </cell>
          <cell r="AW4144">
            <v>1200</v>
          </cell>
        </row>
        <row r="4145">
          <cell r="B4145">
            <v>7589</v>
          </cell>
          <cell r="C4145" t="str">
            <v>UP_19_</v>
          </cell>
          <cell r="D4145" t="str">
            <v>Rancho Upácuaro No. 19</v>
          </cell>
          <cell r="E4145" t="str">
            <v>Peña Inclán</v>
          </cell>
          <cell r="F4145">
            <v>200</v>
          </cell>
          <cell r="G4145">
            <v>3</v>
          </cell>
          <cell r="H4145">
            <v>160</v>
          </cell>
          <cell r="I4145">
            <v>41855</v>
          </cell>
          <cell r="J4145" t="str">
            <v>NO SUMA</v>
          </cell>
          <cell r="W4145">
            <v>0</v>
          </cell>
          <cell r="AJ4145">
            <v>0</v>
          </cell>
          <cell r="AW4145">
            <v>0</v>
          </cell>
        </row>
        <row r="4146">
          <cell r="B4146">
            <v>7590</v>
          </cell>
          <cell r="C4146" t="str">
            <v>EZ_37_</v>
          </cell>
          <cell r="D4146" t="str">
            <v>Rancho Estanzuela No. 37</v>
          </cell>
          <cell r="E4146" t="str">
            <v>Cabello Eduardo</v>
          </cell>
          <cell r="F4146">
            <v>300</v>
          </cell>
          <cell r="G4146">
            <v>1</v>
          </cell>
          <cell r="H4146">
            <v>1200</v>
          </cell>
          <cell r="I4146">
            <v>41855</v>
          </cell>
          <cell r="J4146">
            <v>0</v>
          </cell>
          <cell r="W4146">
            <v>0</v>
          </cell>
          <cell r="AJ4146">
            <v>0</v>
          </cell>
          <cell r="AN4146">
            <v>400</v>
          </cell>
          <cell r="AO4146">
            <v>400</v>
          </cell>
          <cell r="AP4146">
            <v>400</v>
          </cell>
          <cell r="AW4146">
            <v>1200</v>
          </cell>
        </row>
        <row r="4147">
          <cell r="B4147">
            <v>7591</v>
          </cell>
          <cell r="C4147" t="str">
            <v>ZB_10_</v>
          </cell>
          <cell r="D4147" t="str">
            <v>Rancho Zinamba No. 10</v>
          </cell>
          <cell r="E4147" t="str">
            <v>Roy Sánchez</v>
          </cell>
          <cell r="F4147">
            <v>300</v>
          </cell>
          <cell r="G4147">
            <v>1</v>
          </cell>
          <cell r="H4147">
            <v>2400</v>
          </cell>
          <cell r="I4147">
            <v>41856</v>
          </cell>
          <cell r="J4147">
            <v>0</v>
          </cell>
          <cell r="W4147">
            <v>0</v>
          </cell>
          <cell r="AJ4147">
            <v>0</v>
          </cell>
          <cell r="AN4147">
            <v>400</v>
          </cell>
          <cell r="AO4147">
            <v>400</v>
          </cell>
          <cell r="AP4147">
            <v>400</v>
          </cell>
          <cell r="AQ4147">
            <v>400</v>
          </cell>
          <cell r="AR4147">
            <v>400</v>
          </cell>
          <cell r="AS4147">
            <v>400</v>
          </cell>
          <cell r="AW4147">
            <v>2400</v>
          </cell>
        </row>
        <row r="4148">
          <cell r="B4148">
            <v>7592</v>
          </cell>
          <cell r="C4148" t="str">
            <v>LD_83_</v>
          </cell>
          <cell r="D4148" t="str">
            <v>Rancho Landero No. 83</v>
          </cell>
          <cell r="E4148" t="str">
            <v>Aguilar</v>
          </cell>
          <cell r="F4148">
            <v>300</v>
          </cell>
          <cell r="G4148">
            <v>1</v>
          </cell>
          <cell r="H4148">
            <v>350</v>
          </cell>
          <cell r="I4148">
            <v>41856</v>
          </cell>
          <cell r="J4148">
            <v>0</v>
          </cell>
          <cell r="W4148">
            <v>0</v>
          </cell>
          <cell r="AJ4148">
            <v>0</v>
          </cell>
          <cell r="AR4148">
            <v>350</v>
          </cell>
          <cell r="AW4148">
            <v>350</v>
          </cell>
        </row>
        <row r="4149">
          <cell r="B4149">
            <v>7593</v>
          </cell>
          <cell r="C4149" t="str">
            <v>UP_118_</v>
          </cell>
          <cell r="D4149" t="str">
            <v>Rancho Upácuaro No. 118</v>
          </cell>
          <cell r="E4149" t="str">
            <v>Siegrist</v>
          </cell>
          <cell r="F4149">
            <v>300</v>
          </cell>
          <cell r="G4149">
            <v>1</v>
          </cell>
          <cell r="H4149">
            <v>1200</v>
          </cell>
          <cell r="I4149">
            <v>41857</v>
          </cell>
          <cell r="J4149">
            <v>0</v>
          </cell>
          <cell r="W4149">
            <v>0</v>
          </cell>
          <cell r="AJ4149">
            <v>0</v>
          </cell>
          <cell r="AO4149">
            <v>400</v>
          </cell>
          <cell r="AP4149">
            <v>400</v>
          </cell>
          <cell r="AQ4149">
            <v>400</v>
          </cell>
          <cell r="AW4149">
            <v>1200</v>
          </cell>
        </row>
        <row r="4150">
          <cell r="B4150">
            <v>7594</v>
          </cell>
          <cell r="C4150" t="str">
            <v>EZ_111_</v>
          </cell>
          <cell r="D4150" t="str">
            <v>Rancho Estanzuela No. 111</v>
          </cell>
          <cell r="E4150" t="str">
            <v>Flores Pérez</v>
          </cell>
          <cell r="F4150">
            <v>300</v>
          </cell>
          <cell r="G4150">
            <v>3</v>
          </cell>
          <cell r="H4150">
            <v>160</v>
          </cell>
          <cell r="I4150">
            <v>41857</v>
          </cell>
          <cell r="J4150" t="str">
            <v>NO SUMA</v>
          </cell>
          <cell r="W4150">
            <v>0</v>
          </cell>
          <cell r="AJ4150">
            <v>0</v>
          </cell>
          <cell r="AW4150">
            <v>0</v>
          </cell>
        </row>
        <row r="4151">
          <cell r="B4151">
            <v>7595</v>
          </cell>
          <cell r="C4151" t="str">
            <v>UP_93_</v>
          </cell>
          <cell r="D4151" t="str">
            <v>Rancho Upácuaro No. 93</v>
          </cell>
          <cell r="E4151" t="str">
            <v>Valdés</v>
          </cell>
          <cell r="F4151">
            <v>300</v>
          </cell>
          <cell r="G4151">
            <v>4</v>
          </cell>
          <cell r="H4151">
            <v>160</v>
          </cell>
          <cell r="I4151">
            <v>41859</v>
          </cell>
          <cell r="J4151" t="str">
            <v>NO SUMA</v>
          </cell>
          <cell r="W4151">
            <v>0</v>
          </cell>
          <cell r="AJ4151">
            <v>0</v>
          </cell>
          <cell r="AW4151">
            <v>0</v>
          </cell>
        </row>
        <row r="4152">
          <cell r="B4152">
            <v>7596</v>
          </cell>
          <cell r="C4152" t="str">
            <v>UP_68_</v>
          </cell>
          <cell r="D4152" t="str">
            <v>Rancho Upácuaro No. 68</v>
          </cell>
          <cell r="E4152" t="str">
            <v>Colin Guerrero</v>
          </cell>
          <cell r="F4152">
            <v>300</v>
          </cell>
          <cell r="G4152">
            <v>1</v>
          </cell>
          <cell r="H4152">
            <v>200</v>
          </cell>
          <cell r="I4152">
            <v>41860</v>
          </cell>
          <cell r="J4152">
            <v>0</v>
          </cell>
          <cell r="W4152">
            <v>0</v>
          </cell>
          <cell r="AJ4152">
            <v>0</v>
          </cell>
          <cell r="AR4152">
            <v>200</v>
          </cell>
          <cell r="AW4152">
            <v>200</v>
          </cell>
        </row>
        <row r="4153">
          <cell r="B4153">
            <v>7597</v>
          </cell>
          <cell r="C4153" t="str">
            <v>UP_68_</v>
          </cell>
          <cell r="D4153" t="str">
            <v>Rancho Upácuaro No. 68</v>
          </cell>
          <cell r="E4153" t="str">
            <v>Colin Guerrero</v>
          </cell>
          <cell r="F4153">
            <v>300</v>
          </cell>
          <cell r="G4153">
            <v>4</v>
          </cell>
          <cell r="H4153">
            <v>160</v>
          </cell>
          <cell r="I4153">
            <v>41860</v>
          </cell>
          <cell r="J4153" t="str">
            <v>NO SUMA</v>
          </cell>
          <cell r="W4153">
            <v>0</v>
          </cell>
          <cell r="AJ4153">
            <v>0</v>
          </cell>
          <cell r="AW4153">
            <v>0</v>
          </cell>
        </row>
        <row r="4154">
          <cell r="B4154">
            <v>7598</v>
          </cell>
          <cell r="C4154" t="str">
            <v>UP_14_</v>
          </cell>
          <cell r="D4154" t="str">
            <v>Rancho Upácuaro No. 14</v>
          </cell>
          <cell r="E4154" t="str">
            <v>Castillo Hernández</v>
          </cell>
          <cell r="F4154">
            <v>400</v>
          </cell>
          <cell r="G4154">
            <v>1</v>
          </cell>
          <cell r="H4154">
            <v>400</v>
          </cell>
          <cell r="I4154">
            <v>41861</v>
          </cell>
          <cell r="J4154">
            <v>0</v>
          </cell>
          <cell r="W4154">
            <v>0</v>
          </cell>
          <cell r="AJ4154">
            <v>0</v>
          </cell>
          <cell r="AR4154">
            <v>400</v>
          </cell>
          <cell r="AW4154">
            <v>400</v>
          </cell>
        </row>
        <row r="4155">
          <cell r="B4155">
            <v>7599</v>
          </cell>
          <cell r="C4155" t="str">
            <v>CL_42_</v>
          </cell>
          <cell r="D4155" t="str">
            <v>Rancho La Cuchilla No. 42</v>
          </cell>
          <cell r="E4155" t="str">
            <v>Mac Kinney</v>
          </cell>
          <cell r="F4155">
            <v>800</v>
          </cell>
          <cell r="G4155">
            <v>1</v>
          </cell>
          <cell r="H4155">
            <v>800</v>
          </cell>
          <cell r="I4155">
            <v>41861</v>
          </cell>
          <cell r="J4155">
            <v>0</v>
          </cell>
          <cell r="W4155">
            <v>0</v>
          </cell>
          <cell r="AJ4155">
            <v>0</v>
          </cell>
          <cell r="AP4155">
            <v>400</v>
          </cell>
          <cell r="AQ4155">
            <v>400</v>
          </cell>
          <cell r="AW4155">
            <v>800</v>
          </cell>
        </row>
        <row r="4156">
          <cell r="B4156">
            <v>7600</v>
          </cell>
          <cell r="C4156" t="str">
            <v>CL_42_</v>
          </cell>
          <cell r="D4156" t="str">
            <v>Rancho La Cuchilla No. 42</v>
          </cell>
          <cell r="E4156" t="str">
            <v>Mac Kinney</v>
          </cell>
          <cell r="F4156">
            <v>300</v>
          </cell>
          <cell r="G4156">
            <v>3</v>
          </cell>
          <cell r="H4156">
            <v>160</v>
          </cell>
          <cell r="I4156">
            <v>41861</v>
          </cell>
          <cell r="J4156" t="str">
            <v>NO SUMA</v>
          </cell>
          <cell r="W4156">
            <v>0</v>
          </cell>
          <cell r="AJ4156">
            <v>0</v>
          </cell>
          <cell r="AW4156">
            <v>0</v>
          </cell>
        </row>
        <row r="4157">
          <cell r="B4157">
            <v>7600</v>
          </cell>
          <cell r="C4157" t="str">
            <v>CL_42_</v>
          </cell>
          <cell r="D4157" t="str">
            <v>Rancho La Cuchilla No. 42</v>
          </cell>
          <cell r="E4157" t="str">
            <v>Mac Kinney</v>
          </cell>
          <cell r="F4157">
            <v>300</v>
          </cell>
          <cell r="G4157">
            <v>4</v>
          </cell>
          <cell r="H4157">
            <v>160</v>
          </cell>
          <cell r="I4157">
            <v>41861</v>
          </cell>
          <cell r="J4157" t="str">
            <v>NO SUMA</v>
          </cell>
          <cell r="W4157">
            <v>0</v>
          </cell>
          <cell r="AJ4157">
            <v>0</v>
          </cell>
          <cell r="AW4157">
            <v>0</v>
          </cell>
        </row>
        <row r="4158">
          <cell r="B4158">
            <v>7601</v>
          </cell>
          <cell r="C4158" t="str">
            <v>UP_100_</v>
          </cell>
          <cell r="D4158" t="str">
            <v>Rancho Upácuaro No. 100</v>
          </cell>
          <cell r="E4158" t="str">
            <v>Mancera Rodríguez</v>
          </cell>
          <cell r="F4158">
            <v>300</v>
          </cell>
          <cell r="G4158">
            <v>1</v>
          </cell>
          <cell r="H4158">
            <v>400</v>
          </cell>
          <cell r="I4158">
            <v>41861</v>
          </cell>
          <cell r="J4158">
            <v>0</v>
          </cell>
          <cell r="W4158">
            <v>0</v>
          </cell>
          <cell r="AJ4158">
            <v>0</v>
          </cell>
          <cell r="AR4158">
            <v>400</v>
          </cell>
          <cell r="AW4158">
            <v>400</v>
          </cell>
        </row>
        <row r="4159">
          <cell r="B4159">
            <v>7602</v>
          </cell>
          <cell r="C4159" t="str">
            <v>UP_101_</v>
          </cell>
          <cell r="D4159" t="str">
            <v>Rancho Upácuaro No. 101</v>
          </cell>
          <cell r="E4159" t="str">
            <v>Chávez, Arturo</v>
          </cell>
          <cell r="F4159">
            <v>300</v>
          </cell>
          <cell r="G4159">
            <v>1</v>
          </cell>
          <cell r="H4159">
            <v>400</v>
          </cell>
          <cell r="I4159">
            <v>41861</v>
          </cell>
          <cell r="J4159">
            <v>0</v>
          </cell>
          <cell r="W4159">
            <v>0</v>
          </cell>
          <cell r="AJ4159">
            <v>0</v>
          </cell>
          <cell r="AR4159">
            <v>400</v>
          </cell>
          <cell r="AW4159">
            <v>400</v>
          </cell>
        </row>
        <row r="4160">
          <cell r="B4160">
            <v>7603</v>
          </cell>
          <cell r="C4160" t="str">
            <v>CL_117_</v>
          </cell>
          <cell r="D4160" t="str">
            <v>Rancho La Cuchilla No. 117</v>
          </cell>
          <cell r="E4160" t="str">
            <v>Gómez</v>
          </cell>
          <cell r="F4160">
            <v>300</v>
          </cell>
          <cell r="G4160">
            <v>1</v>
          </cell>
          <cell r="H4160">
            <v>800</v>
          </cell>
          <cell r="I4160">
            <v>41861</v>
          </cell>
          <cell r="J4160">
            <v>0</v>
          </cell>
          <cell r="W4160">
            <v>0</v>
          </cell>
          <cell r="AJ4160">
            <v>0</v>
          </cell>
          <cell r="AO4160">
            <v>400</v>
          </cell>
          <cell r="AP4160">
            <v>400</v>
          </cell>
          <cell r="AW4160">
            <v>800</v>
          </cell>
        </row>
        <row r="4161">
          <cell r="B4161">
            <v>7604</v>
          </cell>
          <cell r="C4161" t="str">
            <v>UP_140_</v>
          </cell>
          <cell r="D4161" t="str">
            <v>Rancho Upácuaro No. 140</v>
          </cell>
          <cell r="E4161" t="str">
            <v>Gozain</v>
          </cell>
          <cell r="F4161">
            <v>300</v>
          </cell>
          <cell r="G4161">
            <v>1</v>
          </cell>
          <cell r="H4161">
            <v>400</v>
          </cell>
          <cell r="I4161">
            <v>41861</v>
          </cell>
          <cell r="J4161">
            <v>0</v>
          </cell>
          <cell r="W4161">
            <v>0</v>
          </cell>
          <cell r="AJ4161">
            <v>0</v>
          </cell>
          <cell r="AR4161">
            <v>400</v>
          </cell>
          <cell r="AW4161">
            <v>400</v>
          </cell>
        </row>
        <row r="4162">
          <cell r="B4162">
            <v>7605</v>
          </cell>
          <cell r="C4162" t="str">
            <v>UP_118_</v>
          </cell>
          <cell r="D4162" t="str">
            <v>Rancho Upácuaro No. 118</v>
          </cell>
          <cell r="E4162" t="str">
            <v>Siegrist</v>
          </cell>
          <cell r="F4162">
            <v>300</v>
          </cell>
          <cell r="G4162">
            <v>4</v>
          </cell>
          <cell r="H4162">
            <v>160</v>
          </cell>
          <cell r="I4162">
            <v>41861</v>
          </cell>
          <cell r="J4162" t="str">
            <v>NO SUMA</v>
          </cell>
          <cell r="W4162">
            <v>0</v>
          </cell>
          <cell r="AJ4162">
            <v>0</v>
          </cell>
          <cell r="AW4162">
            <v>0</v>
          </cell>
        </row>
        <row r="4163">
          <cell r="B4163">
            <v>7606</v>
          </cell>
          <cell r="C4163" t="str">
            <v>EZ_99_</v>
          </cell>
          <cell r="D4163" t="str">
            <v>Rancho Estanzuela No. 99</v>
          </cell>
          <cell r="E4163" t="str">
            <v>García López</v>
          </cell>
          <cell r="F4163">
            <v>300</v>
          </cell>
          <cell r="G4163">
            <v>1</v>
          </cell>
          <cell r="H4163">
            <v>400</v>
          </cell>
          <cell r="I4163">
            <v>41861</v>
          </cell>
          <cell r="J4163">
            <v>0</v>
          </cell>
          <cell r="W4163">
            <v>0</v>
          </cell>
          <cell r="AJ4163">
            <v>0</v>
          </cell>
          <cell r="AR4163">
            <v>400</v>
          </cell>
          <cell r="AW4163">
            <v>400</v>
          </cell>
        </row>
        <row r="4164">
          <cell r="B4164">
            <v>7607</v>
          </cell>
          <cell r="C4164" t="str">
            <v>EZ_151_</v>
          </cell>
          <cell r="D4164" t="str">
            <v>Rancho Estanzuela No. 151</v>
          </cell>
          <cell r="E4164" t="str">
            <v>Pérez Salazar</v>
          </cell>
          <cell r="F4164">
            <v>300</v>
          </cell>
          <cell r="G4164">
            <v>1</v>
          </cell>
          <cell r="H4164">
            <v>400</v>
          </cell>
          <cell r="I4164">
            <v>41861</v>
          </cell>
          <cell r="J4164">
            <v>0</v>
          </cell>
          <cell r="W4164">
            <v>0</v>
          </cell>
          <cell r="AJ4164">
            <v>0</v>
          </cell>
          <cell r="AR4164">
            <v>400</v>
          </cell>
          <cell r="AW4164">
            <v>400</v>
          </cell>
        </row>
        <row r="4165">
          <cell r="B4165">
            <v>7608</v>
          </cell>
          <cell r="C4165" t="str">
            <v>CL_71_</v>
          </cell>
          <cell r="D4165" t="str">
            <v>Rancho La Cuchilla No. 71</v>
          </cell>
          <cell r="E4165" t="str">
            <v>Pulido</v>
          </cell>
          <cell r="F4165">
            <v>300</v>
          </cell>
          <cell r="G4165">
            <v>1</v>
          </cell>
          <cell r="H4165">
            <v>150</v>
          </cell>
          <cell r="I4165">
            <v>41861</v>
          </cell>
          <cell r="J4165">
            <v>0</v>
          </cell>
          <cell r="W4165">
            <v>0</v>
          </cell>
          <cell r="AJ4165">
            <v>0</v>
          </cell>
          <cell r="AP4165">
            <v>150</v>
          </cell>
          <cell r="AW4165">
            <v>150</v>
          </cell>
        </row>
        <row r="4166">
          <cell r="B4166">
            <v>7609</v>
          </cell>
          <cell r="C4166" t="str">
            <v>CL_71_</v>
          </cell>
          <cell r="D4166" t="str">
            <v>Rancho La Cuchilla No. 71</v>
          </cell>
          <cell r="E4166" t="str">
            <v>Pulido</v>
          </cell>
          <cell r="F4166">
            <v>300</v>
          </cell>
          <cell r="G4166">
            <v>1</v>
          </cell>
          <cell r="H4166">
            <v>350</v>
          </cell>
          <cell r="I4166">
            <v>41861</v>
          </cell>
          <cell r="J4166">
            <v>0</v>
          </cell>
          <cell r="W4166">
            <v>0</v>
          </cell>
          <cell r="AJ4166">
            <v>0</v>
          </cell>
          <cell r="AQ4166">
            <v>350</v>
          </cell>
          <cell r="AW4166">
            <v>350</v>
          </cell>
        </row>
        <row r="4167">
          <cell r="B4167">
            <v>7610</v>
          </cell>
          <cell r="C4167" t="str">
            <v>CL_72_</v>
          </cell>
          <cell r="D4167" t="str">
            <v>Rancho La Cuchilla No. 72</v>
          </cell>
          <cell r="E4167" t="str">
            <v>Ortiz González</v>
          </cell>
          <cell r="F4167">
            <v>300</v>
          </cell>
          <cell r="G4167">
            <v>1</v>
          </cell>
          <cell r="H4167">
            <v>400</v>
          </cell>
          <cell r="I4167">
            <v>41861</v>
          </cell>
          <cell r="J4167">
            <v>0</v>
          </cell>
          <cell r="W4167">
            <v>0</v>
          </cell>
          <cell r="AJ4167">
            <v>0</v>
          </cell>
          <cell r="AR4167">
            <v>400</v>
          </cell>
          <cell r="AW4167">
            <v>400</v>
          </cell>
        </row>
        <row r="4168">
          <cell r="B4168">
            <v>7611</v>
          </cell>
          <cell r="C4168" t="str">
            <v>UP_79_</v>
          </cell>
          <cell r="D4168" t="str">
            <v>Rancho Upácuaro No. 79</v>
          </cell>
          <cell r="E4168" t="str">
            <v>Macías</v>
          </cell>
          <cell r="F4168">
            <v>300</v>
          </cell>
          <cell r="G4168">
            <v>1</v>
          </cell>
          <cell r="H4168">
            <v>1200</v>
          </cell>
          <cell r="I4168">
            <v>41861</v>
          </cell>
          <cell r="J4168">
            <v>0</v>
          </cell>
          <cell r="W4168">
            <v>0</v>
          </cell>
          <cell r="AJ4168">
            <v>0</v>
          </cell>
          <cell r="AR4168">
            <v>400</v>
          </cell>
          <cell r="AS4168">
            <v>400</v>
          </cell>
          <cell r="AT4168">
            <v>400</v>
          </cell>
          <cell r="AW4168">
            <v>1200</v>
          </cell>
        </row>
        <row r="4169">
          <cell r="B4169">
            <v>7612</v>
          </cell>
          <cell r="C4169" t="str">
            <v>UP_42_</v>
          </cell>
          <cell r="D4169" t="str">
            <v>Rancho Upácuaro No. 42</v>
          </cell>
          <cell r="E4169" t="str">
            <v>García Ramírez</v>
          </cell>
          <cell r="F4169">
            <v>300</v>
          </cell>
          <cell r="G4169">
            <v>1</v>
          </cell>
          <cell r="H4169">
            <v>800</v>
          </cell>
          <cell r="I4169">
            <v>41861</v>
          </cell>
          <cell r="J4169">
            <v>0</v>
          </cell>
          <cell r="W4169">
            <v>0</v>
          </cell>
          <cell r="AJ4169">
            <v>0</v>
          </cell>
          <cell r="AM4169">
            <v>400</v>
          </cell>
          <cell r="AN4169">
            <v>400</v>
          </cell>
          <cell r="AW4169">
            <v>800</v>
          </cell>
        </row>
        <row r="4170">
          <cell r="B4170">
            <v>7613</v>
          </cell>
          <cell r="C4170" t="str">
            <v>UP_33_</v>
          </cell>
          <cell r="D4170" t="str">
            <v>Rancho Upácuaro No. 33</v>
          </cell>
          <cell r="E4170" t="str">
            <v>Ulloa Miranda</v>
          </cell>
          <cell r="F4170">
            <v>300</v>
          </cell>
          <cell r="G4170">
            <v>1</v>
          </cell>
          <cell r="H4170">
            <v>400</v>
          </cell>
          <cell r="I4170">
            <v>41861</v>
          </cell>
          <cell r="J4170">
            <v>0</v>
          </cell>
          <cell r="W4170">
            <v>0</v>
          </cell>
          <cell r="AJ4170">
            <v>0</v>
          </cell>
          <cell r="AR4170">
            <v>400</v>
          </cell>
          <cell r="AW4170">
            <v>400</v>
          </cell>
        </row>
        <row r="4171">
          <cell r="B4171">
            <v>7614</v>
          </cell>
          <cell r="C4171" t="str">
            <v>UP_60_</v>
          </cell>
          <cell r="D4171" t="str">
            <v>Rancho Upácuaro No. 60</v>
          </cell>
          <cell r="E4171" t="str">
            <v>Zavala</v>
          </cell>
          <cell r="F4171">
            <v>300</v>
          </cell>
          <cell r="G4171">
            <v>1</v>
          </cell>
          <cell r="H4171">
            <v>800</v>
          </cell>
          <cell r="I4171">
            <v>41861</v>
          </cell>
          <cell r="J4171">
            <v>0</v>
          </cell>
          <cell r="W4171">
            <v>0</v>
          </cell>
          <cell r="AJ4171">
            <v>0</v>
          </cell>
          <cell r="AQ4171">
            <v>400</v>
          </cell>
          <cell r="AR4171">
            <v>400</v>
          </cell>
          <cell r="AW4171">
            <v>800</v>
          </cell>
        </row>
        <row r="4172">
          <cell r="B4172">
            <v>7615</v>
          </cell>
          <cell r="C4172" t="str">
            <v>LD_90_</v>
          </cell>
          <cell r="D4172" t="str">
            <v>Rancho Landero No. 90</v>
          </cell>
          <cell r="E4172" t="str">
            <v>Córdova Reséndiz</v>
          </cell>
          <cell r="F4172">
            <v>300</v>
          </cell>
          <cell r="G4172">
            <v>1</v>
          </cell>
          <cell r="H4172">
            <v>300</v>
          </cell>
          <cell r="I4172">
            <v>41861</v>
          </cell>
          <cell r="J4172">
            <v>0</v>
          </cell>
          <cell r="W4172">
            <v>0</v>
          </cell>
          <cell r="AJ4172">
            <v>0</v>
          </cell>
          <cell r="AR4172">
            <v>300</v>
          </cell>
          <cell r="AW4172">
            <v>300</v>
          </cell>
        </row>
        <row r="4173">
          <cell r="B4173">
            <v>7616</v>
          </cell>
          <cell r="C4173" t="str">
            <v>CL_12_</v>
          </cell>
          <cell r="D4173" t="str">
            <v>Rancho La Cuchilla No. 12</v>
          </cell>
          <cell r="E4173" t="str">
            <v>Rivera Flores</v>
          </cell>
          <cell r="F4173">
            <v>300</v>
          </cell>
          <cell r="G4173">
            <v>1</v>
          </cell>
          <cell r="H4173">
            <v>300</v>
          </cell>
          <cell r="I4173">
            <v>41861</v>
          </cell>
          <cell r="J4173">
            <v>0</v>
          </cell>
          <cell r="W4173">
            <v>0</v>
          </cell>
          <cell r="AJ4173">
            <v>0</v>
          </cell>
          <cell r="AQ4173">
            <v>300</v>
          </cell>
          <cell r="AW4173">
            <v>300</v>
          </cell>
        </row>
        <row r="4174">
          <cell r="B4174">
            <v>7617</v>
          </cell>
          <cell r="C4174" t="str">
            <v>LD_25_</v>
          </cell>
          <cell r="D4174" t="str">
            <v>Rancho Landero No. 25</v>
          </cell>
          <cell r="E4174" t="str">
            <v>Escamilla Martínez</v>
          </cell>
          <cell r="F4174">
            <v>300</v>
          </cell>
          <cell r="G4174">
            <v>1</v>
          </cell>
          <cell r="H4174">
            <v>200</v>
          </cell>
          <cell r="I4174">
            <v>41861</v>
          </cell>
          <cell r="J4174">
            <v>0</v>
          </cell>
          <cell r="W4174">
            <v>0</v>
          </cell>
          <cell r="AJ4174">
            <v>0</v>
          </cell>
          <cell r="AQ4174">
            <v>200</v>
          </cell>
          <cell r="AW4174">
            <v>200</v>
          </cell>
        </row>
        <row r="4175">
          <cell r="B4175">
            <v>7618</v>
          </cell>
          <cell r="C4175" t="str">
            <v>RV_1_</v>
          </cell>
          <cell r="D4175" t="str">
            <v>Rancho Recoveco No. 1</v>
          </cell>
          <cell r="E4175" t="str">
            <v>Díaz</v>
          </cell>
          <cell r="F4175">
            <v>300</v>
          </cell>
          <cell r="G4175">
            <v>1</v>
          </cell>
          <cell r="H4175">
            <v>300</v>
          </cell>
          <cell r="I4175">
            <v>41861</v>
          </cell>
          <cell r="J4175">
            <v>0</v>
          </cell>
          <cell r="W4175">
            <v>0</v>
          </cell>
          <cell r="AJ4175">
            <v>0</v>
          </cell>
          <cell r="AR4175">
            <v>300</v>
          </cell>
          <cell r="AW4175">
            <v>300</v>
          </cell>
        </row>
        <row r="4176">
          <cell r="B4176">
            <v>7619</v>
          </cell>
          <cell r="C4176" t="str">
            <v>LD_17_</v>
          </cell>
          <cell r="D4176" t="str">
            <v>Rancho Landero No. 17</v>
          </cell>
          <cell r="E4176" t="str">
            <v>González</v>
          </cell>
          <cell r="F4176">
            <v>300</v>
          </cell>
          <cell r="G4176">
            <v>1</v>
          </cell>
          <cell r="H4176">
            <v>400</v>
          </cell>
          <cell r="I4176">
            <v>41861</v>
          </cell>
          <cell r="J4176">
            <v>0</v>
          </cell>
          <cell r="W4176">
            <v>0</v>
          </cell>
          <cell r="AJ4176">
            <v>0</v>
          </cell>
          <cell r="AR4176">
            <v>400</v>
          </cell>
          <cell r="AW4176">
            <v>400</v>
          </cell>
        </row>
        <row r="4177">
          <cell r="B4177">
            <v>7620</v>
          </cell>
          <cell r="C4177" t="str">
            <v>UP_120_</v>
          </cell>
          <cell r="D4177" t="str">
            <v>Rancho Upácuaro No. 120</v>
          </cell>
          <cell r="E4177" t="str">
            <v>Rayas Rivera</v>
          </cell>
          <cell r="F4177">
            <v>300</v>
          </cell>
          <cell r="G4177">
            <v>1</v>
          </cell>
          <cell r="H4177">
            <v>400</v>
          </cell>
          <cell r="I4177">
            <v>41861</v>
          </cell>
          <cell r="J4177">
            <v>0</v>
          </cell>
          <cell r="W4177">
            <v>0</v>
          </cell>
          <cell r="AJ4177">
            <v>0</v>
          </cell>
          <cell r="AR4177">
            <v>400</v>
          </cell>
          <cell r="AW4177">
            <v>400</v>
          </cell>
        </row>
        <row r="4178">
          <cell r="B4178">
            <v>7621</v>
          </cell>
          <cell r="C4178" t="str">
            <v>UP_63_</v>
          </cell>
          <cell r="D4178" t="str">
            <v>Rancho Upácuaro No. 63</v>
          </cell>
          <cell r="E4178" t="str">
            <v>González Benavides</v>
          </cell>
          <cell r="F4178">
            <v>300</v>
          </cell>
          <cell r="G4178">
            <v>1</v>
          </cell>
          <cell r="H4178">
            <v>400</v>
          </cell>
          <cell r="I4178">
            <v>41861</v>
          </cell>
          <cell r="J4178">
            <v>0</v>
          </cell>
          <cell r="W4178">
            <v>0</v>
          </cell>
          <cell r="AJ4178">
            <v>0</v>
          </cell>
          <cell r="AR4178">
            <v>400</v>
          </cell>
          <cell r="AW4178">
            <v>400</v>
          </cell>
        </row>
        <row r="4179">
          <cell r="B4179">
            <v>7622</v>
          </cell>
          <cell r="C4179" t="str">
            <v>LD_58_</v>
          </cell>
          <cell r="D4179" t="str">
            <v>Rancho Landero No. 58</v>
          </cell>
          <cell r="E4179" t="str">
            <v>Valero</v>
          </cell>
          <cell r="F4179">
            <v>300</v>
          </cell>
          <cell r="G4179">
            <v>1</v>
          </cell>
          <cell r="H4179">
            <v>400</v>
          </cell>
          <cell r="I4179">
            <v>41861</v>
          </cell>
          <cell r="J4179">
            <v>0</v>
          </cell>
          <cell r="W4179">
            <v>0</v>
          </cell>
          <cell r="AJ4179">
            <v>0</v>
          </cell>
          <cell r="AQ4179">
            <v>400</v>
          </cell>
          <cell r="AW4179">
            <v>400</v>
          </cell>
        </row>
        <row r="4180">
          <cell r="B4180">
            <v>7623</v>
          </cell>
          <cell r="C4180" t="str">
            <v>UP_19_</v>
          </cell>
          <cell r="D4180" t="str">
            <v>Rancho Upácuaro No. 19</v>
          </cell>
          <cell r="E4180" t="str">
            <v>Peña Inclán</v>
          </cell>
          <cell r="F4180">
            <v>200</v>
          </cell>
          <cell r="G4180">
            <v>1</v>
          </cell>
          <cell r="H4180">
            <v>600</v>
          </cell>
          <cell r="I4180">
            <v>41861</v>
          </cell>
          <cell r="J4180">
            <v>0</v>
          </cell>
          <cell r="W4180">
            <v>0</v>
          </cell>
          <cell r="AJ4180">
            <v>0</v>
          </cell>
          <cell r="AQ4180">
            <v>300</v>
          </cell>
          <cell r="AR4180">
            <v>300</v>
          </cell>
          <cell r="AW4180">
            <v>600</v>
          </cell>
        </row>
        <row r="4181">
          <cell r="B4181">
            <v>7624</v>
          </cell>
          <cell r="C4181" t="str">
            <v>LD_7_</v>
          </cell>
          <cell r="D4181" t="str">
            <v>Rancho Landero No. 7</v>
          </cell>
          <cell r="E4181" t="str">
            <v>Robles</v>
          </cell>
          <cell r="F4181">
            <v>150</v>
          </cell>
          <cell r="G4181">
            <v>1</v>
          </cell>
          <cell r="H4181">
            <v>150</v>
          </cell>
          <cell r="I4181">
            <v>41861</v>
          </cell>
          <cell r="J4181">
            <v>0</v>
          </cell>
          <cell r="W4181">
            <v>0</v>
          </cell>
          <cell r="AJ4181">
            <v>0</v>
          </cell>
          <cell r="AR4181">
            <v>150</v>
          </cell>
          <cell r="AW4181">
            <v>150</v>
          </cell>
        </row>
        <row r="4182">
          <cell r="B4182">
            <v>7625</v>
          </cell>
          <cell r="C4182" t="str">
            <v>ZB_18_</v>
          </cell>
          <cell r="D4182" t="str">
            <v>Rancho Zinamba No. 18</v>
          </cell>
          <cell r="E4182" t="str">
            <v>Hernández Castro</v>
          </cell>
          <cell r="F4182">
            <v>300</v>
          </cell>
          <cell r="G4182">
            <v>1</v>
          </cell>
          <cell r="H4182">
            <v>800</v>
          </cell>
          <cell r="I4182">
            <v>41861</v>
          </cell>
          <cell r="J4182">
            <v>0</v>
          </cell>
          <cell r="W4182">
            <v>0</v>
          </cell>
          <cell r="AJ4182">
            <v>0</v>
          </cell>
          <cell r="AO4182">
            <v>200</v>
          </cell>
          <cell r="AP4182">
            <v>200</v>
          </cell>
          <cell r="AQ4182">
            <v>200</v>
          </cell>
          <cell r="AR4182">
            <v>200</v>
          </cell>
          <cell r="AW4182">
            <v>800</v>
          </cell>
        </row>
        <row r="4183">
          <cell r="B4183">
            <v>7626</v>
          </cell>
          <cell r="C4183" t="str">
            <v>CL_45_</v>
          </cell>
          <cell r="D4183" t="str">
            <v>Rancho La Cuchilla No. 45</v>
          </cell>
          <cell r="E4183" t="str">
            <v>Estévez Hernández</v>
          </cell>
          <cell r="F4183">
            <v>300</v>
          </cell>
          <cell r="G4183">
            <v>1</v>
          </cell>
          <cell r="H4183">
            <v>400</v>
          </cell>
          <cell r="I4183">
            <v>41861</v>
          </cell>
          <cell r="J4183">
            <v>0</v>
          </cell>
          <cell r="W4183">
            <v>0</v>
          </cell>
          <cell r="AJ4183">
            <v>0</v>
          </cell>
          <cell r="AR4183">
            <v>400</v>
          </cell>
          <cell r="AW4183">
            <v>400</v>
          </cell>
        </row>
        <row r="4184">
          <cell r="B4184">
            <v>7627</v>
          </cell>
          <cell r="C4184" t="str">
            <v>ZB_88_</v>
          </cell>
          <cell r="D4184" t="str">
            <v>Rancho Zinamba No. 88</v>
          </cell>
          <cell r="E4184" t="str">
            <v>Martínez</v>
          </cell>
          <cell r="F4184">
            <v>250</v>
          </cell>
          <cell r="G4184">
            <v>1</v>
          </cell>
          <cell r="H4184">
            <v>350</v>
          </cell>
          <cell r="I4184">
            <v>41861</v>
          </cell>
          <cell r="J4184">
            <v>0</v>
          </cell>
          <cell r="W4184">
            <v>0</v>
          </cell>
          <cell r="AJ4184">
            <v>0</v>
          </cell>
          <cell r="AR4184">
            <v>350</v>
          </cell>
          <cell r="AW4184">
            <v>350</v>
          </cell>
        </row>
        <row r="4185">
          <cell r="B4185">
            <v>7628</v>
          </cell>
          <cell r="C4185" t="str">
            <v>ZB_50_</v>
          </cell>
          <cell r="D4185" t="str">
            <v>Rancho Zinamba No. 50</v>
          </cell>
          <cell r="E4185" t="str">
            <v>Del Castillo</v>
          </cell>
          <cell r="F4185">
            <v>300</v>
          </cell>
          <cell r="G4185">
            <v>1</v>
          </cell>
          <cell r="H4185">
            <v>400</v>
          </cell>
          <cell r="I4185">
            <v>41861</v>
          </cell>
          <cell r="J4185">
            <v>0</v>
          </cell>
          <cell r="W4185">
            <v>0</v>
          </cell>
          <cell r="AJ4185">
            <v>0</v>
          </cell>
          <cell r="AQ4185">
            <v>400</v>
          </cell>
          <cell r="AW4185">
            <v>400</v>
          </cell>
        </row>
        <row r="4186">
          <cell r="B4186">
            <v>7629</v>
          </cell>
          <cell r="C4186" t="str">
            <v>HS_828_</v>
          </cell>
          <cell r="D4186" t="str">
            <v>Calzada del Hueso No. 828</v>
          </cell>
          <cell r="E4186" t="str">
            <v>Cervantes, Miguel</v>
          </cell>
          <cell r="F4186">
            <v>300</v>
          </cell>
          <cell r="G4186">
            <v>1</v>
          </cell>
          <cell r="H4186">
            <v>400</v>
          </cell>
          <cell r="I4186">
            <v>41862</v>
          </cell>
          <cell r="J4186">
            <v>0</v>
          </cell>
          <cell r="W4186">
            <v>0</v>
          </cell>
          <cell r="AJ4186">
            <v>0</v>
          </cell>
          <cell r="AP4186">
            <v>400</v>
          </cell>
          <cell r="AW4186">
            <v>400</v>
          </cell>
        </row>
        <row r="4187">
          <cell r="B4187">
            <v>7630</v>
          </cell>
          <cell r="C4187" t="str">
            <v>LD_37_</v>
          </cell>
          <cell r="D4187" t="str">
            <v>Rancho Landero No. 37</v>
          </cell>
          <cell r="E4187" t="str">
            <v>Hernández</v>
          </cell>
          <cell r="F4187">
            <v>300</v>
          </cell>
          <cell r="G4187">
            <v>1</v>
          </cell>
          <cell r="H4187">
            <v>1800</v>
          </cell>
          <cell r="I4187">
            <v>41862</v>
          </cell>
          <cell r="J4187">
            <v>0</v>
          </cell>
          <cell r="W4187">
            <v>0</v>
          </cell>
          <cell r="AJ4187">
            <v>0</v>
          </cell>
          <cell r="AM4187">
            <v>300</v>
          </cell>
          <cell r="AN4187">
            <v>300</v>
          </cell>
          <cell r="AO4187">
            <v>300</v>
          </cell>
          <cell r="AP4187">
            <v>300</v>
          </cell>
          <cell r="AQ4187">
            <v>300</v>
          </cell>
          <cell r="AR4187">
            <v>300</v>
          </cell>
          <cell r="AW4187">
            <v>1800</v>
          </cell>
        </row>
        <row r="4188">
          <cell r="B4188">
            <v>7631</v>
          </cell>
          <cell r="C4188" t="str">
            <v>UP_65_</v>
          </cell>
          <cell r="D4188" t="str">
            <v>Rancho Upácuaro No. 65</v>
          </cell>
          <cell r="E4188" t="str">
            <v>Olguín</v>
          </cell>
          <cell r="F4188">
            <v>300</v>
          </cell>
          <cell r="G4188">
            <v>1</v>
          </cell>
          <cell r="H4188">
            <v>900</v>
          </cell>
          <cell r="I4188">
            <v>41863</v>
          </cell>
          <cell r="J4188">
            <v>0</v>
          </cell>
          <cell r="W4188">
            <v>0</v>
          </cell>
          <cell r="AJ4188">
            <v>0</v>
          </cell>
          <cell r="AO4188">
            <v>300</v>
          </cell>
          <cell r="AP4188">
            <v>300</v>
          </cell>
          <cell r="AQ4188">
            <v>300</v>
          </cell>
          <cell r="AW4188">
            <v>900</v>
          </cell>
        </row>
        <row r="4189">
          <cell r="B4189">
            <v>7632</v>
          </cell>
          <cell r="C4189" t="str">
            <v>ZB_14_</v>
          </cell>
          <cell r="D4189" t="str">
            <v>Rancho Zinamba No. 14</v>
          </cell>
          <cell r="E4189" t="str">
            <v>Gutiérrez García</v>
          </cell>
          <cell r="F4189">
            <v>300</v>
          </cell>
          <cell r="G4189">
            <v>1</v>
          </cell>
          <cell r="H4189">
            <v>400</v>
          </cell>
          <cell r="I4189">
            <v>41863</v>
          </cell>
          <cell r="J4189">
            <v>0</v>
          </cell>
          <cell r="W4189">
            <v>0</v>
          </cell>
          <cell r="AJ4189">
            <v>0</v>
          </cell>
          <cell r="AQ4189">
            <v>400</v>
          </cell>
          <cell r="AW4189">
            <v>400</v>
          </cell>
        </row>
        <row r="4190">
          <cell r="B4190">
            <v>7633</v>
          </cell>
          <cell r="C4190" t="str">
            <v>UP_62_</v>
          </cell>
          <cell r="D4190" t="str">
            <v>Rancho Upácuaro No. 62</v>
          </cell>
          <cell r="E4190" t="str">
            <v>Jiménez Escutia</v>
          </cell>
          <cell r="F4190">
            <v>300</v>
          </cell>
          <cell r="G4190">
            <v>1</v>
          </cell>
          <cell r="H4190">
            <v>1600</v>
          </cell>
          <cell r="I4190">
            <v>41866</v>
          </cell>
          <cell r="J4190">
            <v>0</v>
          </cell>
          <cell r="W4190">
            <v>0</v>
          </cell>
          <cell r="AJ4190">
            <v>0</v>
          </cell>
          <cell r="AN4190">
            <v>400</v>
          </cell>
          <cell r="AO4190">
            <v>400</v>
          </cell>
          <cell r="AP4190">
            <v>400</v>
          </cell>
          <cell r="AQ4190">
            <v>400</v>
          </cell>
          <cell r="AW4190">
            <v>1600</v>
          </cell>
        </row>
        <row r="4191">
          <cell r="B4191">
            <v>7634</v>
          </cell>
          <cell r="C4191" t="str">
            <v>EZ_115_</v>
          </cell>
          <cell r="D4191" t="str">
            <v>Rancho Estanzuela No. 115</v>
          </cell>
          <cell r="E4191" t="str">
            <v>Frías Solórzano</v>
          </cell>
          <cell r="F4191">
            <v>200</v>
          </cell>
          <cell r="G4191">
            <v>1</v>
          </cell>
          <cell r="H4191">
            <v>500</v>
          </cell>
          <cell r="I4191">
            <v>41866</v>
          </cell>
          <cell r="J4191">
            <v>0</v>
          </cell>
          <cell r="W4191">
            <v>0</v>
          </cell>
          <cell r="AJ4191">
            <v>0</v>
          </cell>
          <cell r="AQ4191">
            <v>250</v>
          </cell>
          <cell r="AR4191">
            <v>250</v>
          </cell>
          <cell r="AW4191">
            <v>500</v>
          </cell>
        </row>
        <row r="4192">
          <cell r="B4192">
            <v>7635</v>
          </cell>
          <cell r="C4192" t="str">
            <v>CL_67_</v>
          </cell>
          <cell r="D4192" t="str">
            <v>Rancho La Cuchilla No. 67</v>
          </cell>
          <cell r="E4192" t="str">
            <v>Quezada Viruega</v>
          </cell>
          <cell r="F4192">
            <v>300</v>
          </cell>
          <cell r="G4192">
            <v>1</v>
          </cell>
          <cell r="H4192">
            <v>400</v>
          </cell>
          <cell r="I4192">
            <v>41866</v>
          </cell>
          <cell r="J4192">
            <v>0</v>
          </cell>
          <cell r="W4192">
            <v>0</v>
          </cell>
          <cell r="AJ4192">
            <v>0</v>
          </cell>
          <cell r="AM4192">
            <v>400</v>
          </cell>
          <cell r="AW4192">
            <v>400</v>
          </cell>
        </row>
        <row r="4193">
          <cell r="B4193">
            <v>7636</v>
          </cell>
          <cell r="C4193" t="str">
            <v>EZ_49_</v>
          </cell>
          <cell r="D4193" t="str">
            <v>Rancho Estanzuela No. 49</v>
          </cell>
          <cell r="E4193" t="str">
            <v>Sánchez Zamora</v>
          </cell>
          <cell r="F4193">
            <v>300</v>
          </cell>
          <cell r="G4193">
            <v>1</v>
          </cell>
          <cell r="H4193">
            <v>200</v>
          </cell>
          <cell r="I4193">
            <v>41867</v>
          </cell>
          <cell r="J4193">
            <v>0</v>
          </cell>
          <cell r="W4193">
            <v>0</v>
          </cell>
          <cell r="AJ4193">
            <v>0</v>
          </cell>
          <cell r="AN4193">
            <v>200</v>
          </cell>
          <cell r="AW4193">
            <v>200</v>
          </cell>
        </row>
        <row r="4194">
          <cell r="B4194">
            <v>7637</v>
          </cell>
          <cell r="C4194" t="str">
            <v>RM_10_B</v>
          </cell>
          <cell r="D4194" t="str">
            <v>Rancho Romeral No. 10, B</v>
          </cell>
          <cell r="E4194" t="str">
            <v>López Castellano</v>
          </cell>
          <cell r="F4194">
            <v>300</v>
          </cell>
          <cell r="G4194">
            <v>1</v>
          </cell>
          <cell r="H4194">
            <v>300</v>
          </cell>
          <cell r="I4194">
            <v>41868</v>
          </cell>
          <cell r="J4194">
            <v>0</v>
          </cell>
          <cell r="W4194">
            <v>0</v>
          </cell>
          <cell r="AJ4194">
            <v>0</v>
          </cell>
          <cell r="AR4194">
            <v>300</v>
          </cell>
          <cell r="AW4194">
            <v>300</v>
          </cell>
        </row>
        <row r="4195">
          <cell r="B4195">
            <v>7638</v>
          </cell>
          <cell r="C4195" t="str">
            <v>CL_55_</v>
          </cell>
          <cell r="D4195" t="str">
            <v>Rancho La Cuchilla No. 55</v>
          </cell>
          <cell r="E4195" t="str">
            <v>López Velázquez</v>
          </cell>
          <cell r="F4195">
            <v>300</v>
          </cell>
          <cell r="G4195">
            <v>1</v>
          </cell>
          <cell r="H4195">
            <v>800</v>
          </cell>
          <cell r="I4195">
            <v>41868</v>
          </cell>
          <cell r="J4195">
            <v>0</v>
          </cell>
          <cell r="W4195">
            <v>0</v>
          </cell>
          <cell r="AJ4195">
            <v>0</v>
          </cell>
          <cell r="AQ4195">
            <v>400</v>
          </cell>
          <cell r="AR4195">
            <v>400</v>
          </cell>
          <cell r="AW4195">
            <v>800</v>
          </cell>
        </row>
        <row r="4196">
          <cell r="B4196">
            <v>7639</v>
          </cell>
          <cell r="C4196" t="str">
            <v>RM_10_A</v>
          </cell>
          <cell r="D4196" t="str">
            <v>Rancho Romeral No. 10, A</v>
          </cell>
          <cell r="E4196" t="str">
            <v>Casillas Álvarez</v>
          </cell>
          <cell r="F4196">
            <v>150</v>
          </cell>
          <cell r="G4196">
            <v>1</v>
          </cell>
          <cell r="H4196">
            <v>200</v>
          </cell>
          <cell r="I4196">
            <v>41868</v>
          </cell>
          <cell r="J4196">
            <v>0</v>
          </cell>
          <cell r="W4196">
            <v>0</v>
          </cell>
          <cell r="AJ4196">
            <v>0</v>
          </cell>
          <cell r="AS4196">
            <v>200</v>
          </cell>
          <cell r="AW4196">
            <v>200</v>
          </cell>
        </row>
        <row r="4197">
          <cell r="B4197">
            <v>7640</v>
          </cell>
          <cell r="C4197" t="str">
            <v>CL_112_PB</v>
          </cell>
          <cell r="D4197" t="str">
            <v>Rancho La Cuchilla No. 112, PB</v>
          </cell>
          <cell r="E4197" t="str">
            <v>Soreque</v>
          </cell>
          <cell r="F4197">
            <v>150</v>
          </cell>
          <cell r="G4197">
            <v>1</v>
          </cell>
          <cell r="H4197">
            <v>200</v>
          </cell>
          <cell r="I4197">
            <v>41868</v>
          </cell>
          <cell r="J4197">
            <v>0</v>
          </cell>
          <cell r="W4197">
            <v>0</v>
          </cell>
          <cell r="AJ4197">
            <v>0</v>
          </cell>
          <cell r="AR4197">
            <v>200</v>
          </cell>
          <cell r="AW4197">
            <v>200</v>
          </cell>
        </row>
        <row r="4198">
          <cell r="B4198">
            <v>7641</v>
          </cell>
          <cell r="C4198" t="str">
            <v>LD_42_</v>
          </cell>
          <cell r="D4198" t="str">
            <v>Rancho Landero No. 42</v>
          </cell>
          <cell r="E4198" t="str">
            <v>Ávila Fidel</v>
          </cell>
          <cell r="F4198">
            <v>300</v>
          </cell>
          <cell r="G4198">
            <v>1</v>
          </cell>
          <cell r="H4198">
            <v>500</v>
          </cell>
          <cell r="I4198">
            <v>41868</v>
          </cell>
          <cell r="J4198">
            <v>0</v>
          </cell>
          <cell r="W4198">
            <v>0</v>
          </cell>
          <cell r="AJ4198">
            <v>0</v>
          </cell>
          <cell r="AS4198">
            <v>500</v>
          </cell>
          <cell r="AW4198">
            <v>500</v>
          </cell>
        </row>
        <row r="4199">
          <cell r="B4199">
            <v>7642</v>
          </cell>
          <cell r="C4199" t="str">
            <v>ZB_24_</v>
          </cell>
          <cell r="D4199" t="str">
            <v>Rancho Zinamba No. 24</v>
          </cell>
          <cell r="E4199" t="str">
            <v>Monroy García</v>
          </cell>
          <cell r="F4199">
            <v>300</v>
          </cell>
          <cell r="G4199">
            <v>1</v>
          </cell>
          <cell r="H4199">
            <v>400</v>
          </cell>
          <cell r="I4199">
            <v>41868</v>
          </cell>
          <cell r="J4199">
            <v>0</v>
          </cell>
          <cell r="W4199">
            <v>0</v>
          </cell>
          <cell r="AJ4199">
            <v>0</v>
          </cell>
          <cell r="AR4199">
            <v>400</v>
          </cell>
          <cell r="AW4199">
            <v>400</v>
          </cell>
        </row>
        <row r="4200">
          <cell r="B4200">
            <v>7643</v>
          </cell>
          <cell r="C4200" t="str">
            <v>UP_114_</v>
          </cell>
          <cell r="D4200" t="str">
            <v>Rancho Upácuaro No. 114</v>
          </cell>
          <cell r="E4200" t="str">
            <v>Hernández Cornejo</v>
          </cell>
          <cell r="F4200">
            <v>300</v>
          </cell>
          <cell r="G4200">
            <v>1</v>
          </cell>
          <cell r="H4200">
            <v>400</v>
          </cell>
          <cell r="I4200">
            <v>41868</v>
          </cell>
          <cell r="J4200">
            <v>0</v>
          </cell>
          <cell r="W4200">
            <v>0</v>
          </cell>
          <cell r="AJ4200">
            <v>0</v>
          </cell>
          <cell r="AR4200">
            <v>400</v>
          </cell>
          <cell r="AW4200">
            <v>400</v>
          </cell>
        </row>
        <row r="4201">
          <cell r="B4201">
            <v>7644</v>
          </cell>
          <cell r="C4201" t="str">
            <v>UP_116_</v>
          </cell>
          <cell r="D4201" t="str">
            <v>Rancho Upácuaro No. 116</v>
          </cell>
          <cell r="E4201" t="str">
            <v>García Zamudio</v>
          </cell>
          <cell r="F4201">
            <v>300</v>
          </cell>
          <cell r="G4201">
            <v>1</v>
          </cell>
          <cell r="H4201">
            <v>800</v>
          </cell>
          <cell r="I4201">
            <v>41868</v>
          </cell>
          <cell r="J4201">
            <v>0</v>
          </cell>
          <cell r="W4201">
            <v>0</v>
          </cell>
          <cell r="AJ4201">
            <v>0</v>
          </cell>
          <cell r="AQ4201">
            <v>400</v>
          </cell>
          <cell r="AR4201">
            <v>400</v>
          </cell>
          <cell r="AW4201">
            <v>800</v>
          </cell>
        </row>
        <row r="4202">
          <cell r="B4202">
            <v>7644</v>
          </cell>
          <cell r="C4202" t="str">
            <v>UP_116_</v>
          </cell>
          <cell r="D4202" t="str">
            <v>Rancho Upácuaro No. 116</v>
          </cell>
          <cell r="E4202" t="str">
            <v>García Zamudio</v>
          </cell>
          <cell r="F4202">
            <v>300</v>
          </cell>
          <cell r="G4202">
            <v>4</v>
          </cell>
          <cell r="H4202">
            <v>160</v>
          </cell>
          <cell r="I4202">
            <v>41868</v>
          </cell>
          <cell r="J4202" t="str">
            <v>NO SUMA</v>
          </cell>
          <cell r="W4202">
            <v>0</v>
          </cell>
          <cell r="AJ4202">
            <v>0</v>
          </cell>
          <cell r="AW4202">
            <v>0</v>
          </cell>
        </row>
        <row r="4203">
          <cell r="B4203">
            <v>7645</v>
          </cell>
          <cell r="C4203" t="str">
            <v>CL_41_</v>
          </cell>
          <cell r="D4203" t="str">
            <v>Rancho La Cuchilla No. 41</v>
          </cell>
          <cell r="E4203" t="str">
            <v>Arriaga Lemus</v>
          </cell>
          <cell r="F4203">
            <v>250</v>
          </cell>
          <cell r="G4203">
            <v>1</v>
          </cell>
          <cell r="H4203">
            <v>400</v>
          </cell>
          <cell r="I4203">
            <v>41868</v>
          </cell>
          <cell r="J4203">
            <v>0</v>
          </cell>
          <cell r="W4203">
            <v>0</v>
          </cell>
          <cell r="AJ4203">
            <v>0</v>
          </cell>
          <cell r="AR4203">
            <v>400</v>
          </cell>
          <cell r="AW4203">
            <v>400</v>
          </cell>
        </row>
        <row r="4204">
          <cell r="B4204">
            <v>7646</v>
          </cell>
          <cell r="C4204" t="str">
            <v>CL_18_</v>
          </cell>
          <cell r="D4204" t="str">
            <v>Rancho La Cuchilla No. 18</v>
          </cell>
          <cell r="E4204" t="str">
            <v>Aldana Sánchez</v>
          </cell>
          <cell r="F4204">
            <v>300</v>
          </cell>
          <cell r="G4204">
            <v>1</v>
          </cell>
          <cell r="H4204">
            <v>400</v>
          </cell>
          <cell r="I4204">
            <v>41865</v>
          </cell>
          <cell r="J4204">
            <v>0</v>
          </cell>
          <cell r="W4204">
            <v>0</v>
          </cell>
          <cell r="AJ4204">
            <v>0</v>
          </cell>
          <cell r="AR4204">
            <v>400</v>
          </cell>
          <cell r="AW4204">
            <v>400</v>
          </cell>
        </row>
        <row r="4205">
          <cell r="B4205">
            <v>7647</v>
          </cell>
          <cell r="C4205" t="str">
            <v>RM_9_A</v>
          </cell>
          <cell r="D4205" t="str">
            <v>Rancho Romeral No. 9, A</v>
          </cell>
          <cell r="E4205" t="str">
            <v>Quiñones Hernández</v>
          </cell>
          <cell r="F4205">
            <v>300</v>
          </cell>
          <cell r="G4205">
            <v>1</v>
          </cell>
          <cell r="H4205">
            <v>400</v>
          </cell>
          <cell r="I4205">
            <v>41865</v>
          </cell>
          <cell r="J4205">
            <v>0</v>
          </cell>
          <cell r="W4205">
            <v>0</v>
          </cell>
          <cell r="AJ4205">
            <v>0</v>
          </cell>
          <cell r="AQ4205">
            <v>400</v>
          </cell>
          <cell r="AW4205">
            <v>400</v>
          </cell>
        </row>
        <row r="4206">
          <cell r="B4206">
            <v>7647</v>
          </cell>
          <cell r="C4206" t="str">
            <v>RM_9_A</v>
          </cell>
          <cell r="D4206" t="str">
            <v>Rancho Romeral No. 9, A</v>
          </cell>
          <cell r="E4206" t="str">
            <v>Quiñones Hernández</v>
          </cell>
          <cell r="F4206">
            <v>300</v>
          </cell>
          <cell r="G4206">
            <v>3</v>
          </cell>
          <cell r="H4206">
            <v>160</v>
          </cell>
          <cell r="I4206">
            <v>41865</v>
          </cell>
          <cell r="J4206" t="str">
            <v>NO SUMA</v>
          </cell>
          <cell r="W4206">
            <v>0</v>
          </cell>
          <cell r="AJ4206">
            <v>0</v>
          </cell>
          <cell r="AW4206">
            <v>0</v>
          </cell>
        </row>
        <row r="4207">
          <cell r="B4207">
            <v>7648</v>
          </cell>
          <cell r="C4207" t="str">
            <v>EZ_11_B</v>
          </cell>
          <cell r="D4207" t="str">
            <v>Rancho Estanzuela No. 11, B</v>
          </cell>
          <cell r="E4207" t="str">
            <v>Gómez Miguel</v>
          </cell>
          <cell r="F4207">
            <v>200</v>
          </cell>
          <cell r="G4207">
            <v>1</v>
          </cell>
          <cell r="H4207">
            <v>600</v>
          </cell>
          <cell r="I4207">
            <v>41865</v>
          </cell>
          <cell r="J4207">
            <v>0</v>
          </cell>
          <cell r="W4207">
            <v>0</v>
          </cell>
          <cell r="AJ4207">
            <v>0</v>
          </cell>
          <cell r="AO4207">
            <v>200</v>
          </cell>
          <cell r="AP4207">
            <v>200</v>
          </cell>
          <cell r="AQ4207">
            <v>200</v>
          </cell>
          <cell r="AW4207">
            <v>600</v>
          </cell>
        </row>
        <row r="4208">
          <cell r="B4208">
            <v>7649</v>
          </cell>
          <cell r="C4208" t="str">
            <v>CL_130_</v>
          </cell>
          <cell r="D4208" t="str">
            <v>Rancho La Cuchilla No. 130</v>
          </cell>
          <cell r="E4208" t="str">
            <v>Gonzalez</v>
          </cell>
          <cell r="F4208">
            <v>300</v>
          </cell>
          <cell r="G4208">
            <v>1</v>
          </cell>
          <cell r="H4208">
            <v>400</v>
          </cell>
          <cell r="I4208">
            <v>41865</v>
          </cell>
          <cell r="J4208">
            <v>0</v>
          </cell>
          <cell r="W4208">
            <v>0</v>
          </cell>
          <cell r="AJ4208">
            <v>0</v>
          </cell>
          <cell r="AR4208">
            <v>400</v>
          </cell>
          <cell r="AW4208">
            <v>400</v>
          </cell>
        </row>
        <row r="4209">
          <cell r="B4209">
            <v>7650</v>
          </cell>
          <cell r="C4209" t="str">
            <v>CL_66_</v>
          </cell>
          <cell r="D4209" t="str">
            <v>Rancho La Cuchilla No. 66</v>
          </cell>
          <cell r="E4209" t="str">
            <v>Prieto</v>
          </cell>
          <cell r="F4209">
            <v>300</v>
          </cell>
          <cell r="G4209">
            <v>1</v>
          </cell>
          <cell r="H4209">
            <v>800</v>
          </cell>
          <cell r="I4209">
            <v>41865</v>
          </cell>
          <cell r="J4209">
            <v>0</v>
          </cell>
          <cell r="W4209">
            <v>0</v>
          </cell>
          <cell r="AJ4209">
            <v>0</v>
          </cell>
          <cell r="AQ4209">
            <v>400</v>
          </cell>
          <cell r="AR4209">
            <v>400</v>
          </cell>
          <cell r="AW4209">
            <v>800</v>
          </cell>
        </row>
        <row r="4210">
          <cell r="B4210">
            <v>7651</v>
          </cell>
          <cell r="C4210" t="str">
            <v>LD_63_</v>
          </cell>
          <cell r="D4210" t="str">
            <v>Rancho Landero No. 63</v>
          </cell>
          <cell r="E4210" t="str">
            <v>Hernández Chávez</v>
          </cell>
          <cell r="F4210">
            <v>300</v>
          </cell>
          <cell r="G4210">
            <v>1</v>
          </cell>
          <cell r="H4210">
            <v>800</v>
          </cell>
          <cell r="I4210">
            <v>41868</v>
          </cell>
          <cell r="J4210">
            <v>0</v>
          </cell>
          <cell r="W4210">
            <v>0</v>
          </cell>
          <cell r="AJ4210">
            <v>0</v>
          </cell>
          <cell r="AP4210">
            <v>400</v>
          </cell>
          <cell r="AQ4210">
            <v>400</v>
          </cell>
          <cell r="AW4210">
            <v>800</v>
          </cell>
        </row>
        <row r="4211">
          <cell r="B4211">
            <v>7652</v>
          </cell>
          <cell r="C4211" t="str">
            <v>UP_90_</v>
          </cell>
          <cell r="D4211" t="str">
            <v>Rancho Upácuaro No. 90</v>
          </cell>
          <cell r="E4211" t="str">
            <v>Moreno Calderón</v>
          </cell>
          <cell r="F4211">
            <v>150</v>
          </cell>
          <cell r="G4211">
            <v>1</v>
          </cell>
          <cell r="H4211">
            <v>400</v>
          </cell>
          <cell r="I4211">
            <v>41868</v>
          </cell>
          <cell r="J4211">
            <v>0</v>
          </cell>
          <cell r="W4211">
            <v>0</v>
          </cell>
          <cell r="AJ4211">
            <v>0</v>
          </cell>
          <cell r="AQ4211">
            <v>200</v>
          </cell>
          <cell r="AR4211">
            <v>200</v>
          </cell>
          <cell r="AW4211">
            <v>400</v>
          </cell>
        </row>
        <row r="4212">
          <cell r="B4212">
            <v>7653</v>
          </cell>
          <cell r="C4212" t="str">
            <v>LD_91_</v>
          </cell>
          <cell r="D4212" t="str">
            <v>Rancho Landero No. 91</v>
          </cell>
          <cell r="E4212" t="str">
            <v>Llaca</v>
          </cell>
          <cell r="F4212">
            <v>300</v>
          </cell>
          <cell r="G4212">
            <v>1</v>
          </cell>
          <cell r="H4212">
            <v>400</v>
          </cell>
          <cell r="I4212">
            <v>41868</v>
          </cell>
          <cell r="J4212">
            <v>0</v>
          </cell>
          <cell r="W4212">
            <v>0</v>
          </cell>
          <cell r="AJ4212">
            <v>0</v>
          </cell>
          <cell r="AR4212">
            <v>400</v>
          </cell>
          <cell r="AW4212">
            <v>400</v>
          </cell>
        </row>
        <row r="4213">
          <cell r="B4213">
            <v>7654</v>
          </cell>
          <cell r="C4213" t="str">
            <v>LD_96_</v>
          </cell>
          <cell r="D4213" t="str">
            <v>Rancho Landero No. 96</v>
          </cell>
          <cell r="E4213" t="str">
            <v>Espinoza Aguirre</v>
          </cell>
          <cell r="F4213">
            <v>300</v>
          </cell>
          <cell r="G4213">
            <v>1</v>
          </cell>
          <cell r="H4213">
            <v>800</v>
          </cell>
          <cell r="I4213">
            <v>41868</v>
          </cell>
          <cell r="J4213">
            <v>0</v>
          </cell>
          <cell r="W4213">
            <v>0</v>
          </cell>
          <cell r="AJ4213">
            <v>0</v>
          </cell>
          <cell r="AP4213">
            <v>400</v>
          </cell>
          <cell r="AQ4213">
            <v>400</v>
          </cell>
          <cell r="AW4213">
            <v>800</v>
          </cell>
        </row>
        <row r="4214">
          <cell r="B4214">
            <v>7655</v>
          </cell>
          <cell r="C4214" t="str">
            <v>CL_127_</v>
          </cell>
          <cell r="D4214" t="str">
            <v>Rancho La Cuchilla No. 127</v>
          </cell>
          <cell r="E4214" t="str">
            <v>Quiñones</v>
          </cell>
          <cell r="F4214">
            <v>300</v>
          </cell>
          <cell r="G4214">
            <v>1</v>
          </cell>
          <cell r="H4214">
            <v>400</v>
          </cell>
          <cell r="I4214">
            <v>41868</v>
          </cell>
          <cell r="J4214">
            <v>0</v>
          </cell>
          <cell r="W4214">
            <v>0</v>
          </cell>
          <cell r="AJ4214">
            <v>0</v>
          </cell>
          <cell r="AR4214">
            <v>400</v>
          </cell>
          <cell r="AW4214">
            <v>400</v>
          </cell>
        </row>
        <row r="4215">
          <cell r="B4215">
            <v>7656</v>
          </cell>
          <cell r="C4215" t="str">
            <v>CL_127_</v>
          </cell>
          <cell r="D4215" t="str">
            <v>Rancho La Cuchilla No. 127</v>
          </cell>
          <cell r="E4215" t="str">
            <v>Quiñones</v>
          </cell>
          <cell r="F4215">
            <v>300</v>
          </cell>
          <cell r="G4215">
            <v>4</v>
          </cell>
          <cell r="H4215">
            <v>160</v>
          </cell>
          <cell r="I4215">
            <v>41868</v>
          </cell>
          <cell r="J4215" t="str">
            <v>NO SUMA</v>
          </cell>
          <cell r="W4215">
            <v>0</v>
          </cell>
          <cell r="AJ4215">
            <v>0</v>
          </cell>
          <cell r="AW4215">
            <v>0</v>
          </cell>
        </row>
        <row r="4216">
          <cell r="B4216">
            <v>7657</v>
          </cell>
          <cell r="C4216" t="str">
            <v>CL_111_</v>
          </cell>
          <cell r="D4216" t="str">
            <v>Rancho La Cuchilla No. 111</v>
          </cell>
          <cell r="E4216" t="str">
            <v>García Santos Ofelia</v>
          </cell>
          <cell r="F4216">
            <v>150</v>
          </cell>
          <cell r="G4216">
            <v>1</v>
          </cell>
          <cell r="H4216">
            <v>200</v>
          </cell>
          <cell r="I4216">
            <v>41868</v>
          </cell>
          <cell r="J4216">
            <v>0</v>
          </cell>
          <cell r="W4216">
            <v>0</v>
          </cell>
          <cell r="AJ4216">
            <v>0</v>
          </cell>
          <cell r="AR4216">
            <v>200</v>
          </cell>
          <cell r="AW4216">
            <v>200</v>
          </cell>
        </row>
        <row r="4217">
          <cell r="B4217">
            <v>7658</v>
          </cell>
          <cell r="C4217" t="str">
            <v>CL_129_</v>
          </cell>
          <cell r="D4217" t="str">
            <v>Rancho La Cuchilla No. 129</v>
          </cell>
          <cell r="E4217" t="str">
            <v>Gamboa Rueda</v>
          </cell>
          <cell r="F4217">
            <v>200</v>
          </cell>
          <cell r="G4217">
            <v>1</v>
          </cell>
          <cell r="H4217">
            <v>300</v>
          </cell>
          <cell r="I4217">
            <v>41868</v>
          </cell>
          <cell r="J4217">
            <v>0</v>
          </cell>
          <cell r="W4217">
            <v>0</v>
          </cell>
          <cell r="AJ4217">
            <v>0</v>
          </cell>
          <cell r="AR4217">
            <v>300</v>
          </cell>
          <cell r="AW4217">
            <v>300</v>
          </cell>
        </row>
        <row r="4218">
          <cell r="B4218">
            <v>7659</v>
          </cell>
          <cell r="C4218" t="str">
            <v>EZ_65_</v>
          </cell>
          <cell r="D4218" t="str">
            <v>Rancho Estanzuela No. 65</v>
          </cell>
          <cell r="E4218" t="str">
            <v>López Becerril</v>
          </cell>
          <cell r="F4218">
            <v>300</v>
          </cell>
          <cell r="G4218">
            <v>1</v>
          </cell>
          <cell r="H4218">
            <v>400</v>
          </cell>
          <cell r="I4218">
            <v>41868</v>
          </cell>
          <cell r="J4218">
            <v>0</v>
          </cell>
          <cell r="W4218">
            <v>0</v>
          </cell>
          <cell r="AJ4218">
            <v>0</v>
          </cell>
          <cell r="AS4218">
            <v>400</v>
          </cell>
          <cell r="AW4218">
            <v>400</v>
          </cell>
        </row>
        <row r="4219">
          <cell r="B4219">
            <v>7660</v>
          </cell>
          <cell r="C4219" t="str">
            <v>CL_81_A</v>
          </cell>
          <cell r="D4219" t="str">
            <v>Rancho La Cuchilla No. 81, A</v>
          </cell>
          <cell r="E4219" t="str">
            <v>Barrientos López</v>
          </cell>
          <cell r="F4219">
            <v>300</v>
          </cell>
          <cell r="G4219">
            <v>1</v>
          </cell>
          <cell r="H4219">
            <v>400</v>
          </cell>
          <cell r="I4219">
            <v>41868</v>
          </cell>
          <cell r="J4219">
            <v>0</v>
          </cell>
          <cell r="W4219">
            <v>0</v>
          </cell>
          <cell r="AJ4219">
            <v>0</v>
          </cell>
          <cell r="AR4219">
            <v>400</v>
          </cell>
          <cell r="AW4219">
            <v>400</v>
          </cell>
        </row>
        <row r="4220">
          <cell r="B4220">
            <v>7661</v>
          </cell>
          <cell r="C4220" t="str">
            <v>ZB_80_</v>
          </cell>
          <cell r="D4220" t="str">
            <v>Rancho Zinamba No. 80</v>
          </cell>
          <cell r="E4220" t="str">
            <v>Vázquez</v>
          </cell>
          <cell r="F4220">
            <v>250</v>
          </cell>
          <cell r="G4220">
            <v>1</v>
          </cell>
          <cell r="H4220">
            <v>300</v>
          </cell>
          <cell r="I4220">
            <v>41868</v>
          </cell>
          <cell r="J4220">
            <v>0</v>
          </cell>
          <cell r="W4220">
            <v>0</v>
          </cell>
          <cell r="AJ4220">
            <v>0</v>
          </cell>
          <cell r="AR4220">
            <v>300</v>
          </cell>
          <cell r="AW4220">
            <v>300</v>
          </cell>
        </row>
        <row r="4221">
          <cell r="B4221">
            <v>7662</v>
          </cell>
          <cell r="C4221" t="str">
            <v>LD_47_</v>
          </cell>
          <cell r="D4221" t="str">
            <v>Rancho Landero No. 47</v>
          </cell>
          <cell r="E4221" t="str">
            <v>García González</v>
          </cell>
          <cell r="F4221">
            <v>300</v>
          </cell>
          <cell r="G4221">
            <v>1</v>
          </cell>
          <cell r="H4221">
            <v>400</v>
          </cell>
          <cell r="I4221">
            <v>41868</v>
          </cell>
          <cell r="J4221">
            <v>0</v>
          </cell>
          <cell r="W4221">
            <v>0</v>
          </cell>
          <cell r="AJ4221">
            <v>0</v>
          </cell>
          <cell r="AR4221">
            <v>400</v>
          </cell>
          <cell r="AW4221">
            <v>400</v>
          </cell>
        </row>
        <row r="4222">
          <cell r="B4222">
            <v>7663</v>
          </cell>
          <cell r="C4222" t="str">
            <v>EZ_7_A</v>
          </cell>
          <cell r="D4222" t="str">
            <v>Rancho Estanzuela No. 7, A</v>
          </cell>
          <cell r="E4222" t="str">
            <v>Herrera Izquierdo</v>
          </cell>
          <cell r="F4222">
            <v>150</v>
          </cell>
          <cell r="G4222">
            <v>1</v>
          </cell>
          <cell r="H4222">
            <v>200</v>
          </cell>
          <cell r="I4222">
            <v>41868</v>
          </cell>
          <cell r="J4222">
            <v>0</v>
          </cell>
          <cell r="W4222">
            <v>0</v>
          </cell>
          <cell r="AJ4222">
            <v>0</v>
          </cell>
          <cell r="AR4222">
            <v>200</v>
          </cell>
          <cell r="AW4222">
            <v>200</v>
          </cell>
        </row>
        <row r="4223">
          <cell r="B4223">
            <v>7664</v>
          </cell>
          <cell r="C4223" t="str">
            <v>UP_96_</v>
          </cell>
          <cell r="D4223" t="str">
            <v>Rancho Upácuaro No. 96</v>
          </cell>
          <cell r="E4223" t="str">
            <v>Daza Gutiérrez</v>
          </cell>
          <cell r="F4223">
            <v>300</v>
          </cell>
          <cell r="G4223">
            <v>1</v>
          </cell>
          <cell r="H4223">
            <v>400</v>
          </cell>
          <cell r="I4223">
            <v>41868</v>
          </cell>
          <cell r="J4223">
            <v>0</v>
          </cell>
          <cell r="W4223">
            <v>0</v>
          </cell>
          <cell r="AJ4223">
            <v>0</v>
          </cell>
          <cell r="AQ4223">
            <v>400</v>
          </cell>
          <cell r="AW4223">
            <v>400</v>
          </cell>
        </row>
        <row r="4224">
          <cell r="B4224">
            <v>7665</v>
          </cell>
          <cell r="C4224" t="str">
            <v>RM_17_</v>
          </cell>
          <cell r="D4224" t="str">
            <v>Rancho Romeral No. 17</v>
          </cell>
          <cell r="E4224" t="str">
            <v>Aguilar Lomelí</v>
          </cell>
          <cell r="F4224">
            <v>300</v>
          </cell>
          <cell r="G4224">
            <v>1</v>
          </cell>
          <cell r="H4224">
            <v>400</v>
          </cell>
          <cell r="I4224">
            <v>41868</v>
          </cell>
          <cell r="J4224">
            <v>0</v>
          </cell>
          <cell r="W4224">
            <v>0</v>
          </cell>
          <cell r="AJ4224">
            <v>0</v>
          </cell>
          <cell r="AR4224">
            <v>400</v>
          </cell>
          <cell r="AW4224">
            <v>400</v>
          </cell>
        </row>
        <row r="4225">
          <cell r="B4225">
            <v>7666</v>
          </cell>
          <cell r="C4225" t="str">
            <v>RM_30_</v>
          </cell>
          <cell r="D4225" t="str">
            <v>Rancho Romeral No. 30</v>
          </cell>
          <cell r="E4225" t="str">
            <v>Osorio</v>
          </cell>
          <cell r="F4225">
            <v>200</v>
          </cell>
          <cell r="G4225">
            <v>3</v>
          </cell>
          <cell r="H4225">
            <v>160</v>
          </cell>
          <cell r="I4225">
            <v>41868</v>
          </cell>
          <cell r="J4225" t="str">
            <v>NO SUMA</v>
          </cell>
          <cell r="W4225">
            <v>0</v>
          </cell>
          <cell r="AJ4225">
            <v>0</v>
          </cell>
          <cell r="AW4225">
            <v>0</v>
          </cell>
        </row>
        <row r="4226">
          <cell r="B4226">
            <v>7667</v>
          </cell>
          <cell r="C4226" t="str">
            <v>ZB_34_</v>
          </cell>
          <cell r="D4226" t="str">
            <v>Rancho Zinamba No. 34</v>
          </cell>
          <cell r="E4226" t="str">
            <v>Torres Zavala</v>
          </cell>
          <cell r="F4226">
            <v>300</v>
          </cell>
          <cell r="G4226">
            <v>1</v>
          </cell>
          <cell r="H4226">
            <v>800</v>
          </cell>
          <cell r="I4226">
            <v>41868</v>
          </cell>
          <cell r="J4226">
            <v>0</v>
          </cell>
          <cell r="W4226">
            <v>0</v>
          </cell>
          <cell r="AJ4226">
            <v>0</v>
          </cell>
          <cell r="AQ4226">
            <v>400</v>
          </cell>
          <cell r="AR4226">
            <v>400</v>
          </cell>
          <cell r="AW4226">
            <v>800</v>
          </cell>
        </row>
        <row r="4227">
          <cell r="B4227">
            <v>7668</v>
          </cell>
          <cell r="C4227" t="str">
            <v>EZ_55_</v>
          </cell>
          <cell r="D4227" t="str">
            <v>Rancho Estanzuela No. 55</v>
          </cell>
          <cell r="E4227" t="str">
            <v>Rodríguez Acevedo</v>
          </cell>
          <cell r="F4227">
            <v>300</v>
          </cell>
          <cell r="G4227">
            <v>1</v>
          </cell>
          <cell r="H4227">
            <v>400</v>
          </cell>
          <cell r="I4227">
            <v>41868</v>
          </cell>
          <cell r="J4227">
            <v>0</v>
          </cell>
          <cell r="W4227">
            <v>0</v>
          </cell>
          <cell r="AJ4227">
            <v>0</v>
          </cell>
          <cell r="AR4227">
            <v>400</v>
          </cell>
          <cell r="AW4227">
            <v>400</v>
          </cell>
        </row>
        <row r="4228">
          <cell r="B4228">
            <v>7669</v>
          </cell>
          <cell r="C4228" t="str">
            <v>ZB_56_</v>
          </cell>
          <cell r="D4228" t="str">
            <v>Rancho Zinamba No. 56</v>
          </cell>
          <cell r="E4228" t="str">
            <v>Aguado</v>
          </cell>
          <cell r="F4228">
            <v>250</v>
          </cell>
          <cell r="G4228">
            <v>1</v>
          </cell>
          <cell r="H4228">
            <v>160</v>
          </cell>
          <cell r="I4228">
            <v>41868</v>
          </cell>
          <cell r="J4228">
            <v>0</v>
          </cell>
          <cell r="W4228">
            <v>0</v>
          </cell>
          <cell r="AJ4228">
            <v>0</v>
          </cell>
          <cell r="AR4228">
            <v>160</v>
          </cell>
          <cell r="AW4228">
            <v>160</v>
          </cell>
        </row>
        <row r="4229">
          <cell r="B4229">
            <v>7670</v>
          </cell>
          <cell r="C4229" t="str">
            <v>LD_19_</v>
          </cell>
          <cell r="D4229" t="str">
            <v>Rancho Landero No. 19</v>
          </cell>
          <cell r="E4229" t="str">
            <v>Jiménez Guadarrama</v>
          </cell>
          <cell r="F4229">
            <v>300</v>
          </cell>
          <cell r="G4229">
            <v>1</v>
          </cell>
          <cell r="H4229">
            <v>900</v>
          </cell>
          <cell r="I4229">
            <v>41868</v>
          </cell>
          <cell r="J4229">
            <v>0</v>
          </cell>
          <cell r="W4229">
            <v>0</v>
          </cell>
          <cell r="AJ4229">
            <v>0</v>
          </cell>
          <cell r="AP4229">
            <v>300</v>
          </cell>
          <cell r="AQ4229">
            <v>300</v>
          </cell>
          <cell r="AR4229">
            <v>300</v>
          </cell>
          <cell r="AW4229">
            <v>900</v>
          </cell>
        </row>
        <row r="4230">
          <cell r="B4230">
            <v>7671</v>
          </cell>
          <cell r="C4230" t="str">
            <v>LD_21_</v>
          </cell>
          <cell r="D4230" t="str">
            <v>Rancho Landero No. 21</v>
          </cell>
          <cell r="E4230" t="str">
            <v>Meza</v>
          </cell>
          <cell r="F4230">
            <v>300</v>
          </cell>
          <cell r="G4230">
            <v>1</v>
          </cell>
          <cell r="H4230">
            <v>400</v>
          </cell>
          <cell r="I4230">
            <v>41868</v>
          </cell>
          <cell r="J4230">
            <v>0</v>
          </cell>
          <cell r="W4230">
            <v>0</v>
          </cell>
          <cell r="AJ4230">
            <v>0</v>
          </cell>
          <cell r="AR4230">
            <v>400</v>
          </cell>
          <cell r="AW4230">
            <v>400</v>
          </cell>
        </row>
        <row r="4231">
          <cell r="B4231">
            <v>7672</v>
          </cell>
          <cell r="C4231" t="str">
            <v>LD_85_</v>
          </cell>
          <cell r="D4231" t="str">
            <v>Rancho Landero No. 85</v>
          </cell>
          <cell r="E4231" t="str">
            <v>Martínez Olague</v>
          </cell>
          <cell r="F4231">
            <v>300</v>
          </cell>
          <cell r="G4231">
            <v>1</v>
          </cell>
          <cell r="H4231">
            <v>400</v>
          </cell>
          <cell r="I4231">
            <v>41869</v>
          </cell>
          <cell r="J4231">
            <v>0</v>
          </cell>
          <cell r="W4231">
            <v>0</v>
          </cell>
          <cell r="AJ4231">
            <v>0</v>
          </cell>
          <cell r="AR4231">
            <v>400</v>
          </cell>
          <cell r="AW4231">
            <v>400</v>
          </cell>
        </row>
        <row r="4232">
          <cell r="B4232">
            <v>7673</v>
          </cell>
          <cell r="D4232" t="str">
            <v/>
          </cell>
          <cell r="E4232" t="str">
            <v/>
          </cell>
          <cell r="F4232" t="str">
            <v/>
          </cell>
          <cell r="G4232">
            <v>8</v>
          </cell>
          <cell r="I4232">
            <v>41869</v>
          </cell>
          <cell r="J4232" t="str">
            <v>NO SUMA</v>
          </cell>
          <cell r="W4232">
            <v>0</v>
          </cell>
          <cell r="AJ4232">
            <v>0</v>
          </cell>
          <cell r="AW4232">
            <v>0</v>
          </cell>
        </row>
        <row r="4233">
          <cell r="B4233">
            <v>7674</v>
          </cell>
          <cell r="C4233" t="str">
            <v>LD_1_A</v>
          </cell>
          <cell r="D4233" t="str">
            <v>Rancho Landero No. 1, A</v>
          </cell>
          <cell r="E4233" t="str">
            <v>Ebysos</v>
          </cell>
          <cell r="F4233">
            <v>300</v>
          </cell>
          <cell r="G4233">
            <v>1</v>
          </cell>
          <cell r="H4233">
            <v>400</v>
          </cell>
          <cell r="I4233">
            <v>41869</v>
          </cell>
          <cell r="J4233">
            <v>0</v>
          </cell>
          <cell r="W4233">
            <v>0</v>
          </cell>
          <cell r="AJ4233">
            <v>0</v>
          </cell>
          <cell r="AR4233">
            <v>400</v>
          </cell>
          <cell r="AW4233">
            <v>400</v>
          </cell>
        </row>
        <row r="4234">
          <cell r="B4234">
            <v>7675</v>
          </cell>
          <cell r="C4234" t="str">
            <v>EZ_151_</v>
          </cell>
          <cell r="D4234" t="str">
            <v>Rancho Estanzuela No. 151</v>
          </cell>
          <cell r="E4234" t="str">
            <v>Pérez Salazar</v>
          </cell>
          <cell r="F4234">
            <v>300</v>
          </cell>
          <cell r="G4234">
            <v>3</v>
          </cell>
          <cell r="H4234">
            <v>160</v>
          </cell>
          <cell r="I4234">
            <v>41870</v>
          </cell>
          <cell r="J4234" t="str">
            <v>NO SUMA</v>
          </cell>
          <cell r="W4234">
            <v>0</v>
          </cell>
          <cell r="AJ4234">
            <v>0</v>
          </cell>
          <cell r="AW4234">
            <v>0</v>
          </cell>
        </row>
        <row r="4235">
          <cell r="B4235">
            <v>7676</v>
          </cell>
          <cell r="C4235" t="str">
            <v>CL_97_</v>
          </cell>
          <cell r="D4235" t="str">
            <v>Rancho La Cuchilla No. 97</v>
          </cell>
          <cell r="E4235" t="str">
            <v>López Ruiz</v>
          </cell>
          <cell r="F4235">
            <v>300</v>
          </cell>
          <cell r="G4235">
            <v>1</v>
          </cell>
          <cell r="H4235">
            <v>600</v>
          </cell>
          <cell r="I4235">
            <v>42966</v>
          </cell>
          <cell r="J4235">
            <v>0</v>
          </cell>
          <cell r="W4235">
            <v>0</v>
          </cell>
          <cell r="AJ4235">
            <v>0</v>
          </cell>
          <cell r="AQ4235">
            <v>300</v>
          </cell>
          <cell r="AR4235">
            <v>300</v>
          </cell>
          <cell r="AW4235">
            <v>600</v>
          </cell>
        </row>
        <row r="4236">
          <cell r="B4236">
            <v>7677</v>
          </cell>
          <cell r="C4236" t="str">
            <v>UP_68_</v>
          </cell>
          <cell r="D4236" t="str">
            <v>Rancho Upácuaro No. 68</v>
          </cell>
          <cell r="E4236" t="str">
            <v>Colin Guerrero</v>
          </cell>
          <cell r="F4236">
            <v>300</v>
          </cell>
          <cell r="G4236">
            <v>4</v>
          </cell>
          <cell r="H4236">
            <v>160</v>
          </cell>
          <cell r="I4236">
            <v>41871</v>
          </cell>
          <cell r="J4236" t="str">
            <v>NO SUMA</v>
          </cell>
          <cell r="W4236">
            <v>0</v>
          </cell>
          <cell r="AJ4236">
            <v>0</v>
          </cell>
          <cell r="AW4236">
            <v>0</v>
          </cell>
        </row>
        <row r="4237">
          <cell r="B4237">
            <v>7678</v>
          </cell>
          <cell r="C4237" t="str">
            <v>ZB_8_</v>
          </cell>
          <cell r="D4237" t="str">
            <v>Rancho Zinamba No. 8</v>
          </cell>
          <cell r="E4237" t="str">
            <v>Florido</v>
          </cell>
          <cell r="F4237">
            <v>300</v>
          </cell>
          <cell r="G4237">
            <v>1</v>
          </cell>
          <cell r="H4237">
            <v>800</v>
          </cell>
          <cell r="I4237">
            <v>41872</v>
          </cell>
          <cell r="J4237">
            <v>0</v>
          </cell>
          <cell r="W4237">
            <v>0</v>
          </cell>
          <cell r="AJ4237">
            <v>0</v>
          </cell>
          <cell r="AP4237">
            <v>400</v>
          </cell>
          <cell r="AQ4237">
            <v>400</v>
          </cell>
          <cell r="AW4237">
            <v>800</v>
          </cell>
        </row>
        <row r="4238">
          <cell r="B4238">
            <v>7679</v>
          </cell>
          <cell r="C4238" t="str">
            <v>RV_179_</v>
          </cell>
          <cell r="D4238" t="str">
            <v>Rancho Recoveco No. 179</v>
          </cell>
          <cell r="E4238" t="str">
            <v>Flores Delgado</v>
          </cell>
          <cell r="F4238">
            <v>300</v>
          </cell>
          <cell r="G4238">
            <v>1</v>
          </cell>
          <cell r="H4238">
            <v>400</v>
          </cell>
          <cell r="I4238">
            <v>41875</v>
          </cell>
          <cell r="J4238">
            <v>0</v>
          </cell>
          <cell r="W4238">
            <v>0</v>
          </cell>
          <cell r="AJ4238">
            <v>0</v>
          </cell>
          <cell r="AR4238">
            <v>400</v>
          </cell>
          <cell r="AW4238">
            <v>400</v>
          </cell>
        </row>
        <row r="4239">
          <cell r="B4239">
            <v>7680</v>
          </cell>
          <cell r="C4239" t="str">
            <v>UP_114_</v>
          </cell>
          <cell r="D4239" t="str">
            <v>Rancho Upácuaro No. 114</v>
          </cell>
          <cell r="E4239" t="str">
            <v>Hernández Cornejo</v>
          </cell>
          <cell r="F4239">
            <v>300</v>
          </cell>
          <cell r="G4239">
            <v>4</v>
          </cell>
          <cell r="H4239">
            <v>160</v>
          </cell>
          <cell r="I4239">
            <v>41875</v>
          </cell>
          <cell r="J4239" t="str">
            <v>NO SUMA</v>
          </cell>
          <cell r="W4239">
            <v>0</v>
          </cell>
          <cell r="AJ4239">
            <v>0</v>
          </cell>
          <cell r="AW4239">
            <v>0</v>
          </cell>
        </row>
        <row r="4240">
          <cell r="B4240">
            <v>7681</v>
          </cell>
          <cell r="C4240" t="str">
            <v>LD_58_</v>
          </cell>
          <cell r="D4240" t="str">
            <v>Rancho Landero No. 58</v>
          </cell>
          <cell r="E4240" t="str">
            <v>Valero</v>
          </cell>
          <cell r="F4240">
            <v>300</v>
          </cell>
          <cell r="G4240">
            <v>1</v>
          </cell>
          <cell r="H4240">
            <v>800</v>
          </cell>
          <cell r="I4240">
            <v>41875</v>
          </cell>
          <cell r="J4240">
            <v>0</v>
          </cell>
          <cell r="W4240">
            <v>0</v>
          </cell>
          <cell r="AJ4240">
            <v>0</v>
          </cell>
          <cell r="AR4240">
            <v>400</v>
          </cell>
          <cell r="AS4240">
            <v>400</v>
          </cell>
          <cell r="AW4240">
            <v>800</v>
          </cell>
        </row>
        <row r="4241">
          <cell r="B4241">
            <v>7682</v>
          </cell>
          <cell r="C4241" t="str">
            <v>LD_84_</v>
          </cell>
          <cell r="D4241" t="str">
            <v>Rancho Landero No. 84</v>
          </cell>
          <cell r="E4241" t="str">
            <v>Alcántara</v>
          </cell>
          <cell r="F4241">
            <v>300</v>
          </cell>
          <cell r="G4241">
            <v>1</v>
          </cell>
          <cell r="H4241">
            <v>400</v>
          </cell>
          <cell r="I4241">
            <v>41875</v>
          </cell>
          <cell r="J4241">
            <v>0</v>
          </cell>
          <cell r="W4241">
            <v>0</v>
          </cell>
          <cell r="AJ4241">
            <v>0</v>
          </cell>
          <cell r="AR4241">
            <v>400</v>
          </cell>
          <cell r="AW4241">
            <v>400</v>
          </cell>
        </row>
        <row r="4242">
          <cell r="B4242">
            <v>7683</v>
          </cell>
          <cell r="C4242" t="str">
            <v>EZ_11_a</v>
          </cell>
          <cell r="D4242" t="str">
            <v>Rancho Estanzuela No. 11, A</v>
          </cell>
          <cell r="E4242" t="str">
            <v>Evans González</v>
          </cell>
          <cell r="F4242">
            <v>300</v>
          </cell>
          <cell r="G4242">
            <v>1</v>
          </cell>
          <cell r="H4242">
            <v>300</v>
          </cell>
          <cell r="I4242">
            <v>41875</v>
          </cell>
          <cell r="J4242">
            <v>0</v>
          </cell>
          <cell r="W4242">
            <v>0</v>
          </cell>
          <cell r="AJ4242">
            <v>0</v>
          </cell>
          <cell r="AR4242">
            <v>300</v>
          </cell>
          <cell r="AW4242">
            <v>300</v>
          </cell>
        </row>
        <row r="4243">
          <cell r="B4243">
            <v>7684</v>
          </cell>
          <cell r="C4243" t="str">
            <v>UP_64_</v>
          </cell>
          <cell r="D4243" t="str">
            <v>Rancho Upácuaro No. 64</v>
          </cell>
          <cell r="E4243" t="str">
            <v>Méndez Oliva</v>
          </cell>
          <cell r="F4243">
            <v>300</v>
          </cell>
          <cell r="G4243">
            <v>1</v>
          </cell>
          <cell r="H4243">
            <v>300</v>
          </cell>
          <cell r="I4243">
            <v>41875</v>
          </cell>
          <cell r="J4243">
            <v>0</v>
          </cell>
          <cell r="W4243">
            <v>0</v>
          </cell>
          <cell r="AJ4243">
            <v>0</v>
          </cell>
          <cell r="AR4243">
            <v>300</v>
          </cell>
          <cell r="AW4243">
            <v>300</v>
          </cell>
        </row>
        <row r="4244">
          <cell r="B4244">
            <v>7685</v>
          </cell>
          <cell r="C4244" t="str">
            <v>UP_106_</v>
          </cell>
          <cell r="D4244" t="str">
            <v>Rancho Upácuaro No. 106</v>
          </cell>
          <cell r="E4244" t="str">
            <v>Hernández Sánchez</v>
          </cell>
          <cell r="F4244">
            <v>300</v>
          </cell>
          <cell r="G4244">
            <v>1</v>
          </cell>
          <cell r="H4244">
            <v>1200</v>
          </cell>
          <cell r="I4244">
            <v>41875</v>
          </cell>
          <cell r="J4244">
            <v>0</v>
          </cell>
          <cell r="W4244">
            <v>0</v>
          </cell>
          <cell r="AJ4244">
            <v>0</v>
          </cell>
          <cell r="AO4244">
            <v>400</v>
          </cell>
          <cell r="AP4244">
            <v>400</v>
          </cell>
          <cell r="AQ4244">
            <v>400</v>
          </cell>
          <cell r="AW4244">
            <v>1200</v>
          </cell>
        </row>
        <row r="4245">
          <cell r="B4245">
            <v>7686</v>
          </cell>
          <cell r="C4245" t="str">
            <v>LD_101_</v>
          </cell>
          <cell r="D4245" t="str">
            <v>Rancho Landero No. 101</v>
          </cell>
          <cell r="E4245" t="str">
            <v>Ramírez</v>
          </cell>
          <cell r="F4245">
            <v>300</v>
          </cell>
          <cell r="G4245">
            <v>1</v>
          </cell>
          <cell r="H4245">
            <v>400</v>
          </cell>
          <cell r="I4245">
            <v>41875</v>
          </cell>
          <cell r="J4245">
            <v>0</v>
          </cell>
          <cell r="W4245">
            <v>0</v>
          </cell>
          <cell r="AJ4245">
            <v>0</v>
          </cell>
          <cell r="AR4245">
            <v>400</v>
          </cell>
          <cell r="AW4245">
            <v>400</v>
          </cell>
        </row>
        <row r="4246">
          <cell r="B4246">
            <v>7687</v>
          </cell>
          <cell r="C4246" t="str">
            <v>RV_193_</v>
          </cell>
          <cell r="D4246" t="str">
            <v>Rancho Recoveco No. 193</v>
          </cell>
          <cell r="E4246" t="str">
            <v>Salazar Pérez</v>
          </cell>
          <cell r="F4246">
            <v>300</v>
          </cell>
          <cell r="G4246">
            <v>1</v>
          </cell>
          <cell r="H4246">
            <v>600</v>
          </cell>
          <cell r="I4246">
            <v>41875</v>
          </cell>
          <cell r="J4246">
            <v>0</v>
          </cell>
          <cell r="W4246">
            <v>0</v>
          </cell>
          <cell r="AJ4246">
            <v>0</v>
          </cell>
          <cell r="AQ4246">
            <v>300</v>
          </cell>
          <cell r="AR4246">
            <v>300</v>
          </cell>
          <cell r="AW4246">
            <v>600</v>
          </cell>
        </row>
        <row r="4247">
          <cell r="B4247">
            <v>7688</v>
          </cell>
          <cell r="C4247" t="str">
            <v>UP_138_</v>
          </cell>
          <cell r="D4247" t="str">
            <v>Rancho Upácuaro No. 138</v>
          </cell>
          <cell r="E4247" t="str">
            <v>Ramírez Valencia</v>
          </cell>
          <cell r="F4247">
            <v>300</v>
          </cell>
          <cell r="G4247">
            <v>1</v>
          </cell>
          <cell r="H4247">
            <v>400</v>
          </cell>
          <cell r="I4247">
            <v>41875</v>
          </cell>
          <cell r="J4247">
            <v>0</v>
          </cell>
          <cell r="W4247">
            <v>0</v>
          </cell>
          <cell r="AJ4247">
            <v>0</v>
          </cell>
          <cell r="AQ4247">
            <v>400</v>
          </cell>
          <cell r="AW4247">
            <v>400</v>
          </cell>
        </row>
        <row r="4248">
          <cell r="B4248">
            <v>7688</v>
          </cell>
          <cell r="C4248" t="str">
            <v>UP_138_</v>
          </cell>
          <cell r="D4248" t="str">
            <v>Rancho Upácuaro No. 138</v>
          </cell>
          <cell r="E4248" t="str">
            <v>Ramírez Valencia</v>
          </cell>
          <cell r="F4248">
            <v>300</v>
          </cell>
          <cell r="G4248">
            <v>3</v>
          </cell>
          <cell r="H4248">
            <v>160</v>
          </cell>
          <cell r="I4248">
            <v>41875</v>
          </cell>
          <cell r="J4248" t="str">
            <v>NO SUMA</v>
          </cell>
          <cell r="W4248">
            <v>0</v>
          </cell>
          <cell r="AJ4248">
            <v>0</v>
          </cell>
          <cell r="AW4248">
            <v>0</v>
          </cell>
        </row>
        <row r="4249">
          <cell r="B4249">
            <v>7689</v>
          </cell>
          <cell r="C4249" t="str">
            <v>RV_175_0</v>
          </cell>
          <cell r="D4249" t="str">
            <v>Rancho Recoveco No. 175</v>
          </cell>
          <cell r="E4249" t="str">
            <v>Ramírez</v>
          </cell>
          <cell r="F4249">
            <v>300</v>
          </cell>
          <cell r="G4249">
            <v>1</v>
          </cell>
          <cell r="H4249">
            <v>3200</v>
          </cell>
          <cell r="I4249">
            <v>41875</v>
          </cell>
          <cell r="J4249">
            <v>0</v>
          </cell>
          <cell r="W4249">
            <v>0</v>
          </cell>
          <cell r="AJ4249">
            <v>0</v>
          </cell>
          <cell r="AO4249">
            <v>400</v>
          </cell>
          <cell r="AP4249">
            <v>400</v>
          </cell>
          <cell r="AQ4249">
            <v>400</v>
          </cell>
          <cell r="AR4249">
            <v>400</v>
          </cell>
          <cell r="AS4249">
            <v>400</v>
          </cell>
          <cell r="AT4249">
            <v>400</v>
          </cell>
          <cell r="AU4249">
            <v>400</v>
          </cell>
          <cell r="AV4249">
            <v>400</v>
          </cell>
          <cell r="AW4249">
            <v>3200</v>
          </cell>
        </row>
        <row r="4250">
          <cell r="B4250">
            <v>7690</v>
          </cell>
          <cell r="C4250" t="str">
            <v>RV_175_0</v>
          </cell>
          <cell r="D4250" t="str">
            <v>Rancho Recoveco No. 175</v>
          </cell>
          <cell r="E4250" t="str">
            <v>Ramírez</v>
          </cell>
          <cell r="F4250">
            <v>300</v>
          </cell>
          <cell r="G4250">
            <v>4</v>
          </cell>
          <cell r="H4250">
            <v>160</v>
          </cell>
          <cell r="I4250">
            <v>41875</v>
          </cell>
          <cell r="J4250" t="str">
            <v>NO SUMA</v>
          </cell>
          <cell r="W4250">
            <v>0</v>
          </cell>
          <cell r="AJ4250">
            <v>0</v>
          </cell>
          <cell r="AW4250">
            <v>0</v>
          </cell>
        </row>
        <row r="4251">
          <cell r="B4251">
            <v>7691</v>
          </cell>
          <cell r="C4251" t="str">
            <v>CL_53_</v>
          </cell>
          <cell r="D4251" t="str">
            <v>Rancho La Cuchilla No. 53</v>
          </cell>
          <cell r="E4251" t="str">
            <v>Rivera Hernández</v>
          </cell>
          <cell r="F4251">
            <v>400</v>
          </cell>
          <cell r="G4251">
            <v>4</v>
          </cell>
          <cell r="H4251">
            <v>160</v>
          </cell>
          <cell r="I4251">
            <v>41875</v>
          </cell>
          <cell r="J4251" t="str">
            <v>NO SUMA</v>
          </cell>
          <cell r="W4251">
            <v>0</v>
          </cell>
          <cell r="AJ4251">
            <v>0</v>
          </cell>
          <cell r="AW4251">
            <v>0</v>
          </cell>
        </row>
        <row r="4252">
          <cell r="B4252">
            <v>7692</v>
          </cell>
          <cell r="C4252" t="str">
            <v>LD_96_</v>
          </cell>
          <cell r="D4252" t="str">
            <v>Rancho Landero No. 96</v>
          </cell>
          <cell r="E4252" t="str">
            <v>Espinoza Aguirre</v>
          </cell>
          <cell r="F4252">
            <v>300</v>
          </cell>
          <cell r="G4252">
            <v>1</v>
          </cell>
          <cell r="H4252">
            <v>400</v>
          </cell>
          <cell r="I4252">
            <v>41875</v>
          </cell>
          <cell r="J4252">
            <v>0</v>
          </cell>
          <cell r="W4252">
            <v>0</v>
          </cell>
          <cell r="AJ4252">
            <v>0</v>
          </cell>
          <cell r="AR4252">
            <v>400</v>
          </cell>
          <cell r="AW4252">
            <v>400</v>
          </cell>
        </row>
        <row r="4253">
          <cell r="B4253">
            <v>7692</v>
          </cell>
          <cell r="C4253" t="str">
            <v>LD_96_</v>
          </cell>
          <cell r="D4253" t="str">
            <v>Rancho Landero No. 96</v>
          </cell>
          <cell r="E4253" t="str">
            <v>Espinoza Aguirre</v>
          </cell>
          <cell r="F4253">
            <v>300</v>
          </cell>
          <cell r="G4253">
            <v>1</v>
          </cell>
          <cell r="H4253">
            <v>160</v>
          </cell>
          <cell r="I4253">
            <v>41875</v>
          </cell>
          <cell r="J4253">
            <v>0</v>
          </cell>
          <cell r="W4253">
            <v>0</v>
          </cell>
          <cell r="AJ4253">
            <v>0</v>
          </cell>
          <cell r="AR4253">
            <v>160</v>
          </cell>
          <cell r="AW4253">
            <v>160</v>
          </cell>
        </row>
        <row r="4254">
          <cell r="B4254">
            <v>7693</v>
          </cell>
          <cell r="C4254" t="str">
            <v>UP_48_</v>
          </cell>
          <cell r="D4254" t="str">
            <v>Rancho Upácuaro No. 48</v>
          </cell>
          <cell r="E4254" t="str">
            <v>Bernal</v>
          </cell>
          <cell r="F4254">
            <v>200</v>
          </cell>
          <cell r="G4254">
            <v>1</v>
          </cell>
          <cell r="H4254">
            <v>200</v>
          </cell>
          <cell r="I4254">
            <v>41875</v>
          </cell>
          <cell r="J4254">
            <v>0</v>
          </cell>
          <cell r="W4254">
            <v>0</v>
          </cell>
          <cell r="AJ4254">
            <v>0</v>
          </cell>
          <cell r="AN4254">
            <v>200</v>
          </cell>
          <cell r="AW4254">
            <v>200</v>
          </cell>
        </row>
        <row r="4255">
          <cell r="B4255">
            <v>7694</v>
          </cell>
          <cell r="C4255" t="str">
            <v>EZ_79_</v>
          </cell>
          <cell r="D4255" t="str">
            <v>Rancho Estanzuela No. 79</v>
          </cell>
          <cell r="E4255" t="str">
            <v>Mendoza</v>
          </cell>
          <cell r="F4255">
            <v>300</v>
          </cell>
          <cell r="G4255">
            <v>1</v>
          </cell>
          <cell r="H4255">
            <v>400</v>
          </cell>
          <cell r="I4255">
            <v>41875</v>
          </cell>
          <cell r="J4255">
            <v>0</v>
          </cell>
          <cell r="W4255">
            <v>0</v>
          </cell>
          <cell r="AJ4255">
            <v>0</v>
          </cell>
          <cell r="AQ4255">
            <v>400</v>
          </cell>
          <cell r="AW4255">
            <v>400</v>
          </cell>
        </row>
        <row r="4256">
          <cell r="B4256">
            <v>7695</v>
          </cell>
          <cell r="C4256" t="str">
            <v>EZ_127_</v>
          </cell>
          <cell r="D4256" t="str">
            <v>Rancho Estanzuela No. 127</v>
          </cell>
          <cell r="E4256" t="str">
            <v>Luna Zepeda</v>
          </cell>
          <cell r="F4256">
            <v>200</v>
          </cell>
          <cell r="G4256">
            <v>1</v>
          </cell>
          <cell r="H4256">
            <v>150</v>
          </cell>
          <cell r="I4256">
            <v>41875</v>
          </cell>
          <cell r="J4256">
            <v>0</v>
          </cell>
          <cell r="W4256">
            <v>0</v>
          </cell>
          <cell r="AJ4256">
            <v>0</v>
          </cell>
          <cell r="AR4256">
            <v>150</v>
          </cell>
          <cell r="AW4256">
            <v>150</v>
          </cell>
        </row>
        <row r="4257">
          <cell r="B4257">
            <v>7696</v>
          </cell>
          <cell r="C4257" t="str">
            <v>EZ_77_</v>
          </cell>
          <cell r="D4257" t="str">
            <v>Rancho Estanzuela No. 77</v>
          </cell>
          <cell r="E4257" t="str">
            <v>De la Rosa Rico</v>
          </cell>
          <cell r="F4257">
            <v>300</v>
          </cell>
          <cell r="G4257">
            <v>1</v>
          </cell>
          <cell r="H4257">
            <v>800</v>
          </cell>
          <cell r="I4257">
            <v>41875</v>
          </cell>
          <cell r="J4257">
            <v>0</v>
          </cell>
          <cell r="W4257">
            <v>0</v>
          </cell>
          <cell r="AJ4257">
            <v>0</v>
          </cell>
          <cell r="AQ4257">
            <v>400</v>
          </cell>
          <cell r="AR4257">
            <v>400</v>
          </cell>
          <cell r="AW4257">
            <v>800</v>
          </cell>
        </row>
        <row r="4258">
          <cell r="B4258">
            <v>7697</v>
          </cell>
          <cell r="C4258" t="str">
            <v>EZ_157_1</v>
          </cell>
          <cell r="D4258" t="str">
            <v>Rancho Estanzuela No. 157, 1</v>
          </cell>
          <cell r="E4258" t="str">
            <v>Anzures</v>
          </cell>
          <cell r="F4258">
            <v>450</v>
          </cell>
          <cell r="G4258">
            <v>1</v>
          </cell>
          <cell r="H4258">
            <v>300</v>
          </cell>
          <cell r="I4258">
            <v>41875</v>
          </cell>
          <cell r="J4258">
            <v>0</v>
          </cell>
          <cell r="W4258">
            <v>0</v>
          </cell>
          <cell r="AJ4258">
            <v>0</v>
          </cell>
          <cell r="AQ4258">
            <v>150</v>
          </cell>
          <cell r="AR4258">
            <v>150</v>
          </cell>
          <cell r="AW4258">
            <v>300</v>
          </cell>
        </row>
        <row r="4259">
          <cell r="B4259">
            <v>7697</v>
          </cell>
          <cell r="C4259" t="str">
            <v>EZ_157_2</v>
          </cell>
          <cell r="D4259" t="str">
            <v>Rancho Estanzuela No. 157, 2</v>
          </cell>
          <cell r="E4259" t="str">
            <v>Arias</v>
          </cell>
          <cell r="F4259">
            <v>150</v>
          </cell>
          <cell r="G4259">
            <v>1</v>
          </cell>
          <cell r="H4259">
            <v>300</v>
          </cell>
          <cell r="I4259">
            <v>41875</v>
          </cell>
          <cell r="J4259">
            <v>0</v>
          </cell>
          <cell r="W4259">
            <v>0</v>
          </cell>
          <cell r="AJ4259">
            <v>0</v>
          </cell>
          <cell r="AQ4259">
            <v>150</v>
          </cell>
          <cell r="AR4259">
            <v>150</v>
          </cell>
          <cell r="AW4259">
            <v>300</v>
          </cell>
        </row>
        <row r="4260">
          <cell r="B4260">
            <v>7697</v>
          </cell>
          <cell r="C4260" t="str">
            <v>EZ_157_3</v>
          </cell>
          <cell r="D4260" t="str">
            <v>Rancho Estanzuela No. 157, 3</v>
          </cell>
          <cell r="E4260" t="str">
            <v>Conde</v>
          </cell>
          <cell r="F4260">
            <v>300</v>
          </cell>
          <cell r="G4260">
            <v>1</v>
          </cell>
          <cell r="H4260">
            <v>300</v>
          </cell>
          <cell r="I4260">
            <v>41875</v>
          </cell>
          <cell r="J4260">
            <v>0</v>
          </cell>
          <cell r="W4260">
            <v>0</v>
          </cell>
          <cell r="AJ4260">
            <v>0</v>
          </cell>
          <cell r="AQ4260">
            <v>150</v>
          </cell>
          <cell r="AR4260">
            <v>150</v>
          </cell>
          <cell r="AW4260">
            <v>300</v>
          </cell>
        </row>
        <row r="4261">
          <cell r="B4261">
            <v>7698</v>
          </cell>
          <cell r="C4261" t="str">
            <v>LD_25_</v>
          </cell>
          <cell r="D4261" t="str">
            <v>Rancho Landero No. 25</v>
          </cell>
          <cell r="E4261" t="str">
            <v>Escamilla Martínez</v>
          </cell>
          <cell r="F4261">
            <v>300</v>
          </cell>
          <cell r="G4261">
            <v>1</v>
          </cell>
          <cell r="H4261">
            <v>400</v>
          </cell>
          <cell r="I4261">
            <v>41875</v>
          </cell>
          <cell r="J4261">
            <v>0</v>
          </cell>
          <cell r="W4261">
            <v>0</v>
          </cell>
          <cell r="AJ4261">
            <v>0</v>
          </cell>
          <cell r="AR4261">
            <v>400</v>
          </cell>
          <cell r="AW4261">
            <v>400</v>
          </cell>
        </row>
        <row r="4262">
          <cell r="B4262">
            <v>7699</v>
          </cell>
          <cell r="C4262" t="str">
            <v>CL_54_</v>
          </cell>
          <cell r="D4262" t="str">
            <v>Rancho La Cuchilla No. 54</v>
          </cell>
          <cell r="E4262" t="str">
            <v>Mendoza León</v>
          </cell>
          <cell r="F4262">
            <v>300</v>
          </cell>
          <cell r="G4262">
            <v>1</v>
          </cell>
          <cell r="H4262">
            <v>400</v>
          </cell>
          <cell r="I4262">
            <v>41875</v>
          </cell>
          <cell r="J4262">
            <v>0</v>
          </cell>
          <cell r="W4262">
            <v>0</v>
          </cell>
          <cell r="AJ4262">
            <v>0</v>
          </cell>
          <cell r="AQ4262">
            <v>400</v>
          </cell>
          <cell r="AW4262">
            <v>400</v>
          </cell>
        </row>
        <row r="4263">
          <cell r="B4263">
            <v>7700</v>
          </cell>
          <cell r="C4263" t="str">
            <v>ZB_88_</v>
          </cell>
          <cell r="D4263" t="str">
            <v>Rancho Zinamba No. 88</v>
          </cell>
          <cell r="E4263" t="str">
            <v>Martínez</v>
          </cell>
          <cell r="F4263">
            <v>250</v>
          </cell>
          <cell r="G4263">
            <v>1</v>
          </cell>
          <cell r="H4263">
            <v>350</v>
          </cell>
          <cell r="I4263">
            <v>41875</v>
          </cell>
          <cell r="J4263">
            <v>0</v>
          </cell>
          <cell r="W4263">
            <v>0</v>
          </cell>
          <cell r="AJ4263">
            <v>0</v>
          </cell>
          <cell r="AR4263">
            <v>350</v>
          </cell>
          <cell r="AW4263">
            <v>350</v>
          </cell>
        </row>
        <row r="4264">
          <cell r="B4264">
            <v>7701</v>
          </cell>
          <cell r="C4264" t="str">
            <v>ZB_26_</v>
          </cell>
          <cell r="D4264" t="str">
            <v>Rancho Zinamba No. 26</v>
          </cell>
          <cell r="E4264" t="str">
            <v>Ayala</v>
          </cell>
          <cell r="F4264">
            <v>300</v>
          </cell>
          <cell r="G4264">
            <v>1</v>
          </cell>
          <cell r="H4264">
            <v>800</v>
          </cell>
          <cell r="I4264">
            <v>41875</v>
          </cell>
          <cell r="J4264">
            <v>0</v>
          </cell>
          <cell r="W4264">
            <v>0</v>
          </cell>
          <cell r="AJ4264">
            <v>0</v>
          </cell>
          <cell r="AQ4264">
            <v>400</v>
          </cell>
          <cell r="AR4264">
            <v>400</v>
          </cell>
          <cell r="AW4264">
            <v>800</v>
          </cell>
        </row>
        <row r="4265">
          <cell r="B4265">
            <v>7702</v>
          </cell>
          <cell r="C4265" t="str">
            <v>CL_32_</v>
          </cell>
          <cell r="D4265" t="str">
            <v>Rancho La Cuchilla No. 32</v>
          </cell>
          <cell r="E4265" t="str">
            <v>Hernández</v>
          </cell>
          <cell r="F4265">
            <v>300</v>
          </cell>
          <cell r="G4265">
            <v>1</v>
          </cell>
          <cell r="H4265">
            <v>400</v>
          </cell>
          <cell r="I4265">
            <v>41875</v>
          </cell>
          <cell r="J4265">
            <v>0</v>
          </cell>
          <cell r="W4265">
            <v>0</v>
          </cell>
          <cell r="AJ4265">
            <v>0</v>
          </cell>
          <cell r="AQ4265">
            <v>400</v>
          </cell>
          <cell r="AW4265">
            <v>400</v>
          </cell>
        </row>
        <row r="4266">
          <cell r="B4266">
            <v>7703</v>
          </cell>
          <cell r="C4266" t="str">
            <v>ZB_42_</v>
          </cell>
          <cell r="D4266" t="str">
            <v>Rancho Zinamba No. 42</v>
          </cell>
          <cell r="E4266" t="str">
            <v>López Aldave</v>
          </cell>
          <cell r="F4266">
            <v>250</v>
          </cell>
          <cell r="G4266">
            <v>1</v>
          </cell>
          <cell r="H4266">
            <v>600</v>
          </cell>
          <cell r="I4266">
            <v>41875</v>
          </cell>
          <cell r="J4266">
            <v>0</v>
          </cell>
          <cell r="W4266">
            <v>0</v>
          </cell>
          <cell r="AJ4266">
            <v>0</v>
          </cell>
          <cell r="AR4266">
            <v>300</v>
          </cell>
          <cell r="AS4266">
            <v>300</v>
          </cell>
          <cell r="AW4266">
            <v>600</v>
          </cell>
        </row>
        <row r="4267">
          <cell r="B4267">
            <v>7704</v>
          </cell>
          <cell r="C4267" t="str">
            <v>UP_21_</v>
          </cell>
          <cell r="D4267" t="str">
            <v>Rancho Upácuaro No. 21</v>
          </cell>
          <cell r="E4267" t="str">
            <v>Fierro Betancourt</v>
          </cell>
          <cell r="F4267">
            <v>150</v>
          </cell>
          <cell r="G4267">
            <v>1</v>
          </cell>
          <cell r="H4267">
            <v>200</v>
          </cell>
          <cell r="I4267">
            <v>41875</v>
          </cell>
          <cell r="J4267">
            <v>0</v>
          </cell>
          <cell r="W4267">
            <v>0</v>
          </cell>
          <cell r="AJ4267">
            <v>0</v>
          </cell>
          <cell r="AR4267">
            <v>200</v>
          </cell>
          <cell r="AW4267">
            <v>200</v>
          </cell>
        </row>
        <row r="4268">
          <cell r="B4268">
            <v>7705</v>
          </cell>
          <cell r="C4268" t="str">
            <v>CL_31_</v>
          </cell>
          <cell r="D4268" t="str">
            <v>Rancho La Cuchilla No. 31</v>
          </cell>
          <cell r="E4268" t="str">
            <v>Lince</v>
          </cell>
          <cell r="F4268">
            <v>300</v>
          </cell>
          <cell r="G4268">
            <v>1</v>
          </cell>
          <cell r="H4268">
            <v>600</v>
          </cell>
          <cell r="I4268">
            <v>41875</v>
          </cell>
          <cell r="J4268">
            <v>0</v>
          </cell>
          <cell r="W4268">
            <v>0</v>
          </cell>
          <cell r="AJ4268">
            <v>0</v>
          </cell>
          <cell r="AQ4268">
            <v>300</v>
          </cell>
          <cell r="AR4268">
            <v>300</v>
          </cell>
          <cell r="AW4268">
            <v>600</v>
          </cell>
        </row>
        <row r="4269">
          <cell r="B4269">
            <v>7706</v>
          </cell>
          <cell r="C4269" t="str">
            <v>CL_32_</v>
          </cell>
          <cell r="D4269" t="str">
            <v>Rancho La Cuchilla No. 32</v>
          </cell>
          <cell r="E4269" t="str">
            <v>Hernández</v>
          </cell>
          <cell r="F4269">
            <v>300</v>
          </cell>
          <cell r="G4269">
            <v>1</v>
          </cell>
          <cell r="H4269">
            <v>400</v>
          </cell>
          <cell r="I4269">
            <v>41875</v>
          </cell>
          <cell r="J4269">
            <v>0</v>
          </cell>
          <cell r="W4269">
            <v>0</v>
          </cell>
          <cell r="AJ4269">
            <v>0</v>
          </cell>
          <cell r="AQ4269">
            <v>400</v>
          </cell>
          <cell r="AW4269">
            <v>400</v>
          </cell>
        </row>
        <row r="4270">
          <cell r="B4270">
            <v>7707</v>
          </cell>
          <cell r="C4270" t="str">
            <v>CL_132_</v>
          </cell>
          <cell r="D4270" t="str">
            <v>Rancho La Cuchilla No. 132</v>
          </cell>
          <cell r="E4270" t="str">
            <v>Téllez Girón</v>
          </cell>
          <cell r="F4270">
            <v>300</v>
          </cell>
          <cell r="G4270">
            <v>1</v>
          </cell>
          <cell r="H4270">
            <v>300</v>
          </cell>
          <cell r="I4270">
            <v>41875</v>
          </cell>
          <cell r="J4270">
            <v>0</v>
          </cell>
          <cell r="W4270">
            <v>0</v>
          </cell>
          <cell r="AJ4270">
            <v>0</v>
          </cell>
          <cell r="AR4270">
            <v>300</v>
          </cell>
          <cell r="AW4270">
            <v>300</v>
          </cell>
        </row>
        <row r="4271">
          <cell r="B4271">
            <v>7708</v>
          </cell>
          <cell r="C4271" t="str">
            <v>ZB_62_</v>
          </cell>
          <cell r="D4271" t="str">
            <v>Rancho Zinamba No. 62</v>
          </cell>
          <cell r="E4271" t="str">
            <v>Martínez León</v>
          </cell>
          <cell r="F4271">
            <v>250</v>
          </cell>
          <cell r="G4271">
            <v>1</v>
          </cell>
          <cell r="H4271">
            <v>1000</v>
          </cell>
          <cell r="I4271">
            <v>41875</v>
          </cell>
          <cell r="J4271">
            <v>0</v>
          </cell>
          <cell r="W4271">
            <v>0</v>
          </cell>
          <cell r="AJ4271">
            <v>0</v>
          </cell>
          <cell r="AO4271">
            <v>250</v>
          </cell>
          <cell r="AP4271">
            <v>250</v>
          </cell>
          <cell r="AQ4271">
            <v>250</v>
          </cell>
          <cell r="AR4271">
            <v>250</v>
          </cell>
          <cell r="AW4271">
            <v>1000</v>
          </cell>
        </row>
        <row r="4272">
          <cell r="B4272">
            <v>7709</v>
          </cell>
          <cell r="C4272" t="str">
            <v>UP_71_</v>
          </cell>
          <cell r="D4272" t="str">
            <v>Rancho Upácuaro No. 71</v>
          </cell>
          <cell r="E4272" t="str">
            <v>Trejo Méndez</v>
          </cell>
          <cell r="F4272">
            <v>300</v>
          </cell>
          <cell r="G4272">
            <v>1</v>
          </cell>
          <cell r="H4272">
            <v>400</v>
          </cell>
          <cell r="I4272">
            <v>41875</v>
          </cell>
          <cell r="J4272">
            <v>0</v>
          </cell>
          <cell r="W4272">
            <v>0</v>
          </cell>
          <cell r="AJ4272">
            <v>0</v>
          </cell>
          <cell r="AR4272">
            <v>400</v>
          </cell>
          <cell r="AW4272">
            <v>400</v>
          </cell>
        </row>
        <row r="4273">
          <cell r="B4273">
            <v>7710</v>
          </cell>
          <cell r="C4273" t="str">
            <v>LD_81_</v>
          </cell>
          <cell r="D4273" t="str">
            <v>Rancho Landero No. 81</v>
          </cell>
          <cell r="E4273" t="str">
            <v>Cebrían Saldaña</v>
          </cell>
          <cell r="F4273">
            <v>300</v>
          </cell>
          <cell r="G4273">
            <v>1</v>
          </cell>
          <cell r="H4273">
            <v>200</v>
          </cell>
          <cell r="I4273">
            <v>41875</v>
          </cell>
          <cell r="J4273">
            <v>0</v>
          </cell>
          <cell r="W4273">
            <v>0</v>
          </cell>
          <cell r="AJ4273">
            <v>0</v>
          </cell>
          <cell r="AR4273">
            <v>200</v>
          </cell>
          <cell r="AW4273">
            <v>200</v>
          </cell>
        </row>
        <row r="4274">
          <cell r="B4274">
            <v>7711</v>
          </cell>
          <cell r="C4274" t="str">
            <v>UP_79_</v>
          </cell>
          <cell r="D4274" t="str">
            <v>Rancho Upácuaro No. 79</v>
          </cell>
          <cell r="E4274" t="str">
            <v>Macías</v>
          </cell>
          <cell r="F4274">
            <v>300</v>
          </cell>
          <cell r="G4274">
            <v>4</v>
          </cell>
          <cell r="H4274">
            <v>160</v>
          </cell>
          <cell r="I4274">
            <v>41875</v>
          </cell>
          <cell r="J4274" t="str">
            <v>NO SUMA</v>
          </cell>
          <cell r="W4274">
            <v>0</v>
          </cell>
          <cell r="AJ4274">
            <v>0</v>
          </cell>
          <cell r="AW4274">
            <v>0</v>
          </cell>
        </row>
        <row r="4275">
          <cell r="B4275">
            <v>7712</v>
          </cell>
          <cell r="C4275" t="str">
            <v>ZB_12_</v>
          </cell>
          <cell r="D4275" t="str">
            <v>Rancho Zinamba No. 12</v>
          </cell>
          <cell r="E4275" t="str">
            <v>S.P.Endoscopic</v>
          </cell>
          <cell r="F4275">
            <v>400</v>
          </cell>
          <cell r="G4275">
            <v>1</v>
          </cell>
          <cell r="H4275">
            <v>400</v>
          </cell>
          <cell r="I4275">
            <v>41876</v>
          </cell>
          <cell r="J4275">
            <v>0</v>
          </cell>
          <cell r="W4275">
            <v>0</v>
          </cell>
          <cell r="AJ4275">
            <v>0</v>
          </cell>
          <cell r="AR4275">
            <v>400</v>
          </cell>
          <cell r="AW4275">
            <v>400</v>
          </cell>
        </row>
        <row r="4276">
          <cell r="B4276">
            <v>7213</v>
          </cell>
          <cell r="C4276" t="str">
            <v>CL_44_</v>
          </cell>
          <cell r="D4276" t="str">
            <v>Rancho La Cuchilla No. 44</v>
          </cell>
          <cell r="E4276" t="str">
            <v>Garduño</v>
          </cell>
          <cell r="F4276">
            <v>300</v>
          </cell>
          <cell r="G4276">
            <v>3</v>
          </cell>
          <cell r="H4276">
            <v>160</v>
          </cell>
          <cell r="I4276">
            <v>41878</v>
          </cell>
          <cell r="J4276" t="str">
            <v>NO SUMA</v>
          </cell>
          <cell r="W4276">
            <v>0</v>
          </cell>
          <cell r="AJ4276">
            <v>0</v>
          </cell>
          <cell r="AW4276">
            <v>0</v>
          </cell>
        </row>
        <row r="4277">
          <cell r="B4277">
            <v>7214</v>
          </cell>
          <cell r="C4277" t="str">
            <v>RV_3_</v>
          </cell>
          <cell r="D4277" t="str">
            <v>Rancho Recoveco No. 3</v>
          </cell>
          <cell r="E4277" t="str">
            <v>Garduño</v>
          </cell>
          <cell r="F4277">
            <v>300</v>
          </cell>
          <cell r="G4277">
            <v>1</v>
          </cell>
          <cell r="H4277">
            <v>300</v>
          </cell>
          <cell r="I4277">
            <v>41878</v>
          </cell>
          <cell r="J4277">
            <v>0</v>
          </cell>
          <cell r="W4277">
            <v>0</v>
          </cell>
          <cell r="AJ4277">
            <v>0</v>
          </cell>
          <cell r="AR4277">
            <v>300</v>
          </cell>
          <cell r="AW4277">
            <v>300</v>
          </cell>
        </row>
        <row r="4278">
          <cell r="B4278">
            <v>7715</v>
          </cell>
          <cell r="C4278" t="str">
            <v>UP_5_B</v>
          </cell>
          <cell r="D4278" t="str">
            <v>Rancho Upácuaro No. 5, B</v>
          </cell>
          <cell r="E4278" t="str">
            <v>Cervantes</v>
          </cell>
          <cell r="F4278">
            <v>300</v>
          </cell>
          <cell r="G4278">
            <v>1</v>
          </cell>
          <cell r="H4278">
            <v>400</v>
          </cell>
          <cell r="I4278">
            <v>41880</v>
          </cell>
          <cell r="J4278">
            <v>0</v>
          </cell>
          <cell r="W4278">
            <v>0</v>
          </cell>
          <cell r="AJ4278">
            <v>0</v>
          </cell>
          <cell r="AQ4278">
            <v>400</v>
          </cell>
          <cell r="AW4278">
            <v>400</v>
          </cell>
        </row>
        <row r="4279">
          <cell r="B4279">
            <v>7716</v>
          </cell>
          <cell r="C4279" t="str">
            <v>LD_38_</v>
          </cell>
          <cell r="D4279" t="str">
            <v>Rancho Landero No. 38</v>
          </cell>
          <cell r="E4279" t="str">
            <v>Sánchez Peña</v>
          </cell>
          <cell r="F4279">
            <v>300</v>
          </cell>
          <cell r="G4279">
            <v>1</v>
          </cell>
          <cell r="H4279">
            <v>800</v>
          </cell>
          <cell r="I4279">
            <v>41882</v>
          </cell>
          <cell r="J4279">
            <v>0</v>
          </cell>
          <cell r="W4279">
            <v>0</v>
          </cell>
          <cell r="AJ4279">
            <v>0</v>
          </cell>
          <cell r="AS4279">
            <v>400</v>
          </cell>
          <cell r="AT4279">
            <v>400</v>
          </cell>
          <cell r="AW4279">
            <v>800</v>
          </cell>
        </row>
        <row r="4280">
          <cell r="B4280">
            <v>7717</v>
          </cell>
          <cell r="C4280" t="str">
            <v>LD_71_</v>
          </cell>
          <cell r="D4280" t="str">
            <v>Rancho Landero No. 71</v>
          </cell>
          <cell r="E4280" t="str">
            <v>Cabrera Balcázar</v>
          </cell>
          <cell r="F4280">
            <v>300</v>
          </cell>
          <cell r="G4280">
            <v>1</v>
          </cell>
          <cell r="H4280">
            <v>400</v>
          </cell>
          <cell r="I4280">
            <v>41882</v>
          </cell>
          <cell r="J4280">
            <v>0</v>
          </cell>
          <cell r="W4280">
            <v>0</v>
          </cell>
          <cell r="AJ4280">
            <v>0</v>
          </cell>
          <cell r="AR4280">
            <v>400</v>
          </cell>
          <cell r="AW4280">
            <v>400</v>
          </cell>
        </row>
        <row r="4281">
          <cell r="B4281">
            <v>7718</v>
          </cell>
          <cell r="C4281" t="str">
            <v>CL_40_</v>
          </cell>
          <cell r="D4281" t="str">
            <v>Rancho La Cuchilla No. 40</v>
          </cell>
          <cell r="E4281" t="str">
            <v>López Pico</v>
          </cell>
          <cell r="F4281">
            <v>300</v>
          </cell>
          <cell r="G4281">
            <v>1</v>
          </cell>
          <cell r="H4281">
            <v>400</v>
          </cell>
          <cell r="I4281">
            <v>41882</v>
          </cell>
          <cell r="J4281">
            <v>0</v>
          </cell>
          <cell r="W4281">
            <v>0</v>
          </cell>
          <cell r="AJ4281">
            <v>0</v>
          </cell>
          <cell r="AS4281">
            <v>400</v>
          </cell>
          <cell r="AW4281">
            <v>400</v>
          </cell>
        </row>
        <row r="4282">
          <cell r="B4282">
            <v>7719</v>
          </cell>
          <cell r="C4282" t="str">
            <v>CL_43_B</v>
          </cell>
          <cell r="D4282" t="str">
            <v>Rancho La Cuchilla No. 43, B</v>
          </cell>
          <cell r="E4282" t="str">
            <v>Luna Albertano</v>
          </cell>
          <cell r="F4282">
            <v>125</v>
          </cell>
          <cell r="G4282">
            <v>1</v>
          </cell>
          <cell r="H4282">
            <v>125</v>
          </cell>
          <cell r="I4282">
            <v>41882</v>
          </cell>
          <cell r="J4282">
            <v>0</v>
          </cell>
          <cell r="W4282">
            <v>0</v>
          </cell>
          <cell r="AJ4282">
            <v>0</v>
          </cell>
          <cell r="AS4282">
            <v>125</v>
          </cell>
          <cell r="AW4282">
            <v>125</v>
          </cell>
        </row>
        <row r="4283">
          <cell r="B4283">
            <v>7720</v>
          </cell>
          <cell r="C4283" t="str">
            <v>EZ_49_</v>
          </cell>
          <cell r="D4283" t="str">
            <v>Rancho Estanzuela No. 49</v>
          </cell>
          <cell r="E4283" t="str">
            <v>Sánchez Zamora</v>
          </cell>
          <cell r="F4283">
            <v>300</v>
          </cell>
          <cell r="G4283">
            <v>1</v>
          </cell>
          <cell r="H4283">
            <v>200</v>
          </cell>
          <cell r="I4283">
            <v>41882</v>
          </cell>
          <cell r="J4283">
            <v>0</v>
          </cell>
          <cell r="W4283">
            <v>0</v>
          </cell>
          <cell r="AJ4283">
            <v>0</v>
          </cell>
          <cell r="AO4283">
            <v>200</v>
          </cell>
          <cell r="AW4283">
            <v>200</v>
          </cell>
        </row>
        <row r="4284">
          <cell r="B4284">
            <v>7721</v>
          </cell>
          <cell r="C4284" t="str">
            <v>CL_81_A</v>
          </cell>
          <cell r="D4284" t="str">
            <v>Rancho La Cuchilla No. 81, A</v>
          </cell>
          <cell r="E4284" t="str">
            <v>Barrientos López</v>
          </cell>
          <cell r="F4284">
            <v>300</v>
          </cell>
          <cell r="G4284">
            <v>1</v>
          </cell>
          <cell r="H4284">
            <v>400</v>
          </cell>
          <cell r="I4284">
            <v>41882</v>
          </cell>
          <cell r="J4284">
            <v>0</v>
          </cell>
          <cell r="W4284">
            <v>0</v>
          </cell>
          <cell r="AJ4284">
            <v>0</v>
          </cell>
          <cell r="AS4284">
            <v>400</v>
          </cell>
          <cell r="AW4284">
            <v>400</v>
          </cell>
        </row>
        <row r="4285">
          <cell r="B4285">
            <v>7722</v>
          </cell>
          <cell r="C4285" t="str">
            <v>RV_179_</v>
          </cell>
          <cell r="D4285" t="str">
            <v>Rancho Recoveco No. 179</v>
          </cell>
          <cell r="E4285" t="str">
            <v>Flores Delgado</v>
          </cell>
          <cell r="F4285">
            <v>300</v>
          </cell>
          <cell r="G4285">
            <v>1</v>
          </cell>
          <cell r="H4285">
            <v>400</v>
          </cell>
          <cell r="I4285">
            <v>41882</v>
          </cell>
          <cell r="J4285">
            <v>0</v>
          </cell>
          <cell r="W4285">
            <v>0</v>
          </cell>
          <cell r="AJ4285">
            <v>0</v>
          </cell>
          <cell r="AS4285">
            <v>400</v>
          </cell>
          <cell r="AW4285">
            <v>400</v>
          </cell>
        </row>
        <row r="4286">
          <cell r="B4286">
            <v>7723</v>
          </cell>
          <cell r="C4286" t="str">
            <v>ZB_44_</v>
          </cell>
          <cell r="D4286" t="str">
            <v>Rancho Zinamba No. 44</v>
          </cell>
          <cell r="E4286" t="str">
            <v>Canales</v>
          </cell>
          <cell r="F4286">
            <v>300</v>
          </cell>
          <cell r="G4286">
            <v>1</v>
          </cell>
          <cell r="H4286">
            <v>400</v>
          </cell>
          <cell r="I4286">
            <v>41882</v>
          </cell>
          <cell r="J4286">
            <v>0</v>
          </cell>
          <cell r="W4286">
            <v>0</v>
          </cell>
          <cell r="AJ4286">
            <v>0</v>
          </cell>
          <cell r="AS4286">
            <v>400</v>
          </cell>
          <cell r="AW4286">
            <v>400</v>
          </cell>
        </row>
        <row r="4287">
          <cell r="B4287">
            <v>7724</v>
          </cell>
          <cell r="C4287" t="str">
            <v>ZB_36_</v>
          </cell>
          <cell r="D4287" t="str">
            <v>Rancho Zinamba No. 36</v>
          </cell>
          <cell r="E4287" t="str">
            <v>Rodríguez Ortiz</v>
          </cell>
          <cell r="F4287">
            <v>300</v>
          </cell>
          <cell r="G4287">
            <v>1</v>
          </cell>
          <cell r="H4287">
            <v>400</v>
          </cell>
          <cell r="I4287">
            <v>41882</v>
          </cell>
          <cell r="J4287">
            <v>0</v>
          </cell>
          <cell r="W4287">
            <v>0</v>
          </cell>
          <cell r="AJ4287">
            <v>0</v>
          </cell>
          <cell r="AS4287">
            <v>400</v>
          </cell>
          <cell r="AW4287">
            <v>400</v>
          </cell>
        </row>
        <row r="4288">
          <cell r="B4288">
            <v>7725</v>
          </cell>
          <cell r="C4288" t="str">
            <v>EZ_115_</v>
          </cell>
          <cell r="D4288" t="str">
            <v>Rancho Estanzuela No. 115</v>
          </cell>
          <cell r="E4288" t="str">
            <v>Frías Solórzano</v>
          </cell>
          <cell r="F4288">
            <v>200</v>
          </cell>
          <cell r="G4288">
            <v>1</v>
          </cell>
          <cell r="H4288">
            <v>500</v>
          </cell>
          <cell r="I4288">
            <v>41882</v>
          </cell>
          <cell r="J4288">
            <v>0</v>
          </cell>
          <cell r="W4288">
            <v>0</v>
          </cell>
          <cell r="AJ4288">
            <v>0</v>
          </cell>
          <cell r="AS4288">
            <v>250</v>
          </cell>
          <cell r="AT4288">
            <v>250</v>
          </cell>
          <cell r="AW4288">
            <v>500</v>
          </cell>
        </row>
        <row r="4289">
          <cell r="B4289">
            <v>7725</v>
          </cell>
          <cell r="C4289" t="str">
            <v>EZ_115_</v>
          </cell>
          <cell r="D4289" t="str">
            <v>Rancho Estanzuela No. 115</v>
          </cell>
          <cell r="E4289" t="str">
            <v>Frías Solórzano</v>
          </cell>
          <cell r="F4289">
            <v>200</v>
          </cell>
          <cell r="G4289">
            <v>4</v>
          </cell>
          <cell r="H4289">
            <v>160</v>
          </cell>
          <cell r="I4289">
            <v>41882</v>
          </cell>
          <cell r="J4289" t="str">
            <v>NO SUMA</v>
          </cell>
          <cell r="W4289">
            <v>0</v>
          </cell>
          <cell r="AJ4289">
            <v>0</v>
          </cell>
          <cell r="AW4289">
            <v>0</v>
          </cell>
        </row>
        <row r="4290">
          <cell r="B4290">
            <v>7726</v>
          </cell>
          <cell r="C4290" t="str">
            <v>EZ_69_</v>
          </cell>
          <cell r="D4290" t="str">
            <v>Rancho Estanzuela No. 69</v>
          </cell>
          <cell r="E4290" t="str">
            <v>Apaez</v>
          </cell>
          <cell r="F4290">
            <v>300</v>
          </cell>
          <cell r="G4290">
            <v>1</v>
          </cell>
          <cell r="H4290">
            <v>800</v>
          </cell>
          <cell r="I4290">
            <v>41882</v>
          </cell>
          <cell r="J4290">
            <v>0</v>
          </cell>
          <cell r="W4290">
            <v>0</v>
          </cell>
          <cell r="AJ4290">
            <v>0</v>
          </cell>
          <cell r="AR4290">
            <v>400</v>
          </cell>
          <cell r="AS4290">
            <v>400</v>
          </cell>
          <cell r="AW4290">
            <v>800</v>
          </cell>
        </row>
        <row r="4291">
          <cell r="B4291">
            <v>7727</v>
          </cell>
          <cell r="C4291" t="str">
            <v>CL_45_</v>
          </cell>
          <cell r="D4291" t="str">
            <v>Rancho La Cuchilla No. 45</v>
          </cell>
          <cell r="E4291" t="str">
            <v>Estévez Hernández</v>
          </cell>
          <cell r="F4291">
            <v>300</v>
          </cell>
          <cell r="G4291">
            <v>1</v>
          </cell>
          <cell r="H4291">
            <v>400</v>
          </cell>
          <cell r="I4291">
            <v>41882</v>
          </cell>
          <cell r="J4291">
            <v>0</v>
          </cell>
          <cell r="W4291">
            <v>0</v>
          </cell>
          <cell r="AJ4291">
            <v>0</v>
          </cell>
          <cell r="AS4291">
            <v>400</v>
          </cell>
          <cell r="AW4291">
            <v>400</v>
          </cell>
        </row>
        <row r="4292">
          <cell r="B4292">
            <v>7728</v>
          </cell>
          <cell r="C4292" t="str">
            <v>CL_20_</v>
          </cell>
          <cell r="D4292" t="str">
            <v>Rancho La Cuchilla No. 20</v>
          </cell>
          <cell r="E4292" t="str">
            <v>Sánchez López</v>
          </cell>
          <cell r="F4292">
            <v>300</v>
          </cell>
          <cell r="G4292">
            <v>1</v>
          </cell>
          <cell r="H4292">
            <v>800</v>
          </cell>
          <cell r="I4292">
            <v>41882</v>
          </cell>
          <cell r="J4292">
            <v>0</v>
          </cell>
          <cell r="W4292">
            <v>0</v>
          </cell>
          <cell r="AJ4292">
            <v>0</v>
          </cell>
          <cell r="AS4292">
            <v>400</v>
          </cell>
          <cell r="AT4292">
            <v>400</v>
          </cell>
          <cell r="AW4292">
            <v>800</v>
          </cell>
        </row>
        <row r="4293">
          <cell r="B4293">
            <v>7729</v>
          </cell>
          <cell r="C4293" t="str">
            <v>CL_107_</v>
          </cell>
          <cell r="D4293" t="str">
            <v>Rancho La Cuchilla No. 107</v>
          </cell>
          <cell r="E4293" t="str">
            <v>Olivares Rivera</v>
          </cell>
          <cell r="F4293">
            <v>300</v>
          </cell>
          <cell r="G4293">
            <v>1</v>
          </cell>
          <cell r="H4293">
            <v>400</v>
          </cell>
          <cell r="I4293">
            <v>41882</v>
          </cell>
          <cell r="J4293">
            <v>0</v>
          </cell>
          <cell r="W4293">
            <v>0</v>
          </cell>
          <cell r="AJ4293">
            <v>0</v>
          </cell>
          <cell r="AR4293">
            <v>400</v>
          </cell>
          <cell r="AW4293">
            <v>400</v>
          </cell>
        </row>
        <row r="4294">
          <cell r="B4294">
            <v>7730</v>
          </cell>
          <cell r="C4294" t="str">
            <v>CL_90_</v>
          </cell>
          <cell r="D4294" t="str">
            <v>Rancho La Cuchilla No. 90</v>
          </cell>
          <cell r="E4294" t="str">
            <v>Porras Fuentes</v>
          </cell>
          <cell r="F4294">
            <v>150</v>
          </cell>
          <cell r="G4294">
            <v>1</v>
          </cell>
          <cell r="H4294">
            <v>400</v>
          </cell>
          <cell r="I4294">
            <v>41882</v>
          </cell>
          <cell r="J4294">
            <v>0</v>
          </cell>
          <cell r="W4294">
            <v>0</v>
          </cell>
          <cell r="AJ4294">
            <v>0</v>
          </cell>
          <cell r="AP4294">
            <v>200</v>
          </cell>
          <cell r="AQ4294">
            <v>200</v>
          </cell>
          <cell r="AW4294">
            <v>400</v>
          </cell>
        </row>
        <row r="4295">
          <cell r="B4295">
            <v>7731</v>
          </cell>
          <cell r="C4295" t="str">
            <v>UP_80_</v>
          </cell>
          <cell r="D4295" t="str">
            <v>Rancho Upácuaro No. 80</v>
          </cell>
          <cell r="E4295" t="str">
            <v>De los Ríos</v>
          </cell>
          <cell r="F4295">
            <v>300</v>
          </cell>
          <cell r="G4295">
            <v>1</v>
          </cell>
          <cell r="H4295">
            <v>800</v>
          </cell>
          <cell r="I4295">
            <v>41882</v>
          </cell>
          <cell r="J4295">
            <v>0</v>
          </cell>
          <cell r="W4295">
            <v>0</v>
          </cell>
          <cell r="AJ4295">
            <v>0</v>
          </cell>
          <cell r="AR4295">
            <v>400</v>
          </cell>
          <cell r="AS4295">
            <v>400</v>
          </cell>
          <cell r="AW4295">
            <v>800</v>
          </cell>
        </row>
        <row r="4296">
          <cell r="B4296">
            <v>7732</v>
          </cell>
          <cell r="C4296" t="str">
            <v>EP_22_A</v>
          </cell>
          <cell r="D4296" t="str">
            <v>Rancho Estopila No. 22, A</v>
          </cell>
          <cell r="E4296" t="str">
            <v>Ayala Carranza</v>
          </cell>
          <cell r="F4296">
            <v>150</v>
          </cell>
          <cell r="G4296">
            <v>1</v>
          </cell>
          <cell r="H4296">
            <v>200</v>
          </cell>
          <cell r="I4296">
            <v>41882</v>
          </cell>
          <cell r="J4296">
            <v>0</v>
          </cell>
          <cell r="W4296">
            <v>0</v>
          </cell>
          <cell r="AJ4296">
            <v>0</v>
          </cell>
          <cell r="AR4296">
            <v>200</v>
          </cell>
          <cell r="AW4296">
            <v>200</v>
          </cell>
        </row>
        <row r="4297">
          <cell r="B4297">
            <v>7733</v>
          </cell>
          <cell r="C4297" t="str">
            <v>UP_18_</v>
          </cell>
          <cell r="D4297" t="str">
            <v>Rancho Upácuaro No. 18</v>
          </cell>
          <cell r="E4297" t="str">
            <v>Guzmán</v>
          </cell>
          <cell r="F4297">
            <v>300</v>
          </cell>
          <cell r="G4297">
            <v>1</v>
          </cell>
          <cell r="H4297">
            <v>300</v>
          </cell>
          <cell r="I4297">
            <v>41882</v>
          </cell>
          <cell r="J4297">
            <v>0</v>
          </cell>
          <cell r="W4297">
            <v>0</v>
          </cell>
          <cell r="AJ4297">
            <v>0</v>
          </cell>
          <cell r="AS4297">
            <v>300</v>
          </cell>
          <cell r="AW4297">
            <v>300</v>
          </cell>
        </row>
        <row r="4298">
          <cell r="B4298">
            <v>7734</v>
          </cell>
          <cell r="C4298" t="str">
            <v>UP_70_</v>
          </cell>
          <cell r="D4298" t="str">
            <v>Rancho Upácuaro No. 70</v>
          </cell>
          <cell r="E4298" t="str">
            <v>Ramírez Tejeda</v>
          </cell>
          <cell r="F4298">
            <v>300</v>
          </cell>
          <cell r="G4298">
            <v>1</v>
          </cell>
          <cell r="H4298">
            <v>300</v>
          </cell>
          <cell r="I4298">
            <v>41882</v>
          </cell>
          <cell r="J4298">
            <v>0</v>
          </cell>
          <cell r="W4298">
            <v>0</v>
          </cell>
          <cell r="AJ4298">
            <v>0</v>
          </cell>
          <cell r="AR4298">
            <v>300</v>
          </cell>
          <cell r="AW4298">
            <v>300</v>
          </cell>
        </row>
        <row r="4299">
          <cell r="B4299">
            <v>7735</v>
          </cell>
          <cell r="C4299" t="str">
            <v>EZ_103_B</v>
          </cell>
          <cell r="D4299" t="str">
            <v>Rancho Estanzuela No. 103, B</v>
          </cell>
          <cell r="E4299" t="str">
            <v>Olivares Flores</v>
          </cell>
          <cell r="F4299">
            <v>300</v>
          </cell>
          <cell r="G4299">
            <v>1</v>
          </cell>
          <cell r="H4299">
            <v>800</v>
          </cell>
          <cell r="I4299">
            <v>41882</v>
          </cell>
          <cell r="J4299">
            <v>0</v>
          </cell>
          <cell r="W4299">
            <v>0</v>
          </cell>
          <cell r="AJ4299">
            <v>0</v>
          </cell>
          <cell r="AS4299">
            <v>400</v>
          </cell>
          <cell r="AT4299">
            <v>400</v>
          </cell>
          <cell r="AW4299">
            <v>800</v>
          </cell>
        </row>
        <row r="4300">
          <cell r="B4300">
            <v>7736</v>
          </cell>
          <cell r="C4300" t="str">
            <v>EZ_103_B</v>
          </cell>
          <cell r="D4300" t="str">
            <v>Rancho Estanzuela No. 103, B</v>
          </cell>
          <cell r="E4300" t="str">
            <v>Olivares Flores</v>
          </cell>
          <cell r="F4300">
            <v>300</v>
          </cell>
          <cell r="G4300">
            <v>4</v>
          </cell>
          <cell r="H4300">
            <v>160</v>
          </cell>
          <cell r="I4300">
            <v>41882</v>
          </cell>
          <cell r="J4300" t="str">
            <v>NO SUMA</v>
          </cell>
          <cell r="W4300">
            <v>0</v>
          </cell>
          <cell r="AJ4300">
            <v>0</v>
          </cell>
          <cell r="AW4300">
            <v>0</v>
          </cell>
        </row>
        <row r="4301">
          <cell r="B4301">
            <v>7737</v>
          </cell>
          <cell r="C4301" t="str">
            <v>EZ_31_</v>
          </cell>
          <cell r="D4301" t="str">
            <v>Rancho Estanzuela No. 31</v>
          </cell>
          <cell r="E4301" t="str">
            <v>Chávez Valdés</v>
          </cell>
          <cell r="F4301">
            <v>300</v>
          </cell>
          <cell r="G4301">
            <v>1</v>
          </cell>
          <cell r="H4301">
            <v>400</v>
          </cell>
          <cell r="I4301">
            <v>41882</v>
          </cell>
          <cell r="J4301">
            <v>0</v>
          </cell>
          <cell r="W4301">
            <v>0</v>
          </cell>
          <cell r="AJ4301">
            <v>0</v>
          </cell>
          <cell r="AR4301">
            <v>400</v>
          </cell>
          <cell r="AW4301">
            <v>400</v>
          </cell>
        </row>
        <row r="4302">
          <cell r="B4302">
            <v>7738</v>
          </cell>
          <cell r="C4302" t="str">
            <v>UP_136_</v>
          </cell>
          <cell r="D4302" t="str">
            <v>Rancho Upácuaro No. 136</v>
          </cell>
          <cell r="E4302" t="str">
            <v>López Lena</v>
          </cell>
          <cell r="F4302">
            <v>300</v>
          </cell>
          <cell r="G4302">
            <v>1</v>
          </cell>
          <cell r="H4302">
            <v>800</v>
          </cell>
          <cell r="I4302">
            <v>41882</v>
          </cell>
          <cell r="J4302">
            <v>0</v>
          </cell>
          <cell r="W4302">
            <v>0</v>
          </cell>
          <cell r="AJ4302">
            <v>0</v>
          </cell>
          <cell r="AQ4302">
            <v>400</v>
          </cell>
          <cell r="AR4302">
            <v>400</v>
          </cell>
          <cell r="AW4302">
            <v>800</v>
          </cell>
        </row>
        <row r="4303">
          <cell r="B4303">
            <v>7738</v>
          </cell>
          <cell r="C4303" t="str">
            <v>UP_136_</v>
          </cell>
          <cell r="D4303" t="str">
            <v>Rancho Upácuaro No. 136</v>
          </cell>
          <cell r="E4303" t="str">
            <v>López Lena</v>
          </cell>
          <cell r="F4303">
            <v>300</v>
          </cell>
          <cell r="G4303">
            <v>4</v>
          </cell>
          <cell r="H4303">
            <v>160</v>
          </cell>
          <cell r="I4303">
            <v>41882</v>
          </cell>
          <cell r="J4303" t="str">
            <v>NO SUMA</v>
          </cell>
          <cell r="W4303">
            <v>0</v>
          </cell>
          <cell r="AJ4303">
            <v>0</v>
          </cell>
          <cell r="AW4303">
            <v>0</v>
          </cell>
        </row>
        <row r="4304">
          <cell r="B4304">
            <v>7739</v>
          </cell>
          <cell r="C4304" t="str">
            <v>CL_72_</v>
          </cell>
          <cell r="D4304" t="str">
            <v>Rancho La Cuchilla No. 72</v>
          </cell>
          <cell r="E4304" t="str">
            <v>Ortiz González</v>
          </cell>
          <cell r="F4304">
            <v>300</v>
          </cell>
          <cell r="G4304">
            <v>1</v>
          </cell>
          <cell r="H4304">
            <v>400</v>
          </cell>
          <cell r="I4304">
            <v>41882</v>
          </cell>
          <cell r="J4304">
            <v>0</v>
          </cell>
          <cell r="W4304">
            <v>0</v>
          </cell>
          <cell r="AJ4304">
            <v>0</v>
          </cell>
          <cell r="AS4304">
            <v>400</v>
          </cell>
          <cell r="AW4304">
            <v>400</v>
          </cell>
        </row>
        <row r="4305">
          <cell r="B4305">
            <v>7740</v>
          </cell>
          <cell r="C4305" t="str">
            <v>UP_142_</v>
          </cell>
          <cell r="D4305" t="str">
            <v>Rancho Upácuaro No. 142</v>
          </cell>
          <cell r="E4305" t="str">
            <v>Fierro Villaneda</v>
          </cell>
          <cell r="F4305">
            <v>300</v>
          </cell>
          <cell r="G4305">
            <v>1</v>
          </cell>
          <cell r="H4305">
            <v>800</v>
          </cell>
          <cell r="I4305">
            <v>41882</v>
          </cell>
          <cell r="J4305">
            <v>0</v>
          </cell>
          <cell r="W4305">
            <v>0</v>
          </cell>
          <cell r="AJ4305">
            <v>0</v>
          </cell>
          <cell r="AS4305">
            <v>400</v>
          </cell>
          <cell r="AT4305">
            <v>400</v>
          </cell>
          <cell r="AW4305">
            <v>800</v>
          </cell>
        </row>
        <row r="4306">
          <cell r="B4306">
            <v>7741</v>
          </cell>
          <cell r="C4306" t="str">
            <v>LD_99_</v>
          </cell>
          <cell r="D4306" t="str">
            <v>Rancho Landero No. 99</v>
          </cell>
          <cell r="E4306" t="str">
            <v>Rangel</v>
          </cell>
          <cell r="F4306">
            <v>300</v>
          </cell>
          <cell r="G4306">
            <v>1</v>
          </cell>
          <cell r="H4306">
            <v>600</v>
          </cell>
          <cell r="I4306">
            <v>41882</v>
          </cell>
          <cell r="J4306">
            <v>0</v>
          </cell>
          <cell r="W4306">
            <v>0</v>
          </cell>
          <cell r="AJ4306">
            <v>0</v>
          </cell>
          <cell r="AP4306">
            <v>300</v>
          </cell>
          <cell r="AQ4306">
            <v>300</v>
          </cell>
          <cell r="AW4306">
            <v>600</v>
          </cell>
        </row>
        <row r="4307">
          <cell r="B4307">
            <v>7742</v>
          </cell>
          <cell r="C4307" t="str">
            <v>EZ_111_</v>
          </cell>
          <cell r="D4307" t="str">
            <v>Rancho Estanzuela No. 111</v>
          </cell>
          <cell r="E4307" t="str">
            <v>Flores Pérez</v>
          </cell>
          <cell r="F4307">
            <v>300</v>
          </cell>
          <cell r="G4307">
            <v>1</v>
          </cell>
          <cell r="H4307">
            <v>400</v>
          </cell>
          <cell r="I4307">
            <v>41882</v>
          </cell>
          <cell r="J4307">
            <v>0</v>
          </cell>
          <cell r="W4307">
            <v>0</v>
          </cell>
          <cell r="AJ4307">
            <v>0</v>
          </cell>
          <cell r="AR4307">
            <v>400</v>
          </cell>
          <cell r="AW4307">
            <v>400</v>
          </cell>
        </row>
        <row r="4308">
          <cell r="B4308">
            <v>7743</v>
          </cell>
          <cell r="C4308" t="str">
            <v>LD_15_</v>
          </cell>
          <cell r="D4308" t="str">
            <v>Rancho Landero No. 15</v>
          </cell>
          <cell r="E4308" t="str">
            <v>Morales D.</v>
          </cell>
          <cell r="F4308">
            <v>300</v>
          </cell>
          <cell r="G4308">
            <v>3</v>
          </cell>
          <cell r="H4308">
            <v>160</v>
          </cell>
          <cell r="I4308">
            <v>41882</v>
          </cell>
          <cell r="J4308" t="str">
            <v>NO SUMA</v>
          </cell>
          <cell r="W4308">
            <v>0</v>
          </cell>
          <cell r="AJ4308">
            <v>0</v>
          </cell>
          <cell r="AW4308">
            <v>0</v>
          </cell>
        </row>
        <row r="4309">
          <cell r="B4309">
            <v>7744</v>
          </cell>
          <cell r="C4309" t="str">
            <v>UP_101_</v>
          </cell>
          <cell r="D4309" t="str">
            <v>Rancho Upácuaro No. 101</v>
          </cell>
          <cell r="E4309" t="str">
            <v>Chávez, Arturo</v>
          </cell>
          <cell r="F4309">
            <v>300</v>
          </cell>
          <cell r="G4309">
            <v>1</v>
          </cell>
          <cell r="H4309">
            <v>400</v>
          </cell>
          <cell r="I4309">
            <v>41882</v>
          </cell>
          <cell r="J4309">
            <v>0</v>
          </cell>
          <cell r="W4309">
            <v>0</v>
          </cell>
          <cell r="AJ4309">
            <v>0</v>
          </cell>
          <cell r="AS4309">
            <v>400</v>
          </cell>
          <cell r="AW4309">
            <v>400</v>
          </cell>
        </row>
        <row r="4310">
          <cell r="B4310">
            <v>7745</v>
          </cell>
          <cell r="C4310" t="str">
            <v>LD_33_</v>
          </cell>
          <cell r="D4310" t="str">
            <v>Rancho Landero No. 33</v>
          </cell>
          <cell r="E4310" t="str">
            <v>González Uribe</v>
          </cell>
          <cell r="F4310">
            <v>300</v>
          </cell>
          <cell r="G4310">
            <v>1</v>
          </cell>
          <cell r="H4310">
            <v>800</v>
          </cell>
          <cell r="I4310">
            <v>41882</v>
          </cell>
          <cell r="J4310">
            <v>0</v>
          </cell>
          <cell r="W4310">
            <v>0</v>
          </cell>
          <cell r="AJ4310">
            <v>0</v>
          </cell>
          <cell r="AP4310">
            <v>400</v>
          </cell>
          <cell r="AQ4310">
            <v>400</v>
          </cell>
          <cell r="AW4310">
            <v>800</v>
          </cell>
        </row>
        <row r="4311">
          <cell r="B4311">
            <v>7746</v>
          </cell>
          <cell r="C4311" t="str">
            <v>LD_76_</v>
          </cell>
          <cell r="D4311" t="str">
            <v>Rancho Landero No. 76</v>
          </cell>
          <cell r="E4311" t="str">
            <v>Ugarte</v>
          </cell>
          <cell r="F4311">
            <v>300</v>
          </cell>
          <cell r="G4311">
            <v>1</v>
          </cell>
          <cell r="H4311">
            <v>800</v>
          </cell>
          <cell r="I4311">
            <v>41882</v>
          </cell>
          <cell r="J4311">
            <v>0</v>
          </cell>
          <cell r="W4311">
            <v>0</v>
          </cell>
          <cell r="AJ4311">
            <v>0</v>
          </cell>
          <cell r="AR4311">
            <v>400</v>
          </cell>
          <cell r="AS4311">
            <v>400</v>
          </cell>
          <cell r="AW4311">
            <v>800</v>
          </cell>
        </row>
        <row r="4312">
          <cell r="B4312">
            <v>7747</v>
          </cell>
          <cell r="C4312" t="str">
            <v>CL_43_A</v>
          </cell>
          <cell r="D4312" t="str">
            <v>Rancho La Cuchilla No. 43, A</v>
          </cell>
          <cell r="E4312" t="str">
            <v>De la Rosa</v>
          </cell>
          <cell r="F4312">
            <v>200</v>
          </cell>
          <cell r="G4312">
            <v>1</v>
          </cell>
          <cell r="H4312">
            <v>400</v>
          </cell>
          <cell r="I4312">
            <v>41882</v>
          </cell>
          <cell r="J4312">
            <v>0</v>
          </cell>
          <cell r="W4312">
            <v>0</v>
          </cell>
          <cell r="AJ4312">
            <v>0</v>
          </cell>
          <cell r="AQ4312">
            <v>400</v>
          </cell>
          <cell r="AW4312">
            <v>400</v>
          </cell>
        </row>
        <row r="4313">
          <cell r="B4313">
            <v>8138</v>
          </cell>
          <cell r="C4313" t="str">
            <v>UP_46_</v>
          </cell>
          <cell r="D4313" t="str">
            <v>Rancho Upácuaro No. 46</v>
          </cell>
          <cell r="E4313" t="str">
            <v>Fuentes</v>
          </cell>
          <cell r="F4313">
            <v>300</v>
          </cell>
          <cell r="G4313">
            <v>1</v>
          </cell>
          <cell r="H4313">
            <v>300</v>
          </cell>
          <cell r="I4313">
            <v>41856</v>
          </cell>
          <cell r="J4313">
            <v>0</v>
          </cell>
          <cell r="W4313">
            <v>0</v>
          </cell>
          <cell r="AJ4313">
            <v>0</v>
          </cell>
          <cell r="AR4313">
            <v>300</v>
          </cell>
          <cell r="AW4313">
            <v>300</v>
          </cell>
        </row>
        <row r="4314">
          <cell r="C4314" t="str">
            <v>CM_130_A</v>
          </cell>
          <cell r="D4314" t="str">
            <v>Rancho Estanzuela No. 130, A</v>
          </cell>
          <cell r="E4314" t="str">
            <v>Colegio Carmel</v>
          </cell>
          <cell r="F4314">
            <v>10000</v>
          </cell>
          <cell r="G4314">
            <v>1</v>
          </cell>
          <cell r="H4314">
            <v>10000</v>
          </cell>
          <cell r="I4314">
            <v>41856</v>
          </cell>
          <cell r="J4314">
            <v>0</v>
          </cell>
          <cell r="W4314">
            <v>0</v>
          </cell>
          <cell r="AJ4314">
            <v>0</v>
          </cell>
          <cell r="AQ4314">
            <v>10000</v>
          </cell>
          <cell r="AW4314">
            <v>10000</v>
          </cell>
        </row>
        <row r="4315">
          <cell r="B4315" t="str">
            <v>NÚMERO</v>
          </cell>
          <cell r="C4315" t="str">
            <v>CASA</v>
          </cell>
          <cell r="D4315" t="str">
            <v>DOMICILIO</v>
          </cell>
          <cell r="E4315" t="str">
            <v>FAMILIA</v>
          </cell>
          <cell r="F4315" t="str">
            <v>CUOTA</v>
          </cell>
          <cell r="G4315" t="str">
            <v>C_ING</v>
          </cell>
          <cell r="H4315" t="str">
            <v>IMPORTE</v>
          </cell>
          <cell r="I4315" t="str">
            <v>FECHA</v>
          </cell>
          <cell r="J4315" t="str">
            <v>CHK</v>
          </cell>
          <cell r="K4315" t="str">
            <v>ENE
2012</v>
          </cell>
          <cell r="L4315" t="str">
            <v>FEB
2012</v>
          </cell>
          <cell r="M4315" t="str">
            <v>MAR
2012</v>
          </cell>
          <cell r="N4315" t="str">
            <v>ABR
2012</v>
          </cell>
          <cell r="O4315" t="str">
            <v>MAY
2012</v>
          </cell>
          <cell r="P4315" t="str">
            <v>JUN
2012</v>
          </cell>
          <cell r="Q4315" t="str">
            <v>JUL
2012</v>
          </cell>
          <cell r="R4315" t="str">
            <v>AGO
2012</v>
          </cell>
          <cell r="S4315" t="str">
            <v>SEP
2012</v>
          </cell>
          <cell r="T4315" t="str">
            <v>OCT
2012</v>
          </cell>
          <cell r="U4315" t="str">
            <v>NOV
2012</v>
          </cell>
          <cell r="V4315" t="str">
            <v>DIC
2012</v>
          </cell>
          <cell r="W4315" t="str">
            <v>SUMA
2012</v>
          </cell>
          <cell r="X4315" t="str">
            <v>ENE
2013</v>
          </cell>
          <cell r="Y4315" t="str">
            <v>FEB
2013</v>
          </cell>
          <cell r="Z4315" t="str">
            <v>MAR
2013</v>
          </cell>
          <cell r="AA4315" t="str">
            <v>ABR
2013</v>
          </cell>
          <cell r="AB4315" t="str">
            <v>MAY
2013</v>
          </cell>
          <cell r="AC4315" t="str">
            <v>JUN
2013</v>
          </cell>
          <cell r="AD4315" t="str">
            <v>JUL
2013</v>
          </cell>
          <cell r="AE4315" t="str">
            <v>AGO
2013</v>
          </cell>
          <cell r="AF4315" t="str">
            <v>SEP
2013</v>
          </cell>
          <cell r="AG4315" t="str">
            <v>OCT
2013</v>
          </cell>
          <cell r="AH4315" t="str">
            <v>NOV
2013</v>
          </cell>
          <cell r="AI4315" t="str">
            <v>DIC
2013</v>
          </cell>
          <cell r="AJ4315" t="str">
            <v>SUMA
2013</v>
          </cell>
          <cell r="AK4315" t="str">
            <v>ENE
2014</v>
          </cell>
          <cell r="AL4315" t="str">
            <v>FEB
2014</v>
          </cell>
          <cell r="AM4315" t="str">
            <v>MAR
2014</v>
          </cell>
          <cell r="AN4315" t="str">
            <v>ABR
2014</v>
          </cell>
          <cell r="AO4315" t="str">
            <v>MAY
2014</v>
          </cell>
          <cell r="AP4315" t="str">
            <v>JUN
2014</v>
          </cell>
          <cell r="AQ4315" t="str">
            <v>JUL
2014</v>
          </cell>
          <cell r="AR4315" t="str">
            <v>AGO
2014</v>
          </cell>
          <cell r="AS4315" t="str">
            <v>SEP
2014</v>
          </cell>
          <cell r="AT4315" t="str">
            <v>OCT
2014</v>
          </cell>
          <cell r="AU4315" t="str">
            <v>NOV
2014</v>
          </cell>
          <cell r="AV4315" t="str">
            <v>DIC
2014</v>
          </cell>
          <cell r="AW4315" t="str">
            <v>SUMA
2014</v>
          </cell>
        </row>
        <row r="4316">
          <cell r="B4316">
            <v>7748</v>
          </cell>
          <cell r="C4316" t="str">
            <v>EZ_130_B</v>
          </cell>
          <cell r="D4316" t="str">
            <v>Rancho Estanzuela No. 130, B</v>
          </cell>
          <cell r="E4316" t="str">
            <v>Morales</v>
          </cell>
          <cell r="F4316">
            <v>300</v>
          </cell>
          <cell r="G4316">
            <v>3</v>
          </cell>
          <cell r="H4316">
            <v>160</v>
          </cell>
          <cell r="I4316">
            <v>41887</v>
          </cell>
          <cell r="J4316" t="str">
            <v>NO SUMA</v>
          </cell>
          <cell r="W4316">
            <v>0</v>
          </cell>
          <cell r="AJ4316">
            <v>0</v>
          </cell>
          <cell r="AW4316">
            <v>0</v>
          </cell>
        </row>
        <row r="4317">
          <cell r="B4317">
            <v>7749</v>
          </cell>
          <cell r="C4317" t="str">
            <v>EZ_129_</v>
          </cell>
          <cell r="D4317" t="str">
            <v>Rancho Estanzuela No. 129</v>
          </cell>
          <cell r="E4317" t="str">
            <v>González</v>
          </cell>
          <cell r="F4317">
            <v>300</v>
          </cell>
          <cell r="G4317">
            <v>1</v>
          </cell>
          <cell r="H4317">
            <v>250</v>
          </cell>
          <cell r="I4317">
            <v>41884</v>
          </cell>
          <cell r="J4317">
            <v>0</v>
          </cell>
          <cell r="W4317">
            <v>0</v>
          </cell>
          <cell r="AJ4317">
            <v>0</v>
          </cell>
          <cell r="AQ4317">
            <v>250</v>
          </cell>
          <cell r="AW4317">
            <v>250</v>
          </cell>
        </row>
        <row r="4318">
          <cell r="B4318">
            <v>7750</v>
          </cell>
          <cell r="C4318" t="str">
            <v>CL_61_</v>
          </cell>
          <cell r="D4318" t="str">
            <v>Rancho La Cuchilla No. 61</v>
          </cell>
          <cell r="E4318" t="str">
            <v>Rivera</v>
          </cell>
          <cell r="F4318">
            <v>300</v>
          </cell>
          <cell r="G4318">
            <v>1</v>
          </cell>
          <cell r="H4318">
            <v>400</v>
          </cell>
          <cell r="I4318">
            <v>41887</v>
          </cell>
          <cell r="J4318">
            <v>0</v>
          </cell>
          <cell r="W4318">
            <v>0</v>
          </cell>
          <cell r="AJ4318">
            <v>0</v>
          </cell>
          <cell r="AQ4318">
            <v>200</v>
          </cell>
          <cell r="AR4318">
            <v>200</v>
          </cell>
          <cell r="AW4318">
            <v>400</v>
          </cell>
        </row>
        <row r="4319">
          <cell r="B4319">
            <v>7751</v>
          </cell>
          <cell r="C4319" t="str">
            <v>ZB_30_</v>
          </cell>
          <cell r="D4319" t="str">
            <v>Rancho Zinamba No. 30</v>
          </cell>
          <cell r="E4319" t="str">
            <v xml:space="preserve">Arroyo </v>
          </cell>
          <cell r="F4319">
            <v>300</v>
          </cell>
          <cell r="G4319">
            <v>1</v>
          </cell>
          <cell r="H4319">
            <v>400</v>
          </cell>
          <cell r="I4319">
            <v>41887</v>
          </cell>
          <cell r="J4319">
            <v>0</v>
          </cell>
          <cell r="W4319">
            <v>0</v>
          </cell>
          <cell r="AJ4319">
            <v>0</v>
          </cell>
          <cell r="AR4319">
            <v>400</v>
          </cell>
          <cell r="AW4319">
            <v>400</v>
          </cell>
        </row>
        <row r="4320">
          <cell r="B4320">
            <v>7752</v>
          </cell>
          <cell r="C4320" t="str">
            <v>CL_131_</v>
          </cell>
          <cell r="D4320" t="str">
            <v>Rancho La Cuchilla No. 131</v>
          </cell>
          <cell r="E4320" t="str">
            <v>Cabrera Marquez</v>
          </cell>
          <cell r="F4320">
            <v>300</v>
          </cell>
          <cell r="G4320">
            <v>1</v>
          </cell>
          <cell r="H4320">
            <v>800</v>
          </cell>
          <cell r="I4320">
            <v>41889</v>
          </cell>
          <cell r="J4320">
            <v>0</v>
          </cell>
          <cell r="W4320">
            <v>0</v>
          </cell>
          <cell r="AJ4320">
            <v>0</v>
          </cell>
          <cell r="AR4320">
            <v>400</v>
          </cell>
          <cell r="AS4320">
            <v>400</v>
          </cell>
          <cell r="AW4320">
            <v>800</v>
          </cell>
        </row>
        <row r="4321">
          <cell r="B4321">
            <v>7753</v>
          </cell>
          <cell r="C4321" t="str">
            <v>EZ_99_</v>
          </cell>
          <cell r="D4321" t="str">
            <v>Rancho Estanzuela No. 99</v>
          </cell>
          <cell r="E4321" t="str">
            <v>García López</v>
          </cell>
          <cell r="F4321">
            <v>300</v>
          </cell>
          <cell r="G4321">
            <v>1</v>
          </cell>
          <cell r="H4321">
            <v>400</v>
          </cell>
          <cell r="I4321">
            <v>41889</v>
          </cell>
          <cell r="J4321">
            <v>0</v>
          </cell>
          <cell r="W4321">
            <v>0</v>
          </cell>
          <cell r="AJ4321">
            <v>0</v>
          </cell>
          <cell r="AS4321">
            <v>400</v>
          </cell>
          <cell r="AW4321">
            <v>400</v>
          </cell>
        </row>
        <row r="4322">
          <cell r="B4322">
            <v>7754</v>
          </cell>
          <cell r="C4322" t="str">
            <v>EZ_89_</v>
          </cell>
          <cell r="D4322" t="str">
            <v>Rancho Estanzuela No. 89</v>
          </cell>
          <cell r="E4322" t="str">
            <v>Romero Ortiz</v>
          </cell>
          <cell r="F4322">
            <v>300</v>
          </cell>
          <cell r="G4322">
            <v>1</v>
          </cell>
          <cell r="H4322">
            <v>400</v>
          </cell>
          <cell r="I4322">
            <v>41858</v>
          </cell>
          <cell r="J4322">
            <v>0</v>
          </cell>
          <cell r="W4322">
            <v>0</v>
          </cell>
          <cell r="AJ4322">
            <v>0</v>
          </cell>
          <cell r="AS4322">
            <v>400</v>
          </cell>
          <cell r="AW4322">
            <v>400</v>
          </cell>
        </row>
        <row r="4323">
          <cell r="B4323">
            <v>7755</v>
          </cell>
          <cell r="C4323" t="str">
            <v>CL_120_</v>
          </cell>
          <cell r="D4323" t="str">
            <v>Rancho La Cuchilla No. 120</v>
          </cell>
          <cell r="E4323" t="str">
            <v>Pozos Vilchis</v>
          </cell>
          <cell r="F4323">
            <v>300</v>
          </cell>
          <cell r="G4323">
            <v>1</v>
          </cell>
          <cell r="H4323">
            <v>400</v>
          </cell>
          <cell r="I4323">
            <v>41889</v>
          </cell>
          <cell r="J4323">
            <v>0</v>
          </cell>
          <cell r="W4323">
            <v>0</v>
          </cell>
          <cell r="AJ4323">
            <v>0</v>
          </cell>
          <cell r="AS4323">
            <v>400</v>
          </cell>
          <cell r="AW4323">
            <v>400</v>
          </cell>
        </row>
        <row r="4324">
          <cell r="B4324">
            <v>7756</v>
          </cell>
          <cell r="C4324" t="str">
            <v>CL_131_</v>
          </cell>
          <cell r="D4324" t="str">
            <v>Rancho La Cuchilla No. 131</v>
          </cell>
          <cell r="E4324" t="str">
            <v>Cabrera Marquez</v>
          </cell>
          <cell r="F4324">
            <v>300</v>
          </cell>
          <cell r="G4324">
            <v>1</v>
          </cell>
          <cell r="H4324">
            <v>100</v>
          </cell>
          <cell r="I4324">
            <v>41889</v>
          </cell>
          <cell r="J4324">
            <v>0</v>
          </cell>
          <cell r="W4324">
            <v>0</v>
          </cell>
          <cell r="AJ4324">
            <v>0</v>
          </cell>
          <cell r="AS4324">
            <v>100</v>
          </cell>
          <cell r="AW4324">
            <v>100</v>
          </cell>
        </row>
        <row r="4325">
          <cell r="B4325">
            <v>7757</v>
          </cell>
          <cell r="C4325" t="str">
            <v>UP_32_</v>
          </cell>
          <cell r="D4325" t="str">
            <v>Rancho Upácuaro No. 32</v>
          </cell>
          <cell r="E4325" t="str">
            <v>Sairafi Carmen</v>
          </cell>
          <cell r="F4325">
            <v>300</v>
          </cell>
          <cell r="G4325">
            <v>1</v>
          </cell>
          <cell r="H4325">
            <v>400</v>
          </cell>
          <cell r="I4325">
            <v>41889</v>
          </cell>
          <cell r="J4325">
            <v>0</v>
          </cell>
          <cell r="W4325">
            <v>0</v>
          </cell>
          <cell r="AJ4325">
            <v>0</v>
          </cell>
          <cell r="AS4325">
            <v>400</v>
          </cell>
          <cell r="AW4325">
            <v>400</v>
          </cell>
        </row>
        <row r="4326">
          <cell r="B4326">
            <v>7758</v>
          </cell>
          <cell r="C4326" t="str">
            <v>UP_120_</v>
          </cell>
          <cell r="D4326" t="str">
            <v>Rancho Upácuaro No. 120</v>
          </cell>
          <cell r="E4326" t="str">
            <v>Rayas Rivera</v>
          </cell>
          <cell r="F4326">
            <v>300</v>
          </cell>
          <cell r="G4326">
            <v>1</v>
          </cell>
          <cell r="H4326">
            <v>400</v>
          </cell>
          <cell r="I4326">
            <v>41889</v>
          </cell>
          <cell r="J4326">
            <v>0</v>
          </cell>
          <cell r="W4326">
            <v>0</v>
          </cell>
          <cell r="AJ4326">
            <v>0</v>
          </cell>
          <cell r="AS4326">
            <v>400</v>
          </cell>
          <cell r="AW4326">
            <v>400</v>
          </cell>
        </row>
        <row r="4327">
          <cell r="B4327">
            <v>7759</v>
          </cell>
          <cell r="C4327" t="str">
            <v>CL_112_PA</v>
          </cell>
          <cell r="D4327" t="e">
            <v>#N/A</v>
          </cell>
          <cell r="E4327" t="e">
            <v>#N/A</v>
          </cell>
          <cell r="G4327">
            <v>1</v>
          </cell>
          <cell r="H4327">
            <v>600</v>
          </cell>
          <cell r="I4327">
            <v>41889</v>
          </cell>
          <cell r="J4327">
            <v>0</v>
          </cell>
          <cell r="W4327">
            <v>0</v>
          </cell>
          <cell r="AJ4327">
            <v>0</v>
          </cell>
          <cell r="AK4327">
            <v>200</v>
          </cell>
          <cell r="AL4327">
            <v>200</v>
          </cell>
          <cell r="AM4327">
            <v>200</v>
          </cell>
          <cell r="AW4327">
            <v>600</v>
          </cell>
        </row>
        <row r="4328">
          <cell r="B4328">
            <v>7760</v>
          </cell>
          <cell r="C4328" t="str">
            <v>ZB_80_</v>
          </cell>
          <cell r="D4328" t="str">
            <v>Rancho Zinamba No. 80</v>
          </cell>
          <cell r="E4328" t="str">
            <v>Vázquez</v>
          </cell>
          <cell r="F4328">
            <v>250</v>
          </cell>
          <cell r="G4328">
            <v>1</v>
          </cell>
          <cell r="H4328">
            <v>300</v>
          </cell>
          <cell r="I4328">
            <v>41889</v>
          </cell>
          <cell r="J4328">
            <v>0</v>
          </cell>
          <cell r="W4328">
            <v>0</v>
          </cell>
          <cell r="AJ4328">
            <v>0</v>
          </cell>
          <cell r="AS4328">
            <v>300</v>
          </cell>
          <cell r="AW4328">
            <v>300</v>
          </cell>
        </row>
        <row r="4329">
          <cell r="B4329">
            <v>7761</v>
          </cell>
          <cell r="C4329" t="str">
            <v>UP_35_</v>
          </cell>
          <cell r="D4329" t="str">
            <v>Rancho Upácuaro No. 35</v>
          </cell>
          <cell r="E4329" t="str">
            <v>García</v>
          </cell>
          <cell r="F4329">
            <v>300</v>
          </cell>
          <cell r="G4329">
            <v>1</v>
          </cell>
          <cell r="H4329">
            <v>200</v>
          </cell>
          <cell r="I4329">
            <v>41889</v>
          </cell>
          <cell r="J4329">
            <v>0</v>
          </cell>
          <cell r="W4329">
            <v>0</v>
          </cell>
          <cell r="AJ4329">
            <v>0</v>
          </cell>
          <cell r="AR4329">
            <v>200</v>
          </cell>
          <cell r="AW4329">
            <v>200</v>
          </cell>
        </row>
        <row r="4330">
          <cell r="B4330">
            <v>7761</v>
          </cell>
          <cell r="C4330" t="str">
            <v>UP_35_</v>
          </cell>
          <cell r="D4330" t="str">
            <v>Rancho Upácuaro No. 35</v>
          </cell>
          <cell r="E4330" t="str">
            <v>García</v>
          </cell>
          <cell r="F4330">
            <v>300</v>
          </cell>
          <cell r="G4330">
            <v>3</v>
          </cell>
          <cell r="H4330">
            <v>160</v>
          </cell>
          <cell r="I4330">
            <v>41889</v>
          </cell>
          <cell r="J4330" t="str">
            <v>NO SUMA</v>
          </cell>
          <cell r="W4330">
            <v>0</v>
          </cell>
          <cell r="AJ4330">
            <v>0</v>
          </cell>
          <cell r="AW4330">
            <v>0</v>
          </cell>
        </row>
        <row r="4331">
          <cell r="B4331">
            <v>7762</v>
          </cell>
          <cell r="C4331" t="str">
            <v>UP_68_</v>
          </cell>
          <cell r="D4331" t="str">
            <v>Rancho Upácuaro No. 68</v>
          </cell>
          <cell r="E4331" t="str">
            <v>Colin Guerrero</v>
          </cell>
          <cell r="F4331">
            <v>300</v>
          </cell>
          <cell r="G4331">
            <v>1</v>
          </cell>
          <cell r="H4331">
            <v>200</v>
          </cell>
          <cell r="I4331">
            <v>41889</v>
          </cell>
          <cell r="J4331">
            <v>0</v>
          </cell>
          <cell r="W4331">
            <v>0</v>
          </cell>
          <cell r="AJ4331">
            <v>0</v>
          </cell>
          <cell r="AS4331">
            <v>200</v>
          </cell>
          <cell r="AW4331">
            <v>200</v>
          </cell>
        </row>
        <row r="4332">
          <cell r="B4332">
            <v>7763</v>
          </cell>
          <cell r="C4332" t="str">
            <v>UP_76_</v>
          </cell>
          <cell r="D4332" t="str">
            <v>Rancho Upácuaro No. 76</v>
          </cell>
          <cell r="E4332" t="str">
            <v>Ruiz de San Pedro</v>
          </cell>
          <cell r="F4332">
            <v>300</v>
          </cell>
          <cell r="G4332">
            <v>1</v>
          </cell>
          <cell r="H4332">
            <v>400</v>
          </cell>
          <cell r="I4332">
            <v>41889</v>
          </cell>
          <cell r="J4332">
            <v>0</v>
          </cell>
          <cell r="W4332">
            <v>0</v>
          </cell>
          <cell r="AJ4332">
            <v>0</v>
          </cell>
          <cell r="AS4332">
            <v>400</v>
          </cell>
          <cell r="AW4332">
            <v>400</v>
          </cell>
        </row>
        <row r="4333">
          <cell r="B4333">
            <v>7764</v>
          </cell>
          <cell r="C4333" t="str">
            <v>EZ_47_</v>
          </cell>
          <cell r="D4333" t="str">
            <v>Rancho Estanzuela No. 47</v>
          </cell>
          <cell r="E4333" t="str">
            <v>Bussey García</v>
          </cell>
          <cell r="F4333">
            <v>300</v>
          </cell>
          <cell r="G4333">
            <v>1</v>
          </cell>
          <cell r="H4333">
            <v>400</v>
          </cell>
          <cell r="I4333">
            <v>41889</v>
          </cell>
          <cell r="J4333">
            <v>0</v>
          </cell>
          <cell r="W4333">
            <v>0</v>
          </cell>
          <cell r="AJ4333">
            <v>0</v>
          </cell>
          <cell r="AS4333">
            <v>400</v>
          </cell>
          <cell r="AW4333">
            <v>400</v>
          </cell>
        </row>
        <row r="4334">
          <cell r="B4334">
            <v>7765</v>
          </cell>
          <cell r="C4334" t="str">
            <v>ZB_20_</v>
          </cell>
          <cell r="D4334" t="str">
            <v>Rancho Zinamba No. 20</v>
          </cell>
          <cell r="E4334" t="str">
            <v>Alegre Retana</v>
          </cell>
          <cell r="F4334">
            <v>300</v>
          </cell>
          <cell r="G4334">
            <v>1</v>
          </cell>
          <cell r="H4334">
            <v>800</v>
          </cell>
          <cell r="I4334">
            <v>41889</v>
          </cell>
          <cell r="J4334">
            <v>0</v>
          </cell>
          <cell r="W4334">
            <v>0</v>
          </cell>
          <cell r="AJ4334">
            <v>0</v>
          </cell>
          <cell r="AO4334">
            <v>400</v>
          </cell>
          <cell r="AP4334">
            <v>400</v>
          </cell>
          <cell r="AW4334">
            <v>800</v>
          </cell>
        </row>
        <row r="4335">
          <cell r="B4335">
            <v>7766</v>
          </cell>
          <cell r="C4335" t="str">
            <v>LD_18_</v>
          </cell>
          <cell r="D4335" t="str">
            <v>Rancho Landero No. 18</v>
          </cell>
          <cell r="E4335" t="str">
            <v>Rosado</v>
          </cell>
          <cell r="F4335">
            <v>250</v>
          </cell>
          <cell r="G4335">
            <v>1</v>
          </cell>
          <cell r="H4335">
            <v>300</v>
          </cell>
          <cell r="I4335">
            <v>41889</v>
          </cell>
          <cell r="J4335">
            <v>0</v>
          </cell>
          <cell r="W4335">
            <v>0</v>
          </cell>
          <cell r="AJ4335">
            <v>0</v>
          </cell>
          <cell r="AR4335">
            <v>300</v>
          </cell>
          <cell r="AW4335">
            <v>300</v>
          </cell>
        </row>
        <row r="4336">
          <cell r="B4336">
            <v>7767</v>
          </cell>
          <cell r="C4336" t="str">
            <v>CL_14_</v>
          </cell>
          <cell r="D4336" t="str">
            <v>Rancho La Cuchilla No. 14</v>
          </cell>
          <cell r="E4336" t="str">
            <v>Chávez Lara</v>
          </cell>
          <cell r="F4336">
            <v>300</v>
          </cell>
          <cell r="G4336">
            <v>1</v>
          </cell>
          <cell r="H4336">
            <v>800</v>
          </cell>
          <cell r="I4336">
            <v>41889</v>
          </cell>
          <cell r="J4336">
            <v>0</v>
          </cell>
          <cell r="W4336">
            <v>0</v>
          </cell>
          <cell r="AJ4336">
            <v>0</v>
          </cell>
          <cell r="AS4336">
            <v>400</v>
          </cell>
          <cell r="AT4336">
            <v>400</v>
          </cell>
          <cell r="AW4336">
            <v>800</v>
          </cell>
        </row>
        <row r="4337">
          <cell r="B4337">
            <v>7768</v>
          </cell>
          <cell r="C4337" t="str">
            <v>CL_19_</v>
          </cell>
          <cell r="D4337" t="str">
            <v>Rancho La Cuchilla No. 19</v>
          </cell>
          <cell r="E4337" t="str">
            <v>Tapia Vázquez</v>
          </cell>
          <cell r="F4337">
            <v>300</v>
          </cell>
          <cell r="G4337">
            <v>1</v>
          </cell>
          <cell r="H4337">
            <v>300</v>
          </cell>
          <cell r="I4337">
            <v>41889</v>
          </cell>
          <cell r="J4337">
            <v>0</v>
          </cell>
          <cell r="W4337">
            <v>0</v>
          </cell>
          <cell r="AJ4337">
            <v>0</v>
          </cell>
          <cell r="AS4337">
            <v>300</v>
          </cell>
          <cell r="AW4337">
            <v>300</v>
          </cell>
        </row>
        <row r="4338">
          <cell r="B4338">
            <v>7769</v>
          </cell>
          <cell r="C4338" t="str">
            <v>CL_15_</v>
          </cell>
          <cell r="D4338" t="str">
            <v>Rancho La Cuchilla No. 15</v>
          </cell>
          <cell r="E4338" t="str">
            <v>Guerrero Ponce</v>
          </cell>
          <cell r="F4338">
            <v>300</v>
          </cell>
          <cell r="G4338">
            <v>1</v>
          </cell>
          <cell r="H4338">
            <v>600</v>
          </cell>
          <cell r="I4338">
            <v>41889</v>
          </cell>
          <cell r="J4338">
            <v>0</v>
          </cell>
          <cell r="W4338">
            <v>0</v>
          </cell>
          <cell r="AJ4338">
            <v>0</v>
          </cell>
          <cell r="AO4338">
            <v>300</v>
          </cell>
          <cell r="AR4338">
            <v>300</v>
          </cell>
          <cell r="AW4338">
            <v>600</v>
          </cell>
        </row>
        <row r="4339">
          <cell r="B4339">
            <v>7770</v>
          </cell>
          <cell r="C4339" t="str">
            <v>LD_94_</v>
          </cell>
          <cell r="D4339" t="str">
            <v>Rancho Landero No. 94</v>
          </cell>
          <cell r="E4339" t="str">
            <v>Medina</v>
          </cell>
          <cell r="F4339">
            <v>150</v>
          </cell>
          <cell r="G4339">
            <v>1</v>
          </cell>
          <cell r="H4339">
            <v>600</v>
          </cell>
          <cell r="I4339">
            <v>41889</v>
          </cell>
          <cell r="J4339">
            <v>0</v>
          </cell>
          <cell r="W4339">
            <v>0</v>
          </cell>
          <cell r="AJ4339">
            <v>0</v>
          </cell>
          <cell r="AP4339">
            <v>150</v>
          </cell>
          <cell r="AQ4339">
            <v>150</v>
          </cell>
          <cell r="AR4339">
            <v>150</v>
          </cell>
          <cell r="AS4339">
            <v>150</v>
          </cell>
          <cell r="AW4339">
            <v>600</v>
          </cell>
        </row>
        <row r="4340">
          <cell r="B4340">
            <v>7771</v>
          </cell>
          <cell r="C4340" t="str">
            <v>CL_15_</v>
          </cell>
          <cell r="D4340" t="str">
            <v>Rancho La Cuchilla No. 15</v>
          </cell>
          <cell r="E4340" t="str">
            <v>Guerrero Ponce</v>
          </cell>
          <cell r="F4340">
            <v>300</v>
          </cell>
          <cell r="G4340">
            <v>1</v>
          </cell>
          <cell r="H4340">
            <v>300</v>
          </cell>
          <cell r="I4340">
            <v>41889</v>
          </cell>
          <cell r="J4340">
            <v>0</v>
          </cell>
          <cell r="W4340">
            <v>0</v>
          </cell>
          <cell r="AJ4340">
            <v>0</v>
          </cell>
          <cell r="AS4340">
            <v>300</v>
          </cell>
          <cell r="AW4340">
            <v>300</v>
          </cell>
        </row>
        <row r="4341">
          <cell r="B4341">
            <v>7772</v>
          </cell>
          <cell r="C4341" t="str">
            <v>LD_80_</v>
          </cell>
          <cell r="D4341" t="str">
            <v>Rancho Landero No. 80</v>
          </cell>
          <cell r="E4341" t="str">
            <v>Villaseñor Sánchez</v>
          </cell>
          <cell r="F4341">
            <v>300</v>
          </cell>
          <cell r="G4341">
            <v>1</v>
          </cell>
          <cell r="H4341">
            <v>400</v>
          </cell>
          <cell r="I4341">
            <v>41889</v>
          </cell>
          <cell r="J4341">
            <v>0</v>
          </cell>
          <cell r="W4341">
            <v>0</v>
          </cell>
          <cell r="AJ4341">
            <v>0</v>
          </cell>
          <cell r="AS4341">
            <v>400</v>
          </cell>
          <cell r="AW4341">
            <v>400</v>
          </cell>
        </row>
        <row r="4342">
          <cell r="B4342">
            <v>7773</v>
          </cell>
          <cell r="C4342" t="str">
            <v>EZ_119_1</v>
          </cell>
          <cell r="D4342" t="str">
            <v>Rancho Estanzuela No. 119, 1</v>
          </cell>
          <cell r="E4342" t="str">
            <v>López Tovar</v>
          </cell>
          <cell r="F4342">
            <v>300</v>
          </cell>
          <cell r="G4342">
            <v>1</v>
          </cell>
          <cell r="H4342">
            <v>400</v>
          </cell>
          <cell r="I4342">
            <v>41889</v>
          </cell>
          <cell r="J4342">
            <v>0</v>
          </cell>
          <cell r="W4342">
            <v>0</v>
          </cell>
          <cell r="AJ4342">
            <v>0</v>
          </cell>
          <cell r="AR4342">
            <v>400</v>
          </cell>
          <cell r="AW4342">
            <v>400</v>
          </cell>
        </row>
        <row r="4343">
          <cell r="B4343">
            <v>7774</v>
          </cell>
          <cell r="C4343" t="str">
            <v>EZ_143_B</v>
          </cell>
          <cell r="D4343" t="str">
            <v>Rancho Estanzuela No. 143, B</v>
          </cell>
          <cell r="E4343" t="str">
            <v>López</v>
          </cell>
          <cell r="F4343">
            <v>300</v>
          </cell>
          <cell r="G4343">
            <v>1</v>
          </cell>
          <cell r="H4343">
            <v>400</v>
          </cell>
          <cell r="I4343">
            <v>41889</v>
          </cell>
          <cell r="J4343">
            <v>0</v>
          </cell>
          <cell r="W4343">
            <v>0</v>
          </cell>
          <cell r="AJ4343">
            <v>0</v>
          </cell>
          <cell r="AR4343">
            <v>400</v>
          </cell>
          <cell r="AW4343">
            <v>400</v>
          </cell>
        </row>
        <row r="4344">
          <cell r="B4344">
            <v>7774</v>
          </cell>
          <cell r="C4344" t="str">
            <v>EZ_143_B</v>
          </cell>
          <cell r="D4344" t="str">
            <v>Rancho Estanzuela No. 143, B</v>
          </cell>
          <cell r="E4344" t="str">
            <v>López</v>
          </cell>
          <cell r="F4344">
            <v>300</v>
          </cell>
          <cell r="G4344">
            <v>4</v>
          </cell>
          <cell r="H4344">
            <v>160</v>
          </cell>
          <cell r="I4344">
            <v>41889</v>
          </cell>
          <cell r="J4344" t="str">
            <v>NO SUMA</v>
          </cell>
          <cell r="W4344">
            <v>0</v>
          </cell>
          <cell r="AJ4344">
            <v>0</v>
          </cell>
          <cell r="AW4344">
            <v>0</v>
          </cell>
        </row>
        <row r="4345">
          <cell r="B4345">
            <v>7775</v>
          </cell>
          <cell r="C4345" t="str">
            <v>UP_85_</v>
          </cell>
          <cell r="D4345" t="str">
            <v>Rancho Upácuaro No. 85</v>
          </cell>
          <cell r="E4345" t="str">
            <v>Del Toro Huerta</v>
          </cell>
          <cell r="F4345">
            <v>300</v>
          </cell>
          <cell r="G4345">
            <v>1</v>
          </cell>
          <cell r="H4345">
            <v>400</v>
          </cell>
          <cell r="I4345">
            <v>41889</v>
          </cell>
          <cell r="J4345">
            <v>0</v>
          </cell>
          <cell r="W4345">
            <v>0</v>
          </cell>
          <cell r="AJ4345">
            <v>0</v>
          </cell>
          <cell r="AS4345">
            <v>400</v>
          </cell>
          <cell r="AW4345">
            <v>400</v>
          </cell>
        </row>
        <row r="4346">
          <cell r="B4346">
            <v>7776</v>
          </cell>
          <cell r="C4346" t="str">
            <v>UP_34_</v>
          </cell>
          <cell r="D4346" t="str">
            <v>Rancho Upácuaro No. 34</v>
          </cell>
          <cell r="E4346" t="str">
            <v>Gómez González</v>
          </cell>
          <cell r="F4346">
            <v>300</v>
          </cell>
          <cell r="G4346">
            <v>1</v>
          </cell>
          <cell r="H4346">
            <v>600</v>
          </cell>
          <cell r="I4346">
            <v>41889</v>
          </cell>
          <cell r="J4346">
            <v>0</v>
          </cell>
          <cell r="W4346">
            <v>0</v>
          </cell>
          <cell r="AJ4346">
            <v>0</v>
          </cell>
          <cell r="AP4346">
            <v>300</v>
          </cell>
          <cell r="AQ4346">
            <v>300</v>
          </cell>
          <cell r="AW4346">
            <v>600</v>
          </cell>
        </row>
        <row r="4347">
          <cell r="B4347">
            <v>7777</v>
          </cell>
          <cell r="C4347" t="str">
            <v>CL_92_</v>
          </cell>
          <cell r="D4347" t="str">
            <v>Rancho La Cuchilla No. 92</v>
          </cell>
          <cell r="E4347" t="str">
            <v>Cabrera</v>
          </cell>
          <cell r="F4347">
            <v>300</v>
          </cell>
          <cell r="G4347">
            <v>1</v>
          </cell>
          <cell r="H4347">
            <v>400</v>
          </cell>
          <cell r="I4347">
            <v>41889</v>
          </cell>
          <cell r="J4347">
            <v>0</v>
          </cell>
          <cell r="W4347">
            <v>0</v>
          </cell>
          <cell r="AJ4347">
            <v>0</v>
          </cell>
          <cell r="AS4347">
            <v>400</v>
          </cell>
          <cell r="AW4347">
            <v>400</v>
          </cell>
        </row>
        <row r="4348">
          <cell r="B4348">
            <v>7778</v>
          </cell>
          <cell r="C4348" t="str">
            <v>ZB_76_</v>
          </cell>
          <cell r="D4348" t="str">
            <v>Rancho Zinamba No. 76</v>
          </cell>
          <cell r="E4348" t="str">
            <v>Márquez</v>
          </cell>
          <cell r="F4348">
            <v>300</v>
          </cell>
          <cell r="G4348">
            <v>1</v>
          </cell>
          <cell r="H4348">
            <v>800</v>
          </cell>
          <cell r="I4348">
            <v>41889</v>
          </cell>
          <cell r="J4348">
            <v>0</v>
          </cell>
          <cell r="W4348">
            <v>0</v>
          </cell>
          <cell r="AJ4348">
            <v>0</v>
          </cell>
          <cell r="AR4348">
            <v>400</v>
          </cell>
          <cell r="AS4348">
            <v>400</v>
          </cell>
          <cell r="AW4348">
            <v>800</v>
          </cell>
        </row>
        <row r="4349">
          <cell r="B4349">
            <v>7779</v>
          </cell>
          <cell r="C4349" t="str">
            <v>CL_147_2</v>
          </cell>
          <cell r="D4349" t="str">
            <v>Rancho La Cuchilla No. 147, 2</v>
          </cell>
          <cell r="E4349" t="str">
            <v>Lagos</v>
          </cell>
          <cell r="F4349">
            <v>300</v>
          </cell>
          <cell r="G4349">
            <v>1</v>
          </cell>
          <cell r="H4349">
            <v>400</v>
          </cell>
          <cell r="I4349">
            <v>41889</v>
          </cell>
          <cell r="J4349">
            <v>0</v>
          </cell>
          <cell r="W4349">
            <v>0</v>
          </cell>
          <cell r="AJ4349">
            <v>0</v>
          </cell>
          <cell r="AR4349">
            <v>200</v>
          </cell>
          <cell r="AS4349">
            <v>200</v>
          </cell>
          <cell r="AW4349">
            <v>400</v>
          </cell>
        </row>
        <row r="4350">
          <cell r="B4350">
            <v>7780</v>
          </cell>
          <cell r="C4350" t="str">
            <v>LD_45_</v>
          </cell>
          <cell r="D4350" t="str">
            <v>Rancho Landero No. 45</v>
          </cell>
          <cell r="E4350" t="str">
            <v>Solano</v>
          </cell>
          <cell r="F4350">
            <v>250</v>
          </cell>
          <cell r="G4350">
            <v>1</v>
          </cell>
          <cell r="H4350">
            <v>800</v>
          </cell>
          <cell r="I4350">
            <v>41889</v>
          </cell>
          <cell r="J4350">
            <v>0</v>
          </cell>
          <cell r="W4350">
            <v>0</v>
          </cell>
          <cell r="AJ4350">
            <v>0</v>
          </cell>
          <cell r="AS4350">
            <v>400</v>
          </cell>
          <cell r="AT4350">
            <v>400</v>
          </cell>
          <cell r="AW4350">
            <v>800</v>
          </cell>
        </row>
        <row r="4351">
          <cell r="B4351">
            <v>7781</v>
          </cell>
          <cell r="C4351" t="str">
            <v>UP_65_</v>
          </cell>
          <cell r="D4351" t="str">
            <v>Rancho Upácuaro No. 65</v>
          </cell>
          <cell r="E4351" t="str">
            <v>Olguín</v>
          </cell>
          <cell r="F4351">
            <v>300</v>
          </cell>
          <cell r="G4351">
            <v>1</v>
          </cell>
          <cell r="H4351">
            <v>600</v>
          </cell>
          <cell r="I4351">
            <v>41889</v>
          </cell>
          <cell r="J4351">
            <v>0</v>
          </cell>
          <cell r="W4351">
            <v>0</v>
          </cell>
          <cell r="AJ4351">
            <v>0</v>
          </cell>
          <cell r="AR4351">
            <v>300</v>
          </cell>
          <cell r="AS4351">
            <v>300</v>
          </cell>
          <cell r="AW4351">
            <v>600</v>
          </cell>
        </row>
        <row r="4352">
          <cell r="B4352">
            <v>7782</v>
          </cell>
          <cell r="C4352" t="str">
            <v>RM_30_</v>
          </cell>
          <cell r="D4352" t="str">
            <v>Rancho Romeral No. 30</v>
          </cell>
          <cell r="E4352" t="str">
            <v>Osorio</v>
          </cell>
          <cell r="F4352">
            <v>200</v>
          </cell>
          <cell r="G4352">
            <v>1</v>
          </cell>
          <cell r="H4352">
            <v>200</v>
          </cell>
          <cell r="I4352">
            <v>41889</v>
          </cell>
          <cell r="J4352">
            <v>0</v>
          </cell>
          <cell r="W4352">
            <v>0</v>
          </cell>
          <cell r="AJ4352">
            <v>0</v>
          </cell>
          <cell r="AQ4352">
            <v>200</v>
          </cell>
          <cell r="AW4352">
            <v>200</v>
          </cell>
        </row>
        <row r="4353">
          <cell r="B4353">
            <v>7783</v>
          </cell>
          <cell r="C4353" t="str">
            <v>UP_134_</v>
          </cell>
          <cell r="D4353" t="str">
            <v>Rancho Upácuaro No. 134</v>
          </cell>
          <cell r="E4353" t="str">
            <v>Flores Pérez</v>
          </cell>
          <cell r="F4353">
            <v>300</v>
          </cell>
          <cell r="G4353">
            <v>1</v>
          </cell>
          <cell r="H4353">
            <v>1200</v>
          </cell>
          <cell r="I4353">
            <v>41889</v>
          </cell>
          <cell r="J4353">
            <v>0</v>
          </cell>
          <cell r="W4353">
            <v>0</v>
          </cell>
          <cell r="AJ4353">
            <v>0</v>
          </cell>
          <cell r="AP4353">
            <v>400</v>
          </cell>
          <cell r="AQ4353">
            <v>400</v>
          </cell>
          <cell r="AR4353">
            <v>400</v>
          </cell>
          <cell r="AW4353">
            <v>1200</v>
          </cell>
        </row>
        <row r="4354">
          <cell r="B4354">
            <v>7784</v>
          </cell>
          <cell r="C4354" t="str">
            <v>UP_23_</v>
          </cell>
          <cell r="D4354" t="str">
            <v>Rancho Upácuaro No. 23</v>
          </cell>
          <cell r="E4354" t="str">
            <v>Arredondo</v>
          </cell>
          <cell r="F4354">
            <v>300</v>
          </cell>
          <cell r="G4354">
            <v>1</v>
          </cell>
          <cell r="H4354">
            <v>350</v>
          </cell>
          <cell r="I4354">
            <v>41889</v>
          </cell>
          <cell r="J4354">
            <v>0</v>
          </cell>
          <cell r="W4354">
            <v>0</v>
          </cell>
          <cell r="AJ4354">
            <v>0</v>
          </cell>
          <cell r="AS4354">
            <v>350</v>
          </cell>
          <cell r="AW4354">
            <v>350</v>
          </cell>
        </row>
        <row r="4355">
          <cell r="B4355">
            <v>7785</v>
          </cell>
          <cell r="C4355" t="str">
            <v>CL_41_</v>
          </cell>
          <cell r="D4355" t="str">
            <v>Rancho La Cuchilla No. 41</v>
          </cell>
          <cell r="E4355" t="str">
            <v>Arriaga Lemus</v>
          </cell>
          <cell r="F4355">
            <v>250</v>
          </cell>
          <cell r="G4355">
            <v>1</v>
          </cell>
          <cell r="H4355">
            <v>400</v>
          </cell>
          <cell r="I4355">
            <v>41889</v>
          </cell>
          <cell r="J4355">
            <v>0</v>
          </cell>
          <cell r="W4355">
            <v>0</v>
          </cell>
          <cell r="AJ4355">
            <v>0</v>
          </cell>
          <cell r="AS4355">
            <v>400</v>
          </cell>
          <cell r="AW4355">
            <v>400</v>
          </cell>
        </row>
        <row r="4356">
          <cell r="B4356">
            <v>7786</v>
          </cell>
          <cell r="C4356" t="str">
            <v>UP_54_</v>
          </cell>
          <cell r="D4356" t="str">
            <v>Rancho Upácuaro No. 54</v>
          </cell>
          <cell r="E4356" t="str">
            <v>García Rueda</v>
          </cell>
          <cell r="F4356">
            <v>200</v>
          </cell>
          <cell r="G4356">
            <v>1</v>
          </cell>
          <cell r="H4356">
            <v>400</v>
          </cell>
          <cell r="I4356">
            <v>41889</v>
          </cell>
          <cell r="J4356">
            <v>0</v>
          </cell>
          <cell r="W4356">
            <v>0</v>
          </cell>
          <cell r="AJ4356">
            <v>0</v>
          </cell>
          <cell r="AS4356">
            <v>200</v>
          </cell>
          <cell r="AT4356">
            <v>200</v>
          </cell>
          <cell r="AW4356">
            <v>400</v>
          </cell>
        </row>
        <row r="4357">
          <cell r="B4357">
            <v>7787</v>
          </cell>
          <cell r="C4357" t="str">
            <v>CL_135_</v>
          </cell>
          <cell r="D4357" t="str">
            <v>Rancho La Cuchilla No. 135</v>
          </cell>
          <cell r="E4357" t="str">
            <v>Juárez Sánchez</v>
          </cell>
          <cell r="F4357">
            <v>300</v>
          </cell>
          <cell r="G4357">
            <v>1</v>
          </cell>
          <cell r="H4357">
            <v>800</v>
          </cell>
          <cell r="I4357">
            <v>41889</v>
          </cell>
          <cell r="J4357">
            <v>0</v>
          </cell>
          <cell r="W4357">
            <v>0</v>
          </cell>
          <cell r="AJ4357">
            <v>0</v>
          </cell>
          <cell r="AO4357">
            <v>400</v>
          </cell>
          <cell r="AP4357">
            <v>400</v>
          </cell>
          <cell r="AW4357">
            <v>800</v>
          </cell>
        </row>
        <row r="4358">
          <cell r="B4358">
            <v>7788</v>
          </cell>
          <cell r="C4358" t="str">
            <v>EZ_9_B</v>
          </cell>
          <cell r="D4358" t="str">
            <v>Rancho Estanzuela No. 9, B</v>
          </cell>
          <cell r="E4358" t="str">
            <v>Velasco Rojas</v>
          </cell>
          <cell r="F4358">
            <v>200</v>
          </cell>
          <cell r="G4358">
            <v>1</v>
          </cell>
          <cell r="H4358">
            <v>400</v>
          </cell>
          <cell r="I4358">
            <v>41889</v>
          </cell>
          <cell r="J4358">
            <v>0</v>
          </cell>
          <cell r="W4358">
            <v>0</v>
          </cell>
          <cell r="AJ4358">
            <v>0</v>
          </cell>
          <cell r="AR4358">
            <v>200</v>
          </cell>
          <cell r="AS4358">
            <v>200</v>
          </cell>
          <cell r="AW4358">
            <v>400</v>
          </cell>
        </row>
        <row r="4359">
          <cell r="B4359">
            <v>7789</v>
          </cell>
          <cell r="C4359" t="str">
            <v>UP_93_</v>
          </cell>
          <cell r="D4359" t="str">
            <v>Rancho Upácuaro No. 93</v>
          </cell>
          <cell r="E4359" t="str">
            <v>Valdés</v>
          </cell>
          <cell r="F4359">
            <v>300</v>
          </cell>
          <cell r="G4359">
            <v>1</v>
          </cell>
          <cell r="H4359">
            <v>400</v>
          </cell>
          <cell r="I4359">
            <v>41889</v>
          </cell>
          <cell r="J4359">
            <v>0</v>
          </cell>
          <cell r="W4359">
            <v>0</v>
          </cell>
          <cell r="AJ4359">
            <v>0</v>
          </cell>
          <cell r="AS4359">
            <v>400</v>
          </cell>
          <cell r="AW4359">
            <v>400</v>
          </cell>
        </row>
        <row r="4360">
          <cell r="B4360">
            <v>7790</v>
          </cell>
          <cell r="C4360" t="str">
            <v>CL_112_PB</v>
          </cell>
          <cell r="D4360" t="str">
            <v>Rancho La Cuchilla No. 112, PB</v>
          </cell>
          <cell r="E4360" t="str">
            <v>Soreque</v>
          </cell>
          <cell r="F4360">
            <v>150</v>
          </cell>
          <cell r="G4360">
            <v>1</v>
          </cell>
          <cell r="H4360">
            <v>200</v>
          </cell>
          <cell r="I4360">
            <v>41889</v>
          </cell>
          <cell r="J4360">
            <v>0</v>
          </cell>
          <cell r="W4360">
            <v>0</v>
          </cell>
          <cell r="AJ4360">
            <v>0</v>
          </cell>
          <cell r="AS4360">
            <v>200</v>
          </cell>
          <cell r="AW4360">
            <v>200</v>
          </cell>
        </row>
        <row r="4361">
          <cell r="B4361">
            <v>7791</v>
          </cell>
          <cell r="C4361" t="str">
            <v>ZB_56_</v>
          </cell>
          <cell r="D4361" t="str">
            <v>Rancho Zinamba No. 56</v>
          </cell>
          <cell r="E4361" t="str">
            <v>Aguado</v>
          </cell>
          <cell r="F4361">
            <v>250</v>
          </cell>
          <cell r="G4361">
            <v>1</v>
          </cell>
          <cell r="H4361">
            <v>350</v>
          </cell>
          <cell r="I4361">
            <v>41889</v>
          </cell>
          <cell r="J4361">
            <v>0</v>
          </cell>
          <cell r="W4361">
            <v>0</v>
          </cell>
          <cell r="AJ4361">
            <v>0</v>
          </cell>
          <cell r="AS4361">
            <v>350</v>
          </cell>
          <cell r="AW4361">
            <v>350</v>
          </cell>
        </row>
        <row r="4362">
          <cell r="B4362">
            <v>7792</v>
          </cell>
          <cell r="C4362" t="str">
            <v>LD_20_</v>
          </cell>
          <cell r="D4362" t="str">
            <v>Rancho Landero No. 20</v>
          </cell>
          <cell r="E4362" t="str">
            <v>Velasco</v>
          </cell>
          <cell r="F4362">
            <v>300</v>
          </cell>
          <cell r="G4362">
            <v>1</v>
          </cell>
          <cell r="H4362">
            <v>600</v>
          </cell>
          <cell r="I4362">
            <v>41889</v>
          </cell>
          <cell r="J4362">
            <v>0</v>
          </cell>
          <cell r="W4362">
            <v>0</v>
          </cell>
          <cell r="AJ4362">
            <v>0</v>
          </cell>
          <cell r="AR4362">
            <v>300</v>
          </cell>
          <cell r="AS4362">
            <v>300</v>
          </cell>
          <cell r="AW4362">
            <v>600</v>
          </cell>
        </row>
        <row r="4363">
          <cell r="B4363">
            <v>7793</v>
          </cell>
          <cell r="C4363" t="str">
            <v>CL_29_</v>
          </cell>
          <cell r="D4363" t="str">
            <v>Rancho La Cuchilla No. 29</v>
          </cell>
          <cell r="E4363" t="str">
            <v>Vega Sánchez C.</v>
          </cell>
          <cell r="F4363">
            <v>300</v>
          </cell>
          <cell r="G4363">
            <v>4</v>
          </cell>
          <cell r="H4363">
            <v>160</v>
          </cell>
          <cell r="I4363">
            <v>41889</v>
          </cell>
          <cell r="J4363" t="str">
            <v>NO SUMA</v>
          </cell>
          <cell r="W4363">
            <v>0</v>
          </cell>
          <cell r="AJ4363">
            <v>0</v>
          </cell>
          <cell r="AW4363">
            <v>0</v>
          </cell>
        </row>
        <row r="4364">
          <cell r="B4364">
            <v>7794</v>
          </cell>
          <cell r="C4364" t="str">
            <v>UP_47_</v>
          </cell>
          <cell r="D4364" t="str">
            <v>Rancho Upácuaro No. 47</v>
          </cell>
          <cell r="E4364" t="str">
            <v>Flores Muñoz</v>
          </cell>
          <cell r="F4364">
            <v>300</v>
          </cell>
          <cell r="G4364">
            <v>1</v>
          </cell>
          <cell r="H4364">
            <v>400</v>
          </cell>
          <cell r="I4364">
            <v>41889</v>
          </cell>
          <cell r="J4364">
            <v>0</v>
          </cell>
          <cell r="W4364">
            <v>0</v>
          </cell>
          <cell r="AJ4364">
            <v>0</v>
          </cell>
          <cell r="AS4364">
            <v>400</v>
          </cell>
          <cell r="AW4364">
            <v>400</v>
          </cell>
        </row>
        <row r="4365">
          <cell r="B4365">
            <v>7795</v>
          </cell>
          <cell r="C4365" t="str">
            <v>LD_20_</v>
          </cell>
          <cell r="D4365" t="str">
            <v>Rancho Landero No. 20</v>
          </cell>
          <cell r="E4365" t="str">
            <v>Velasco</v>
          </cell>
          <cell r="F4365">
            <v>300</v>
          </cell>
          <cell r="G4365">
            <v>3</v>
          </cell>
          <cell r="H4365">
            <v>160</v>
          </cell>
          <cell r="I4365">
            <v>41889</v>
          </cell>
          <cell r="J4365" t="str">
            <v>NO SUMA</v>
          </cell>
          <cell r="W4365">
            <v>0</v>
          </cell>
          <cell r="AJ4365">
            <v>0</v>
          </cell>
          <cell r="AW4365">
            <v>0</v>
          </cell>
        </row>
        <row r="4366">
          <cell r="B4366">
            <v>7796</v>
          </cell>
          <cell r="C4366" t="str">
            <v>CL_46_</v>
          </cell>
          <cell r="D4366" t="str">
            <v>Rancho La Cuchilla No. 46</v>
          </cell>
          <cell r="E4366" t="str">
            <v>Cruz López</v>
          </cell>
          <cell r="F4366">
            <v>300</v>
          </cell>
          <cell r="G4366">
            <v>1</v>
          </cell>
          <cell r="H4366">
            <v>400</v>
          </cell>
          <cell r="I4366">
            <v>41889</v>
          </cell>
          <cell r="J4366">
            <v>0</v>
          </cell>
          <cell r="W4366">
            <v>0</v>
          </cell>
          <cell r="AJ4366">
            <v>0</v>
          </cell>
          <cell r="AS4366">
            <v>400</v>
          </cell>
          <cell r="AW4366">
            <v>400</v>
          </cell>
        </row>
        <row r="4367">
          <cell r="B4367">
            <v>7797</v>
          </cell>
          <cell r="C4367" t="str">
            <v>UP_33_</v>
          </cell>
          <cell r="D4367" t="str">
            <v>Rancho Upácuaro No. 33</v>
          </cell>
          <cell r="E4367" t="str">
            <v>Ulloa Miranda</v>
          </cell>
          <cell r="F4367">
            <v>300</v>
          </cell>
          <cell r="G4367">
            <v>1</v>
          </cell>
          <cell r="H4367">
            <v>400</v>
          </cell>
          <cell r="I4367">
            <v>41889</v>
          </cell>
          <cell r="J4367">
            <v>0</v>
          </cell>
          <cell r="W4367">
            <v>0</v>
          </cell>
          <cell r="AJ4367">
            <v>0</v>
          </cell>
          <cell r="AS4367">
            <v>400</v>
          </cell>
          <cell r="AW4367">
            <v>400</v>
          </cell>
        </row>
        <row r="4368">
          <cell r="B4368">
            <v>7798</v>
          </cell>
          <cell r="C4368" t="str">
            <v>UP_33_</v>
          </cell>
          <cell r="D4368" t="str">
            <v>Rancho Upácuaro No. 33</v>
          </cell>
          <cell r="E4368" t="str">
            <v>Ulloa Miranda</v>
          </cell>
          <cell r="F4368">
            <v>300</v>
          </cell>
          <cell r="G4368">
            <v>4</v>
          </cell>
          <cell r="H4368">
            <v>160</v>
          </cell>
          <cell r="I4368">
            <v>41889</v>
          </cell>
          <cell r="J4368" t="str">
            <v>NO SUMA</v>
          </cell>
          <cell r="W4368">
            <v>0</v>
          </cell>
          <cell r="AJ4368">
            <v>0</v>
          </cell>
          <cell r="AW4368">
            <v>0</v>
          </cell>
        </row>
        <row r="4369">
          <cell r="B4369">
            <v>7799</v>
          </cell>
          <cell r="C4369" t="str">
            <v>UP_21_</v>
          </cell>
          <cell r="D4369" t="str">
            <v>Rancho Upácuaro No. 21</v>
          </cell>
          <cell r="E4369" t="str">
            <v>Fierro Betancourt</v>
          </cell>
          <cell r="F4369">
            <v>150</v>
          </cell>
          <cell r="G4369">
            <v>1</v>
          </cell>
          <cell r="H4369">
            <v>200</v>
          </cell>
          <cell r="I4369">
            <v>41889</v>
          </cell>
          <cell r="J4369">
            <v>0</v>
          </cell>
          <cell r="W4369">
            <v>0</v>
          </cell>
          <cell r="AJ4369">
            <v>0</v>
          </cell>
          <cell r="AS4369">
            <v>200</v>
          </cell>
          <cell r="AW4369">
            <v>200</v>
          </cell>
        </row>
        <row r="4370">
          <cell r="B4370">
            <v>7800</v>
          </cell>
          <cell r="C4370" t="str">
            <v>CL_77_</v>
          </cell>
          <cell r="D4370" t="str">
            <v>Rancho La Cuchilla No. 77</v>
          </cell>
          <cell r="E4370" t="str">
            <v>Loperena</v>
          </cell>
          <cell r="F4370">
            <v>300</v>
          </cell>
          <cell r="G4370">
            <v>1</v>
          </cell>
          <cell r="H4370">
            <v>900</v>
          </cell>
          <cell r="I4370">
            <v>41889</v>
          </cell>
          <cell r="J4370">
            <v>0</v>
          </cell>
          <cell r="W4370">
            <v>0</v>
          </cell>
          <cell r="AJ4370">
            <v>0</v>
          </cell>
          <cell r="AQ4370">
            <v>300</v>
          </cell>
          <cell r="AR4370">
            <v>300</v>
          </cell>
          <cell r="AS4370">
            <v>300</v>
          </cell>
          <cell r="AW4370">
            <v>900</v>
          </cell>
        </row>
        <row r="4371">
          <cell r="B4371">
            <v>7801</v>
          </cell>
          <cell r="C4371" t="str">
            <v>CL_75_</v>
          </cell>
          <cell r="D4371" t="str">
            <v>Rancho La Cuchilla No. 75</v>
          </cell>
          <cell r="E4371" t="str">
            <v>Sosa Lucio</v>
          </cell>
          <cell r="F4371">
            <v>300</v>
          </cell>
          <cell r="G4371">
            <v>1</v>
          </cell>
          <cell r="H4371">
            <v>800</v>
          </cell>
          <cell r="I4371">
            <v>41889</v>
          </cell>
          <cell r="J4371">
            <v>0</v>
          </cell>
          <cell r="W4371">
            <v>0</v>
          </cell>
          <cell r="AJ4371">
            <v>0</v>
          </cell>
          <cell r="AR4371">
            <v>400</v>
          </cell>
          <cell r="AS4371">
            <v>400</v>
          </cell>
          <cell r="AW4371">
            <v>800</v>
          </cell>
        </row>
        <row r="4372">
          <cell r="B4372">
            <v>7802</v>
          </cell>
          <cell r="C4372" t="str">
            <v>EZ_139_</v>
          </cell>
          <cell r="D4372" t="str">
            <v>Rancho Estanzuela No. 139</v>
          </cell>
          <cell r="E4372" t="str">
            <v xml:space="preserve">Ortiz   </v>
          </cell>
          <cell r="F4372">
            <v>300</v>
          </cell>
          <cell r="G4372">
            <v>1</v>
          </cell>
          <cell r="H4372">
            <v>400</v>
          </cell>
          <cell r="I4372">
            <v>41889</v>
          </cell>
          <cell r="J4372">
            <v>0</v>
          </cell>
          <cell r="W4372">
            <v>0</v>
          </cell>
          <cell r="AJ4372">
            <v>0</v>
          </cell>
          <cell r="AQ4372">
            <v>400</v>
          </cell>
          <cell r="AW4372">
            <v>400</v>
          </cell>
        </row>
        <row r="4373">
          <cell r="B4373">
            <v>7803</v>
          </cell>
          <cell r="C4373" t="str">
            <v>UP_73_A</v>
          </cell>
          <cell r="D4373" t="str">
            <v>Rancho Upácuaro No. 73, A</v>
          </cell>
          <cell r="E4373" t="str">
            <v>Ortega</v>
          </cell>
          <cell r="F4373">
            <v>150</v>
          </cell>
          <cell r="G4373">
            <v>1</v>
          </cell>
          <cell r="H4373">
            <v>200</v>
          </cell>
          <cell r="I4373">
            <v>41889</v>
          </cell>
          <cell r="J4373">
            <v>0</v>
          </cell>
          <cell r="W4373">
            <v>0</v>
          </cell>
          <cell r="AJ4373">
            <v>0</v>
          </cell>
          <cell r="AR4373">
            <v>200</v>
          </cell>
          <cell r="AW4373">
            <v>200</v>
          </cell>
        </row>
        <row r="4374">
          <cell r="B4374">
            <v>7804</v>
          </cell>
          <cell r="C4374" t="str">
            <v>CL_87_</v>
          </cell>
          <cell r="D4374" t="str">
            <v>Rancho La Cuchilla No. 87</v>
          </cell>
          <cell r="E4374" t="str">
            <v>Villanueva S.</v>
          </cell>
          <cell r="F4374">
            <v>300</v>
          </cell>
          <cell r="G4374">
            <v>1</v>
          </cell>
          <cell r="H4374">
            <v>400</v>
          </cell>
          <cell r="I4374">
            <v>41889</v>
          </cell>
          <cell r="J4374">
            <v>0</v>
          </cell>
          <cell r="W4374">
            <v>0</v>
          </cell>
          <cell r="AJ4374">
            <v>0</v>
          </cell>
          <cell r="AS4374">
            <v>400</v>
          </cell>
          <cell r="AW4374">
            <v>400</v>
          </cell>
        </row>
        <row r="4375">
          <cell r="B4375">
            <v>7805</v>
          </cell>
          <cell r="C4375" t="str">
            <v>EZ_67_</v>
          </cell>
          <cell r="D4375" t="str">
            <v>Rancho Estanzuela No. 67</v>
          </cell>
          <cell r="E4375" t="str">
            <v>Carmona Galarza</v>
          </cell>
          <cell r="F4375">
            <v>300</v>
          </cell>
          <cell r="G4375">
            <v>1</v>
          </cell>
          <cell r="H4375">
            <v>800</v>
          </cell>
          <cell r="I4375">
            <v>41891</v>
          </cell>
          <cell r="J4375">
            <v>0</v>
          </cell>
          <cell r="W4375">
            <v>0</v>
          </cell>
          <cell r="AJ4375">
            <v>0</v>
          </cell>
          <cell r="AR4375">
            <v>400</v>
          </cell>
          <cell r="AS4375">
            <v>400</v>
          </cell>
          <cell r="AW4375">
            <v>800</v>
          </cell>
        </row>
        <row r="4376">
          <cell r="B4376">
            <v>7806</v>
          </cell>
          <cell r="C4376" t="str">
            <v>LD_85_</v>
          </cell>
          <cell r="D4376" t="str">
            <v>Rancho Landero No. 85</v>
          </cell>
          <cell r="E4376" t="str">
            <v>Martínez Olague</v>
          </cell>
          <cell r="F4376">
            <v>300</v>
          </cell>
          <cell r="G4376">
            <v>1</v>
          </cell>
          <cell r="H4376">
            <v>400</v>
          </cell>
          <cell r="I4376">
            <v>41892</v>
          </cell>
          <cell r="J4376">
            <v>0</v>
          </cell>
          <cell r="W4376">
            <v>0</v>
          </cell>
          <cell r="AJ4376">
            <v>0</v>
          </cell>
          <cell r="AS4376">
            <v>400</v>
          </cell>
          <cell r="AW4376">
            <v>400</v>
          </cell>
        </row>
        <row r="4377">
          <cell r="B4377">
            <v>7807</v>
          </cell>
          <cell r="C4377" t="str">
            <v>CL_90_</v>
          </cell>
          <cell r="D4377" t="str">
            <v>Rancho La Cuchilla No. 90</v>
          </cell>
          <cell r="E4377" t="str">
            <v>Porras Fuentes</v>
          </cell>
          <cell r="F4377">
            <v>150</v>
          </cell>
          <cell r="G4377">
            <v>1</v>
          </cell>
          <cell r="H4377">
            <v>200</v>
          </cell>
          <cell r="I4377">
            <v>41896</v>
          </cell>
          <cell r="J4377">
            <v>0</v>
          </cell>
          <cell r="W4377">
            <v>0</v>
          </cell>
          <cell r="AJ4377">
            <v>0</v>
          </cell>
          <cell r="AR4377">
            <v>200</v>
          </cell>
          <cell r="AW4377">
            <v>200</v>
          </cell>
        </row>
        <row r="4378">
          <cell r="B4378">
            <v>7808</v>
          </cell>
          <cell r="C4378" t="str">
            <v>UP_100_</v>
          </cell>
          <cell r="D4378" t="str">
            <v>Rancho Upácuaro No. 100</v>
          </cell>
          <cell r="E4378" t="str">
            <v>Mancera Rodríguez</v>
          </cell>
          <cell r="F4378">
            <v>300</v>
          </cell>
          <cell r="G4378">
            <v>1</v>
          </cell>
          <cell r="H4378">
            <v>400</v>
          </cell>
          <cell r="I4378">
            <v>41896</v>
          </cell>
          <cell r="J4378">
            <v>0</v>
          </cell>
          <cell r="W4378">
            <v>0</v>
          </cell>
          <cell r="AJ4378">
            <v>0</v>
          </cell>
          <cell r="AS4378">
            <v>400</v>
          </cell>
          <cell r="AW4378">
            <v>400</v>
          </cell>
        </row>
        <row r="4379">
          <cell r="B4379">
            <v>7809</v>
          </cell>
          <cell r="C4379" t="str">
            <v>LD_91_</v>
          </cell>
          <cell r="D4379" t="str">
            <v>Rancho Landero No. 91</v>
          </cell>
          <cell r="E4379" t="str">
            <v>Llaca</v>
          </cell>
          <cell r="F4379">
            <v>300</v>
          </cell>
          <cell r="G4379">
            <v>1</v>
          </cell>
          <cell r="H4379">
            <v>400</v>
          </cell>
          <cell r="I4379">
            <v>41896</v>
          </cell>
          <cell r="J4379">
            <v>0</v>
          </cell>
          <cell r="W4379">
            <v>0</v>
          </cell>
          <cell r="AJ4379">
            <v>0</v>
          </cell>
          <cell r="AS4379">
            <v>400</v>
          </cell>
          <cell r="AW4379">
            <v>400</v>
          </cell>
        </row>
        <row r="4380">
          <cell r="B4380">
            <v>7809</v>
          </cell>
          <cell r="C4380" t="str">
            <v>LD_91_</v>
          </cell>
          <cell r="D4380" t="str">
            <v>Rancho Landero No. 91</v>
          </cell>
          <cell r="E4380" t="str">
            <v>Llaca</v>
          </cell>
          <cell r="F4380">
            <v>300</v>
          </cell>
          <cell r="G4380">
            <v>5</v>
          </cell>
          <cell r="H4380">
            <v>20</v>
          </cell>
          <cell r="I4380">
            <v>41896</v>
          </cell>
          <cell r="J4380" t="str">
            <v>NO SUMA</v>
          </cell>
          <cell r="W4380">
            <v>0</v>
          </cell>
          <cell r="AJ4380">
            <v>0</v>
          </cell>
          <cell r="AW4380">
            <v>0</v>
          </cell>
        </row>
        <row r="4381">
          <cell r="B4381">
            <v>7810</v>
          </cell>
          <cell r="C4381" t="str">
            <v>UP_48_</v>
          </cell>
          <cell r="D4381" t="str">
            <v>Rancho Upácuaro No. 48</v>
          </cell>
          <cell r="E4381" t="str">
            <v>Bernal</v>
          </cell>
          <cell r="F4381">
            <v>200</v>
          </cell>
          <cell r="G4381">
            <v>1</v>
          </cell>
          <cell r="H4381">
            <v>200</v>
          </cell>
          <cell r="I4381">
            <v>41896</v>
          </cell>
          <cell r="J4381">
            <v>0</v>
          </cell>
          <cell r="W4381">
            <v>0</v>
          </cell>
          <cell r="AJ4381">
            <v>0</v>
          </cell>
          <cell r="AO4381">
            <v>200</v>
          </cell>
          <cell r="AW4381">
            <v>200</v>
          </cell>
        </row>
        <row r="4382">
          <cell r="B4382">
            <v>7810</v>
          </cell>
          <cell r="C4382" t="str">
            <v>UP_48_</v>
          </cell>
          <cell r="D4382" t="str">
            <v>Rancho Upácuaro No. 48</v>
          </cell>
          <cell r="E4382" t="str">
            <v>Bernal</v>
          </cell>
          <cell r="F4382">
            <v>200</v>
          </cell>
          <cell r="G4382">
            <v>5</v>
          </cell>
          <cell r="H4382">
            <v>20</v>
          </cell>
          <cell r="I4382">
            <v>41896</v>
          </cell>
          <cell r="J4382" t="str">
            <v>NO SUMA</v>
          </cell>
          <cell r="W4382">
            <v>0</v>
          </cell>
          <cell r="AJ4382">
            <v>0</v>
          </cell>
          <cell r="AW4382">
            <v>0</v>
          </cell>
        </row>
        <row r="4383">
          <cell r="B4383">
            <v>7810</v>
          </cell>
          <cell r="C4383" t="str">
            <v>UP_48_</v>
          </cell>
          <cell r="D4383" t="str">
            <v>Rancho Upácuaro No. 48</v>
          </cell>
          <cell r="E4383" t="str">
            <v>Bernal</v>
          </cell>
          <cell r="F4383">
            <v>200</v>
          </cell>
          <cell r="G4383">
            <v>5</v>
          </cell>
          <cell r="H4383">
            <v>20</v>
          </cell>
          <cell r="I4383">
            <v>41896</v>
          </cell>
          <cell r="J4383" t="str">
            <v>NO SUMA</v>
          </cell>
          <cell r="W4383">
            <v>0</v>
          </cell>
          <cell r="AJ4383">
            <v>0</v>
          </cell>
          <cell r="AW4383">
            <v>0</v>
          </cell>
        </row>
        <row r="4384">
          <cell r="B4384">
            <v>7811</v>
          </cell>
          <cell r="C4384" t="str">
            <v>UP_11_</v>
          </cell>
          <cell r="D4384" t="str">
            <v>Rancho Upácuaro No. 11</v>
          </cell>
          <cell r="E4384" t="str">
            <v>Partida</v>
          </cell>
          <cell r="F4384">
            <v>300</v>
          </cell>
          <cell r="G4384">
            <v>3</v>
          </cell>
          <cell r="H4384">
            <v>160</v>
          </cell>
          <cell r="I4384">
            <v>41896</v>
          </cell>
          <cell r="J4384" t="str">
            <v>NO SUMA</v>
          </cell>
          <cell r="W4384">
            <v>0</v>
          </cell>
          <cell r="AJ4384">
            <v>0</v>
          </cell>
          <cell r="AW4384">
            <v>0</v>
          </cell>
        </row>
        <row r="4385">
          <cell r="B4385">
            <v>7812</v>
          </cell>
          <cell r="C4385" t="str">
            <v>UP_94_</v>
          </cell>
          <cell r="D4385" t="str">
            <v>Rancho Upácuaro No. 94</v>
          </cell>
          <cell r="E4385" t="str">
            <v>Juárez Patiño</v>
          </cell>
          <cell r="F4385">
            <v>300</v>
          </cell>
          <cell r="G4385">
            <v>1</v>
          </cell>
          <cell r="H4385">
            <v>800</v>
          </cell>
          <cell r="I4385">
            <v>41896</v>
          </cell>
          <cell r="J4385">
            <v>0</v>
          </cell>
          <cell r="W4385">
            <v>0</v>
          </cell>
          <cell r="AJ4385">
            <v>0</v>
          </cell>
          <cell r="AO4385">
            <v>400</v>
          </cell>
          <cell r="AP4385">
            <v>400</v>
          </cell>
          <cell r="AW4385">
            <v>800</v>
          </cell>
        </row>
        <row r="4386">
          <cell r="B4386">
            <v>7812</v>
          </cell>
          <cell r="C4386" t="str">
            <v>UP_94_</v>
          </cell>
          <cell r="D4386" t="str">
            <v>Rancho Upácuaro No. 94</v>
          </cell>
          <cell r="E4386" t="str">
            <v>Juárez Patiño</v>
          </cell>
          <cell r="F4386">
            <v>300</v>
          </cell>
          <cell r="G4386">
            <v>5</v>
          </cell>
          <cell r="H4386">
            <v>20</v>
          </cell>
          <cell r="I4386">
            <v>41896</v>
          </cell>
          <cell r="J4386" t="str">
            <v>NO SUMA</v>
          </cell>
          <cell r="W4386">
            <v>0</v>
          </cell>
          <cell r="AJ4386">
            <v>0</v>
          </cell>
          <cell r="AW4386">
            <v>0</v>
          </cell>
        </row>
        <row r="4387">
          <cell r="B4387">
            <v>7812</v>
          </cell>
          <cell r="C4387" t="str">
            <v>UP_94_</v>
          </cell>
          <cell r="D4387" t="str">
            <v>Rancho Upácuaro No. 94</v>
          </cell>
          <cell r="E4387" t="str">
            <v>Juárez Patiño</v>
          </cell>
          <cell r="F4387">
            <v>300</v>
          </cell>
          <cell r="G4387">
            <v>5</v>
          </cell>
          <cell r="H4387">
            <v>20</v>
          </cell>
          <cell r="I4387">
            <v>41896</v>
          </cell>
          <cell r="J4387" t="str">
            <v>NO SUMA</v>
          </cell>
          <cell r="W4387">
            <v>0</v>
          </cell>
          <cell r="AJ4387">
            <v>0</v>
          </cell>
          <cell r="AW4387">
            <v>0</v>
          </cell>
        </row>
        <row r="4388">
          <cell r="B4388">
            <v>7812</v>
          </cell>
          <cell r="C4388" t="str">
            <v>UP_94_</v>
          </cell>
          <cell r="D4388" t="str">
            <v>Rancho Upácuaro No. 94</v>
          </cell>
          <cell r="E4388" t="str">
            <v>Juárez Patiño</v>
          </cell>
          <cell r="F4388">
            <v>300</v>
          </cell>
          <cell r="G4388">
            <v>5</v>
          </cell>
          <cell r="H4388">
            <v>20</v>
          </cell>
          <cell r="I4388">
            <v>41896</v>
          </cell>
          <cell r="J4388" t="str">
            <v>NO SUMA</v>
          </cell>
          <cell r="W4388">
            <v>0</v>
          </cell>
          <cell r="AJ4388">
            <v>0</v>
          </cell>
          <cell r="AW4388">
            <v>0</v>
          </cell>
        </row>
        <row r="4389">
          <cell r="B4389">
            <v>7813</v>
          </cell>
          <cell r="C4389" t="str">
            <v>EZ_151_</v>
          </cell>
          <cell r="D4389" t="str">
            <v>Rancho Estanzuela No. 151</v>
          </cell>
          <cell r="E4389" t="str">
            <v>Pérez Salazar</v>
          </cell>
          <cell r="F4389">
            <v>300</v>
          </cell>
          <cell r="G4389">
            <v>1</v>
          </cell>
          <cell r="H4389">
            <v>400</v>
          </cell>
          <cell r="I4389">
            <v>41896</v>
          </cell>
          <cell r="J4389">
            <v>0</v>
          </cell>
          <cell r="W4389">
            <v>0</v>
          </cell>
          <cell r="AJ4389">
            <v>0</v>
          </cell>
          <cell r="AS4389">
            <v>400</v>
          </cell>
          <cell r="AW4389">
            <v>400</v>
          </cell>
        </row>
        <row r="4390">
          <cell r="B4390">
            <v>7813</v>
          </cell>
          <cell r="C4390" t="str">
            <v>EZ_151_</v>
          </cell>
          <cell r="D4390" t="str">
            <v>Rancho Estanzuela No. 151</v>
          </cell>
          <cell r="E4390" t="str">
            <v>Pérez Salazar</v>
          </cell>
          <cell r="F4390">
            <v>300</v>
          </cell>
          <cell r="G4390">
            <v>5</v>
          </cell>
          <cell r="H4390">
            <v>20</v>
          </cell>
          <cell r="I4390">
            <v>41896</v>
          </cell>
          <cell r="J4390" t="str">
            <v>NO SUMA</v>
          </cell>
          <cell r="W4390">
            <v>0</v>
          </cell>
          <cell r="AJ4390">
            <v>0</v>
          </cell>
          <cell r="AW4390">
            <v>0</v>
          </cell>
        </row>
        <row r="4391">
          <cell r="B4391">
            <v>7813</v>
          </cell>
          <cell r="C4391" t="str">
            <v>EZ_151_</v>
          </cell>
          <cell r="D4391" t="str">
            <v>Rancho Estanzuela No. 151</v>
          </cell>
          <cell r="E4391" t="str">
            <v>Pérez Salazar</v>
          </cell>
          <cell r="F4391">
            <v>300</v>
          </cell>
          <cell r="G4391">
            <v>5</v>
          </cell>
          <cell r="H4391">
            <v>20</v>
          </cell>
          <cell r="I4391">
            <v>41896</v>
          </cell>
          <cell r="J4391" t="str">
            <v>NO SUMA</v>
          </cell>
          <cell r="W4391">
            <v>0</v>
          </cell>
          <cell r="AJ4391">
            <v>0</v>
          </cell>
          <cell r="AW4391">
            <v>0</v>
          </cell>
        </row>
        <row r="4392">
          <cell r="B4392">
            <v>7813</v>
          </cell>
          <cell r="C4392" t="str">
            <v>EZ_151_</v>
          </cell>
          <cell r="D4392" t="str">
            <v>Rancho Estanzuela No. 151</v>
          </cell>
          <cell r="E4392" t="str">
            <v>Pérez Salazar</v>
          </cell>
          <cell r="F4392">
            <v>300</v>
          </cell>
          <cell r="G4392">
            <v>5</v>
          </cell>
          <cell r="H4392">
            <v>20</v>
          </cell>
          <cell r="I4392">
            <v>41896</v>
          </cell>
          <cell r="J4392" t="str">
            <v>NO SUMA</v>
          </cell>
          <cell r="W4392">
            <v>0</v>
          </cell>
          <cell r="AJ4392">
            <v>0</v>
          </cell>
          <cell r="AW4392">
            <v>0</v>
          </cell>
        </row>
        <row r="4393">
          <cell r="B4393">
            <v>7814</v>
          </cell>
          <cell r="C4393" t="str">
            <v>ZB_26_</v>
          </cell>
          <cell r="D4393" t="str">
            <v>Rancho Zinamba No. 26</v>
          </cell>
          <cell r="E4393" t="str">
            <v>Ayala</v>
          </cell>
          <cell r="F4393">
            <v>300</v>
          </cell>
          <cell r="G4393">
            <v>5</v>
          </cell>
          <cell r="H4393">
            <v>20</v>
          </cell>
          <cell r="I4393">
            <v>41896</v>
          </cell>
          <cell r="J4393" t="str">
            <v>NO SUMA</v>
          </cell>
          <cell r="W4393">
            <v>0</v>
          </cell>
          <cell r="AJ4393">
            <v>0</v>
          </cell>
          <cell r="AW4393">
            <v>0</v>
          </cell>
        </row>
        <row r="4394">
          <cell r="B4394">
            <v>7814</v>
          </cell>
          <cell r="C4394" t="str">
            <v>ZB_26_</v>
          </cell>
          <cell r="D4394" t="str">
            <v>Rancho Zinamba No. 26</v>
          </cell>
          <cell r="E4394" t="str">
            <v>Ayala</v>
          </cell>
          <cell r="F4394">
            <v>300</v>
          </cell>
          <cell r="G4394">
            <v>5</v>
          </cell>
          <cell r="H4394">
            <v>20</v>
          </cell>
          <cell r="I4394">
            <v>41896</v>
          </cell>
          <cell r="J4394" t="str">
            <v>NO SUMA</v>
          </cell>
          <cell r="W4394">
            <v>0</v>
          </cell>
          <cell r="AJ4394">
            <v>0</v>
          </cell>
          <cell r="AW4394">
            <v>0</v>
          </cell>
        </row>
        <row r="4395">
          <cell r="B4395">
            <v>7814</v>
          </cell>
          <cell r="C4395" t="str">
            <v>ZB_26_</v>
          </cell>
          <cell r="D4395" t="str">
            <v>Rancho Zinamba No. 26</v>
          </cell>
          <cell r="E4395" t="str">
            <v>Ayala</v>
          </cell>
          <cell r="F4395">
            <v>300</v>
          </cell>
          <cell r="G4395">
            <v>5</v>
          </cell>
          <cell r="H4395">
            <v>20</v>
          </cell>
          <cell r="I4395">
            <v>41896</v>
          </cell>
          <cell r="J4395" t="str">
            <v>NO SUMA</v>
          </cell>
          <cell r="W4395">
            <v>0</v>
          </cell>
          <cell r="AJ4395">
            <v>0</v>
          </cell>
          <cell r="AW4395">
            <v>0</v>
          </cell>
        </row>
        <row r="4396">
          <cell r="B4396">
            <v>7815</v>
          </cell>
          <cell r="C4396" t="str">
            <v>RM_9_B</v>
          </cell>
          <cell r="D4396" t="str">
            <v>Rancho Romeral No. 9, B</v>
          </cell>
          <cell r="E4396" t="str">
            <v>Morales Macías</v>
          </cell>
          <cell r="F4396">
            <v>100</v>
          </cell>
          <cell r="G4396">
            <v>1</v>
          </cell>
          <cell r="H4396">
            <v>100</v>
          </cell>
          <cell r="I4396">
            <v>41896</v>
          </cell>
          <cell r="J4396">
            <v>0</v>
          </cell>
          <cell r="W4396">
            <v>0</v>
          </cell>
          <cell r="AJ4396">
            <v>0</v>
          </cell>
          <cell r="AS4396">
            <v>100</v>
          </cell>
          <cell r="AW4396">
            <v>100</v>
          </cell>
        </row>
        <row r="4397">
          <cell r="B4397">
            <v>7815</v>
          </cell>
          <cell r="C4397" t="str">
            <v>RM_9_B</v>
          </cell>
          <cell r="D4397" t="str">
            <v>Rancho Romeral No. 9, B</v>
          </cell>
          <cell r="E4397" t="str">
            <v>Morales Macías</v>
          </cell>
          <cell r="F4397">
            <v>100</v>
          </cell>
          <cell r="G4397">
            <v>5</v>
          </cell>
          <cell r="H4397">
            <v>20</v>
          </cell>
          <cell r="I4397">
            <v>41896</v>
          </cell>
          <cell r="J4397" t="str">
            <v>NO SUMA</v>
          </cell>
          <cell r="W4397">
            <v>0</v>
          </cell>
          <cell r="AJ4397">
            <v>0</v>
          </cell>
          <cell r="AW4397">
            <v>0</v>
          </cell>
        </row>
        <row r="4398">
          <cell r="B4398">
            <v>7815</v>
          </cell>
          <cell r="C4398" t="str">
            <v>RM_9_B</v>
          </cell>
          <cell r="D4398" t="str">
            <v>Rancho Romeral No. 9, B</v>
          </cell>
          <cell r="E4398" t="str">
            <v>Morales Macías</v>
          </cell>
          <cell r="F4398">
            <v>100</v>
          </cell>
          <cell r="G4398">
            <v>5</v>
          </cell>
          <cell r="H4398">
            <v>20</v>
          </cell>
          <cell r="I4398">
            <v>41896</v>
          </cell>
          <cell r="J4398" t="str">
            <v>NO SUMA</v>
          </cell>
          <cell r="W4398">
            <v>0</v>
          </cell>
          <cell r="AJ4398">
            <v>0</v>
          </cell>
          <cell r="AW4398">
            <v>0</v>
          </cell>
        </row>
        <row r="4399">
          <cell r="B4399">
            <v>7816</v>
          </cell>
          <cell r="C4399" t="str">
            <v>CL_120_</v>
          </cell>
          <cell r="D4399" t="str">
            <v>Rancho La Cuchilla No. 120</v>
          </cell>
          <cell r="E4399" t="str">
            <v>Pozos Vilchis</v>
          </cell>
          <cell r="F4399">
            <v>300</v>
          </cell>
          <cell r="G4399">
            <v>5</v>
          </cell>
          <cell r="H4399">
            <v>20</v>
          </cell>
          <cell r="I4399">
            <v>41896</v>
          </cell>
          <cell r="J4399" t="str">
            <v>NO SUMA</v>
          </cell>
          <cell r="W4399">
            <v>0</v>
          </cell>
          <cell r="AJ4399">
            <v>0</v>
          </cell>
          <cell r="AW4399">
            <v>0</v>
          </cell>
        </row>
        <row r="4400">
          <cell r="B4400">
            <v>7816</v>
          </cell>
          <cell r="C4400" t="str">
            <v>CL_120_</v>
          </cell>
          <cell r="D4400" t="str">
            <v>Rancho La Cuchilla No. 120</v>
          </cell>
          <cell r="E4400" t="str">
            <v>Pozos Vilchis</v>
          </cell>
          <cell r="F4400">
            <v>300</v>
          </cell>
          <cell r="G4400">
            <v>5</v>
          </cell>
          <cell r="H4400">
            <v>20</v>
          </cell>
          <cell r="I4400">
            <v>41896</v>
          </cell>
          <cell r="J4400" t="str">
            <v>NO SUMA</v>
          </cell>
          <cell r="W4400">
            <v>0</v>
          </cell>
          <cell r="AJ4400">
            <v>0</v>
          </cell>
          <cell r="AW4400">
            <v>0</v>
          </cell>
        </row>
        <row r="4401">
          <cell r="B4401">
            <v>7816</v>
          </cell>
          <cell r="C4401" t="str">
            <v>CL_120_</v>
          </cell>
          <cell r="D4401" t="str">
            <v>Rancho La Cuchilla No. 120</v>
          </cell>
          <cell r="E4401" t="str">
            <v>Pozos Vilchis</v>
          </cell>
          <cell r="F4401">
            <v>300</v>
          </cell>
          <cell r="G4401">
            <v>5</v>
          </cell>
          <cell r="H4401">
            <v>20</v>
          </cell>
          <cell r="I4401">
            <v>41896</v>
          </cell>
          <cell r="J4401" t="str">
            <v>NO SUMA</v>
          </cell>
          <cell r="W4401">
            <v>0</v>
          </cell>
          <cell r="AJ4401">
            <v>0</v>
          </cell>
          <cell r="AW4401">
            <v>0</v>
          </cell>
        </row>
        <row r="4402">
          <cell r="B4402">
            <v>7816</v>
          </cell>
          <cell r="C4402" t="str">
            <v>CL_120_</v>
          </cell>
          <cell r="D4402" t="str">
            <v>Rancho La Cuchilla No. 120</v>
          </cell>
          <cell r="E4402" t="str">
            <v>Pozos Vilchis</v>
          </cell>
          <cell r="F4402">
            <v>300</v>
          </cell>
          <cell r="G4402">
            <v>5</v>
          </cell>
          <cell r="H4402">
            <v>50</v>
          </cell>
          <cell r="I4402">
            <v>41896</v>
          </cell>
          <cell r="J4402" t="str">
            <v>NO SUMA</v>
          </cell>
          <cell r="W4402">
            <v>0</v>
          </cell>
          <cell r="AJ4402">
            <v>0</v>
          </cell>
          <cell r="AW4402">
            <v>0</v>
          </cell>
        </row>
        <row r="4403">
          <cell r="B4403">
            <v>7817</v>
          </cell>
          <cell r="C4403" t="str">
            <v>LD_83_</v>
          </cell>
          <cell r="D4403" t="str">
            <v>Rancho Landero No. 83</v>
          </cell>
          <cell r="E4403" t="str">
            <v>Aguilar</v>
          </cell>
          <cell r="F4403">
            <v>300</v>
          </cell>
          <cell r="G4403">
            <v>1</v>
          </cell>
          <cell r="H4403">
            <v>350</v>
          </cell>
          <cell r="I4403">
            <v>41896</v>
          </cell>
          <cell r="J4403">
            <v>0</v>
          </cell>
          <cell r="W4403">
            <v>0</v>
          </cell>
          <cell r="AJ4403">
            <v>0</v>
          </cell>
          <cell r="AS4403">
            <v>350</v>
          </cell>
          <cell r="AW4403">
            <v>350</v>
          </cell>
        </row>
        <row r="4404">
          <cell r="B4404">
            <v>7817</v>
          </cell>
          <cell r="C4404" t="str">
            <v>LD_83_</v>
          </cell>
          <cell r="D4404" t="str">
            <v>Rancho Landero No. 83</v>
          </cell>
          <cell r="E4404" t="str">
            <v>Aguilar</v>
          </cell>
          <cell r="F4404">
            <v>300</v>
          </cell>
          <cell r="G4404">
            <v>5</v>
          </cell>
          <cell r="H4404">
            <v>20</v>
          </cell>
          <cell r="I4404">
            <v>41896</v>
          </cell>
          <cell r="J4404" t="str">
            <v>NO SUMA</v>
          </cell>
          <cell r="W4404">
            <v>0</v>
          </cell>
          <cell r="AJ4404">
            <v>0</v>
          </cell>
          <cell r="AW4404">
            <v>0</v>
          </cell>
        </row>
        <row r="4405">
          <cell r="B4405">
            <v>7817</v>
          </cell>
          <cell r="C4405" t="str">
            <v>LD_83_</v>
          </cell>
          <cell r="D4405" t="str">
            <v>Rancho Landero No. 83</v>
          </cell>
          <cell r="E4405" t="str">
            <v>Aguilar</v>
          </cell>
          <cell r="F4405">
            <v>300</v>
          </cell>
          <cell r="G4405">
            <v>5</v>
          </cell>
          <cell r="H4405">
            <v>20</v>
          </cell>
          <cell r="I4405">
            <v>41896</v>
          </cell>
          <cell r="J4405" t="str">
            <v>NO SUMA</v>
          </cell>
          <cell r="W4405">
            <v>0</v>
          </cell>
          <cell r="AJ4405">
            <v>0</v>
          </cell>
          <cell r="AW4405">
            <v>0</v>
          </cell>
        </row>
        <row r="4406">
          <cell r="B4406">
            <v>7818</v>
          </cell>
          <cell r="C4406" t="str">
            <v>LD_18_</v>
          </cell>
          <cell r="D4406" t="str">
            <v>Rancho Landero No. 18</v>
          </cell>
          <cell r="E4406" t="str">
            <v>Rosado</v>
          </cell>
          <cell r="F4406">
            <v>250</v>
          </cell>
          <cell r="G4406">
            <v>5</v>
          </cell>
          <cell r="H4406">
            <v>20</v>
          </cell>
          <cell r="I4406">
            <v>41896</v>
          </cell>
          <cell r="J4406" t="str">
            <v>NO SUMA</v>
          </cell>
          <cell r="W4406">
            <v>0</v>
          </cell>
          <cell r="AJ4406">
            <v>0</v>
          </cell>
          <cell r="AW4406">
            <v>0</v>
          </cell>
        </row>
        <row r="4407">
          <cell r="B4407">
            <v>7819</v>
          </cell>
          <cell r="C4407" t="str">
            <v>UP_32_</v>
          </cell>
          <cell r="D4407" t="str">
            <v>Rancho Upácuaro No. 32</v>
          </cell>
          <cell r="E4407" t="str">
            <v>Sairafi Carmen</v>
          </cell>
          <cell r="F4407">
            <v>300</v>
          </cell>
          <cell r="G4407">
            <v>5</v>
          </cell>
          <cell r="H4407">
            <v>20</v>
          </cell>
          <cell r="I4407">
            <v>41896</v>
          </cell>
          <cell r="J4407" t="str">
            <v>NO SUMA</v>
          </cell>
          <cell r="W4407">
            <v>0</v>
          </cell>
          <cell r="AJ4407">
            <v>0</v>
          </cell>
          <cell r="AW4407">
            <v>0</v>
          </cell>
        </row>
        <row r="4408">
          <cell r="B4408">
            <v>7819</v>
          </cell>
          <cell r="C4408" t="str">
            <v>UP_32_</v>
          </cell>
          <cell r="D4408" t="str">
            <v>Rancho Upácuaro No. 32</v>
          </cell>
          <cell r="E4408" t="str">
            <v>Sairafi Carmen</v>
          </cell>
          <cell r="F4408">
            <v>300</v>
          </cell>
          <cell r="G4408">
            <v>5</v>
          </cell>
          <cell r="H4408">
            <v>20</v>
          </cell>
          <cell r="I4408">
            <v>41896</v>
          </cell>
          <cell r="J4408" t="str">
            <v>NO SUMA</v>
          </cell>
          <cell r="W4408">
            <v>0</v>
          </cell>
          <cell r="AJ4408">
            <v>0</v>
          </cell>
          <cell r="AW4408">
            <v>0</v>
          </cell>
        </row>
        <row r="4409">
          <cell r="B4409">
            <v>7820</v>
          </cell>
          <cell r="C4409" t="str">
            <v>LD_62_</v>
          </cell>
          <cell r="D4409" t="str">
            <v>Rancho Landero No. 62</v>
          </cell>
          <cell r="E4409" t="str">
            <v>Narvaez Sara</v>
          </cell>
          <cell r="F4409">
            <v>300</v>
          </cell>
          <cell r="G4409">
            <v>1</v>
          </cell>
          <cell r="H4409">
            <v>1200</v>
          </cell>
          <cell r="I4409">
            <v>41896</v>
          </cell>
          <cell r="J4409">
            <v>0</v>
          </cell>
          <cell r="W4409">
            <v>0</v>
          </cell>
          <cell r="AJ4409">
            <v>0</v>
          </cell>
          <cell r="AQ4409">
            <v>400</v>
          </cell>
          <cell r="AR4409">
            <v>400</v>
          </cell>
          <cell r="AS4409">
            <v>400</v>
          </cell>
          <cell r="AW4409">
            <v>1200</v>
          </cell>
        </row>
        <row r="4410">
          <cell r="B4410">
            <v>7821</v>
          </cell>
          <cell r="C4410" t="str">
            <v>EZ_129_</v>
          </cell>
          <cell r="D4410" t="str">
            <v>Rancho Estanzuela No. 129</v>
          </cell>
          <cell r="E4410" t="str">
            <v>González</v>
          </cell>
          <cell r="F4410">
            <v>300</v>
          </cell>
          <cell r="G4410">
            <v>1</v>
          </cell>
          <cell r="H4410">
            <v>250</v>
          </cell>
          <cell r="I4410">
            <v>41896</v>
          </cell>
          <cell r="J4410">
            <v>0</v>
          </cell>
          <cell r="W4410">
            <v>0</v>
          </cell>
          <cell r="AJ4410">
            <v>0</v>
          </cell>
          <cell r="AR4410">
            <v>250</v>
          </cell>
          <cell r="AW4410">
            <v>250</v>
          </cell>
        </row>
        <row r="4411">
          <cell r="B4411">
            <v>7821</v>
          </cell>
          <cell r="C4411" t="str">
            <v>EZ_129_</v>
          </cell>
          <cell r="D4411" t="str">
            <v>Rancho Estanzuela No. 129</v>
          </cell>
          <cell r="E4411" t="str">
            <v>González</v>
          </cell>
          <cell r="F4411">
            <v>300</v>
          </cell>
          <cell r="G4411">
            <v>5</v>
          </cell>
          <cell r="H4411">
            <v>20</v>
          </cell>
          <cell r="I4411">
            <v>41896</v>
          </cell>
          <cell r="J4411" t="str">
            <v>NO SUMA</v>
          </cell>
          <cell r="W4411">
            <v>0</v>
          </cell>
          <cell r="AJ4411">
            <v>0</v>
          </cell>
          <cell r="AW4411">
            <v>0</v>
          </cell>
        </row>
        <row r="4412">
          <cell r="B4412">
            <v>7821</v>
          </cell>
          <cell r="C4412" t="str">
            <v>EZ_129_</v>
          </cell>
          <cell r="D4412" t="str">
            <v>Rancho Estanzuela No. 129</v>
          </cell>
          <cell r="E4412" t="str">
            <v>González</v>
          </cell>
          <cell r="F4412">
            <v>300</v>
          </cell>
          <cell r="G4412">
            <v>5</v>
          </cell>
          <cell r="H4412">
            <v>20</v>
          </cell>
          <cell r="I4412">
            <v>41896</v>
          </cell>
          <cell r="J4412" t="str">
            <v>NO SUMA</v>
          </cell>
          <cell r="W4412">
            <v>0</v>
          </cell>
          <cell r="AJ4412">
            <v>0</v>
          </cell>
          <cell r="AW4412">
            <v>0</v>
          </cell>
        </row>
        <row r="4413">
          <cell r="B4413">
            <v>7822</v>
          </cell>
          <cell r="C4413" t="str">
            <v>ZB_62_</v>
          </cell>
          <cell r="D4413" t="str">
            <v>Rancho Zinamba No. 62</v>
          </cell>
          <cell r="E4413" t="str">
            <v>Martínez León</v>
          </cell>
          <cell r="F4413">
            <v>250</v>
          </cell>
          <cell r="G4413">
            <v>5</v>
          </cell>
          <cell r="H4413">
            <v>20</v>
          </cell>
          <cell r="I4413">
            <v>41896</v>
          </cell>
          <cell r="J4413" t="str">
            <v>NO SUMA</v>
          </cell>
          <cell r="W4413">
            <v>0</v>
          </cell>
          <cell r="AJ4413">
            <v>0</v>
          </cell>
          <cell r="AW4413">
            <v>0</v>
          </cell>
        </row>
        <row r="4414">
          <cell r="B4414">
            <v>7822</v>
          </cell>
          <cell r="C4414" t="str">
            <v>ZB_62_</v>
          </cell>
          <cell r="D4414" t="str">
            <v>Rancho Zinamba No. 62</v>
          </cell>
          <cell r="E4414" t="str">
            <v>Martínez León</v>
          </cell>
          <cell r="F4414">
            <v>250</v>
          </cell>
          <cell r="G4414">
            <v>5</v>
          </cell>
          <cell r="H4414">
            <v>20</v>
          </cell>
          <cell r="I4414">
            <v>41896</v>
          </cell>
          <cell r="J4414" t="str">
            <v>NO SUMA</v>
          </cell>
          <cell r="W4414">
            <v>0</v>
          </cell>
          <cell r="AJ4414">
            <v>0</v>
          </cell>
          <cell r="AW4414">
            <v>0</v>
          </cell>
        </row>
        <row r="4415">
          <cell r="B4415">
            <v>7822</v>
          </cell>
          <cell r="C4415" t="str">
            <v>ZB_62_</v>
          </cell>
          <cell r="D4415" t="str">
            <v>Rancho Zinamba No. 62</v>
          </cell>
          <cell r="E4415" t="str">
            <v>Martínez León</v>
          </cell>
          <cell r="F4415">
            <v>250</v>
          </cell>
          <cell r="G4415">
            <v>5</v>
          </cell>
          <cell r="H4415">
            <v>20</v>
          </cell>
          <cell r="I4415">
            <v>41896</v>
          </cell>
          <cell r="J4415" t="str">
            <v>NO SUMA</v>
          </cell>
          <cell r="W4415">
            <v>0</v>
          </cell>
          <cell r="AJ4415">
            <v>0</v>
          </cell>
          <cell r="AW4415">
            <v>0</v>
          </cell>
        </row>
        <row r="4416">
          <cell r="B4416">
            <v>7823</v>
          </cell>
          <cell r="C4416" t="str">
            <v>CL_112_PB</v>
          </cell>
          <cell r="D4416" t="str">
            <v>Rancho La Cuchilla No. 112, PB</v>
          </cell>
          <cell r="E4416" t="str">
            <v>Soreque</v>
          </cell>
          <cell r="F4416">
            <v>150</v>
          </cell>
          <cell r="G4416">
            <v>5</v>
          </cell>
          <cell r="H4416">
            <v>20</v>
          </cell>
          <cell r="I4416">
            <v>41896</v>
          </cell>
          <cell r="J4416" t="str">
            <v>NO SUMA</v>
          </cell>
          <cell r="W4416">
            <v>0</v>
          </cell>
          <cell r="AJ4416">
            <v>0</v>
          </cell>
          <cell r="AW4416">
            <v>0</v>
          </cell>
        </row>
        <row r="4417">
          <cell r="B4417">
            <v>7823</v>
          </cell>
          <cell r="C4417" t="str">
            <v>CL_112_PB</v>
          </cell>
          <cell r="D4417" t="str">
            <v>Rancho La Cuchilla No. 112, PB</v>
          </cell>
          <cell r="E4417" t="str">
            <v>Soreque</v>
          </cell>
          <cell r="F4417">
            <v>150</v>
          </cell>
          <cell r="G4417">
            <v>5</v>
          </cell>
          <cell r="H4417">
            <v>20</v>
          </cell>
          <cell r="I4417">
            <v>41896</v>
          </cell>
          <cell r="J4417" t="str">
            <v>NO SUMA</v>
          </cell>
          <cell r="W4417">
            <v>0</v>
          </cell>
          <cell r="AJ4417">
            <v>0</v>
          </cell>
          <cell r="AW4417">
            <v>0</v>
          </cell>
        </row>
        <row r="4418">
          <cell r="B4418">
            <v>7823</v>
          </cell>
          <cell r="C4418" t="str">
            <v>CL_112_PB</v>
          </cell>
          <cell r="D4418" t="str">
            <v>Rancho La Cuchilla No. 112, PB</v>
          </cell>
          <cell r="E4418" t="str">
            <v>Soreque</v>
          </cell>
          <cell r="F4418">
            <v>150</v>
          </cell>
          <cell r="G4418">
            <v>5</v>
          </cell>
          <cell r="H4418">
            <v>20</v>
          </cell>
          <cell r="I4418">
            <v>41896</v>
          </cell>
          <cell r="J4418" t="str">
            <v>NO SUMA</v>
          </cell>
          <cell r="W4418">
            <v>0</v>
          </cell>
          <cell r="AJ4418">
            <v>0</v>
          </cell>
          <cell r="AW4418">
            <v>0</v>
          </cell>
        </row>
        <row r="4419">
          <cell r="B4419">
            <v>7824</v>
          </cell>
          <cell r="C4419" t="str">
            <v>UP_118_</v>
          </cell>
          <cell r="D4419" t="str">
            <v>Rancho Upácuaro No. 118</v>
          </cell>
          <cell r="E4419" t="str">
            <v>Siegrist</v>
          </cell>
          <cell r="F4419">
            <v>300</v>
          </cell>
          <cell r="G4419">
            <v>5</v>
          </cell>
          <cell r="H4419">
            <v>20</v>
          </cell>
          <cell r="I4419">
            <v>41896</v>
          </cell>
          <cell r="J4419" t="str">
            <v>NO SUMA</v>
          </cell>
          <cell r="W4419">
            <v>0</v>
          </cell>
          <cell r="AJ4419">
            <v>0</v>
          </cell>
          <cell r="AW4419">
            <v>0</v>
          </cell>
        </row>
        <row r="4420">
          <cell r="B4420">
            <v>7824</v>
          </cell>
          <cell r="C4420" t="str">
            <v>UP_118_</v>
          </cell>
          <cell r="D4420" t="str">
            <v>Rancho Upácuaro No. 118</v>
          </cell>
          <cell r="E4420" t="str">
            <v>Siegrist</v>
          </cell>
          <cell r="F4420">
            <v>300</v>
          </cell>
          <cell r="G4420">
            <v>5</v>
          </cell>
          <cell r="H4420">
            <v>20</v>
          </cell>
          <cell r="I4420">
            <v>41896</v>
          </cell>
          <cell r="J4420" t="str">
            <v>NO SUMA</v>
          </cell>
          <cell r="W4420">
            <v>0</v>
          </cell>
          <cell r="AJ4420">
            <v>0</v>
          </cell>
          <cell r="AW4420">
            <v>0</v>
          </cell>
        </row>
        <row r="4421">
          <cell r="B4421">
            <v>7824</v>
          </cell>
          <cell r="C4421" t="str">
            <v>UP_118_</v>
          </cell>
          <cell r="D4421" t="str">
            <v>Rancho Upácuaro No. 118</v>
          </cell>
          <cell r="E4421" t="str">
            <v>Siegrist</v>
          </cell>
          <cell r="F4421">
            <v>300</v>
          </cell>
          <cell r="G4421">
            <v>5</v>
          </cell>
          <cell r="H4421">
            <v>20</v>
          </cell>
          <cell r="I4421">
            <v>41896</v>
          </cell>
          <cell r="J4421" t="str">
            <v>NO SUMA</v>
          </cell>
          <cell r="W4421">
            <v>0</v>
          </cell>
          <cell r="AJ4421">
            <v>0</v>
          </cell>
          <cell r="AW4421">
            <v>0</v>
          </cell>
        </row>
        <row r="4422">
          <cell r="B4422">
            <v>7825</v>
          </cell>
          <cell r="C4422" t="str">
            <v>EZ_115_</v>
          </cell>
          <cell r="D4422" t="str">
            <v>Rancho Estanzuela No. 115</v>
          </cell>
          <cell r="E4422" t="str">
            <v>Frías Solórzano</v>
          </cell>
          <cell r="F4422">
            <v>200</v>
          </cell>
          <cell r="G4422">
            <v>5</v>
          </cell>
          <cell r="H4422">
            <v>20</v>
          </cell>
          <cell r="I4422">
            <v>41896</v>
          </cell>
          <cell r="J4422" t="str">
            <v>NO SUMA</v>
          </cell>
          <cell r="W4422">
            <v>0</v>
          </cell>
          <cell r="AJ4422">
            <v>0</v>
          </cell>
          <cell r="AW4422">
            <v>0</v>
          </cell>
        </row>
        <row r="4423">
          <cell r="B4423">
            <v>7825</v>
          </cell>
          <cell r="C4423" t="str">
            <v>EZ_115_</v>
          </cell>
          <cell r="D4423" t="str">
            <v>Rancho Estanzuela No. 115</v>
          </cell>
          <cell r="E4423" t="str">
            <v>Frías Solórzano</v>
          </cell>
          <cell r="F4423">
            <v>200</v>
          </cell>
          <cell r="G4423">
            <v>5</v>
          </cell>
          <cell r="H4423">
            <v>20</v>
          </cell>
          <cell r="I4423">
            <v>41896</v>
          </cell>
          <cell r="J4423" t="str">
            <v>NO SUMA</v>
          </cell>
          <cell r="W4423">
            <v>0</v>
          </cell>
          <cell r="AJ4423">
            <v>0</v>
          </cell>
          <cell r="AW4423">
            <v>0</v>
          </cell>
        </row>
        <row r="4424">
          <cell r="B4424">
            <v>7826</v>
          </cell>
          <cell r="C4424" t="str">
            <v>EZ_157_1</v>
          </cell>
          <cell r="D4424" t="str">
            <v>Rancho Estanzuela No. 157, 1</v>
          </cell>
          <cell r="E4424" t="str">
            <v>Anzures</v>
          </cell>
          <cell r="F4424">
            <v>450</v>
          </cell>
          <cell r="G4424">
            <v>1</v>
          </cell>
          <cell r="H4424">
            <v>150</v>
          </cell>
          <cell r="I4424">
            <v>41896</v>
          </cell>
          <cell r="J4424">
            <v>0</v>
          </cell>
          <cell r="W4424">
            <v>0</v>
          </cell>
          <cell r="AJ4424">
            <v>0</v>
          </cell>
          <cell r="AS4424">
            <v>150</v>
          </cell>
          <cell r="AW4424">
            <v>150</v>
          </cell>
        </row>
        <row r="4425">
          <cell r="B4425">
            <v>7826</v>
          </cell>
          <cell r="C4425" t="str">
            <v>EZ_157_2</v>
          </cell>
          <cell r="D4425" t="str">
            <v>Rancho Estanzuela No. 157, 2</v>
          </cell>
          <cell r="E4425" t="str">
            <v>Arias</v>
          </cell>
          <cell r="F4425">
            <v>150</v>
          </cell>
          <cell r="G4425">
            <v>1</v>
          </cell>
          <cell r="H4425">
            <v>150</v>
          </cell>
          <cell r="I4425">
            <v>41896</v>
          </cell>
          <cell r="J4425">
            <v>0</v>
          </cell>
          <cell r="W4425">
            <v>0</v>
          </cell>
          <cell r="AJ4425">
            <v>0</v>
          </cell>
          <cell r="AS4425">
            <v>150</v>
          </cell>
          <cell r="AW4425">
            <v>150</v>
          </cell>
        </row>
        <row r="4426">
          <cell r="B4426">
            <v>7826</v>
          </cell>
          <cell r="C4426" t="str">
            <v>EZ_157_3</v>
          </cell>
          <cell r="D4426" t="str">
            <v>Rancho Estanzuela No. 157, 3</v>
          </cell>
          <cell r="E4426" t="str">
            <v>Conde</v>
          </cell>
          <cell r="F4426">
            <v>300</v>
          </cell>
          <cell r="G4426">
            <v>1</v>
          </cell>
          <cell r="H4426">
            <v>150</v>
          </cell>
          <cell r="I4426">
            <v>41896</v>
          </cell>
          <cell r="J4426">
            <v>0</v>
          </cell>
          <cell r="W4426">
            <v>0</v>
          </cell>
          <cell r="AJ4426">
            <v>0</v>
          </cell>
          <cell r="AS4426">
            <v>150</v>
          </cell>
          <cell r="AW4426">
            <v>150</v>
          </cell>
        </row>
        <row r="4427">
          <cell r="B4427">
            <v>7826</v>
          </cell>
          <cell r="C4427" t="str">
            <v>EZ_157_1</v>
          </cell>
          <cell r="D4427" t="str">
            <v>Rancho Estanzuela No. 157, 1</v>
          </cell>
          <cell r="E4427" t="str">
            <v>Anzures</v>
          </cell>
          <cell r="F4427">
            <v>450</v>
          </cell>
          <cell r="G4427">
            <v>5</v>
          </cell>
          <cell r="H4427">
            <v>20</v>
          </cell>
          <cell r="I4427">
            <v>41896</v>
          </cell>
          <cell r="J4427" t="str">
            <v>NO SUMA</v>
          </cell>
          <cell r="W4427">
            <v>0</v>
          </cell>
          <cell r="AJ4427">
            <v>0</v>
          </cell>
          <cell r="AW4427">
            <v>0</v>
          </cell>
        </row>
        <row r="4428">
          <cell r="B4428">
            <v>7826</v>
          </cell>
          <cell r="C4428" t="str">
            <v>EZ_157_1</v>
          </cell>
          <cell r="D4428" t="str">
            <v>Rancho Estanzuela No. 157, 1</v>
          </cell>
          <cell r="E4428" t="str">
            <v>Anzures</v>
          </cell>
          <cell r="F4428">
            <v>450</v>
          </cell>
          <cell r="G4428">
            <v>5</v>
          </cell>
          <cell r="H4428">
            <v>20</v>
          </cell>
          <cell r="I4428">
            <v>41896</v>
          </cell>
          <cell r="J4428" t="str">
            <v>NO SUMA</v>
          </cell>
          <cell r="W4428">
            <v>0</v>
          </cell>
          <cell r="AJ4428">
            <v>0</v>
          </cell>
          <cell r="AW4428">
            <v>0</v>
          </cell>
        </row>
        <row r="4429">
          <cell r="B4429">
            <v>7827</v>
          </cell>
          <cell r="C4429" t="str">
            <v>CL_131_</v>
          </cell>
          <cell r="D4429" t="str">
            <v>Rancho La Cuchilla No. 131</v>
          </cell>
          <cell r="E4429" t="str">
            <v>Cabrera Marquez</v>
          </cell>
          <cell r="F4429">
            <v>300</v>
          </cell>
          <cell r="G4429">
            <v>5</v>
          </cell>
          <cell r="H4429">
            <v>20</v>
          </cell>
          <cell r="I4429">
            <v>41896</v>
          </cell>
          <cell r="J4429" t="str">
            <v>NO SUMA</v>
          </cell>
          <cell r="W4429">
            <v>0</v>
          </cell>
          <cell r="AJ4429">
            <v>0</v>
          </cell>
          <cell r="AW4429">
            <v>0</v>
          </cell>
        </row>
        <row r="4430">
          <cell r="B4430">
            <v>7827</v>
          </cell>
          <cell r="C4430" t="str">
            <v>CL_131_</v>
          </cell>
          <cell r="D4430" t="str">
            <v>Rancho La Cuchilla No. 131</v>
          </cell>
          <cell r="E4430" t="str">
            <v>Cabrera Marquez</v>
          </cell>
          <cell r="F4430">
            <v>300</v>
          </cell>
          <cell r="G4430">
            <v>5</v>
          </cell>
          <cell r="H4430">
            <v>20</v>
          </cell>
          <cell r="I4430">
            <v>41896</v>
          </cell>
          <cell r="J4430" t="str">
            <v>NO SUMA</v>
          </cell>
          <cell r="W4430">
            <v>0</v>
          </cell>
          <cell r="AJ4430">
            <v>0</v>
          </cell>
          <cell r="AW4430">
            <v>0</v>
          </cell>
        </row>
        <row r="4431">
          <cell r="B4431">
            <v>7827</v>
          </cell>
          <cell r="C4431" t="str">
            <v>CL_131_</v>
          </cell>
          <cell r="D4431" t="str">
            <v>Rancho La Cuchilla No. 131</v>
          </cell>
          <cell r="E4431" t="str">
            <v>Cabrera Marquez</v>
          </cell>
          <cell r="F4431">
            <v>300</v>
          </cell>
          <cell r="G4431">
            <v>5</v>
          </cell>
          <cell r="H4431">
            <v>20</v>
          </cell>
          <cell r="I4431">
            <v>41896</v>
          </cell>
          <cell r="J4431" t="str">
            <v>NO SUMA</v>
          </cell>
          <cell r="W4431">
            <v>0</v>
          </cell>
          <cell r="AJ4431">
            <v>0</v>
          </cell>
          <cell r="AW4431">
            <v>0</v>
          </cell>
        </row>
        <row r="4432">
          <cell r="B4432">
            <v>7827</v>
          </cell>
          <cell r="C4432" t="str">
            <v>CL_131_</v>
          </cell>
          <cell r="D4432" t="str">
            <v>Rancho La Cuchilla No. 131</v>
          </cell>
          <cell r="E4432" t="str">
            <v>Cabrera Marquez</v>
          </cell>
          <cell r="F4432">
            <v>300</v>
          </cell>
          <cell r="G4432">
            <v>5</v>
          </cell>
          <cell r="H4432">
            <v>50</v>
          </cell>
          <cell r="I4432">
            <v>41896</v>
          </cell>
          <cell r="J4432" t="str">
            <v>NO SUMA</v>
          </cell>
          <cell r="W4432">
            <v>0</v>
          </cell>
          <cell r="AJ4432">
            <v>0</v>
          </cell>
          <cell r="AW4432">
            <v>0</v>
          </cell>
        </row>
        <row r="4433">
          <cell r="B4433">
            <v>7827</v>
          </cell>
          <cell r="C4433" t="str">
            <v>CL_131_</v>
          </cell>
          <cell r="D4433" t="str">
            <v>Rancho La Cuchilla No. 131</v>
          </cell>
          <cell r="E4433" t="str">
            <v>Cabrera Marquez</v>
          </cell>
          <cell r="F4433">
            <v>300</v>
          </cell>
          <cell r="G4433">
            <v>5</v>
          </cell>
          <cell r="H4433">
            <v>50</v>
          </cell>
          <cell r="I4433">
            <v>41896</v>
          </cell>
          <cell r="J4433" t="str">
            <v>NO SUMA</v>
          </cell>
          <cell r="W4433">
            <v>0</v>
          </cell>
          <cell r="AJ4433">
            <v>0</v>
          </cell>
          <cell r="AW4433">
            <v>0</v>
          </cell>
        </row>
        <row r="4434">
          <cell r="B4434">
            <v>7828</v>
          </cell>
          <cell r="C4434" t="str">
            <v>CL_66_</v>
          </cell>
          <cell r="D4434" t="str">
            <v>Rancho La Cuchilla No. 66</v>
          </cell>
          <cell r="E4434" t="str">
            <v>Prieto</v>
          </cell>
          <cell r="F4434">
            <v>300</v>
          </cell>
          <cell r="G4434">
            <v>1</v>
          </cell>
          <cell r="H4434">
            <v>400</v>
          </cell>
          <cell r="I4434">
            <v>41896</v>
          </cell>
          <cell r="J4434">
            <v>0</v>
          </cell>
          <cell r="W4434">
            <v>0</v>
          </cell>
          <cell r="AJ4434">
            <v>0</v>
          </cell>
          <cell r="AS4434">
            <v>400</v>
          </cell>
          <cell r="AW4434">
            <v>400</v>
          </cell>
        </row>
        <row r="4435">
          <cell r="B4435">
            <v>7828</v>
          </cell>
          <cell r="C4435" t="str">
            <v>CL_66_</v>
          </cell>
          <cell r="D4435" t="str">
            <v>Rancho La Cuchilla No. 66</v>
          </cell>
          <cell r="E4435" t="str">
            <v>Prieto</v>
          </cell>
          <cell r="F4435">
            <v>300</v>
          </cell>
          <cell r="G4435">
            <v>5</v>
          </cell>
          <cell r="H4435">
            <v>20</v>
          </cell>
          <cell r="I4435">
            <v>41896</v>
          </cell>
          <cell r="J4435" t="str">
            <v>NO SUMA</v>
          </cell>
          <cell r="W4435">
            <v>0</v>
          </cell>
          <cell r="AJ4435">
            <v>0</v>
          </cell>
          <cell r="AW4435">
            <v>0</v>
          </cell>
        </row>
        <row r="4436">
          <cell r="B4436">
            <v>7828</v>
          </cell>
          <cell r="C4436" t="str">
            <v>CL_66_</v>
          </cell>
          <cell r="D4436" t="str">
            <v>Rancho La Cuchilla No. 66</v>
          </cell>
          <cell r="E4436" t="str">
            <v>Prieto</v>
          </cell>
          <cell r="F4436">
            <v>300</v>
          </cell>
          <cell r="G4436">
            <v>5</v>
          </cell>
          <cell r="H4436">
            <v>20</v>
          </cell>
          <cell r="I4436">
            <v>41896</v>
          </cell>
          <cell r="J4436" t="str">
            <v>NO SUMA</v>
          </cell>
          <cell r="W4436">
            <v>0</v>
          </cell>
          <cell r="AJ4436">
            <v>0</v>
          </cell>
          <cell r="AW4436">
            <v>0</v>
          </cell>
        </row>
        <row r="4437">
          <cell r="B4437">
            <v>7828</v>
          </cell>
          <cell r="C4437" t="str">
            <v>CL_66_</v>
          </cell>
          <cell r="D4437" t="str">
            <v>Rancho La Cuchilla No. 66</v>
          </cell>
          <cell r="E4437" t="str">
            <v>Prieto</v>
          </cell>
          <cell r="F4437">
            <v>300</v>
          </cell>
          <cell r="G4437">
            <v>5</v>
          </cell>
          <cell r="H4437">
            <v>20</v>
          </cell>
          <cell r="I4437">
            <v>41896</v>
          </cell>
          <cell r="J4437" t="str">
            <v>NO SUMA</v>
          </cell>
          <cell r="W4437">
            <v>0</v>
          </cell>
          <cell r="AJ4437">
            <v>0</v>
          </cell>
          <cell r="AW4437">
            <v>0</v>
          </cell>
        </row>
        <row r="4438">
          <cell r="B4438">
            <v>7828</v>
          </cell>
          <cell r="C4438" t="str">
            <v>CL_66_</v>
          </cell>
          <cell r="D4438" t="str">
            <v>Rancho La Cuchilla No. 66</v>
          </cell>
          <cell r="E4438" t="str">
            <v>Prieto</v>
          </cell>
          <cell r="F4438">
            <v>300</v>
          </cell>
          <cell r="G4438">
            <v>5</v>
          </cell>
          <cell r="H4438">
            <v>50</v>
          </cell>
          <cell r="I4438">
            <v>41896</v>
          </cell>
          <cell r="J4438" t="str">
            <v>NO SUMA</v>
          </cell>
          <cell r="W4438">
            <v>0</v>
          </cell>
          <cell r="AJ4438">
            <v>0</v>
          </cell>
          <cell r="AW4438">
            <v>0</v>
          </cell>
        </row>
        <row r="4439">
          <cell r="B4439">
            <v>7829</v>
          </cell>
          <cell r="C4439" t="str">
            <v>LD_62_</v>
          </cell>
          <cell r="D4439" t="str">
            <v>Rancho Landero No. 62</v>
          </cell>
          <cell r="E4439" t="str">
            <v>Narvaez Sara</v>
          </cell>
          <cell r="F4439">
            <v>300</v>
          </cell>
          <cell r="G4439">
            <v>5</v>
          </cell>
          <cell r="H4439">
            <v>20</v>
          </cell>
          <cell r="I4439">
            <v>41896</v>
          </cell>
          <cell r="J4439" t="str">
            <v>NO SUMA</v>
          </cell>
          <cell r="W4439">
            <v>0</v>
          </cell>
          <cell r="AJ4439">
            <v>0</v>
          </cell>
          <cell r="AW4439">
            <v>0</v>
          </cell>
        </row>
        <row r="4440">
          <cell r="B4440">
            <v>7829</v>
          </cell>
          <cell r="C4440" t="str">
            <v>LD_62_</v>
          </cell>
          <cell r="D4440" t="str">
            <v>Rancho Landero No. 62</v>
          </cell>
          <cell r="E4440" t="str">
            <v>Narvaez Sara</v>
          </cell>
          <cell r="F4440">
            <v>300</v>
          </cell>
          <cell r="G4440">
            <v>5</v>
          </cell>
          <cell r="H4440">
            <v>20</v>
          </cell>
          <cell r="I4440">
            <v>41896</v>
          </cell>
          <cell r="J4440" t="str">
            <v>NO SUMA</v>
          </cell>
          <cell r="W4440">
            <v>0</v>
          </cell>
          <cell r="AJ4440">
            <v>0</v>
          </cell>
          <cell r="AW4440">
            <v>0</v>
          </cell>
        </row>
        <row r="4441">
          <cell r="B4441">
            <v>7829</v>
          </cell>
          <cell r="C4441" t="str">
            <v>LD_62_</v>
          </cell>
          <cell r="D4441" t="str">
            <v>Rancho Landero No. 62</v>
          </cell>
          <cell r="E4441" t="str">
            <v>Narvaez Sara</v>
          </cell>
          <cell r="F4441">
            <v>300</v>
          </cell>
          <cell r="G4441">
            <v>5</v>
          </cell>
          <cell r="H4441">
            <v>20</v>
          </cell>
          <cell r="I4441">
            <v>41896</v>
          </cell>
          <cell r="J4441" t="str">
            <v>NO SUMA</v>
          </cell>
          <cell r="W4441">
            <v>0</v>
          </cell>
          <cell r="AJ4441">
            <v>0</v>
          </cell>
          <cell r="AW4441">
            <v>0</v>
          </cell>
        </row>
        <row r="4442">
          <cell r="B4442">
            <v>7829</v>
          </cell>
          <cell r="C4442" t="str">
            <v>LD_62_</v>
          </cell>
          <cell r="D4442" t="str">
            <v>Rancho Landero No. 62</v>
          </cell>
          <cell r="E4442" t="str">
            <v>Narvaez Sara</v>
          </cell>
          <cell r="F4442">
            <v>300</v>
          </cell>
          <cell r="G4442">
            <v>5</v>
          </cell>
          <cell r="H4442">
            <v>50</v>
          </cell>
          <cell r="I4442">
            <v>41896</v>
          </cell>
          <cell r="J4442" t="str">
            <v>NO SUMA</v>
          </cell>
          <cell r="W4442">
            <v>0</v>
          </cell>
          <cell r="AJ4442">
            <v>0</v>
          </cell>
          <cell r="AW4442">
            <v>0</v>
          </cell>
        </row>
        <row r="4443">
          <cell r="B4443">
            <v>7829</v>
          </cell>
          <cell r="C4443" t="str">
            <v>LD_62_</v>
          </cell>
          <cell r="D4443" t="str">
            <v>Rancho Landero No. 62</v>
          </cell>
          <cell r="E4443" t="str">
            <v>Narvaez Sara</v>
          </cell>
          <cell r="F4443">
            <v>300</v>
          </cell>
          <cell r="G4443">
            <v>5</v>
          </cell>
          <cell r="H4443">
            <v>50</v>
          </cell>
          <cell r="I4443">
            <v>41896</v>
          </cell>
          <cell r="J4443" t="str">
            <v>NO SUMA</v>
          </cell>
          <cell r="W4443">
            <v>0</v>
          </cell>
          <cell r="AJ4443">
            <v>0</v>
          </cell>
          <cell r="AW4443">
            <v>0</v>
          </cell>
        </row>
        <row r="4444">
          <cell r="B4444">
            <v>7830</v>
          </cell>
          <cell r="C4444" t="str">
            <v>CL_20_</v>
          </cell>
          <cell r="D4444" t="str">
            <v>Rancho La Cuchilla No. 20</v>
          </cell>
          <cell r="E4444" t="str">
            <v>Sánchez López</v>
          </cell>
          <cell r="F4444">
            <v>300</v>
          </cell>
          <cell r="G4444">
            <v>5</v>
          </cell>
          <cell r="H4444">
            <v>20</v>
          </cell>
          <cell r="I4444">
            <v>41896</v>
          </cell>
          <cell r="J4444" t="str">
            <v>NO SUMA</v>
          </cell>
          <cell r="W4444">
            <v>0</v>
          </cell>
          <cell r="AJ4444">
            <v>0</v>
          </cell>
          <cell r="AW4444">
            <v>0</v>
          </cell>
        </row>
        <row r="4445">
          <cell r="B4445">
            <v>7830</v>
          </cell>
          <cell r="C4445" t="str">
            <v>CL_20_</v>
          </cell>
          <cell r="D4445" t="str">
            <v>Rancho La Cuchilla No. 20</v>
          </cell>
          <cell r="E4445" t="str">
            <v>Sánchez López</v>
          </cell>
          <cell r="F4445">
            <v>300</v>
          </cell>
          <cell r="G4445">
            <v>5</v>
          </cell>
          <cell r="H4445">
            <v>20</v>
          </cell>
          <cell r="I4445">
            <v>41896</v>
          </cell>
          <cell r="J4445" t="str">
            <v>NO SUMA</v>
          </cell>
          <cell r="W4445">
            <v>0</v>
          </cell>
          <cell r="AJ4445">
            <v>0</v>
          </cell>
          <cell r="AW4445">
            <v>0</v>
          </cell>
        </row>
        <row r="4446">
          <cell r="B4446">
            <v>7830</v>
          </cell>
          <cell r="C4446" t="str">
            <v>CL_20_</v>
          </cell>
          <cell r="D4446" t="str">
            <v>Rancho La Cuchilla No. 20</v>
          </cell>
          <cell r="E4446" t="str">
            <v>Sánchez López</v>
          </cell>
          <cell r="F4446">
            <v>300</v>
          </cell>
          <cell r="G4446">
            <v>5</v>
          </cell>
          <cell r="H4446">
            <v>20</v>
          </cell>
          <cell r="I4446">
            <v>41896</v>
          </cell>
          <cell r="J4446" t="str">
            <v>NO SUMA</v>
          </cell>
          <cell r="W4446">
            <v>0</v>
          </cell>
          <cell r="AJ4446">
            <v>0</v>
          </cell>
          <cell r="AW4446">
            <v>0</v>
          </cell>
        </row>
        <row r="4447">
          <cell r="B4447">
            <v>7831</v>
          </cell>
          <cell r="C4447" t="str">
            <v>RV_179_</v>
          </cell>
          <cell r="D4447" t="str">
            <v>Rancho Recoveco No. 179</v>
          </cell>
          <cell r="E4447" t="str">
            <v>Flores Delgado</v>
          </cell>
          <cell r="F4447">
            <v>300</v>
          </cell>
          <cell r="G4447">
            <v>5</v>
          </cell>
          <cell r="H4447">
            <v>20</v>
          </cell>
          <cell r="I4447">
            <v>41896</v>
          </cell>
          <cell r="J4447" t="str">
            <v>NO SUMA</v>
          </cell>
          <cell r="W4447">
            <v>0</v>
          </cell>
          <cell r="AJ4447">
            <v>0</v>
          </cell>
          <cell r="AW4447">
            <v>0</v>
          </cell>
        </row>
        <row r="4448">
          <cell r="B4448">
            <v>7831</v>
          </cell>
          <cell r="C4448" t="str">
            <v>RV_179_</v>
          </cell>
          <cell r="D4448" t="str">
            <v>Rancho Recoveco No. 179</v>
          </cell>
          <cell r="E4448" t="str">
            <v>Flores Delgado</v>
          </cell>
          <cell r="F4448">
            <v>300</v>
          </cell>
          <cell r="G4448">
            <v>5</v>
          </cell>
          <cell r="H4448">
            <v>20</v>
          </cell>
          <cell r="I4448">
            <v>41896</v>
          </cell>
          <cell r="J4448" t="str">
            <v>NO SUMA</v>
          </cell>
          <cell r="W4448">
            <v>0</v>
          </cell>
          <cell r="AJ4448">
            <v>0</v>
          </cell>
          <cell r="AW4448">
            <v>0</v>
          </cell>
        </row>
        <row r="4449">
          <cell r="B4449">
            <v>7831</v>
          </cell>
          <cell r="C4449" t="str">
            <v>RV_179_</v>
          </cell>
          <cell r="D4449" t="str">
            <v>Rancho Recoveco No. 179</v>
          </cell>
          <cell r="E4449" t="str">
            <v>Flores Delgado</v>
          </cell>
          <cell r="F4449">
            <v>300</v>
          </cell>
          <cell r="G4449">
            <v>5</v>
          </cell>
          <cell r="H4449">
            <v>20</v>
          </cell>
          <cell r="I4449">
            <v>41896</v>
          </cell>
          <cell r="J4449" t="str">
            <v>NO SUMA</v>
          </cell>
          <cell r="W4449">
            <v>0</v>
          </cell>
          <cell r="AJ4449">
            <v>0</v>
          </cell>
          <cell r="AW4449">
            <v>0</v>
          </cell>
        </row>
        <row r="4450">
          <cell r="B4450">
            <v>7832</v>
          </cell>
          <cell r="C4450" t="str">
            <v>ZB_36_</v>
          </cell>
          <cell r="D4450" t="str">
            <v>Rancho Zinamba No. 36</v>
          </cell>
          <cell r="E4450" t="str">
            <v>Rodríguez Ortiz</v>
          </cell>
          <cell r="F4450">
            <v>300</v>
          </cell>
          <cell r="G4450">
            <v>5</v>
          </cell>
          <cell r="H4450">
            <v>20</v>
          </cell>
          <cell r="I4450">
            <v>41896</v>
          </cell>
          <cell r="J4450" t="str">
            <v>NO SUMA</v>
          </cell>
          <cell r="W4450">
            <v>0</v>
          </cell>
          <cell r="AJ4450">
            <v>0</v>
          </cell>
          <cell r="AW4450">
            <v>0</v>
          </cell>
        </row>
        <row r="4451">
          <cell r="B4451">
            <v>7832</v>
          </cell>
          <cell r="C4451" t="str">
            <v>ZB_36_</v>
          </cell>
          <cell r="D4451" t="str">
            <v>Rancho Zinamba No. 36</v>
          </cell>
          <cell r="E4451" t="str">
            <v>Rodríguez Ortiz</v>
          </cell>
          <cell r="F4451">
            <v>300</v>
          </cell>
          <cell r="G4451">
            <v>5</v>
          </cell>
          <cell r="H4451">
            <v>20</v>
          </cell>
          <cell r="I4451">
            <v>41896</v>
          </cell>
          <cell r="J4451" t="str">
            <v>NO SUMA</v>
          </cell>
          <cell r="W4451">
            <v>0</v>
          </cell>
          <cell r="AJ4451">
            <v>0</v>
          </cell>
          <cell r="AW4451">
            <v>0</v>
          </cell>
        </row>
        <row r="4452">
          <cell r="B4452">
            <v>7832</v>
          </cell>
          <cell r="C4452" t="str">
            <v>ZB_36_</v>
          </cell>
          <cell r="D4452" t="str">
            <v>Rancho Zinamba No. 36</v>
          </cell>
          <cell r="E4452" t="str">
            <v>Rodríguez Ortiz</v>
          </cell>
          <cell r="F4452">
            <v>300</v>
          </cell>
          <cell r="G4452">
            <v>5</v>
          </cell>
          <cell r="H4452">
            <v>20</v>
          </cell>
          <cell r="I4452">
            <v>41896</v>
          </cell>
          <cell r="J4452" t="str">
            <v>NO SUMA</v>
          </cell>
          <cell r="W4452">
            <v>0</v>
          </cell>
          <cell r="AJ4452">
            <v>0</v>
          </cell>
          <cell r="AW4452">
            <v>0</v>
          </cell>
        </row>
        <row r="4453">
          <cell r="B4453">
            <v>7832</v>
          </cell>
          <cell r="C4453" t="str">
            <v>ZB_36_</v>
          </cell>
          <cell r="D4453" t="str">
            <v>Rancho Zinamba No. 36</v>
          </cell>
          <cell r="E4453" t="str">
            <v>Rodríguez Ortiz</v>
          </cell>
          <cell r="F4453">
            <v>300</v>
          </cell>
          <cell r="G4453">
            <v>5</v>
          </cell>
          <cell r="H4453">
            <v>50</v>
          </cell>
          <cell r="I4453">
            <v>41896</v>
          </cell>
          <cell r="J4453" t="str">
            <v>NO SUMA</v>
          </cell>
          <cell r="W4453">
            <v>0</v>
          </cell>
          <cell r="AJ4453">
            <v>0</v>
          </cell>
          <cell r="AW4453">
            <v>0</v>
          </cell>
        </row>
        <row r="4454">
          <cell r="B4454">
            <v>7833</v>
          </cell>
          <cell r="C4454" t="str">
            <v>LD_61_</v>
          </cell>
          <cell r="D4454" t="str">
            <v>Rancho Landero No. 61</v>
          </cell>
          <cell r="E4454" t="str">
            <v>Miramontes Pérez</v>
          </cell>
          <cell r="F4454">
            <v>300</v>
          </cell>
          <cell r="G4454">
            <v>5</v>
          </cell>
          <cell r="H4454">
            <v>20</v>
          </cell>
          <cell r="I4454">
            <v>41896</v>
          </cell>
          <cell r="J4454" t="str">
            <v>NO SUMA</v>
          </cell>
          <cell r="W4454">
            <v>0</v>
          </cell>
          <cell r="AJ4454">
            <v>0</v>
          </cell>
          <cell r="AW4454">
            <v>0</v>
          </cell>
        </row>
        <row r="4455">
          <cell r="B4455">
            <v>7834</v>
          </cell>
          <cell r="C4455" t="str">
            <v>CL_81_A</v>
          </cell>
          <cell r="D4455" t="str">
            <v>Rancho La Cuchilla No. 81, A</v>
          </cell>
          <cell r="E4455" t="str">
            <v>Barrientos López</v>
          </cell>
          <cell r="F4455">
            <v>300</v>
          </cell>
          <cell r="G4455">
            <v>1</v>
          </cell>
          <cell r="H4455">
            <v>400</v>
          </cell>
          <cell r="I4455">
            <v>41896</v>
          </cell>
          <cell r="J4455">
            <v>0</v>
          </cell>
          <cell r="W4455">
            <v>0</v>
          </cell>
          <cell r="AJ4455">
            <v>0</v>
          </cell>
          <cell r="AS4455">
            <v>400</v>
          </cell>
          <cell r="AW4455">
            <v>400</v>
          </cell>
        </row>
        <row r="4456">
          <cell r="B4456">
            <v>7834</v>
          </cell>
          <cell r="C4456" t="str">
            <v>CL_81_A</v>
          </cell>
          <cell r="D4456" t="str">
            <v>Rancho La Cuchilla No. 81, A</v>
          </cell>
          <cell r="E4456" t="str">
            <v>Barrientos López</v>
          </cell>
          <cell r="F4456">
            <v>300</v>
          </cell>
          <cell r="G4456">
            <v>5</v>
          </cell>
          <cell r="H4456">
            <v>20</v>
          </cell>
          <cell r="I4456">
            <v>41896</v>
          </cell>
          <cell r="J4456" t="str">
            <v>NO SUMA</v>
          </cell>
          <cell r="W4456">
            <v>0</v>
          </cell>
          <cell r="AJ4456">
            <v>0</v>
          </cell>
          <cell r="AW4456">
            <v>0</v>
          </cell>
        </row>
        <row r="4457">
          <cell r="B4457">
            <v>7834</v>
          </cell>
          <cell r="C4457" t="str">
            <v>CL_81_A</v>
          </cell>
          <cell r="D4457" t="str">
            <v>Rancho La Cuchilla No. 81, A</v>
          </cell>
          <cell r="E4457" t="str">
            <v>Barrientos López</v>
          </cell>
          <cell r="F4457">
            <v>300</v>
          </cell>
          <cell r="G4457">
            <v>5</v>
          </cell>
          <cell r="H4457">
            <v>20</v>
          </cell>
          <cell r="I4457">
            <v>41896</v>
          </cell>
          <cell r="J4457" t="str">
            <v>NO SUMA</v>
          </cell>
          <cell r="W4457">
            <v>0</v>
          </cell>
          <cell r="AJ4457">
            <v>0</v>
          </cell>
          <cell r="AW4457">
            <v>0</v>
          </cell>
        </row>
        <row r="4458">
          <cell r="B4458">
            <v>7835</v>
          </cell>
          <cell r="C4458" t="str">
            <v>EZ_91_</v>
          </cell>
          <cell r="D4458" t="str">
            <v>Rancho Estanzuela No. 91</v>
          </cell>
          <cell r="E4458" t="str">
            <v>Lobato Torres</v>
          </cell>
          <cell r="F4458">
            <v>300</v>
          </cell>
          <cell r="G4458">
            <v>1</v>
          </cell>
          <cell r="H4458">
            <v>800</v>
          </cell>
          <cell r="I4458">
            <v>41896</v>
          </cell>
          <cell r="J4458">
            <v>0</v>
          </cell>
          <cell r="W4458">
            <v>0</v>
          </cell>
          <cell r="AJ4458">
            <v>0</v>
          </cell>
          <cell r="AR4458">
            <v>400</v>
          </cell>
          <cell r="AS4458">
            <v>400</v>
          </cell>
          <cell r="AW4458">
            <v>800</v>
          </cell>
        </row>
        <row r="4459">
          <cell r="B4459">
            <v>7835</v>
          </cell>
          <cell r="C4459" t="str">
            <v>EZ_91_</v>
          </cell>
          <cell r="D4459" t="str">
            <v>Rancho Estanzuela No. 91</v>
          </cell>
          <cell r="E4459" t="str">
            <v>Lobato Torres</v>
          </cell>
          <cell r="F4459">
            <v>300</v>
          </cell>
          <cell r="G4459">
            <v>5</v>
          </cell>
          <cell r="H4459">
            <v>20</v>
          </cell>
          <cell r="I4459">
            <v>41896</v>
          </cell>
          <cell r="J4459" t="str">
            <v>NO SUMA</v>
          </cell>
          <cell r="W4459">
            <v>0</v>
          </cell>
          <cell r="AJ4459">
            <v>0</v>
          </cell>
          <cell r="AW4459">
            <v>0</v>
          </cell>
        </row>
        <row r="4460">
          <cell r="B4460">
            <v>7835</v>
          </cell>
          <cell r="C4460" t="str">
            <v>EZ_91_</v>
          </cell>
          <cell r="D4460" t="str">
            <v>Rancho Estanzuela No. 91</v>
          </cell>
          <cell r="E4460" t="str">
            <v>Lobato Torres</v>
          </cell>
          <cell r="F4460">
            <v>300</v>
          </cell>
          <cell r="G4460">
            <v>5</v>
          </cell>
          <cell r="H4460">
            <v>20</v>
          </cell>
          <cell r="I4460">
            <v>41896</v>
          </cell>
          <cell r="J4460" t="str">
            <v>NO SUMA</v>
          </cell>
          <cell r="W4460">
            <v>0</v>
          </cell>
          <cell r="AJ4460">
            <v>0</v>
          </cell>
          <cell r="AW4460">
            <v>0</v>
          </cell>
        </row>
        <row r="4461">
          <cell r="B4461">
            <v>7835</v>
          </cell>
          <cell r="C4461" t="str">
            <v>EZ_91_</v>
          </cell>
          <cell r="D4461" t="str">
            <v>Rancho Estanzuela No. 91</v>
          </cell>
          <cell r="E4461" t="str">
            <v>Lobato Torres</v>
          </cell>
          <cell r="F4461">
            <v>300</v>
          </cell>
          <cell r="G4461">
            <v>5</v>
          </cell>
          <cell r="H4461">
            <v>20</v>
          </cell>
          <cell r="I4461">
            <v>41896</v>
          </cell>
          <cell r="J4461" t="str">
            <v>NO SUMA</v>
          </cell>
          <cell r="W4461">
            <v>0</v>
          </cell>
          <cell r="AJ4461">
            <v>0</v>
          </cell>
          <cell r="AW4461">
            <v>0</v>
          </cell>
        </row>
        <row r="4462">
          <cell r="B4462">
            <v>7835</v>
          </cell>
          <cell r="C4462" t="str">
            <v>EZ_91_</v>
          </cell>
          <cell r="D4462" t="str">
            <v>Rancho Estanzuela No. 91</v>
          </cell>
          <cell r="E4462" t="str">
            <v>Lobato Torres</v>
          </cell>
          <cell r="F4462">
            <v>300</v>
          </cell>
          <cell r="G4462">
            <v>5</v>
          </cell>
          <cell r="H4462">
            <v>50</v>
          </cell>
          <cell r="I4462">
            <v>41896</v>
          </cell>
          <cell r="J4462" t="str">
            <v>NO SUMA</v>
          </cell>
          <cell r="W4462">
            <v>0</v>
          </cell>
          <cell r="AJ4462">
            <v>0</v>
          </cell>
          <cell r="AW4462">
            <v>0</v>
          </cell>
        </row>
        <row r="4463">
          <cell r="B4463">
            <v>7835</v>
          </cell>
          <cell r="C4463" t="str">
            <v>EZ_91_</v>
          </cell>
          <cell r="D4463" t="str">
            <v>Rancho Estanzuela No. 91</v>
          </cell>
          <cell r="E4463" t="str">
            <v>Lobato Torres</v>
          </cell>
          <cell r="F4463">
            <v>300</v>
          </cell>
          <cell r="G4463">
            <v>5</v>
          </cell>
          <cell r="H4463">
            <v>50</v>
          </cell>
          <cell r="I4463">
            <v>41896</v>
          </cell>
          <cell r="J4463" t="str">
            <v>NO SUMA</v>
          </cell>
          <cell r="W4463">
            <v>0</v>
          </cell>
          <cell r="AJ4463">
            <v>0</v>
          </cell>
          <cell r="AW4463">
            <v>0</v>
          </cell>
        </row>
        <row r="4464">
          <cell r="B4464">
            <v>7836</v>
          </cell>
          <cell r="C4464" t="str">
            <v>ZB_56_</v>
          </cell>
          <cell r="D4464" t="str">
            <v>Rancho Zinamba No. 56</v>
          </cell>
          <cell r="E4464" t="str">
            <v>Aguado</v>
          </cell>
          <cell r="F4464">
            <v>250</v>
          </cell>
          <cell r="G4464">
            <v>5</v>
          </cell>
          <cell r="H4464">
            <v>20</v>
          </cell>
          <cell r="I4464">
            <v>41896</v>
          </cell>
          <cell r="J4464" t="str">
            <v>NO SUMA</v>
          </cell>
          <cell r="W4464">
            <v>0</v>
          </cell>
          <cell r="AJ4464">
            <v>0</v>
          </cell>
          <cell r="AW4464">
            <v>0</v>
          </cell>
        </row>
        <row r="4465">
          <cell r="B4465">
            <v>7836</v>
          </cell>
          <cell r="C4465" t="str">
            <v>ZB_56_</v>
          </cell>
          <cell r="D4465" t="str">
            <v>Rancho Zinamba No. 56</v>
          </cell>
          <cell r="E4465" t="str">
            <v>Aguado</v>
          </cell>
          <cell r="F4465">
            <v>250</v>
          </cell>
          <cell r="G4465">
            <v>5</v>
          </cell>
          <cell r="H4465">
            <v>20</v>
          </cell>
          <cell r="I4465">
            <v>41896</v>
          </cell>
          <cell r="J4465" t="str">
            <v>NO SUMA</v>
          </cell>
          <cell r="W4465">
            <v>0</v>
          </cell>
          <cell r="AJ4465">
            <v>0</v>
          </cell>
          <cell r="AW4465">
            <v>0</v>
          </cell>
        </row>
        <row r="4466">
          <cell r="B4466">
            <v>7837</v>
          </cell>
          <cell r="C4466" t="str">
            <v>UP_8_</v>
          </cell>
          <cell r="D4466" t="str">
            <v>Rancho Upácuaro No. 8</v>
          </cell>
          <cell r="E4466" t="str">
            <v>Ibarra</v>
          </cell>
          <cell r="F4466">
            <v>250</v>
          </cell>
          <cell r="G4466">
            <v>4</v>
          </cell>
          <cell r="H4466">
            <v>160</v>
          </cell>
          <cell r="I4466">
            <v>41896</v>
          </cell>
          <cell r="J4466" t="str">
            <v>NO SUMA</v>
          </cell>
          <cell r="W4466">
            <v>0</v>
          </cell>
          <cell r="AJ4466">
            <v>0</v>
          </cell>
          <cell r="AW4466">
            <v>0</v>
          </cell>
        </row>
        <row r="4467">
          <cell r="B4467">
            <v>7837</v>
          </cell>
          <cell r="C4467" t="str">
            <v>UP_8_</v>
          </cell>
          <cell r="D4467" t="str">
            <v>Rancho Upácuaro No. 8</v>
          </cell>
          <cell r="E4467" t="str">
            <v>Ibarra</v>
          </cell>
          <cell r="F4467">
            <v>250</v>
          </cell>
          <cell r="G4467">
            <v>5</v>
          </cell>
          <cell r="H4467">
            <v>20</v>
          </cell>
          <cell r="I4467">
            <v>41896</v>
          </cell>
          <cell r="J4467" t="str">
            <v>NO SUMA</v>
          </cell>
          <cell r="W4467">
            <v>0</v>
          </cell>
          <cell r="AJ4467">
            <v>0</v>
          </cell>
          <cell r="AW4467">
            <v>0</v>
          </cell>
        </row>
        <row r="4468">
          <cell r="B4468">
            <v>7837</v>
          </cell>
          <cell r="C4468" t="str">
            <v>UP_8_</v>
          </cell>
          <cell r="D4468" t="str">
            <v>Rancho Upácuaro No. 8</v>
          </cell>
          <cell r="E4468" t="str">
            <v>Ibarra</v>
          </cell>
          <cell r="F4468">
            <v>250</v>
          </cell>
          <cell r="G4468">
            <v>5</v>
          </cell>
          <cell r="H4468">
            <v>20</v>
          </cell>
          <cell r="I4468">
            <v>41896</v>
          </cell>
          <cell r="J4468" t="str">
            <v>NO SUMA</v>
          </cell>
          <cell r="W4468">
            <v>0</v>
          </cell>
          <cell r="AJ4468">
            <v>0</v>
          </cell>
          <cell r="AW4468">
            <v>0</v>
          </cell>
        </row>
        <row r="4469">
          <cell r="B4469">
            <v>7838</v>
          </cell>
          <cell r="C4469" t="str">
            <v>LD_42_</v>
          </cell>
          <cell r="D4469" t="str">
            <v>Rancho Landero No. 42</v>
          </cell>
          <cell r="E4469" t="str">
            <v>Ávila Fidel</v>
          </cell>
          <cell r="F4469">
            <v>300</v>
          </cell>
          <cell r="G4469">
            <v>1</v>
          </cell>
          <cell r="H4469">
            <v>400</v>
          </cell>
          <cell r="I4469">
            <v>41896</v>
          </cell>
          <cell r="J4469">
            <v>0</v>
          </cell>
          <cell r="W4469">
            <v>0</v>
          </cell>
          <cell r="AJ4469">
            <v>0</v>
          </cell>
          <cell r="AS4469">
            <v>400</v>
          </cell>
          <cell r="AW4469">
            <v>400</v>
          </cell>
        </row>
        <row r="4470">
          <cell r="B4470">
            <v>7838</v>
          </cell>
          <cell r="C4470" t="str">
            <v>LD_42_</v>
          </cell>
          <cell r="D4470" t="str">
            <v>Rancho Landero No. 42</v>
          </cell>
          <cell r="E4470" t="str">
            <v>Ávila Fidel</v>
          </cell>
          <cell r="F4470">
            <v>300</v>
          </cell>
          <cell r="G4470">
            <v>5</v>
          </cell>
          <cell r="H4470">
            <v>20</v>
          </cell>
          <cell r="I4470">
            <v>41896</v>
          </cell>
          <cell r="J4470" t="str">
            <v>NO SUMA</v>
          </cell>
          <cell r="W4470">
            <v>0</v>
          </cell>
          <cell r="AJ4470">
            <v>0</v>
          </cell>
          <cell r="AW4470">
            <v>0</v>
          </cell>
        </row>
        <row r="4471">
          <cell r="B4471">
            <v>7838</v>
          </cell>
          <cell r="C4471" t="str">
            <v>LD_42_</v>
          </cell>
          <cell r="D4471" t="str">
            <v>Rancho Landero No. 42</v>
          </cell>
          <cell r="E4471" t="str">
            <v>Ávila Fidel</v>
          </cell>
          <cell r="F4471">
            <v>300</v>
          </cell>
          <cell r="G4471">
            <v>5</v>
          </cell>
          <cell r="H4471">
            <v>20</v>
          </cell>
          <cell r="I4471">
            <v>41896</v>
          </cell>
          <cell r="J4471" t="str">
            <v>NO SUMA</v>
          </cell>
          <cell r="W4471">
            <v>0</v>
          </cell>
          <cell r="AJ4471">
            <v>0</v>
          </cell>
          <cell r="AW4471">
            <v>0</v>
          </cell>
        </row>
        <row r="4472">
          <cell r="B4472">
            <v>7839</v>
          </cell>
          <cell r="C4472" t="str">
            <v>CL_139_</v>
          </cell>
          <cell r="D4472" t="str">
            <v>Rancho La Cuchilla No. 139</v>
          </cell>
          <cell r="E4472" t="str">
            <v>Garcia</v>
          </cell>
          <cell r="F4472">
            <v>200</v>
          </cell>
          <cell r="G4472">
            <v>1</v>
          </cell>
          <cell r="H4472">
            <v>200</v>
          </cell>
          <cell r="I4472">
            <v>41896</v>
          </cell>
          <cell r="J4472">
            <v>0</v>
          </cell>
          <cell r="W4472">
            <v>0</v>
          </cell>
          <cell r="AJ4472">
            <v>0</v>
          </cell>
          <cell r="AS4472">
            <v>200</v>
          </cell>
          <cell r="AW4472">
            <v>200</v>
          </cell>
        </row>
        <row r="4473">
          <cell r="B4473">
            <v>7840</v>
          </cell>
          <cell r="C4473" t="str">
            <v>RV_1_</v>
          </cell>
          <cell r="D4473" t="str">
            <v>Rancho Recoveco No. 1</v>
          </cell>
          <cell r="E4473" t="str">
            <v>Díaz</v>
          </cell>
          <cell r="F4473">
            <v>300</v>
          </cell>
          <cell r="G4473">
            <v>1</v>
          </cell>
          <cell r="H4473">
            <v>300</v>
          </cell>
          <cell r="I4473">
            <v>41896</v>
          </cell>
          <cell r="J4473">
            <v>0</v>
          </cell>
          <cell r="W4473">
            <v>0</v>
          </cell>
          <cell r="AJ4473">
            <v>0</v>
          </cell>
          <cell r="AS4473">
            <v>300</v>
          </cell>
          <cell r="AW4473">
            <v>300</v>
          </cell>
        </row>
        <row r="4474">
          <cell r="B4474">
            <v>7841</v>
          </cell>
          <cell r="C4474" t="str">
            <v>UP_60_</v>
          </cell>
          <cell r="D4474" t="str">
            <v>Rancho Upácuaro No. 60</v>
          </cell>
          <cell r="E4474" t="str">
            <v>Zavala</v>
          </cell>
          <cell r="F4474">
            <v>300</v>
          </cell>
          <cell r="G4474">
            <v>1</v>
          </cell>
          <cell r="H4474">
            <v>400</v>
          </cell>
          <cell r="I4474">
            <v>41896</v>
          </cell>
          <cell r="J4474">
            <v>0</v>
          </cell>
          <cell r="W4474">
            <v>0</v>
          </cell>
          <cell r="AJ4474">
            <v>0</v>
          </cell>
          <cell r="AS4474">
            <v>400</v>
          </cell>
          <cell r="AW4474">
            <v>400</v>
          </cell>
        </row>
        <row r="4475">
          <cell r="B4475">
            <v>7841</v>
          </cell>
          <cell r="C4475" t="str">
            <v>UP_60_</v>
          </cell>
          <cell r="D4475" t="str">
            <v>Rancho Upácuaro No. 60</v>
          </cell>
          <cell r="E4475" t="str">
            <v>Zavala</v>
          </cell>
          <cell r="F4475">
            <v>300</v>
          </cell>
          <cell r="G4475">
            <v>5</v>
          </cell>
          <cell r="H4475">
            <v>20</v>
          </cell>
          <cell r="I4475">
            <v>41896</v>
          </cell>
          <cell r="J4475" t="str">
            <v>NO SUMA</v>
          </cell>
          <cell r="W4475">
            <v>0</v>
          </cell>
          <cell r="AJ4475">
            <v>0</v>
          </cell>
          <cell r="AW4475">
            <v>0</v>
          </cell>
        </row>
        <row r="4476">
          <cell r="B4476">
            <v>7841</v>
          </cell>
          <cell r="C4476" t="str">
            <v>UP_60_</v>
          </cell>
          <cell r="D4476" t="str">
            <v>Rancho Upácuaro No. 60</v>
          </cell>
          <cell r="E4476" t="str">
            <v>Zavala</v>
          </cell>
          <cell r="F4476">
            <v>300</v>
          </cell>
          <cell r="G4476">
            <v>5</v>
          </cell>
          <cell r="H4476">
            <v>20</v>
          </cell>
          <cell r="I4476">
            <v>41896</v>
          </cell>
          <cell r="J4476" t="str">
            <v>NO SUMA</v>
          </cell>
          <cell r="W4476">
            <v>0</v>
          </cell>
          <cell r="AJ4476">
            <v>0</v>
          </cell>
          <cell r="AW4476">
            <v>0</v>
          </cell>
        </row>
        <row r="4477">
          <cell r="B4477">
            <v>7841</v>
          </cell>
          <cell r="C4477" t="str">
            <v>UP_60_</v>
          </cell>
          <cell r="D4477" t="str">
            <v>Rancho Upácuaro No. 60</v>
          </cell>
          <cell r="E4477" t="str">
            <v>Zavala</v>
          </cell>
          <cell r="F4477">
            <v>300</v>
          </cell>
          <cell r="G4477">
            <v>5</v>
          </cell>
          <cell r="H4477">
            <v>20</v>
          </cell>
          <cell r="I4477">
            <v>41896</v>
          </cell>
          <cell r="J4477" t="str">
            <v>NO SUMA</v>
          </cell>
          <cell r="W4477">
            <v>0</v>
          </cell>
          <cell r="AJ4477">
            <v>0</v>
          </cell>
          <cell r="AW4477">
            <v>0</v>
          </cell>
        </row>
        <row r="4478">
          <cell r="B4478">
            <v>7841</v>
          </cell>
          <cell r="C4478" t="str">
            <v>UP_60_</v>
          </cell>
          <cell r="D4478" t="str">
            <v>Rancho Upácuaro No. 60</v>
          </cell>
          <cell r="E4478" t="str">
            <v>Zavala</v>
          </cell>
          <cell r="F4478">
            <v>300</v>
          </cell>
          <cell r="G4478">
            <v>5</v>
          </cell>
          <cell r="H4478">
            <v>50</v>
          </cell>
          <cell r="I4478">
            <v>41896</v>
          </cell>
          <cell r="J4478" t="str">
            <v>NO SUMA</v>
          </cell>
          <cell r="W4478">
            <v>0</v>
          </cell>
          <cell r="AJ4478">
            <v>0</v>
          </cell>
          <cell r="AW4478">
            <v>0</v>
          </cell>
        </row>
        <row r="4479">
          <cell r="B4479">
            <v>7842</v>
          </cell>
          <cell r="C4479" t="str">
            <v>UP_23_</v>
          </cell>
          <cell r="D4479" t="str">
            <v>Rancho Upácuaro No. 23</v>
          </cell>
          <cell r="E4479" t="str">
            <v>Arredondo</v>
          </cell>
          <cell r="F4479">
            <v>300</v>
          </cell>
          <cell r="G4479">
            <v>5</v>
          </cell>
          <cell r="H4479">
            <v>20</v>
          </cell>
          <cell r="I4479">
            <v>41896</v>
          </cell>
          <cell r="J4479" t="str">
            <v>NO SUMA</v>
          </cell>
          <cell r="W4479">
            <v>0</v>
          </cell>
          <cell r="AJ4479">
            <v>0</v>
          </cell>
          <cell r="AW4479">
            <v>0</v>
          </cell>
        </row>
        <row r="4480">
          <cell r="B4480">
            <v>7842</v>
          </cell>
          <cell r="C4480" t="str">
            <v>UP_23_</v>
          </cell>
          <cell r="D4480" t="str">
            <v>Rancho Upácuaro No. 23</v>
          </cell>
          <cell r="E4480" t="str">
            <v>Arredondo</v>
          </cell>
          <cell r="F4480">
            <v>300</v>
          </cell>
          <cell r="G4480">
            <v>5</v>
          </cell>
          <cell r="H4480">
            <v>20</v>
          </cell>
          <cell r="I4480">
            <v>41896</v>
          </cell>
          <cell r="J4480" t="str">
            <v>NO SUMA</v>
          </cell>
          <cell r="W4480">
            <v>0</v>
          </cell>
          <cell r="AJ4480">
            <v>0</v>
          </cell>
          <cell r="AW4480">
            <v>0</v>
          </cell>
        </row>
        <row r="4481">
          <cell r="B4481">
            <v>7842</v>
          </cell>
          <cell r="C4481" t="str">
            <v>UP_23_</v>
          </cell>
          <cell r="D4481" t="str">
            <v>Rancho Upácuaro No. 23</v>
          </cell>
          <cell r="E4481" t="str">
            <v>Arredondo</v>
          </cell>
          <cell r="F4481">
            <v>300</v>
          </cell>
          <cell r="G4481">
            <v>5</v>
          </cell>
          <cell r="H4481">
            <v>20</v>
          </cell>
          <cell r="I4481">
            <v>41896</v>
          </cell>
          <cell r="J4481" t="str">
            <v>NO SUMA</v>
          </cell>
          <cell r="W4481">
            <v>0</v>
          </cell>
          <cell r="AJ4481">
            <v>0</v>
          </cell>
          <cell r="AW4481">
            <v>0</v>
          </cell>
        </row>
        <row r="4482">
          <cell r="B4482">
            <v>7843</v>
          </cell>
          <cell r="C4482" t="str">
            <v>ZB_34_</v>
          </cell>
          <cell r="D4482" t="str">
            <v>Rancho Zinamba No. 34</v>
          </cell>
          <cell r="E4482" t="str">
            <v>Torres Zavala</v>
          </cell>
          <cell r="F4482">
            <v>300</v>
          </cell>
          <cell r="G4482">
            <v>5</v>
          </cell>
          <cell r="H4482">
            <v>20</v>
          </cell>
          <cell r="I4482">
            <v>41896</v>
          </cell>
          <cell r="J4482" t="str">
            <v>NO SUMA</v>
          </cell>
          <cell r="W4482">
            <v>0</v>
          </cell>
          <cell r="AJ4482">
            <v>0</v>
          </cell>
          <cell r="AW4482">
            <v>0</v>
          </cell>
        </row>
        <row r="4483">
          <cell r="B4483">
            <v>7844</v>
          </cell>
          <cell r="C4483" t="str">
            <v>UP_14_</v>
          </cell>
          <cell r="D4483" t="str">
            <v>Rancho Upácuaro No. 14</v>
          </cell>
          <cell r="E4483" t="str">
            <v>Castillo Hernández</v>
          </cell>
          <cell r="F4483">
            <v>300</v>
          </cell>
          <cell r="G4483">
            <v>1</v>
          </cell>
          <cell r="H4483">
            <v>400</v>
          </cell>
          <cell r="I4483">
            <v>41896</v>
          </cell>
          <cell r="J4483">
            <v>0</v>
          </cell>
          <cell r="W4483">
            <v>0</v>
          </cell>
          <cell r="AJ4483">
            <v>0</v>
          </cell>
          <cell r="AS4483">
            <v>400</v>
          </cell>
          <cell r="AW4483">
            <v>400</v>
          </cell>
        </row>
        <row r="4484">
          <cell r="B4484">
            <v>7844</v>
          </cell>
          <cell r="C4484" t="str">
            <v>UP_14_</v>
          </cell>
          <cell r="D4484" t="str">
            <v>Rancho Upácuaro No. 14</v>
          </cell>
          <cell r="E4484" t="str">
            <v>Castillo Hernández</v>
          </cell>
          <cell r="F4484">
            <v>300</v>
          </cell>
          <cell r="G4484">
            <v>5</v>
          </cell>
          <cell r="H4484">
            <v>20</v>
          </cell>
          <cell r="I4484">
            <v>41896</v>
          </cell>
          <cell r="J4484" t="str">
            <v>NO SUMA</v>
          </cell>
          <cell r="W4484">
            <v>0</v>
          </cell>
          <cell r="AJ4484">
            <v>0</v>
          </cell>
          <cell r="AW4484">
            <v>0</v>
          </cell>
        </row>
        <row r="4485">
          <cell r="B4485">
            <v>7844</v>
          </cell>
          <cell r="C4485" t="str">
            <v>UP_14_</v>
          </cell>
          <cell r="D4485" t="str">
            <v>Rancho Upácuaro No. 14</v>
          </cell>
          <cell r="E4485" t="str">
            <v>Castillo Hernández</v>
          </cell>
          <cell r="F4485">
            <v>300</v>
          </cell>
          <cell r="G4485">
            <v>5</v>
          </cell>
          <cell r="H4485">
            <v>20</v>
          </cell>
          <cell r="I4485">
            <v>41896</v>
          </cell>
          <cell r="J4485" t="str">
            <v>NO SUMA</v>
          </cell>
          <cell r="W4485">
            <v>0</v>
          </cell>
          <cell r="AJ4485">
            <v>0</v>
          </cell>
          <cell r="AW4485">
            <v>0</v>
          </cell>
        </row>
        <row r="4486">
          <cell r="B4486">
            <v>7845</v>
          </cell>
          <cell r="C4486" t="str">
            <v>CL_110_</v>
          </cell>
          <cell r="D4486" t="str">
            <v>Rancho La Cuchilla No. 110</v>
          </cell>
          <cell r="E4486" t="str">
            <v>Domínguez Canudas</v>
          </cell>
          <cell r="F4486">
            <v>300</v>
          </cell>
          <cell r="G4486">
            <v>1</v>
          </cell>
          <cell r="H4486">
            <v>1200</v>
          </cell>
          <cell r="I4486">
            <v>41896</v>
          </cell>
          <cell r="J4486">
            <v>0</v>
          </cell>
          <cell r="W4486">
            <v>0</v>
          </cell>
          <cell r="AJ4486">
            <v>0</v>
          </cell>
          <cell r="AQ4486">
            <v>400</v>
          </cell>
          <cell r="AR4486">
            <v>400</v>
          </cell>
          <cell r="AS4486">
            <v>400</v>
          </cell>
          <cell r="AW4486">
            <v>1200</v>
          </cell>
        </row>
        <row r="4487">
          <cell r="B4487">
            <v>7846</v>
          </cell>
          <cell r="C4487" t="str">
            <v>UP_120_</v>
          </cell>
          <cell r="D4487" t="str">
            <v>Rancho Upácuaro No. 120</v>
          </cell>
          <cell r="E4487" t="str">
            <v>Rayas Rivera</v>
          </cell>
          <cell r="F4487">
            <v>300</v>
          </cell>
          <cell r="G4487">
            <v>5</v>
          </cell>
          <cell r="H4487">
            <v>20</v>
          </cell>
          <cell r="I4487">
            <v>41896</v>
          </cell>
          <cell r="J4487" t="str">
            <v>NO SUMA</v>
          </cell>
          <cell r="W4487">
            <v>0</v>
          </cell>
          <cell r="AJ4487">
            <v>0</v>
          </cell>
          <cell r="AW4487">
            <v>0</v>
          </cell>
        </row>
        <row r="4488">
          <cell r="B4488">
            <v>7846</v>
          </cell>
          <cell r="C4488" t="str">
            <v>UP_120_</v>
          </cell>
          <cell r="D4488" t="str">
            <v>Rancho Upácuaro No. 120</v>
          </cell>
          <cell r="E4488" t="str">
            <v>Rayas Rivera</v>
          </cell>
          <cell r="F4488">
            <v>300</v>
          </cell>
          <cell r="G4488">
            <v>5</v>
          </cell>
          <cell r="H4488">
            <v>20</v>
          </cell>
          <cell r="I4488">
            <v>41896</v>
          </cell>
          <cell r="J4488" t="str">
            <v>NO SUMA</v>
          </cell>
          <cell r="W4488">
            <v>0</v>
          </cell>
          <cell r="AJ4488">
            <v>0</v>
          </cell>
          <cell r="AW4488">
            <v>0</v>
          </cell>
        </row>
        <row r="4489">
          <cell r="B4489">
            <v>7846</v>
          </cell>
          <cell r="C4489" t="str">
            <v>UP_120_</v>
          </cell>
          <cell r="D4489" t="str">
            <v>Rancho Upácuaro No. 120</v>
          </cell>
          <cell r="E4489" t="str">
            <v>Rayas Rivera</v>
          </cell>
          <cell r="F4489">
            <v>300</v>
          </cell>
          <cell r="G4489">
            <v>5</v>
          </cell>
          <cell r="H4489">
            <v>20</v>
          </cell>
          <cell r="I4489">
            <v>41896</v>
          </cell>
          <cell r="J4489" t="str">
            <v>NO SUMA</v>
          </cell>
          <cell r="W4489">
            <v>0</v>
          </cell>
          <cell r="AJ4489">
            <v>0</v>
          </cell>
          <cell r="AW4489">
            <v>0</v>
          </cell>
        </row>
        <row r="4490">
          <cell r="B4490">
            <v>7846</v>
          </cell>
          <cell r="C4490" t="str">
            <v>UP_120_</v>
          </cell>
          <cell r="D4490" t="str">
            <v>Rancho Upácuaro No. 120</v>
          </cell>
          <cell r="E4490" t="str">
            <v>Rayas Rivera</v>
          </cell>
          <cell r="F4490">
            <v>300</v>
          </cell>
          <cell r="G4490">
            <v>5</v>
          </cell>
          <cell r="H4490">
            <v>50</v>
          </cell>
          <cell r="I4490">
            <v>41896</v>
          </cell>
          <cell r="J4490" t="str">
            <v>NO SUMA</v>
          </cell>
          <cell r="W4490">
            <v>0</v>
          </cell>
          <cell r="AJ4490">
            <v>0</v>
          </cell>
          <cell r="AW4490">
            <v>0</v>
          </cell>
        </row>
        <row r="4491">
          <cell r="B4491">
            <v>7846</v>
          </cell>
          <cell r="C4491" t="str">
            <v>UP_120_</v>
          </cell>
          <cell r="D4491" t="str">
            <v>Rancho Upácuaro No. 120</v>
          </cell>
          <cell r="E4491" t="str">
            <v>Rayas Rivera</v>
          </cell>
          <cell r="F4491">
            <v>300</v>
          </cell>
          <cell r="G4491">
            <v>5</v>
          </cell>
          <cell r="H4491">
            <v>50</v>
          </cell>
          <cell r="I4491">
            <v>41896</v>
          </cell>
          <cell r="J4491" t="str">
            <v>NO SUMA</v>
          </cell>
          <cell r="W4491">
            <v>0</v>
          </cell>
          <cell r="AJ4491">
            <v>0</v>
          </cell>
          <cell r="AW4491">
            <v>0</v>
          </cell>
        </row>
        <row r="4492">
          <cell r="B4492">
            <v>7847</v>
          </cell>
          <cell r="C4492" t="str">
            <v>LD_89_</v>
          </cell>
          <cell r="D4492" t="str">
            <v>Rancho Landero No. 89</v>
          </cell>
          <cell r="E4492" t="str">
            <v>Del Pozo Solís</v>
          </cell>
          <cell r="F4492">
            <v>300</v>
          </cell>
          <cell r="G4492">
            <v>1</v>
          </cell>
          <cell r="H4492">
            <v>600</v>
          </cell>
          <cell r="I4492">
            <v>41896</v>
          </cell>
          <cell r="J4492">
            <v>0</v>
          </cell>
          <cell r="W4492">
            <v>0</v>
          </cell>
          <cell r="AJ4492">
            <v>0</v>
          </cell>
          <cell r="AR4492">
            <v>300</v>
          </cell>
          <cell r="AS4492">
            <v>300</v>
          </cell>
          <cell r="AW4492">
            <v>600</v>
          </cell>
        </row>
        <row r="4493">
          <cell r="B4493">
            <v>7848</v>
          </cell>
          <cell r="C4493" t="str">
            <v>LD_89_</v>
          </cell>
          <cell r="D4493" t="str">
            <v>Rancho Landero No. 89</v>
          </cell>
          <cell r="E4493" t="str">
            <v>Del Pozo Solís</v>
          </cell>
          <cell r="F4493">
            <v>300</v>
          </cell>
          <cell r="G4493">
            <v>5</v>
          </cell>
          <cell r="H4493">
            <v>20</v>
          </cell>
          <cell r="I4493">
            <v>41896</v>
          </cell>
          <cell r="J4493" t="str">
            <v>NO SUMA</v>
          </cell>
          <cell r="W4493">
            <v>0</v>
          </cell>
          <cell r="AJ4493">
            <v>0</v>
          </cell>
          <cell r="AW4493">
            <v>0</v>
          </cell>
        </row>
        <row r="4494">
          <cell r="B4494">
            <v>7848</v>
          </cell>
          <cell r="C4494" t="str">
            <v>LD_89_</v>
          </cell>
          <cell r="D4494" t="str">
            <v>Rancho Landero No. 89</v>
          </cell>
          <cell r="E4494" t="str">
            <v>Del Pozo Solís</v>
          </cell>
          <cell r="F4494">
            <v>300</v>
          </cell>
          <cell r="G4494">
            <v>5</v>
          </cell>
          <cell r="H4494">
            <v>20</v>
          </cell>
          <cell r="I4494">
            <v>41896</v>
          </cell>
          <cell r="J4494" t="str">
            <v>NO SUMA</v>
          </cell>
          <cell r="W4494">
            <v>0</v>
          </cell>
          <cell r="AJ4494">
            <v>0</v>
          </cell>
          <cell r="AW4494">
            <v>0</v>
          </cell>
        </row>
        <row r="4495">
          <cell r="B4495">
            <v>7848</v>
          </cell>
          <cell r="C4495" t="str">
            <v>LD_89_</v>
          </cell>
          <cell r="D4495" t="str">
            <v>Rancho Landero No. 89</v>
          </cell>
          <cell r="E4495" t="str">
            <v>Del Pozo Solís</v>
          </cell>
          <cell r="F4495">
            <v>300</v>
          </cell>
          <cell r="G4495">
            <v>5</v>
          </cell>
          <cell r="H4495">
            <v>20</v>
          </cell>
          <cell r="I4495">
            <v>41896</v>
          </cell>
          <cell r="J4495" t="str">
            <v>NO SUMA</v>
          </cell>
          <cell r="W4495">
            <v>0</v>
          </cell>
          <cell r="AJ4495">
            <v>0</v>
          </cell>
          <cell r="AW4495">
            <v>0</v>
          </cell>
        </row>
        <row r="4496">
          <cell r="B4496">
            <v>7848</v>
          </cell>
          <cell r="C4496" t="str">
            <v>LD_89_</v>
          </cell>
          <cell r="D4496" t="str">
            <v>Rancho Landero No. 89</v>
          </cell>
          <cell r="E4496" t="str">
            <v>Del Pozo Solís</v>
          </cell>
          <cell r="F4496">
            <v>300</v>
          </cell>
          <cell r="G4496">
            <v>5</v>
          </cell>
          <cell r="H4496">
            <v>50</v>
          </cell>
          <cell r="I4496">
            <v>41896</v>
          </cell>
          <cell r="J4496" t="str">
            <v>NO SUMA</v>
          </cell>
          <cell r="W4496">
            <v>0</v>
          </cell>
          <cell r="AJ4496">
            <v>0</v>
          </cell>
          <cell r="AW4496">
            <v>0</v>
          </cell>
        </row>
        <row r="4497">
          <cell r="B4497">
            <v>7848</v>
          </cell>
          <cell r="C4497" t="str">
            <v>LD_89_</v>
          </cell>
          <cell r="D4497" t="str">
            <v>Rancho Landero No. 89</v>
          </cell>
          <cell r="E4497" t="str">
            <v>Del Pozo Solís</v>
          </cell>
          <cell r="F4497">
            <v>300</v>
          </cell>
          <cell r="G4497">
            <v>5</v>
          </cell>
          <cell r="H4497">
            <v>50</v>
          </cell>
          <cell r="I4497">
            <v>41896</v>
          </cell>
          <cell r="J4497" t="str">
            <v>NO SUMA</v>
          </cell>
          <cell r="W4497">
            <v>0</v>
          </cell>
          <cell r="AJ4497">
            <v>0</v>
          </cell>
          <cell r="AW4497">
            <v>0</v>
          </cell>
        </row>
        <row r="4498">
          <cell r="B4498">
            <v>7849</v>
          </cell>
          <cell r="C4498" t="str">
            <v>LD_89_</v>
          </cell>
          <cell r="D4498" t="str">
            <v>Rancho Landero No. 89</v>
          </cell>
          <cell r="E4498" t="str">
            <v>Del Pozo Solís</v>
          </cell>
          <cell r="F4498">
            <v>300</v>
          </cell>
          <cell r="G4498">
            <v>5</v>
          </cell>
          <cell r="H4498">
            <v>20</v>
          </cell>
          <cell r="I4498">
            <v>41896</v>
          </cell>
          <cell r="J4498" t="str">
            <v>NO SUMA</v>
          </cell>
          <cell r="W4498">
            <v>0</v>
          </cell>
          <cell r="AJ4498">
            <v>0</v>
          </cell>
          <cell r="AW4498">
            <v>0</v>
          </cell>
        </row>
        <row r="4499">
          <cell r="B4499">
            <v>7849</v>
          </cell>
          <cell r="C4499" t="str">
            <v>LD_89_</v>
          </cell>
          <cell r="D4499" t="str">
            <v>Rancho Landero No. 89</v>
          </cell>
          <cell r="E4499" t="str">
            <v>Del Pozo Solís</v>
          </cell>
          <cell r="F4499">
            <v>300</v>
          </cell>
          <cell r="G4499">
            <v>5</v>
          </cell>
          <cell r="H4499">
            <v>20</v>
          </cell>
          <cell r="I4499">
            <v>41896</v>
          </cell>
          <cell r="J4499" t="str">
            <v>NO SUMA</v>
          </cell>
          <cell r="W4499">
            <v>0</v>
          </cell>
          <cell r="AJ4499">
            <v>0</v>
          </cell>
          <cell r="AW4499">
            <v>0</v>
          </cell>
        </row>
        <row r="4500">
          <cell r="B4500">
            <v>7849</v>
          </cell>
          <cell r="C4500" t="str">
            <v>LD_89_</v>
          </cell>
          <cell r="D4500" t="str">
            <v>Rancho Landero No. 89</v>
          </cell>
          <cell r="E4500" t="str">
            <v>Del Pozo Solís</v>
          </cell>
          <cell r="F4500">
            <v>300</v>
          </cell>
          <cell r="G4500">
            <v>5</v>
          </cell>
          <cell r="H4500">
            <v>20</v>
          </cell>
          <cell r="I4500">
            <v>41896</v>
          </cell>
          <cell r="J4500" t="str">
            <v>NO SUMA</v>
          </cell>
          <cell r="W4500">
            <v>0</v>
          </cell>
          <cell r="AJ4500">
            <v>0</v>
          </cell>
          <cell r="AW4500">
            <v>0</v>
          </cell>
        </row>
        <row r="4501">
          <cell r="B4501">
            <v>7849</v>
          </cell>
          <cell r="C4501" t="str">
            <v>LD_89_</v>
          </cell>
          <cell r="D4501" t="str">
            <v>Rancho Landero No. 89</v>
          </cell>
          <cell r="E4501" t="str">
            <v>Del Pozo Solís</v>
          </cell>
          <cell r="F4501">
            <v>300</v>
          </cell>
          <cell r="G4501">
            <v>5</v>
          </cell>
          <cell r="H4501">
            <v>50</v>
          </cell>
          <cell r="I4501">
            <v>41896</v>
          </cell>
          <cell r="J4501" t="str">
            <v>NO SUMA</v>
          </cell>
          <cell r="W4501">
            <v>0</v>
          </cell>
          <cell r="AJ4501">
            <v>0</v>
          </cell>
          <cell r="AW4501">
            <v>0</v>
          </cell>
        </row>
        <row r="4502">
          <cell r="B4502">
            <v>7849</v>
          </cell>
          <cell r="C4502" t="str">
            <v>LD_89_</v>
          </cell>
          <cell r="D4502" t="str">
            <v>Rancho Landero No. 89</v>
          </cell>
          <cell r="E4502" t="str">
            <v>Del Pozo Solís</v>
          </cell>
          <cell r="F4502">
            <v>300</v>
          </cell>
          <cell r="G4502">
            <v>5</v>
          </cell>
          <cell r="H4502">
            <v>50</v>
          </cell>
          <cell r="I4502">
            <v>41896</v>
          </cell>
          <cell r="J4502" t="str">
            <v>NO SUMA</v>
          </cell>
          <cell r="W4502">
            <v>0</v>
          </cell>
          <cell r="AJ4502">
            <v>0</v>
          </cell>
          <cell r="AW4502">
            <v>0</v>
          </cell>
        </row>
        <row r="4503">
          <cell r="B4503">
            <v>7850</v>
          </cell>
          <cell r="C4503" t="str">
            <v>CL_81_A</v>
          </cell>
          <cell r="D4503" t="str">
            <v>Rancho La Cuchilla No. 81, A</v>
          </cell>
          <cell r="E4503" t="str">
            <v>Barrientos López</v>
          </cell>
          <cell r="F4503">
            <v>300</v>
          </cell>
          <cell r="G4503">
            <v>5</v>
          </cell>
          <cell r="H4503">
            <v>20</v>
          </cell>
          <cell r="I4503">
            <v>41896</v>
          </cell>
          <cell r="J4503" t="str">
            <v>NO SUMA</v>
          </cell>
          <cell r="W4503">
            <v>0</v>
          </cell>
          <cell r="AJ4503">
            <v>0</v>
          </cell>
          <cell r="AW4503">
            <v>0</v>
          </cell>
        </row>
        <row r="4504">
          <cell r="B4504">
            <v>7851</v>
          </cell>
          <cell r="C4504" t="str">
            <v>LD_68_</v>
          </cell>
          <cell r="D4504" t="str">
            <v>Rancho Landero No. 68</v>
          </cell>
          <cell r="E4504" t="str">
            <v>Moreno</v>
          </cell>
          <cell r="F4504">
            <v>300</v>
          </cell>
          <cell r="G4504">
            <v>1</v>
          </cell>
          <cell r="H4504">
            <v>800</v>
          </cell>
          <cell r="I4504">
            <v>41896</v>
          </cell>
          <cell r="J4504">
            <v>0</v>
          </cell>
          <cell r="W4504">
            <v>0</v>
          </cell>
          <cell r="AJ4504">
            <v>0</v>
          </cell>
          <cell r="AQ4504">
            <v>400</v>
          </cell>
          <cell r="AR4504">
            <v>400</v>
          </cell>
          <cell r="AW4504">
            <v>800</v>
          </cell>
        </row>
        <row r="4505">
          <cell r="B4505">
            <v>7852</v>
          </cell>
          <cell r="C4505" t="str">
            <v>LD_90_</v>
          </cell>
          <cell r="D4505" t="str">
            <v>Rancho Landero No. 90</v>
          </cell>
          <cell r="E4505" t="str">
            <v>Córdova Reséndiz</v>
          </cell>
          <cell r="F4505">
            <v>300</v>
          </cell>
          <cell r="G4505">
            <v>1</v>
          </cell>
          <cell r="H4505">
            <v>300</v>
          </cell>
          <cell r="I4505">
            <v>41896</v>
          </cell>
          <cell r="J4505">
            <v>0</v>
          </cell>
          <cell r="W4505">
            <v>0</v>
          </cell>
          <cell r="AJ4505">
            <v>0</v>
          </cell>
          <cell r="AS4505">
            <v>300</v>
          </cell>
          <cell r="AW4505">
            <v>300</v>
          </cell>
        </row>
        <row r="4506">
          <cell r="B4506">
            <v>7853</v>
          </cell>
          <cell r="C4506" t="str">
            <v>RM_10_A</v>
          </cell>
          <cell r="D4506" t="str">
            <v>Rancho Romeral No. 10, A</v>
          </cell>
          <cell r="E4506" t="str">
            <v>Casillas Álvarez</v>
          </cell>
          <cell r="F4506">
            <v>150</v>
          </cell>
          <cell r="G4506">
            <v>1</v>
          </cell>
          <cell r="H4506">
            <v>200</v>
          </cell>
          <cell r="I4506">
            <v>41896</v>
          </cell>
          <cell r="J4506">
            <v>0</v>
          </cell>
          <cell r="W4506">
            <v>0</v>
          </cell>
          <cell r="AJ4506">
            <v>0</v>
          </cell>
          <cell r="AS4506">
            <v>200</v>
          </cell>
          <cell r="AW4506">
            <v>200</v>
          </cell>
        </row>
        <row r="4507">
          <cell r="B4507">
            <v>7853</v>
          </cell>
          <cell r="C4507" t="str">
            <v>RM_10_A</v>
          </cell>
          <cell r="D4507" t="str">
            <v>Rancho Romeral No. 10, A</v>
          </cell>
          <cell r="E4507" t="str">
            <v>Casillas Álvarez</v>
          </cell>
          <cell r="F4507">
            <v>150</v>
          </cell>
          <cell r="G4507">
            <v>5</v>
          </cell>
          <cell r="H4507">
            <v>20</v>
          </cell>
          <cell r="I4507">
            <v>41896</v>
          </cell>
          <cell r="J4507" t="str">
            <v>NO SUMA</v>
          </cell>
          <cell r="W4507">
            <v>0</v>
          </cell>
          <cell r="AJ4507">
            <v>0</v>
          </cell>
          <cell r="AW4507">
            <v>0</v>
          </cell>
        </row>
        <row r="4508">
          <cell r="B4508">
            <v>7854</v>
          </cell>
          <cell r="C4508" t="str">
            <v>EZ_31_</v>
          </cell>
          <cell r="D4508" t="str">
            <v>Rancho Estanzuela No. 31</v>
          </cell>
          <cell r="E4508" t="str">
            <v>Chávez Valdés</v>
          </cell>
          <cell r="F4508">
            <v>300</v>
          </cell>
          <cell r="G4508">
            <v>3</v>
          </cell>
          <cell r="H4508">
            <v>160</v>
          </cell>
          <cell r="I4508">
            <v>41896</v>
          </cell>
          <cell r="J4508" t="str">
            <v>NO SUMA</v>
          </cell>
          <cell r="W4508">
            <v>0</v>
          </cell>
          <cell r="AJ4508">
            <v>0</v>
          </cell>
          <cell r="AW4508">
            <v>0</v>
          </cell>
        </row>
        <row r="4509">
          <cell r="B4509">
            <v>7854</v>
          </cell>
          <cell r="C4509" t="str">
            <v>EZ_31_</v>
          </cell>
          <cell r="D4509" t="str">
            <v>Rancho Estanzuela No. 31</v>
          </cell>
          <cell r="E4509" t="str">
            <v>Chávez Valdés</v>
          </cell>
          <cell r="F4509">
            <v>300</v>
          </cell>
          <cell r="G4509">
            <v>5</v>
          </cell>
          <cell r="H4509">
            <v>20</v>
          </cell>
          <cell r="I4509">
            <v>41896</v>
          </cell>
          <cell r="J4509" t="str">
            <v>NO SUMA</v>
          </cell>
          <cell r="W4509">
            <v>0</v>
          </cell>
          <cell r="AJ4509">
            <v>0</v>
          </cell>
          <cell r="AW4509">
            <v>0</v>
          </cell>
        </row>
        <row r="4510">
          <cell r="B4510">
            <v>7854</v>
          </cell>
          <cell r="C4510" t="str">
            <v>EZ_31_</v>
          </cell>
          <cell r="D4510" t="str">
            <v>Rancho Estanzuela No. 31</v>
          </cell>
          <cell r="E4510" t="str">
            <v>Chávez Valdés</v>
          </cell>
          <cell r="F4510">
            <v>300</v>
          </cell>
          <cell r="G4510">
            <v>5</v>
          </cell>
          <cell r="H4510">
            <v>20</v>
          </cell>
          <cell r="I4510">
            <v>41896</v>
          </cell>
          <cell r="J4510" t="str">
            <v>NO SUMA</v>
          </cell>
          <cell r="W4510">
            <v>0</v>
          </cell>
          <cell r="AJ4510">
            <v>0</v>
          </cell>
          <cell r="AW4510">
            <v>0</v>
          </cell>
        </row>
        <row r="4511">
          <cell r="B4511">
            <v>7854</v>
          </cell>
          <cell r="C4511" t="str">
            <v>EZ_31_</v>
          </cell>
          <cell r="D4511" t="str">
            <v>Rancho Estanzuela No. 31</v>
          </cell>
          <cell r="E4511" t="str">
            <v>Chávez Valdés</v>
          </cell>
          <cell r="F4511">
            <v>300</v>
          </cell>
          <cell r="G4511">
            <v>5</v>
          </cell>
          <cell r="H4511">
            <v>20</v>
          </cell>
          <cell r="I4511">
            <v>41896</v>
          </cell>
          <cell r="J4511" t="str">
            <v>NO SUMA</v>
          </cell>
          <cell r="W4511">
            <v>0</v>
          </cell>
          <cell r="AJ4511">
            <v>0</v>
          </cell>
          <cell r="AW4511">
            <v>0</v>
          </cell>
        </row>
        <row r="4512">
          <cell r="B4512">
            <v>7855</v>
          </cell>
          <cell r="C4512" t="str">
            <v>CL_40_</v>
          </cell>
          <cell r="D4512" t="str">
            <v>Rancho La Cuchilla No. 40</v>
          </cell>
          <cell r="E4512" t="str">
            <v>López Pico</v>
          </cell>
          <cell r="F4512">
            <v>300</v>
          </cell>
          <cell r="G4512">
            <v>5</v>
          </cell>
          <cell r="H4512">
            <v>20</v>
          </cell>
          <cell r="I4512">
            <v>41896</v>
          </cell>
          <cell r="J4512" t="str">
            <v>NO SUMA</v>
          </cell>
          <cell r="W4512">
            <v>0</v>
          </cell>
          <cell r="AJ4512">
            <v>0</v>
          </cell>
          <cell r="AW4512">
            <v>0</v>
          </cell>
        </row>
        <row r="4513">
          <cell r="B4513">
            <v>7855</v>
          </cell>
          <cell r="C4513" t="str">
            <v>CL_40_</v>
          </cell>
          <cell r="D4513" t="str">
            <v>Rancho La Cuchilla No. 40</v>
          </cell>
          <cell r="E4513" t="str">
            <v>López Pico</v>
          </cell>
          <cell r="F4513">
            <v>300</v>
          </cell>
          <cell r="G4513">
            <v>5</v>
          </cell>
          <cell r="H4513">
            <v>20</v>
          </cell>
          <cell r="I4513">
            <v>41896</v>
          </cell>
          <cell r="J4513" t="str">
            <v>NO SUMA</v>
          </cell>
          <cell r="W4513">
            <v>0</v>
          </cell>
          <cell r="AJ4513">
            <v>0</v>
          </cell>
          <cell r="AW4513">
            <v>0</v>
          </cell>
        </row>
        <row r="4514">
          <cell r="B4514">
            <v>7855</v>
          </cell>
          <cell r="C4514" t="str">
            <v>CL_40_</v>
          </cell>
          <cell r="D4514" t="str">
            <v>Rancho La Cuchilla No. 40</v>
          </cell>
          <cell r="E4514" t="str">
            <v>López Pico</v>
          </cell>
          <cell r="F4514">
            <v>300</v>
          </cell>
          <cell r="G4514">
            <v>5</v>
          </cell>
          <cell r="H4514">
            <v>20</v>
          </cell>
          <cell r="I4514">
            <v>41896</v>
          </cell>
          <cell r="J4514" t="str">
            <v>NO SUMA</v>
          </cell>
          <cell r="W4514">
            <v>0</v>
          </cell>
          <cell r="AJ4514">
            <v>0</v>
          </cell>
          <cell r="AW4514">
            <v>0</v>
          </cell>
        </row>
        <row r="4515">
          <cell r="B4515">
            <v>7855</v>
          </cell>
          <cell r="C4515" t="str">
            <v>CL_40_</v>
          </cell>
          <cell r="D4515" t="str">
            <v>Rancho La Cuchilla No. 40</v>
          </cell>
          <cell r="E4515" t="str">
            <v>López Pico</v>
          </cell>
          <cell r="F4515">
            <v>300</v>
          </cell>
          <cell r="G4515">
            <v>5</v>
          </cell>
          <cell r="H4515">
            <v>50</v>
          </cell>
          <cell r="I4515">
            <v>41896</v>
          </cell>
          <cell r="J4515" t="str">
            <v>NO SUMA</v>
          </cell>
          <cell r="W4515">
            <v>0</v>
          </cell>
          <cell r="AJ4515">
            <v>0</v>
          </cell>
          <cell r="AW4515">
            <v>0</v>
          </cell>
        </row>
        <row r="4516">
          <cell r="B4516">
            <v>7856</v>
          </cell>
          <cell r="C4516" t="str">
            <v>ZB_44_</v>
          </cell>
          <cell r="D4516" t="str">
            <v>Rancho Zinamba No. 44</v>
          </cell>
          <cell r="E4516" t="str">
            <v>Canales</v>
          </cell>
          <cell r="F4516">
            <v>300</v>
          </cell>
          <cell r="G4516">
            <v>5</v>
          </cell>
          <cell r="H4516">
            <v>20</v>
          </cell>
          <cell r="I4516">
            <v>41896</v>
          </cell>
          <cell r="J4516" t="str">
            <v>NO SUMA</v>
          </cell>
          <cell r="W4516">
            <v>0</v>
          </cell>
          <cell r="AJ4516">
            <v>0</v>
          </cell>
          <cell r="AW4516">
            <v>0</v>
          </cell>
        </row>
        <row r="4517">
          <cell r="B4517">
            <v>7856</v>
          </cell>
          <cell r="C4517" t="str">
            <v>ZB_44_</v>
          </cell>
          <cell r="D4517" t="str">
            <v>Rancho Zinamba No. 44</v>
          </cell>
          <cell r="E4517" t="str">
            <v>Canales</v>
          </cell>
          <cell r="F4517">
            <v>300</v>
          </cell>
          <cell r="G4517">
            <v>5</v>
          </cell>
          <cell r="H4517">
            <v>20</v>
          </cell>
          <cell r="I4517">
            <v>41896</v>
          </cell>
          <cell r="J4517" t="str">
            <v>NO SUMA</v>
          </cell>
          <cell r="W4517">
            <v>0</v>
          </cell>
          <cell r="AJ4517">
            <v>0</v>
          </cell>
          <cell r="AW4517">
            <v>0</v>
          </cell>
        </row>
        <row r="4518">
          <cell r="B4518">
            <v>7856</v>
          </cell>
          <cell r="C4518" t="str">
            <v>ZB_44_</v>
          </cell>
          <cell r="D4518" t="str">
            <v>Rancho Zinamba No. 44</v>
          </cell>
          <cell r="E4518" t="str">
            <v>Canales</v>
          </cell>
          <cell r="F4518">
            <v>300</v>
          </cell>
          <cell r="G4518">
            <v>5</v>
          </cell>
          <cell r="H4518">
            <v>20</v>
          </cell>
          <cell r="I4518">
            <v>41896</v>
          </cell>
          <cell r="J4518" t="str">
            <v>NO SUMA</v>
          </cell>
          <cell r="W4518">
            <v>0</v>
          </cell>
          <cell r="AJ4518">
            <v>0</v>
          </cell>
          <cell r="AW4518">
            <v>0</v>
          </cell>
        </row>
        <row r="4519">
          <cell r="B4519">
            <v>7857</v>
          </cell>
          <cell r="C4519" t="str">
            <v>LD_7_</v>
          </cell>
          <cell r="D4519" t="str">
            <v>Rancho Landero No. 7</v>
          </cell>
          <cell r="E4519" t="str">
            <v>Robles</v>
          </cell>
          <cell r="F4519">
            <v>150</v>
          </cell>
          <cell r="G4519">
            <v>1</v>
          </cell>
          <cell r="H4519">
            <v>150</v>
          </cell>
          <cell r="I4519">
            <v>41896</v>
          </cell>
          <cell r="J4519">
            <v>0</v>
          </cell>
          <cell r="W4519">
            <v>0</v>
          </cell>
          <cell r="AJ4519">
            <v>0</v>
          </cell>
          <cell r="AS4519">
            <v>150</v>
          </cell>
          <cell r="AW4519">
            <v>150</v>
          </cell>
        </row>
        <row r="4520">
          <cell r="B4520">
            <v>7857</v>
          </cell>
          <cell r="C4520" t="str">
            <v>LD_7_</v>
          </cell>
          <cell r="D4520" t="str">
            <v>Rancho Landero No. 7</v>
          </cell>
          <cell r="E4520" t="str">
            <v>Robles</v>
          </cell>
          <cell r="F4520">
            <v>150</v>
          </cell>
          <cell r="G4520">
            <v>5</v>
          </cell>
          <cell r="H4520">
            <v>20</v>
          </cell>
          <cell r="I4520">
            <v>41896</v>
          </cell>
          <cell r="J4520" t="str">
            <v>NO SUMA</v>
          </cell>
          <cell r="W4520">
            <v>0</v>
          </cell>
          <cell r="AJ4520">
            <v>0</v>
          </cell>
          <cell r="AW4520">
            <v>0</v>
          </cell>
        </row>
        <row r="4521">
          <cell r="B4521">
            <v>7858</v>
          </cell>
          <cell r="C4521" t="str">
            <v>LD_77_</v>
          </cell>
          <cell r="D4521" t="str">
            <v>Rancho Landero No. 77</v>
          </cell>
          <cell r="E4521" t="str">
            <v>Muñoz</v>
          </cell>
          <cell r="F4521">
            <v>300</v>
          </cell>
          <cell r="G4521">
            <v>1</v>
          </cell>
          <cell r="H4521">
            <v>400</v>
          </cell>
          <cell r="I4521">
            <v>41896</v>
          </cell>
          <cell r="J4521">
            <v>0</v>
          </cell>
          <cell r="W4521">
            <v>0</v>
          </cell>
          <cell r="AJ4521">
            <v>0</v>
          </cell>
          <cell r="AS4521">
            <v>400</v>
          </cell>
          <cell r="AW4521">
            <v>400</v>
          </cell>
        </row>
        <row r="4522">
          <cell r="B4522">
            <v>7858</v>
          </cell>
          <cell r="C4522" t="str">
            <v>LD_77_</v>
          </cell>
          <cell r="D4522" t="str">
            <v>Rancho Landero No. 77</v>
          </cell>
          <cell r="E4522" t="str">
            <v>Muñoz</v>
          </cell>
          <cell r="F4522">
            <v>300</v>
          </cell>
          <cell r="G4522">
            <v>5</v>
          </cell>
          <cell r="H4522">
            <v>20</v>
          </cell>
          <cell r="I4522">
            <v>41896</v>
          </cell>
          <cell r="J4522" t="str">
            <v>NO SUMA</v>
          </cell>
          <cell r="W4522">
            <v>0</v>
          </cell>
          <cell r="AJ4522">
            <v>0</v>
          </cell>
          <cell r="AW4522">
            <v>0</v>
          </cell>
        </row>
        <row r="4523">
          <cell r="B4523">
            <v>7858</v>
          </cell>
          <cell r="C4523" t="str">
            <v>LD_77_</v>
          </cell>
          <cell r="D4523" t="str">
            <v>Rancho Landero No. 77</v>
          </cell>
          <cell r="E4523" t="str">
            <v>Muñoz</v>
          </cell>
          <cell r="F4523">
            <v>300</v>
          </cell>
          <cell r="G4523">
            <v>5</v>
          </cell>
          <cell r="H4523">
            <v>20</v>
          </cell>
          <cell r="I4523">
            <v>41896</v>
          </cell>
          <cell r="J4523" t="str">
            <v>NO SUMA</v>
          </cell>
          <cell r="W4523">
            <v>0</v>
          </cell>
          <cell r="AJ4523">
            <v>0</v>
          </cell>
          <cell r="AW4523">
            <v>0</v>
          </cell>
        </row>
        <row r="4524">
          <cell r="B4524">
            <v>7859</v>
          </cell>
          <cell r="C4524" t="str">
            <v>CL_110_</v>
          </cell>
          <cell r="D4524" t="str">
            <v>Rancho La Cuchilla No. 110</v>
          </cell>
          <cell r="E4524" t="str">
            <v>Domínguez Canudas</v>
          </cell>
          <cell r="F4524">
            <v>300</v>
          </cell>
          <cell r="G4524">
            <v>5</v>
          </cell>
          <cell r="H4524">
            <v>20</v>
          </cell>
          <cell r="I4524">
            <v>41896</v>
          </cell>
          <cell r="J4524" t="str">
            <v>NO SUMA</v>
          </cell>
          <cell r="W4524">
            <v>0</v>
          </cell>
          <cell r="AJ4524">
            <v>0</v>
          </cell>
          <cell r="AW4524">
            <v>0</v>
          </cell>
        </row>
        <row r="4525">
          <cell r="B4525">
            <v>7859</v>
          </cell>
          <cell r="C4525" t="str">
            <v>CL_110_</v>
          </cell>
          <cell r="D4525" t="str">
            <v>Rancho La Cuchilla No. 110</v>
          </cell>
          <cell r="E4525" t="str">
            <v>Domínguez Canudas</v>
          </cell>
          <cell r="F4525">
            <v>300</v>
          </cell>
          <cell r="G4525">
            <v>5</v>
          </cell>
          <cell r="H4525">
            <v>20</v>
          </cell>
          <cell r="I4525">
            <v>41896</v>
          </cell>
          <cell r="J4525" t="str">
            <v>NO SUMA</v>
          </cell>
          <cell r="W4525">
            <v>0</v>
          </cell>
          <cell r="AJ4525">
            <v>0</v>
          </cell>
          <cell r="AW4525">
            <v>0</v>
          </cell>
        </row>
        <row r="4526">
          <cell r="B4526">
            <v>7859</v>
          </cell>
          <cell r="C4526" t="str">
            <v>CL_110_</v>
          </cell>
          <cell r="D4526" t="str">
            <v>Rancho La Cuchilla No. 110</v>
          </cell>
          <cell r="E4526" t="str">
            <v>Domínguez Canudas</v>
          </cell>
          <cell r="F4526">
            <v>300</v>
          </cell>
          <cell r="G4526">
            <v>5</v>
          </cell>
          <cell r="H4526">
            <v>20</v>
          </cell>
          <cell r="I4526">
            <v>41896</v>
          </cell>
          <cell r="J4526" t="str">
            <v>NO SUMA</v>
          </cell>
          <cell r="W4526">
            <v>0</v>
          </cell>
          <cell r="AJ4526">
            <v>0</v>
          </cell>
          <cell r="AW4526">
            <v>0</v>
          </cell>
        </row>
        <row r="4527">
          <cell r="B4527">
            <v>7859</v>
          </cell>
          <cell r="C4527" t="str">
            <v>CL_110_</v>
          </cell>
          <cell r="D4527" t="str">
            <v>Rancho La Cuchilla No. 110</v>
          </cell>
          <cell r="E4527" t="str">
            <v>Domínguez Canudas</v>
          </cell>
          <cell r="F4527">
            <v>300</v>
          </cell>
          <cell r="G4527">
            <v>5</v>
          </cell>
          <cell r="H4527">
            <v>50</v>
          </cell>
          <cell r="I4527">
            <v>41896</v>
          </cell>
          <cell r="J4527" t="str">
            <v>NO SUMA</v>
          </cell>
          <cell r="W4527">
            <v>0</v>
          </cell>
          <cell r="AJ4527">
            <v>0</v>
          </cell>
          <cell r="AW4527">
            <v>0</v>
          </cell>
        </row>
        <row r="4528">
          <cell r="B4528">
            <v>7859</v>
          </cell>
          <cell r="C4528" t="str">
            <v>CL_110_</v>
          </cell>
          <cell r="D4528" t="str">
            <v>Rancho La Cuchilla No. 110</v>
          </cell>
          <cell r="E4528" t="str">
            <v>Domínguez Canudas</v>
          </cell>
          <cell r="F4528">
            <v>300</v>
          </cell>
          <cell r="G4528">
            <v>5</v>
          </cell>
          <cell r="H4528">
            <v>50</v>
          </cell>
          <cell r="I4528">
            <v>41896</v>
          </cell>
          <cell r="J4528" t="str">
            <v>NO SUMA</v>
          </cell>
          <cell r="W4528">
            <v>0</v>
          </cell>
          <cell r="AJ4528">
            <v>0</v>
          </cell>
          <cell r="AW4528">
            <v>0</v>
          </cell>
        </row>
        <row r="4529">
          <cell r="B4529">
            <v>7860</v>
          </cell>
          <cell r="C4529" t="str">
            <v>UP_71_</v>
          </cell>
          <cell r="D4529" t="str">
            <v>Rancho Upácuaro No. 71</v>
          </cell>
          <cell r="E4529" t="str">
            <v>Trejo Méndez</v>
          </cell>
          <cell r="F4529">
            <v>300</v>
          </cell>
          <cell r="G4529">
            <v>1</v>
          </cell>
          <cell r="H4529">
            <v>400</v>
          </cell>
          <cell r="I4529">
            <v>41896</v>
          </cell>
          <cell r="J4529">
            <v>0</v>
          </cell>
          <cell r="W4529">
            <v>0</v>
          </cell>
          <cell r="AJ4529">
            <v>0</v>
          </cell>
          <cell r="AS4529">
            <v>400</v>
          </cell>
          <cell r="AW4529">
            <v>400</v>
          </cell>
        </row>
        <row r="4530">
          <cell r="B4530">
            <v>7860</v>
          </cell>
          <cell r="C4530" t="str">
            <v>UP_71_</v>
          </cell>
          <cell r="D4530" t="str">
            <v>Rancho Upácuaro No. 71</v>
          </cell>
          <cell r="E4530" t="str">
            <v>Trejo Méndez</v>
          </cell>
          <cell r="F4530">
            <v>300</v>
          </cell>
          <cell r="G4530">
            <v>5</v>
          </cell>
          <cell r="H4530">
            <v>20</v>
          </cell>
          <cell r="I4530">
            <v>41896</v>
          </cell>
          <cell r="J4530" t="str">
            <v>NO SUMA</v>
          </cell>
          <cell r="W4530">
            <v>0</v>
          </cell>
          <cell r="AJ4530">
            <v>0</v>
          </cell>
          <cell r="AW4530">
            <v>0</v>
          </cell>
        </row>
        <row r="4531">
          <cell r="B4531">
            <v>7860</v>
          </cell>
          <cell r="C4531" t="str">
            <v>UP_71_</v>
          </cell>
          <cell r="D4531" t="str">
            <v>Rancho Upácuaro No. 71</v>
          </cell>
          <cell r="E4531" t="str">
            <v>Trejo Méndez</v>
          </cell>
          <cell r="F4531">
            <v>300</v>
          </cell>
          <cell r="G4531">
            <v>5</v>
          </cell>
          <cell r="H4531">
            <v>20</v>
          </cell>
          <cell r="I4531">
            <v>41896</v>
          </cell>
          <cell r="J4531" t="str">
            <v>NO SUMA</v>
          </cell>
          <cell r="W4531">
            <v>0</v>
          </cell>
          <cell r="AJ4531">
            <v>0</v>
          </cell>
          <cell r="AW4531">
            <v>0</v>
          </cell>
        </row>
        <row r="4532">
          <cell r="B4532">
            <v>7861</v>
          </cell>
          <cell r="C4532" t="str">
            <v>CL_68_</v>
          </cell>
          <cell r="D4532" t="str">
            <v>Rancho La Cuchilla No. 68</v>
          </cell>
          <cell r="E4532" t="str">
            <v>Montesinos</v>
          </cell>
          <cell r="F4532">
            <v>300</v>
          </cell>
          <cell r="G4532">
            <v>1</v>
          </cell>
          <cell r="H4532">
            <v>400</v>
          </cell>
          <cell r="I4532">
            <v>41896</v>
          </cell>
          <cell r="J4532">
            <v>0</v>
          </cell>
          <cell r="W4532">
            <v>0</v>
          </cell>
          <cell r="AJ4532">
            <v>0</v>
          </cell>
          <cell r="AR4532">
            <v>200</v>
          </cell>
          <cell r="AS4532">
            <v>200</v>
          </cell>
          <cell r="AW4532">
            <v>400</v>
          </cell>
        </row>
        <row r="4533">
          <cell r="B4533">
            <v>7861</v>
          </cell>
          <cell r="C4533" t="str">
            <v>CL_68_</v>
          </cell>
          <cell r="D4533" t="str">
            <v>Rancho La Cuchilla No. 68</v>
          </cell>
          <cell r="E4533" t="str">
            <v>Montesinos</v>
          </cell>
          <cell r="F4533">
            <v>300</v>
          </cell>
          <cell r="G4533">
            <v>3</v>
          </cell>
          <cell r="H4533">
            <v>160</v>
          </cell>
          <cell r="I4533">
            <v>41896</v>
          </cell>
          <cell r="J4533" t="str">
            <v>NO SUMA</v>
          </cell>
          <cell r="W4533">
            <v>0</v>
          </cell>
          <cell r="AJ4533">
            <v>0</v>
          </cell>
          <cell r="AW4533">
            <v>0</v>
          </cell>
        </row>
        <row r="4534">
          <cell r="B4534">
            <v>7861</v>
          </cell>
          <cell r="C4534" t="str">
            <v>CL_68_</v>
          </cell>
          <cell r="D4534" t="str">
            <v>Rancho La Cuchilla No. 68</v>
          </cell>
          <cell r="E4534" t="str">
            <v>Montesinos</v>
          </cell>
          <cell r="F4534">
            <v>300</v>
          </cell>
          <cell r="G4534">
            <v>5</v>
          </cell>
          <cell r="H4534">
            <v>20</v>
          </cell>
          <cell r="I4534">
            <v>41896</v>
          </cell>
          <cell r="J4534" t="str">
            <v>NO SUMA</v>
          </cell>
          <cell r="W4534">
            <v>0</v>
          </cell>
          <cell r="AJ4534">
            <v>0</v>
          </cell>
          <cell r="AW4534">
            <v>0</v>
          </cell>
        </row>
        <row r="4535">
          <cell r="B4535">
            <v>7861</v>
          </cell>
          <cell r="C4535" t="str">
            <v>CL_68_</v>
          </cell>
          <cell r="D4535" t="str">
            <v>Rancho La Cuchilla No. 68</v>
          </cell>
          <cell r="E4535" t="str">
            <v>Montesinos</v>
          </cell>
          <cell r="F4535">
            <v>300</v>
          </cell>
          <cell r="G4535">
            <v>5</v>
          </cell>
          <cell r="H4535">
            <v>20</v>
          </cell>
          <cell r="I4535">
            <v>41896</v>
          </cell>
          <cell r="J4535" t="str">
            <v>NO SUMA</v>
          </cell>
          <cell r="W4535">
            <v>0</v>
          </cell>
          <cell r="AJ4535">
            <v>0</v>
          </cell>
          <cell r="AW4535">
            <v>0</v>
          </cell>
        </row>
        <row r="4536">
          <cell r="B4536">
            <v>7861</v>
          </cell>
          <cell r="C4536" t="str">
            <v>CL_68_</v>
          </cell>
          <cell r="D4536" t="str">
            <v>Rancho La Cuchilla No. 68</v>
          </cell>
          <cell r="E4536" t="str">
            <v>Montesinos</v>
          </cell>
          <cell r="F4536">
            <v>300</v>
          </cell>
          <cell r="G4536">
            <v>5</v>
          </cell>
          <cell r="H4536">
            <v>20</v>
          </cell>
          <cell r="I4536">
            <v>41896</v>
          </cell>
          <cell r="J4536" t="str">
            <v>NO SUMA</v>
          </cell>
          <cell r="W4536">
            <v>0</v>
          </cell>
          <cell r="AJ4536">
            <v>0</v>
          </cell>
          <cell r="AW4536">
            <v>0</v>
          </cell>
        </row>
        <row r="4537">
          <cell r="B4537">
            <v>7861</v>
          </cell>
          <cell r="C4537" t="str">
            <v>CL_68_</v>
          </cell>
          <cell r="D4537" t="str">
            <v>Rancho La Cuchilla No. 68</v>
          </cell>
          <cell r="E4537" t="str">
            <v>Montesinos</v>
          </cell>
          <cell r="F4537">
            <v>300</v>
          </cell>
          <cell r="G4537">
            <v>5</v>
          </cell>
          <cell r="H4537">
            <v>50</v>
          </cell>
          <cell r="I4537">
            <v>41896</v>
          </cell>
          <cell r="J4537" t="str">
            <v>NO SUMA</v>
          </cell>
          <cell r="W4537">
            <v>0</v>
          </cell>
          <cell r="AJ4537">
            <v>0</v>
          </cell>
          <cell r="AW4537">
            <v>0</v>
          </cell>
        </row>
        <row r="4538">
          <cell r="B4538">
            <v>7861</v>
          </cell>
          <cell r="C4538" t="str">
            <v>CL_68_</v>
          </cell>
          <cell r="D4538" t="str">
            <v>Rancho La Cuchilla No. 68</v>
          </cell>
          <cell r="E4538" t="str">
            <v>Montesinos</v>
          </cell>
          <cell r="F4538">
            <v>300</v>
          </cell>
          <cell r="G4538">
            <v>5</v>
          </cell>
          <cell r="H4538">
            <v>50</v>
          </cell>
          <cell r="I4538">
            <v>41896</v>
          </cell>
          <cell r="J4538" t="str">
            <v>NO SUMA</v>
          </cell>
          <cell r="W4538">
            <v>0</v>
          </cell>
          <cell r="AJ4538">
            <v>0</v>
          </cell>
          <cell r="AW4538">
            <v>0</v>
          </cell>
        </row>
        <row r="4539">
          <cell r="B4539">
            <v>7861</v>
          </cell>
          <cell r="C4539" t="str">
            <v>CL_68_</v>
          </cell>
          <cell r="D4539" t="str">
            <v>Rancho La Cuchilla No. 68</v>
          </cell>
          <cell r="E4539" t="str">
            <v>Montesinos</v>
          </cell>
          <cell r="F4539">
            <v>300</v>
          </cell>
          <cell r="G4539">
            <v>5</v>
          </cell>
          <cell r="H4539">
            <v>50</v>
          </cell>
          <cell r="I4539">
            <v>41896</v>
          </cell>
          <cell r="J4539" t="str">
            <v>NO SUMA</v>
          </cell>
          <cell r="W4539">
            <v>0</v>
          </cell>
          <cell r="AJ4539">
            <v>0</v>
          </cell>
          <cell r="AW4539">
            <v>0</v>
          </cell>
        </row>
        <row r="4540">
          <cell r="B4540">
            <v>7861</v>
          </cell>
          <cell r="C4540" t="str">
            <v>CL_68_</v>
          </cell>
          <cell r="D4540" t="str">
            <v>Rancho La Cuchilla No. 68</v>
          </cell>
          <cell r="E4540" t="str">
            <v>Montesinos</v>
          </cell>
          <cell r="F4540">
            <v>300</v>
          </cell>
          <cell r="G4540">
            <v>5</v>
          </cell>
          <cell r="H4540">
            <v>50</v>
          </cell>
          <cell r="I4540">
            <v>41896</v>
          </cell>
          <cell r="J4540" t="str">
            <v>NO SUMA</v>
          </cell>
          <cell r="W4540">
            <v>0</v>
          </cell>
          <cell r="AJ4540">
            <v>0</v>
          </cell>
          <cell r="AW4540">
            <v>0</v>
          </cell>
        </row>
        <row r="4541">
          <cell r="B4541">
            <v>7862</v>
          </cell>
          <cell r="C4541" t="str">
            <v>RV_175_B</v>
          </cell>
          <cell r="D4541" t="str">
            <v>Rancho Recoveco No. 175, B</v>
          </cell>
          <cell r="E4541" t="str">
            <v>García Calderón</v>
          </cell>
          <cell r="F4541">
            <v>150</v>
          </cell>
          <cell r="G4541">
            <v>1</v>
          </cell>
          <cell r="H4541">
            <v>200</v>
          </cell>
          <cell r="I4541">
            <v>41896</v>
          </cell>
          <cell r="J4541">
            <v>0</v>
          </cell>
          <cell r="W4541">
            <v>0</v>
          </cell>
          <cell r="AJ4541">
            <v>0</v>
          </cell>
          <cell r="AS4541">
            <v>200</v>
          </cell>
          <cell r="AW4541">
            <v>200</v>
          </cell>
        </row>
        <row r="4542">
          <cell r="B4542">
            <v>7862</v>
          </cell>
          <cell r="C4542" t="str">
            <v>RV_175_B</v>
          </cell>
          <cell r="D4542" t="str">
            <v>Rancho Recoveco No. 175, B</v>
          </cell>
          <cell r="E4542" t="str">
            <v>García Calderón</v>
          </cell>
          <cell r="F4542">
            <v>150</v>
          </cell>
          <cell r="G4542">
            <v>5</v>
          </cell>
          <cell r="H4542">
            <v>20</v>
          </cell>
          <cell r="I4542">
            <v>41896</v>
          </cell>
          <cell r="J4542" t="str">
            <v>NO SUMA</v>
          </cell>
          <cell r="W4542">
            <v>0</v>
          </cell>
          <cell r="AJ4542">
            <v>0</v>
          </cell>
          <cell r="AW4542">
            <v>0</v>
          </cell>
        </row>
        <row r="4543">
          <cell r="B4543">
            <v>7862</v>
          </cell>
          <cell r="C4543" t="str">
            <v>RV_175_B</v>
          </cell>
          <cell r="D4543" t="str">
            <v>Rancho Recoveco No. 175, B</v>
          </cell>
          <cell r="E4543" t="str">
            <v>García Calderón</v>
          </cell>
          <cell r="F4543">
            <v>150</v>
          </cell>
          <cell r="G4543">
            <v>5</v>
          </cell>
          <cell r="H4543">
            <v>20</v>
          </cell>
          <cell r="I4543">
            <v>41896</v>
          </cell>
          <cell r="J4543" t="str">
            <v>NO SUMA</v>
          </cell>
          <cell r="W4543">
            <v>0</v>
          </cell>
          <cell r="AJ4543">
            <v>0</v>
          </cell>
          <cell r="AW4543">
            <v>0</v>
          </cell>
        </row>
        <row r="4544">
          <cell r="B4544">
            <v>7862</v>
          </cell>
          <cell r="C4544" t="str">
            <v>RV_175_B</v>
          </cell>
          <cell r="D4544" t="str">
            <v>Rancho Recoveco No. 175, B</v>
          </cell>
          <cell r="E4544" t="str">
            <v>García Calderón</v>
          </cell>
          <cell r="F4544">
            <v>150</v>
          </cell>
          <cell r="G4544">
            <v>5</v>
          </cell>
          <cell r="H4544">
            <v>20</v>
          </cell>
          <cell r="I4544">
            <v>41896</v>
          </cell>
          <cell r="J4544" t="str">
            <v>NO SUMA</v>
          </cell>
          <cell r="W4544">
            <v>0</v>
          </cell>
          <cell r="AJ4544">
            <v>0</v>
          </cell>
          <cell r="AW4544">
            <v>0</v>
          </cell>
        </row>
        <row r="4545">
          <cell r="B4545">
            <v>7863</v>
          </cell>
          <cell r="C4545" t="str">
            <v>CL_89_</v>
          </cell>
          <cell r="D4545" t="str">
            <v>Rancho La Cuchilla No. 89</v>
          </cell>
          <cell r="E4545" t="str">
            <v>Gálvez</v>
          </cell>
          <cell r="F4545">
            <v>300</v>
          </cell>
          <cell r="G4545">
            <v>1</v>
          </cell>
          <cell r="H4545">
            <v>400</v>
          </cell>
          <cell r="I4545">
            <v>41896</v>
          </cell>
          <cell r="J4545">
            <v>0</v>
          </cell>
          <cell r="W4545">
            <v>0</v>
          </cell>
          <cell r="AJ4545">
            <v>0</v>
          </cell>
          <cell r="AS4545">
            <v>400</v>
          </cell>
          <cell r="AW4545">
            <v>400</v>
          </cell>
        </row>
        <row r="4546">
          <cell r="B4546">
            <v>7863</v>
          </cell>
          <cell r="C4546" t="str">
            <v>CL_89_</v>
          </cell>
          <cell r="D4546" t="str">
            <v>Rancho La Cuchilla No. 89</v>
          </cell>
          <cell r="E4546" t="str">
            <v>Gálvez</v>
          </cell>
          <cell r="F4546">
            <v>300</v>
          </cell>
          <cell r="G4546">
            <v>5</v>
          </cell>
          <cell r="H4546">
            <v>20</v>
          </cell>
          <cell r="I4546">
            <v>41896</v>
          </cell>
          <cell r="J4546" t="str">
            <v>NO SUMA</v>
          </cell>
          <cell r="W4546">
            <v>0</v>
          </cell>
          <cell r="AJ4546">
            <v>0</v>
          </cell>
          <cell r="AW4546">
            <v>0</v>
          </cell>
        </row>
        <row r="4547">
          <cell r="B4547">
            <v>7863</v>
          </cell>
          <cell r="C4547" t="str">
            <v>CL_89_</v>
          </cell>
          <cell r="D4547" t="str">
            <v>Rancho La Cuchilla No. 89</v>
          </cell>
          <cell r="E4547" t="str">
            <v>Gálvez</v>
          </cell>
          <cell r="F4547">
            <v>300</v>
          </cell>
          <cell r="G4547">
            <v>5</v>
          </cell>
          <cell r="H4547">
            <v>20</v>
          </cell>
          <cell r="I4547">
            <v>41896</v>
          </cell>
          <cell r="J4547" t="str">
            <v>NO SUMA</v>
          </cell>
          <cell r="W4547">
            <v>0</v>
          </cell>
          <cell r="AJ4547">
            <v>0</v>
          </cell>
          <cell r="AW4547">
            <v>0</v>
          </cell>
        </row>
        <row r="4548">
          <cell r="B4548">
            <v>7864</v>
          </cell>
          <cell r="C4548" t="str">
            <v>LD_81_</v>
          </cell>
          <cell r="D4548" t="str">
            <v>Rancho Landero No. 81</v>
          </cell>
          <cell r="E4548" t="str">
            <v>Cebrían Saldaña</v>
          </cell>
          <cell r="F4548">
            <v>300</v>
          </cell>
          <cell r="G4548">
            <v>1</v>
          </cell>
          <cell r="H4548">
            <v>200</v>
          </cell>
          <cell r="I4548">
            <v>41896</v>
          </cell>
          <cell r="J4548">
            <v>0</v>
          </cell>
          <cell r="W4548">
            <v>0</v>
          </cell>
          <cell r="AJ4548">
            <v>0</v>
          </cell>
          <cell r="AS4548">
            <v>200</v>
          </cell>
          <cell r="AW4548">
            <v>200</v>
          </cell>
        </row>
        <row r="4549">
          <cell r="B4549">
            <v>7864</v>
          </cell>
          <cell r="C4549" t="str">
            <v>LD_81_</v>
          </cell>
          <cell r="D4549" t="str">
            <v>Rancho Landero No. 81</v>
          </cell>
          <cell r="E4549" t="str">
            <v>Cebrían Saldaña</v>
          </cell>
          <cell r="F4549">
            <v>300</v>
          </cell>
          <cell r="G4549">
            <v>1</v>
          </cell>
          <cell r="H4549">
            <v>20</v>
          </cell>
          <cell r="I4549">
            <v>41896</v>
          </cell>
          <cell r="J4549">
            <v>0</v>
          </cell>
          <cell r="W4549">
            <v>0</v>
          </cell>
          <cell r="AJ4549">
            <v>0</v>
          </cell>
          <cell r="AS4549">
            <v>20</v>
          </cell>
          <cell r="AW4549">
            <v>20</v>
          </cell>
        </row>
        <row r="4550">
          <cell r="B4550">
            <v>7865</v>
          </cell>
          <cell r="C4550" t="str">
            <v>ZB_68_</v>
          </cell>
          <cell r="D4550" t="str">
            <v>Rancho Zinamba No. 68</v>
          </cell>
          <cell r="E4550" t="str">
            <v>Rivera Villicaña</v>
          </cell>
          <cell r="F4550">
            <v>300</v>
          </cell>
          <cell r="G4550">
            <v>1</v>
          </cell>
          <cell r="H4550">
            <v>300</v>
          </cell>
          <cell r="I4550">
            <v>41896</v>
          </cell>
          <cell r="J4550">
            <v>0</v>
          </cell>
          <cell r="W4550">
            <v>0</v>
          </cell>
          <cell r="AJ4550">
            <v>0</v>
          </cell>
          <cell r="AS4550">
            <v>300</v>
          </cell>
          <cell r="AW4550">
            <v>300</v>
          </cell>
        </row>
        <row r="4551">
          <cell r="B4551">
            <v>7866</v>
          </cell>
          <cell r="C4551" t="str">
            <v>CL_7_202</v>
          </cell>
          <cell r="D4551" t="str">
            <v>Rancho La Cuchilla No. 7, 202</v>
          </cell>
          <cell r="E4551" t="str">
            <v>Carbajal Zayas</v>
          </cell>
          <cell r="F4551">
            <v>100</v>
          </cell>
          <cell r="G4551">
            <v>1</v>
          </cell>
          <cell r="H4551">
            <v>100</v>
          </cell>
          <cell r="I4551">
            <v>41896</v>
          </cell>
          <cell r="J4551">
            <v>0</v>
          </cell>
          <cell r="W4551">
            <v>0</v>
          </cell>
          <cell r="AJ4551">
            <v>0</v>
          </cell>
          <cell r="AS4551">
            <v>100</v>
          </cell>
          <cell r="AW4551">
            <v>100</v>
          </cell>
        </row>
        <row r="4552">
          <cell r="B4552">
            <v>7866</v>
          </cell>
          <cell r="C4552" t="str">
            <v>CL_7_202</v>
          </cell>
          <cell r="D4552" t="str">
            <v>Rancho La Cuchilla No. 7, 202</v>
          </cell>
          <cell r="E4552" t="str">
            <v>Carbajal Zayas</v>
          </cell>
          <cell r="F4552">
            <v>100</v>
          </cell>
          <cell r="G4552">
            <v>5</v>
          </cell>
          <cell r="H4552">
            <v>20</v>
          </cell>
          <cell r="I4552">
            <v>41896</v>
          </cell>
          <cell r="J4552" t="str">
            <v>NO SUMA</v>
          </cell>
          <cell r="W4552">
            <v>0</v>
          </cell>
          <cell r="AJ4552">
            <v>0</v>
          </cell>
          <cell r="AW4552">
            <v>0</v>
          </cell>
        </row>
        <row r="4553">
          <cell r="B4553">
            <v>7866</v>
          </cell>
          <cell r="C4553" t="str">
            <v>CL_7_202</v>
          </cell>
          <cell r="D4553" t="str">
            <v>Rancho La Cuchilla No. 7, 202</v>
          </cell>
          <cell r="E4553" t="str">
            <v>Carbajal Zayas</v>
          </cell>
          <cell r="F4553">
            <v>100</v>
          </cell>
          <cell r="G4553">
            <v>5</v>
          </cell>
          <cell r="H4553">
            <v>20</v>
          </cell>
          <cell r="I4553">
            <v>41896</v>
          </cell>
          <cell r="J4553" t="str">
            <v>NO SUMA</v>
          </cell>
          <cell r="W4553">
            <v>0</v>
          </cell>
          <cell r="AJ4553">
            <v>0</v>
          </cell>
          <cell r="AW4553">
            <v>0</v>
          </cell>
        </row>
        <row r="4554">
          <cell r="B4554">
            <v>7867</v>
          </cell>
          <cell r="C4554" t="str">
            <v>LD_18_</v>
          </cell>
          <cell r="D4554" t="str">
            <v>Rancho Landero No. 18</v>
          </cell>
          <cell r="E4554" t="str">
            <v>Rosado</v>
          </cell>
          <cell r="F4554">
            <v>250</v>
          </cell>
          <cell r="G4554">
            <v>5</v>
          </cell>
          <cell r="H4554">
            <v>20</v>
          </cell>
          <cell r="I4554">
            <v>41896</v>
          </cell>
          <cell r="J4554" t="str">
            <v>NO SUMA</v>
          </cell>
          <cell r="W4554">
            <v>0</v>
          </cell>
          <cell r="AJ4554">
            <v>0</v>
          </cell>
          <cell r="AW4554">
            <v>0</v>
          </cell>
        </row>
        <row r="4555">
          <cell r="B4555">
            <v>7868</v>
          </cell>
          <cell r="C4555" t="str">
            <v>UP_76_</v>
          </cell>
          <cell r="D4555" t="str">
            <v>Rancho Upácuaro No. 76</v>
          </cell>
          <cell r="E4555" t="str">
            <v>Ruiz de San Pedro</v>
          </cell>
          <cell r="F4555">
            <v>300</v>
          </cell>
          <cell r="G4555">
            <v>5</v>
          </cell>
          <cell r="H4555">
            <v>20</v>
          </cell>
          <cell r="I4555">
            <v>41896</v>
          </cell>
          <cell r="J4555" t="str">
            <v>NO SUMA</v>
          </cell>
          <cell r="W4555">
            <v>0</v>
          </cell>
          <cell r="AJ4555">
            <v>0</v>
          </cell>
          <cell r="AW4555">
            <v>0</v>
          </cell>
        </row>
        <row r="4556">
          <cell r="B4556">
            <v>7868</v>
          </cell>
          <cell r="C4556" t="str">
            <v>UP_76_</v>
          </cell>
          <cell r="D4556" t="str">
            <v>Rancho Upácuaro No. 76</v>
          </cell>
          <cell r="E4556" t="str">
            <v>Ruiz de San Pedro</v>
          </cell>
          <cell r="F4556">
            <v>300</v>
          </cell>
          <cell r="G4556">
            <v>5</v>
          </cell>
          <cell r="H4556">
            <v>20</v>
          </cell>
          <cell r="I4556">
            <v>41896</v>
          </cell>
          <cell r="J4556" t="str">
            <v>NO SUMA</v>
          </cell>
          <cell r="W4556">
            <v>0</v>
          </cell>
          <cell r="AJ4556">
            <v>0</v>
          </cell>
          <cell r="AW4556">
            <v>0</v>
          </cell>
        </row>
        <row r="4557">
          <cell r="B4557">
            <v>7868</v>
          </cell>
          <cell r="C4557" t="str">
            <v>UP_76_</v>
          </cell>
          <cell r="D4557" t="str">
            <v>Rancho Upácuaro No. 76</v>
          </cell>
          <cell r="E4557" t="str">
            <v>Ruiz de San Pedro</v>
          </cell>
          <cell r="F4557">
            <v>300</v>
          </cell>
          <cell r="G4557">
            <v>5</v>
          </cell>
          <cell r="H4557">
            <v>20</v>
          </cell>
          <cell r="I4557">
            <v>41896</v>
          </cell>
          <cell r="J4557" t="str">
            <v>NO SUMA</v>
          </cell>
          <cell r="W4557">
            <v>0</v>
          </cell>
          <cell r="AJ4557">
            <v>0</v>
          </cell>
          <cell r="AW4557">
            <v>0</v>
          </cell>
        </row>
        <row r="4558">
          <cell r="B4558">
            <v>7868</v>
          </cell>
          <cell r="C4558" t="str">
            <v>UP_76_</v>
          </cell>
          <cell r="D4558" t="str">
            <v>Rancho Upácuaro No. 76</v>
          </cell>
          <cell r="E4558" t="str">
            <v>Ruiz de San Pedro</v>
          </cell>
          <cell r="F4558">
            <v>300</v>
          </cell>
          <cell r="G4558">
            <v>5</v>
          </cell>
          <cell r="H4558">
            <v>20</v>
          </cell>
          <cell r="I4558">
            <v>41896</v>
          </cell>
          <cell r="J4558" t="str">
            <v>NO SUMA</v>
          </cell>
          <cell r="W4558">
            <v>0</v>
          </cell>
          <cell r="AJ4558">
            <v>0</v>
          </cell>
          <cell r="AW4558">
            <v>0</v>
          </cell>
        </row>
        <row r="4559">
          <cell r="B4559">
            <v>7868</v>
          </cell>
          <cell r="C4559" t="str">
            <v>UP_76_</v>
          </cell>
          <cell r="D4559" t="str">
            <v>Rancho Upácuaro No. 76</v>
          </cell>
          <cell r="E4559" t="str">
            <v>Ruiz de San Pedro</v>
          </cell>
          <cell r="F4559">
            <v>300</v>
          </cell>
          <cell r="G4559">
            <v>5</v>
          </cell>
          <cell r="H4559">
            <v>20</v>
          </cell>
          <cell r="I4559">
            <v>41896</v>
          </cell>
          <cell r="J4559" t="str">
            <v>NO SUMA</v>
          </cell>
          <cell r="W4559">
            <v>0</v>
          </cell>
          <cell r="AJ4559">
            <v>0</v>
          </cell>
          <cell r="AW4559">
            <v>0</v>
          </cell>
        </row>
        <row r="4560">
          <cell r="B4560">
            <v>7869</v>
          </cell>
          <cell r="D4560" t="str">
            <v/>
          </cell>
          <cell r="E4560" t="str">
            <v/>
          </cell>
          <cell r="F4560" t="str">
            <v/>
          </cell>
          <cell r="G4560">
            <v>8</v>
          </cell>
          <cell r="I4560">
            <v>41896</v>
          </cell>
          <cell r="J4560" t="str">
            <v>NO SUMA</v>
          </cell>
          <cell r="W4560">
            <v>0</v>
          </cell>
          <cell r="AJ4560">
            <v>0</v>
          </cell>
          <cell r="AW4560">
            <v>0</v>
          </cell>
        </row>
        <row r="4561">
          <cell r="B4561">
            <v>7870</v>
          </cell>
          <cell r="C4561" t="str">
            <v>LD_86_</v>
          </cell>
          <cell r="D4561" t="str">
            <v>Rancho Landero No. 86</v>
          </cell>
          <cell r="E4561" t="str">
            <v>Cuervo</v>
          </cell>
          <cell r="F4561">
            <v>300</v>
          </cell>
          <cell r="G4561">
            <v>1</v>
          </cell>
          <cell r="H4561">
            <v>1200</v>
          </cell>
          <cell r="I4561">
            <v>41896</v>
          </cell>
          <cell r="J4561">
            <v>0</v>
          </cell>
          <cell r="W4561">
            <v>0</v>
          </cell>
          <cell r="AJ4561">
            <v>0</v>
          </cell>
          <cell r="AQ4561">
            <v>400</v>
          </cell>
          <cell r="AR4561">
            <v>400</v>
          </cell>
          <cell r="AS4561">
            <v>400</v>
          </cell>
          <cell r="AW4561">
            <v>1200</v>
          </cell>
        </row>
        <row r="4562">
          <cell r="B4562">
            <v>7870</v>
          </cell>
          <cell r="C4562" t="str">
            <v>LD_86_</v>
          </cell>
          <cell r="D4562" t="str">
            <v>Rancho Landero No. 86</v>
          </cell>
          <cell r="E4562" t="str">
            <v>Cuervo</v>
          </cell>
          <cell r="F4562">
            <v>300</v>
          </cell>
          <cell r="G4562">
            <v>5</v>
          </cell>
          <cell r="H4562">
            <v>20</v>
          </cell>
          <cell r="I4562">
            <v>41896</v>
          </cell>
          <cell r="J4562" t="str">
            <v>NO SUMA</v>
          </cell>
          <cell r="W4562">
            <v>0</v>
          </cell>
          <cell r="AJ4562">
            <v>0</v>
          </cell>
          <cell r="AW4562">
            <v>0</v>
          </cell>
        </row>
        <row r="4563">
          <cell r="B4563">
            <v>7870</v>
          </cell>
          <cell r="C4563" t="str">
            <v>LD_86_</v>
          </cell>
          <cell r="D4563" t="str">
            <v>Rancho Landero No. 86</v>
          </cell>
          <cell r="E4563" t="str">
            <v>Cuervo</v>
          </cell>
          <cell r="F4563">
            <v>300</v>
          </cell>
          <cell r="G4563">
            <v>5</v>
          </cell>
          <cell r="H4563">
            <v>20</v>
          </cell>
          <cell r="I4563">
            <v>41896</v>
          </cell>
          <cell r="J4563" t="str">
            <v>NO SUMA</v>
          </cell>
          <cell r="W4563">
            <v>0</v>
          </cell>
          <cell r="AJ4563">
            <v>0</v>
          </cell>
          <cell r="AW4563">
            <v>0</v>
          </cell>
        </row>
        <row r="4564">
          <cell r="B4564">
            <v>7871</v>
          </cell>
          <cell r="C4564" t="str">
            <v>LD_96_</v>
          </cell>
          <cell r="D4564" t="str">
            <v>Rancho Landero No. 96</v>
          </cell>
          <cell r="E4564" t="str">
            <v>Espinoza Aguirre</v>
          </cell>
          <cell r="F4564">
            <v>300</v>
          </cell>
          <cell r="G4564">
            <v>1</v>
          </cell>
          <cell r="H4564">
            <v>400</v>
          </cell>
          <cell r="I4564">
            <v>41896</v>
          </cell>
          <cell r="J4564">
            <v>0</v>
          </cell>
          <cell r="W4564">
            <v>0</v>
          </cell>
          <cell r="AJ4564">
            <v>0</v>
          </cell>
          <cell r="AS4564">
            <v>400</v>
          </cell>
          <cell r="AW4564">
            <v>400</v>
          </cell>
        </row>
        <row r="4565">
          <cell r="B4565">
            <v>7871</v>
          </cell>
          <cell r="C4565" t="str">
            <v>LD_96_</v>
          </cell>
          <cell r="D4565" t="str">
            <v>Rancho Landero No. 96</v>
          </cell>
          <cell r="E4565" t="str">
            <v>Espinoza Aguirre</v>
          </cell>
          <cell r="F4565">
            <v>300</v>
          </cell>
          <cell r="G4565">
            <v>3</v>
          </cell>
          <cell r="H4565">
            <v>160</v>
          </cell>
          <cell r="I4565">
            <v>41896</v>
          </cell>
          <cell r="J4565" t="str">
            <v>NO SUMA</v>
          </cell>
          <cell r="W4565">
            <v>0</v>
          </cell>
          <cell r="AJ4565">
            <v>0</v>
          </cell>
          <cell r="AW4565">
            <v>0</v>
          </cell>
        </row>
        <row r="4566">
          <cell r="B4566">
            <v>7871</v>
          </cell>
          <cell r="C4566" t="str">
            <v>LD_96_</v>
          </cell>
          <cell r="D4566" t="str">
            <v>Rancho Landero No. 96</v>
          </cell>
          <cell r="E4566" t="str">
            <v>Espinoza Aguirre</v>
          </cell>
          <cell r="F4566">
            <v>300</v>
          </cell>
          <cell r="G4566">
            <v>5</v>
          </cell>
          <cell r="H4566">
            <v>20</v>
          </cell>
          <cell r="I4566">
            <v>41896</v>
          </cell>
          <cell r="J4566" t="str">
            <v>NO SUMA</v>
          </cell>
          <cell r="W4566">
            <v>0</v>
          </cell>
          <cell r="AJ4566">
            <v>0</v>
          </cell>
          <cell r="AW4566">
            <v>0</v>
          </cell>
        </row>
        <row r="4567">
          <cell r="B4567">
            <v>7871</v>
          </cell>
          <cell r="C4567" t="str">
            <v>LD_96_</v>
          </cell>
          <cell r="D4567" t="str">
            <v>Rancho Landero No. 96</v>
          </cell>
          <cell r="E4567" t="str">
            <v>Espinoza Aguirre</v>
          </cell>
          <cell r="F4567">
            <v>300</v>
          </cell>
          <cell r="G4567">
            <v>5</v>
          </cell>
          <cell r="H4567">
            <v>20</v>
          </cell>
          <cell r="I4567">
            <v>41896</v>
          </cell>
          <cell r="J4567" t="str">
            <v>NO SUMA</v>
          </cell>
          <cell r="W4567">
            <v>0</v>
          </cell>
          <cell r="AJ4567">
            <v>0</v>
          </cell>
          <cell r="AW4567">
            <v>0</v>
          </cell>
        </row>
        <row r="4568">
          <cell r="B4568">
            <v>7871</v>
          </cell>
          <cell r="C4568" t="str">
            <v>LD_96_</v>
          </cell>
          <cell r="D4568" t="str">
            <v>Rancho Landero No. 96</v>
          </cell>
          <cell r="E4568" t="str">
            <v>Espinoza Aguirre</v>
          </cell>
          <cell r="F4568">
            <v>300</v>
          </cell>
          <cell r="G4568">
            <v>5</v>
          </cell>
          <cell r="H4568">
            <v>20</v>
          </cell>
          <cell r="I4568">
            <v>41896</v>
          </cell>
          <cell r="J4568" t="str">
            <v>NO SUMA</v>
          </cell>
          <cell r="W4568">
            <v>0</v>
          </cell>
          <cell r="AJ4568">
            <v>0</v>
          </cell>
          <cell r="AW4568">
            <v>0</v>
          </cell>
        </row>
        <row r="4569">
          <cell r="B4569">
            <v>7871</v>
          </cell>
          <cell r="C4569" t="str">
            <v>LD_96_</v>
          </cell>
          <cell r="D4569" t="str">
            <v>Rancho Landero No. 96</v>
          </cell>
          <cell r="E4569" t="str">
            <v>Espinoza Aguirre</v>
          </cell>
          <cell r="F4569">
            <v>300</v>
          </cell>
          <cell r="G4569">
            <v>5</v>
          </cell>
          <cell r="H4569">
            <v>50</v>
          </cell>
          <cell r="I4569">
            <v>41896</v>
          </cell>
          <cell r="J4569" t="str">
            <v>NO SUMA</v>
          </cell>
          <cell r="W4569">
            <v>0</v>
          </cell>
          <cell r="AJ4569">
            <v>0</v>
          </cell>
          <cell r="AW4569">
            <v>0</v>
          </cell>
        </row>
        <row r="4570">
          <cell r="B4570">
            <v>7872</v>
          </cell>
          <cell r="C4570" t="str">
            <v>CL_87_</v>
          </cell>
          <cell r="D4570" t="str">
            <v>Rancho La Cuchilla No. 87</v>
          </cell>
          <cell r="E4570" t="str">
            <v>Villanueva S.</v>
          </cell>
          <cell r="F4570">
            <v>300</v>
          </cell>
          <cell r="G4570">
            <v>5</v>
          </cell>
          <cell r="H4570">
            <v>20</v>
          </cell>
          <cell r="I4570">
            <v>41896</v>
          </cell>
          <cell r="J4570" t="str">
            <v>NO SUMA</v>
          </cell>
          <cell r="W4570">
            <v>0</v>
          </cell>
          <cell r="AJ4570">
            <v>0</v>
          </cell>
          <cell r="AW4570">
            <v>0</v>
          </cell>
        </row>
        <row r="4571">
          <cell r="B4571">
            <v>7873</v>
          </cell>
          <cell r="C4571" t="str">
            <v>LD_8_</v>
          </cell>
          <cell r="D4571" t="str">
            <v>Rancho Landero No. 8</v>
          </cell>
          <cell r="E4571" t="str">
            <v>Peña Torres</v>
          </cell>
          <cell r="F4571">
            <v>250</v>
          </cell>
          <cell r="G4571">
            <v>1</v>
          </cell>
          <cell r="H4571">
            <v>500</v>
          </cell>
          <cell r="I4571">
            <v>41896</v>
          </cell>
          <cell r="J4571">
            <v>0</v>
          </cell>
          <cell r="W4571">
            <v>0</v>
          </cell>
          <cell r="AJ4571">
            <v>0</v>
          </cell>
          <cell r="AS4571">
            <v>250</v>
          </cell>
          <cell r="AT4571">
            <v>250</v>
          </cell>
          <cell r="AW4571">
            <v>500</v>
          </cell>
        </row>
        <row r="4572">
          <cell r="B4572">
            <v>7874</v>
          </cell>
          <cell r="C4572" t="str">
            <v>UP_73_A</v>
          </cell>
          <cell r="D4572" t="str">
            <v>Rancho Upácuaro No. 73, A</v>
          </cell>
          <cell r="E4572" t="str">
            <v>Ortega</v>
          </cell>
          <cell r="F4572">
            <v>150</v>
          </cell>
          <cell r="G4572">
            <v>1</v>
          </cell>
          <cell r="H4572">
            <v>200</v>
          </cell>
          <cell r="I4572">
            <v>41896</v>
          </cell>
          <cell r="J4572">
            <v>0</v>
          </cell>
          <cell r="W4572">
            <v>0</v>
          </cell>
          <cell r="AJ4572">
            <v>0</v>
          </cell>
          <cell r="AS4572">
            <v>200</v>
          </cell>
          <cell r="AW4572">
            <v>200</v>
          </cell>
        </row>
        <row r="4573">
          <cell r="B4573">
            <v>7875</v>
          </cell>
          <cell r="C4573" t="str">
            <v>UP_140_</v>
          </cell>
          <cell r="D4573" t="str">
            <v>Rancho Upácuaro No. 140</v>
          </cell>
          <cell r="E4573" t="str">
            <v>Gozain</v>
          </cell>
          <cell r="F4573">
            <v>300</v>
          </cell>
          <cell r="G4573">
            <v>1</v>
          </cell>
          <cell r="H4573">
            <v>400</v>
          </cell>
          <cell r="I4573">
            <v>41896</v>
          </cell>
          <cell r="J4573">
            <v>0</v>
          </cell>
          <cell r="W4573">
            <v>0</v>
          </cell>
          <cell r="AJ4573">
            <v>0</v>
          </cell>
          <cell r="AS4573">
            <v>400</v>
          </cell>
          <cell r="AW4573">
            <v>400</v>
          </cell>
        </row>
        <row r="4574">
          <cell r="B4574">
            <v>7876</v>
          </cell>
          <cell r="C4574" t="str">
            <v>CL_15_</v>
          </cell>
          <cell r="D4574" t="str">
            <v>Rancho La Cuchilla No. 15</v>
          </cell>
          <cell r="E4574" t="str">
            <v>Guerrero Ponce</v>
          </cell>
          <cell r="F4574">
            <v>300</v>
          </cell>
          <cell r="G4574">
            <v>5</v>
          </cell>
          <cell r="H4574">
            <v>20</v>
          </cell>
          <cell r="I4574">
            <v>41896</v>
          </cell>
          <cell r="J4574" t="str">
            <v>NO SUMA</v>
          </cell>
          <cell r="W4574">
            <v>0</v>
          </cell>
          <cell r="AJ4574">
            <v>0</v>
          </cell>
          <cell r="AW4574">
            <v>0</v>
          </cell>
        </row>
        <row r="4575">
          <cell r="B4575">
            <v>7876</v>
          </cell>
          <cell r="C4575" t="str">
            <v>CL_15_</v>
          </cell>
          <cell r="D4575" t="str">
            <v>Rancho La Cuchilla No. 15</v>
          </cell>
          <cell r="E4575" t="str">
            <v>Guerrero Ponce</v>
          </cell>
          <cell r="F4575">
            <v>300</v>
          </cell>
          <cell r="G4575">
            <v>5</v>
          </cell>
          <cell r="H4575">
            <v>20</v>
          </cell>
          <cell r="I4575">
            <v>41896</v>
          </cell>
          <cell r="J4575" t="str">
            <v>NO SUMA</v>
          </cell>
          <cell r="W4575">
            <v>0</v>
          </cell>
          <cell r="AJ4575">
            <v>0</v>
          </cell>
          <cell r="AW4575">
            <v>0</v>
          </cell>
        </row>
        <row r="4576">
          <cell r="B4576">
            <v>7877</v>
          </cell>
          <cell r="C4576" t="str">
            <v>UP_140_</v>
          </cell>
          <cell r="D4576" t="str">
            <v>Rancho Upácuaro No. 140</v>
          </cell>
          <cell r="E4576" t="str">
            <v>Gozain</v>
          </cell>
          <cell r="F4576">
            <v>300</v>
          </cell>
          <cell r="G4576">
            <v>4</v>
          </cell>
          <cell r="H4576">
            <v>160</v>
          </cell>
          <cell r="I4576">
            <v>41896</v>
          </cell>
          <cell r="J4576" t="str">
            <v>NO SUMA</v>
          </cell>
          <cell r="W4576">
            <v>0</v>
          </cell>
          <cell r="AJ4576">
            <v>0</v>
          </cell>
          <cell r="AW4576">
            <v>0</v>
          </cell>
        </row>
        <row r="4577">
          <cell r="B4577">
            <v>7877</v>
          </cell>
          <cell r="C4577" t="str">
            <v>UP_140_</v>
          </cell>
          <cell r="D4577" t="str">
            <v>Rancho Upácuaro No. 140</v>
          </cell>
          <cell r="E4577" t="str">
            <v>Gozain</v>
          </cell>
          <cell r="F4577">
            <v>300</v>
          </cell>
          <cell r="G4577">
            <v>5</v>
          </cell>
          <cell r="H4577">
            <v>20</v>
          </cell>
          <cell r="I4577">
            <v>41896</v>
          </cell>
          <cell r="J4577" t="str">
            <v>NO SUMA</v>
          </cell>
          <cell r="W4577">
            <v>0</v>
          </cell>
          <cell r="AJ4577">
            <v>0</v>
          </cell>
          <cell r="AW4577">
            <v>0</v>
          </cell>
        </row>
        <row r="4578">
          <cell r="B4578">
            <v>7877</v>
          </cell>
          <cell r="C4578" t="str">
            <v>UP_140_</v>
          </cell>
          <cell r="D4578" t="str">
            <v>Rancho Upácuaro No. 140</v>
          </cell>
          <cell r="E4578" t="str">
            <v>Gozain</v>
          </cell>
          <cell r="F4578">
            <v>300</v>
          </cell>
          <cell r="G4578">
            <v>5</v>
          </cell>
          <cell r="H4578">
            <v>20</v>
          </cell>
          <cell r="I4578">
            <v>41896</v>
          </cell>
          <cell r="J4578" t="str">
            <v>NO SUMA</v>
          </cell>
          <cell r="W4578">
            <v>0</v>
          </cell>
          <cell r="AJ4578">
            <v>0</v>
          </cell>
          <cell r="AW4578">
            <v>0</v>
          </cell>
        </row>
        <row r="4579">
          <cell r="B4579">
            <v>7877</v>
          </cell>
          <cell r="C4579" t="str">
            <v>UP_140_</v>
          </cell>
          <cell r="D4579" t="str">
            <v>Rancho Upácuaro No. 140</v>
          </cell>
          <cell r="E4579" t="str">
            <v>Gozain</v>
          </cell>
          <cell r="F4579">
            <v>300</v>
          </cell>
          <cell r="G4579">
            <v>5</v>
          </cell>
          <cell r="H4579">
            <v>20</v>
          </cell>
          <cell r="I4579">
            <v>41896</v>
          </cell>
          <cell r="J4579" t="str">
            <v>NO SUMA</v>
          </cell>
          <cell r="W4579">
            <v>0</v>
          </cell>
          <cell r="AJ4579">
            <v>0</v>
          </cell>
          <cell r="AW4579">
            <v>0</v>
          </cell>
        </row>
        <row r="4580">
          <cell r="B4580">
            <v>7877</v>
          </cell>
          <cell r="C4580" t="str">
            <v>UP_140_</v>
          </cell>
          <cell r="D4580" t="str">
            <v>Rancho Upácuaro No. 140</v>
          </cell>
          <cell r="E4580" t="str">
            <v>Gozain</v>
          </cell>
          <cell r="F4580">
            <v>300</v>
          </cell>
          <cell r="G4580">
            <v>5</v>
          </cell>
          <cell r="H4580">
            <v>50</v>
          </cell>
          <cell r="I4580">
            <v>41896</v>
          </cell>
          <cell r="J4580" t="str">
            <v>NO SUMA</v>
          </cell>
          <cell r="W4580">
            <v>0</v>
          </cell>
          <cell r="AJ4580">
            <v>0</v>
          </cell>
          <cell r="AW4580">
            <v>0</v>
          </cell>
        </row>
        <row r="4581">
          <cell r="B4581">
            <v>7878</v>
          </cell>
          <cell r="D4581" t="str">
            <v/>
          </cell>
          <cell r="E4581" t="str">
            <v/>
          </cell>
          <cell r="F4581" t="str">
            <v/>
          </cell>
          <cell r="G4581">
            <v>8</v>
          </cell>
          <cell r="I4581">
            <v>41896</v>
          </cell>
          <cell r="J4581" t="str">
            <v>NO SUMA</v>
          </cell>
          <cell r="W4581">
            <v>0</v>
          </cell>
          <cell r="AJ4581">
            <v>0</v>
          </cell>
          <cell r="AW4581">
            <v>0</v>
          </cell>
        </row>
        <row r="4582">
          <cell r="B4582">
            <v>7879</v>
          </cell>
          <cell r="C4582" t="str">
            <v>ZB_14_</v>
          </cell>
          <cell r="D4582" t="str">
            <v>Rancho Zinamba No. 14</v>
          </cell>
          <cell r="E4582" t="str">
            <v>Gutiérrez García</v>
          </cell>
          <cell r="F4582">
            <v>300</v>
          </cell>
          <cell r="G4582">
            <v>1</v>
          </cell>
          <cell r="H4582">
            <v>800</v>
          </cell>
          <cell r="I4582">
            <v>41896</v>
          </cell>
          <cell r="J4582">
            <v>0</v>
          </cell>
          <cell r="W4582">
            <v>0</v>
          </cell>
          <cell r="AJ4582">
            <v>0</v>
          </cell>
          <cell r="AR4582">
            <v>400</v>
          </cell>
          <cell r="AS4582">
            <v>400</v>
          </cell>
          <cell r="AW4582">
            <v>800</v>
          </cell>
        </row>
        <row r="4583">
          <cell r="B4583">
            <v>7879</v>
          </cell>
          <cell r="C4583" t="str">
            <v>ZB_14_</v>
          </cell>
          <cell r="D4583" t="str">
            <v>Rancho Zinamba No. 14</v>
          </cell>
          <cell r="E4583" t="str">
            <v>Gutiérrez García</v>
          </cell>
          <cell r="F4583">
            <v>300</v>
          </cell>
          <cell r="G4583">
            <v>5</v>
          </cell>
          <cell r="H4583">
            <v>20</v>
          </cell>
          <cell r="I4583">
            <v>41896</v>
          </cell>
          <cell r="J4583" t="str">
            <v>NO SUMA</v>
          </cell>
          <cell r="W4583">
            <v>0</v>
          </cell>
          <cell r="AJ4583">
            <v>0</v>
          </cell>
          <cell r="AW4583">
            <v>0</v>
          </cell>
        </row>
        <row r="4584">
          <cell r="B4584">
            <v>7880</v>
          </cell>
          <cell r="C4584" t="str">
            <v>RM_10_B</v>
          </cell>
          <cell r="D4584" t="str">
            <v>Rancho Romeral No. 10, B</v>
          </cell>
          <cell r="E4584" t="str">
            <v>López Castellano</v>
          </cell>
          <cell r="F4584">
            <v>300</v>
          </cell>
          <cell r="G4584">
            <v>1</v>
          </cell>
          <cell r="H4584">
            <v>300</v>
          </cell>
          <cell r="I4584">
            <v>41896</v>
          </cell>
          <cell r="J4584">
            <v>0</v>
          </cell>
          <cell r="W4584">
            <v>0</v>
          </cell>
          <cell r="AJ4584">
            <v>0</v>
          </cell>
          <cell r="AS4584">
            <v>300</v>
          </cell>
          <cell r="AW4584">
            <v>300</v>
          </cell>
        </row>
        <row r="4585">
          <cell r="B4585">
            <v>7880</v>
          </cell>
          <cell r="C4585" t="str">
            <v>RM_10_B</v>
          </cell>
          <cell r="D4585" t="str">
            <v>Rancho Romeral No. 10, B</v>
          </cell>
          <cell r="E4585" t="str">
            <v>López Castellano</v>
          </cell>
          <cell r="F4585">
            <v>300</v>
          </cell>
          <cell r="G4585">
            <v>5</v>
          </cell>
          <cell r="H4585">
            <v>20</v>
          </cell>
          <cell r="I4585">
            <v>41896</v>
          </cell>
          <cell r="J4585" t="str">
            <v>NO SUMA</v>
          </cell>
          <cell r="W4585">
            <v>0</v>
          </cell>
          <cell r="AJ4585">
            <v>0</v>
          </cell>
          <cell r="AW4585">
            <v>0</v>
          </cell>
        </row>
        <row r="4586">
          <cell r="B4586">
            <v>7881</v>
          </cell>
          <cell r="C4586" t="str">
            <v>LD_85_</v>
          </cell>
          <cell r="D4586" t="str">
            <v>Rancho Landero No. 85</v>
          </cell>
          <cell r="E4586" t="str">
            <v>Martínez Olague</v>
          </cell>
          <cell r="F4586">
            <v>300</v>
          </cell>
          <cell r="G4586">
            <v>5</v>
          </cell>
          <cell r="H4586">
            <v>20</v>
          </cell>
          <cell r="I4586">
            <v>41896</v>
          </cell>
          <cell r="J4586" t="str">
            <v>NO SUMA</v>
          </cell>
          <cell r="W4586">
            <v>0</v>
          </cell>
          <cell r="AJ4586">
            <v>0</v>
          </cell>
          <cell r="AW4586">
            <v>0</v>
          </cell>
        </row>
        <row r="4587">
          <cell r="B4587">
            <v>7881</v>
          </cell>
          <cell r="C4587" t="str">
            <v>LD_85_</v>
          </cell>
          <cell r="D4587" t="str">
            <v>Rancho Landero No. 85</v>
          </cell>
          <cell r="E4587" t="str">
            <v>Martínez Olague</v>
          </cell>
          <cell r="F4587">
            <v>300</v>
          </cell>
          <cell r="G4587">
            <v>5</v>
          </cell>
          <cell r="H4587">
            <v>20</v>
          </cell>
          <cell r="I4587">
            <v>41896</v>
          </cell>
          <cell r="J4587" t="str">
            <v>NO SUMA</v>
          </cell>
          <cell r="W4587">
            <v>0</v>
          </cell>
          <cell r="AJ4587">
            <v>0</v>
          </cell>
          <cell r="AW4587">
            <v>0</v>
          </cell>
        </row>
        <row r="4588">
          <cell r="B4588">
            <v>7881</v>
          </cell>
          <cell r="C4588" t="str">
            <v>LD_85_</v>
          </cell>
          <cell r="D4588" t="str">
            <v>Rancho Landero No. 85</v>
          </cell>
          <cell r="E4588" t="str">
            <v>Martínez Olague</v>
          </cell>
          <cell r="F4588">
            <v>300</v>
          </cell>
          <cell r="G4588">
            <v>5</v>
          </cell>
          <cell r="H4588">
            <v>20</v>
          </cell>
          <cell r="I4588">
            <v>41896</v>
          </cell>
          <cell r="J4588" t="str">
            <v>NO SUMA</v>
          </cell>
          <cell r="W4588">
            <v>0</v>
          </cell>
          <cell r="AJ4588">
            <v>0</v>
          </cell>
          <cell r="AW4588">
            <v>0</v>
          </cell>
        </row>
        <row r="4589">
          <cell r="B4589">
            <v>7882</v>
          </cell>
          <cell r="C4589" t="str">
            <v>UP_18_</v>
          </cell>
          <cell r="D4589" t="str">
            <v>Rancho Upácuaro No. 18</v>
          </cell>
          <cell r="E4589" t="str">
            <v>Guzmán</v>
          </cell>
          <cell r="F4589">
            <v>300</v>
          </cell>
          <cell r="G4589">
            <v>4</v>
          </cell>
          <cell r="H4589">
            <v>160</v>
          </cell>
          <cell r="I4589">
            <v>41896</v>
          </cell>
          <cell r="J4589" t="str">
            <v>NO SUMA</v>
          </cell>
          <cell r="W4589">
            <v>0</v>
          </cell>
          <cell r="AJ4589">
            <v>0</v>
          </cell>
          <cell r="AW4589">
            <v>0</v>
          </cell>
        </row>
        <row r="4590">
          <cell r="B4590">
            <v>7882</v>
          </cell>
          <cell r="C4590" t="str">
            <v>UP_18_</v>
          </cell>
          <cell r="D4590" t="str">
            <v>Rancho Upácuaro No. 18</v>
          </cell>
          <cell r="E4590" t="str">
            <v>Guzmán</v>
          </cell>
          <cell r="F4590">
            <v>300</v>
          </cell>
          <cell r="G4590">
            <v>5</v>
          </cell>
          <cell r="H4590">
            <v>20</v>
          </cell>
          <cell r="I4590">
            <v>41896</v>
          </cell>
          <cell r="J4590" t="str">
            <v>NO SUMA</v>
          </cell>
          <cell r="W4590">
            <v>0</v>
          </cell>
          <cell r="AJ4590">
            <v>0</v>
          </cell>
          <cell r="AW4590">
            <v>0</v>
          </cell>
        </row>
        <row r="4591">
          <cell r="B4591">
            <v>7882</v>
          </cell>
          <cell r="C4591" t="str">
            <v>UP_18_</v>
          </cell>
          <cell r="D4591" t="str">
            <v>Rancho Upácuaro No. 18</v>
          </cell>
          <cell r="E4591" t="str">
            <v>Guzmán</v>
          </cell>
          <cell r="F4591">
            <v>300</v>
          </cell>
          <cell r="G4591">
            <v>5</v>
          </cell>
          <cell r="H4591">
            <v>20</v>
          </cell>
          <cell r="I4591">
            <v>41896</v>
          </cell>
          <cell r="J4591" t="str">
            <v>NO SUMA</v>
          </cell>
          <cell r="W4591">
            <v>0</v>
          </cell>
          <cell r="AJ4591">
            <v>0</v>
          </cell>
          <cell r="AW4591">
            <v>0</v>
          </cell>
        </row>
        <row r="4592">
          <cell r="B4592">
            <v>7883</v>
          </cell>
          <cell r="C4592" t="str">
            <v>ZB_14_</v>
          </cell>
          <cell r="D4592" t="str">
            <v>Rancho Zinamba No. 14</v>
          </cell>
          <cell r="E4592" t="str">
            <v>Gutiérrez García</v>
          </cell>
          <cell r="F4592">
            <v>300</v>
          </cell>
          <cell r="G4592">
            <v>5</v>
          </cell>
          <cell r="H4592">
            <v>20</v>
          </cell>
          <cell r="I4592">
            <v>41896</v>
          </cell>
          <cell r="J4592" t="str">
            <v>NO SUMA</v>
          </cell>
          <cell r="W4592">
            <v>0</v>
          </cell>
          <cell r="AJ4592">
            <v>0</v>
          </cell>
          <cell r="AW4592">
            <v>0</v>
          </cell>
        </row>
        <row r="4593">
          <cell r="B4593">
            <v>7884</v>
          </cell>
          <cell r="C4593" t="str">
            <v>LD_24_</v>
          </cell>
          <cell r="D4593" t="str">
            <v>Rancho Landero No. 24</v>
          </cell>
          <cell r="E4593" t="str">
            <v>Vázquez Peralta</v>
          </cell>
          <cell r="F4593">
            <v>300</v>
          </cell>
          <cell r="G4593">
            <v>1</v>
          </cell>
          <cell r="H4593">
            <v>400</v>
          </cell>
          <cell r="I4593">
            <v>41896</v>
          </cell>
          <cell r="J4593">
            <v>0</v>
          </cell>
          <cell r="W4593">
            <v>0</v>
          </cell>
          <cell r="AJ4593">
            <v>0</v>
          </cell>
          <cell r="AR4593">
            <v>400</v>
          </cell>
          <cell r="AW4593">
            <v>400</v>
          </cell>
        </row>
        <row r="4594">
          <cell r="B4594">
            <v>7884</v>
          </cell>
          <cell r="C4594" t="str">
            <v>LD_24_</v>
          </cell>
          <cell r="D4594" t="str">
            <v>Rancho Landero No. 24</v>
          </cell>
          <cell r="E4594" t="str">
            <v>Vázquez Peralta</v>
          </cell>
          <cell r="F4594">
            <v>300</v>
          </cell>
          <cell r="G4594">
            <v>5</v>
          </cell>
          <cell r="H4594">
            <v>20</v>
          </cell>
          <cell r="I4594">
            <v>41896</v>
          </cell>
          <cell r="J4594" t="str">
            <v>NO SUMA</v>
          </cell>
          <cell r="W4594">
            <v>0</v>
          </cell>
          <cell r="AJ4594">
            <v>0</v>
          </cell>
          <cell r="AW4594">
            <v>0</v>
          </cell>
        </row>
        <row r="4595">
          <cell r="B4595">
            <v>7884</v>
          </cell>
          <cell r="C4595" t="str">
            <v>LD_24_</v>
          </cell>
          <cell r="D4595" t="str">
            <v>Rancho Landero No. 24</v>
          </cell>
          <cell r="E4595" t="str">
            <v>Vázquez Peralta</v>
          </cell>
          <cell r="F4595">
            <v>300</v>
          </cell>
          <cell r="G4595">
            <v>5</v>
          </cell>
          <cell r="H4595">
            <v>20</v>
          </cell>
          <cell r="I4595">
            <v>41896</v>
          </cell>
          <cell r="J4595" t="str">
            <v>NO SUMA</v>
          </cell>
          <cell r="W4595">
            <v>0</v>
          </cell>
          <cell r="AJ4595">
            <v>0</v>
          </cell>
          <cell r="AW4595">
            <v>0</v>
          </cell>
        </row>
        <row r="4596">
          <cell r="B4596">
            <v>7885</v>
          </cell>
          <cell r="C4596" t="str">
            <v>UP_19_</v>
          </cell>
          <cell r="D4596" t="str">
            <v>Rancho Upácuaro No. 19</v>
          </cell>
          <cell r="E4596" t="str">
            <v>Peña Inclán</v>
          </cell>
          <cell r="F4596">
            <v>200</v>
          </cell>
          <cell r="G4596">
            <v>1</v>
          </cell>
          <cell r="H4596">
            <v>300</v>
          </cell>
          <cell r="I4596">
            <v>41896</v>
          </cell>
          <cell r="J4596">
            <v>0</v>
          </cell>
          <cell r="W4596">
            <v>0</v>
          </cell>
          <cell r="AJ4596">
            <v>0</v>
          </cell>
          <cell r="AS4596">
            <v>300</v>
          </cell>
          <cell r="AW4596">
            <v>300</v>
          </cell>
        </row>
        <row r="4597">
          <cell r="B4597">
            <v>7885</v>
          </cell>
          <cell r="C4597" t="str">
            <v>UP_19_</v>
          </cell>
          <cell r="D4597" t="str">
            <v>Rancho Upácuaro No. 19</v>
          </cell>
          <cell r="E4597" t="str">
            <v>Peña Inclán</v>
          </cell>
          <cell r="F4597">
            <v>200</v>
          </cell>
          <cell r="G4597">
            <v>5</v>
          </cell>
          <cell r="H4597">
            <v>20</v>
          </cell>
          <cell r="I4597">
            <v>41896</v>
          </cell>
          <cell r="J4597" t="str">
            <v>NO SUMA</v>
          </cell>
          <cell r="W4597">
            <v>0</v>
          </cell>
          <cell r="AJ4597">
            <v>0</v>
          </cell>
          <cell r="AW4597">
            <v>0</v>
          </cell>
        </row>
        <row r="4598">
          <cell r="B4598">
            <v>7885</v>
          </cell>
          <cell r="C4598" t="str">
            <v>UP_19_</v>
          </cell>
          <cell r="D4598" t="str">
            <v>Rancho Upácuaro No. 19</v>
          </cell>
          <cell r="E4598" t="str">
            <v>Peña Inclán</v>
          </cell>
          <cell r="F4598">
            <v>200</v>
          </cell>
          <cell r="G4598">
            <v>5</v>
          </cell>
          <cell r="H4598">
            <v>20</v>
          </cell>
          <cell r="I4598">
            <v>41896</v>
          </cell>
          <cell r="J4598" t="str">
            <v>NO SUMA</v>
          </cell>
          <cell r="W4598">
            <v>0</v>
          </cell>
          <cell r="AJ4598">
            <v>0</v>
          </cell>
          <cell r="AW4598">
            <v>0</v>
          </cell>
        </row>
        <row r="4599">
          <cell r="B4599">
            <v>7885</v>
          </cell>
          <cell r="C4599" t="str">
            <v>UP_19_</v>
          </cell>
          <cell r="D4599" t="str">
            <v>Rancho Upácuaro No. 19</v>
          </cell>
          <cell r="E4599" t="str">
            <v>Peña Inclán</v>
          </cell>
          <cell r="F4599">
            <v>200</v>
          </cell>
          <cell r="G4599">
            <v>5</v>
          </cell>
          <cell r="H4599">
            <v>20</v>
          </cell>
          <cell r="I4599">
            <v>41896</v>
          </cell>
          <cell r="J4599" t="str">
            <v>NO SUMA</v>
          </cell>
          <cell r="W4599">
            <v>0</v>
          </cell>
          <cell r="AJ4599">
            <v>0</v>
          </cell>
          <cell r="AW4599">
            <v>0</v>
          </cell>
        </row>
        <row r="4600">
          <cell r="B4600">
            <v>7885</v>
          </cell>
          <cell r="C4600" t="str">
            <v>UP_19_</v>
          </cell>
          <cell r="D4600" t="str">
            <v>Rancho Upácuaro No. 19</v>
          </cell>
          <cell r="E4600" t="str">
            <v>Peña Inclán</v>
          </cell>
          <cell r="F4600">
            <v>200</v>
          </cell>
          <cell r="G4600">
            <v>5</v>
          </cell>
          <cell r="H4600">
            <v>50</v>
          </cell>
          <cell r="I4600">
            <v>41896</v>
          </cell>
          <cell r="J4600" t="str">
            <v>NO SUMA</v>
          </cell>
          <cell r="W4600">
            <v>0</v>
          </cell>
          <cell r="AJ4600">
            <v>0</v>
          </cell>
          <cell r="AW4600">
            <v>0</v>
          </cell>
        </row>
        <row r="4601">
          <cell r="B4601">
            <v>7886</v>
          </cell>
          <cell r="C4601" t="str">
            <v>EZ_165_A</v>
          </cell>
          <cell r="D4601" t="str">
            <v>Rancho Estanzuela No. 165, A</v>
          </cell>
          <cell r="E4601" t="str">
            <v>Campos Jorge</v>
          </cell>
          <cell r="F4601">
            <v>150</v>
          </cell>
          <cell r="G4601">
            <v>5</v>
          </cell>
          <cell r="H4601">
            <v>20</v>
          </cell>
          <cell r="I4601">
            <v>41897</v>
          </cell>
          <cell r="J4601" t="str">
            <v>NO SUMA</v>
          </cell>
          <cell r="W4601">
            <v>0</v>
          </cell>
          <cell r="AJ4601">
            <v>0</v>
          </cell>
          <cell r="AW4601">
            <v>0</v>
          </cell>
        </row>
        <row r="4602">
          <cell r="B4602">
            <v>7886</v>
          </cell>
          <cell r="C4602" t="str">
            <v>EZ_165_A</v>
          </cell>
          <cell r="D4602" t="str">
            <v>Rancho Estanzuela No. 165, A</v>
          </cell>
          <cell r="E4602" t="str">
            <v>Campos Jorge</v>
          </cell>
          <cell r="F4602">
            <v>150</v>
          </cell>
          <cell r="G4602">
            <v>5</v>
          </cell>
          <cell r="H4602">
            <v>20</v>
          </cell>
          <cell r="I4602">
            <v>41897</v>
          </cell>
          <cell r="J4602" t="str">
            <v>NO SUMA</v>
          </cell>
          <cell r="W4602">
            <v>0</v>
          </cell>
          <cell r="AJ4602">
            <v>0</v>
          </cell>
          <cell r="AW4602">
            <v>0</v>
          </cell>
        </row>
        <row r="4603">
          <cell r="B4603">
            <v>7886</v>
          </cell>
          <cell r="C4603" t="str">
            <v>EZ_165_A</v>
          </cell>
          <cell r="D4603" t="str">
            <v>Rancho Estanzuela No. 165, A</v>
          </cell>
          <cell r="E4603" t="str">
            <v>Campos Jorge</v>
          </cell>
          <cell r="F4603">
            <v>150</v>
          </cell>
          <cell r="G4603">
            <v>5</v>
          </cell>
          <cell r="H4603">
            <v>20</v>
          </cell>
          <cell r="I4603">
            <v>41897</v>
          </cell>
          <cell r="J4603" t="str">
            <v>NO SUMA</v>
          </cell>
          <cell r="W4603">
            <v>0</v>
          </cell>
          <cell r="AJ4603">
            <v>0</v>
          </cell>
          <cell r="AW4603">
            <v>0</v>
          </cell>
        </row>
        <row r="4604">
          <cell r="B4604">
            <v>7887</v>
          </cell>
          <cell r="C4604" t="str">
            <v>UP_5_B</v>
          </cell>
          <cell r="D4604" t="str">
            <v>Rancho Upácuaro No. 5, B</v>
          </cell>
          <cell r="E4604" t="str">
            <v>Cervantes</v>
          </cell>
          <cell r="F4604">
            <v>300</v>
          </cell>
          <cell r="G4604">
            <v>1</v>
          </cell>
          <cell r="H4604">
            <v>800</v>
          </cell>
          <cell r="I4604">
            <v>41897</v>
          </cell>
          <cell r="J4604">
            <v>0</v>
          </cell>
          <cell r="W4604">
            <v>0</v>
          </cell>
          <cell r="AJ4604">
            <v>0</v>
          </cell>
          <cell r="AR4604">
            <v>400</v>
          </cell>
          <cell r="AS4604">
            <v>400</v>
          </cell>
          <cell r="AW4604">
            <v>800</v>
          </cell>
        </row>
        <row r="4605">
          <cell r="B4605">
            <v>7888</v>
          </cell>
          <cell r="C4605" t="str">
            <v>EZ_129_</v>
          </cell>
          <cell r="D4605" t="str">
            <v>Rancho Estanzuela No. 129</v>
          </cell>
          <cell r="E4605" t="str">
            <v>González</v>
          </cell>
          <cell r="F4605">
            <v>300</v>
          </cell>
          <cell r="G4605">
            <v>5</v>
          </cell>
          <cell r="H4605">
            <v>20</v>
          </cell>
          <cell r="I4605">
            <v>41899</v>
          </cell>
          <cell r="J4605" t="str">
            <v>NO SUMA</v>
          </cell>
          <cell r="W4605">
            <v>0</v>
          </cell>
          <cell r="AJ4605">
            <v>0</v>
          </cell>
          <cell r="AW4605">
            <v>0</v>
          </cell>
        </row>
        <row r="4606">
          <cell r="B4606">
            <v>7889</v>
          </cell>
          <cell r="C4606" t="str">
            <v>LD_1_A</v>
          </cell>
          <cell r="D4606" t="str">
            <v>Rancho Landero No. 1, A</v>
          </cell>
          <cell r="E4606" t="str">
            <v>Ebysos</v>
          </cell>
          <cell r="F4606">
            <v>300</v>
          </cell>
          <cell r="G4606">
            <v>1</v>
          </cell>
          <cell r="H4606">
            <v>400</v>
          </cell>
          <cell r="I4606">
            <v>41900</v>
          </cell>
          <cell r="J4606">
            <v>0</v>
          </cell>
          <cell r="W4606">
            <v>0</v>
          </cell>
          <cell r="AJ4606">
            <v>0</v>
          </cell>
          <cell r="AS4606">
            <v>400</v>
          </cell>
          <cell r="AW4606">
            <v>400</v>
          </cell>
        </row>
        <row r="4607">
          <cell r="B4607">
            <v>7890</v>
          </cell>
          <cell r="C4607" t="str">
            <v>EZ_67_</v>
          </cell>
          <cell r="D4607" t="str">
            <v>Rancho Estanzuela No. 67</v>
          </cell>
          <cell r="E4607" t="str">
            <v>Carmona Galarza</v>
          </cell>
          <cell r="F4607">
            <v>300</v>
          </cell>
          <cell r="G4607">
            <v>5</v>
          </cell>
          <cell r="H4607">
            <v>20</v>
          </cell>
          <cell r="I4607">
            <v>41900</v>
          </cell>
          <cell r="J4607" t="str">
            <v>NO SUMA</v>
          </cell>
          <cell r="W4607">
            <v>0</v>
          </cell>
          <cell r="AJ4607">
            <v>0</v>
          </cell>
          <cell r="AW4607">
            <v>0</v>
          </cell>
        </row>
        <row r="4608">
          <cell r="B4608">
            <v>7890</v>
          </cell>
          <cell r="C4608" t="str">
            <v>EZ_67_</v>
          </cell>
          <cell r="D4608" t="str">
            <v>Rancho Estanzuela No. 67</v>
          </cell>
          <cell r="E4608" t="str">
            <v>Carmona Galarza</v>
          </cell>
          <cell r="F4608">
            <v>300</v>
          </cell>
          <cell r="G4608">
            <v>5</v>
          </cell>
          <cell r="H4608">
            <v>20</v>
          </cell>
          <cell r="I4608">
            <v>41900</v>
          </cell>
          <cell r="J4608" t="str">
            <v>NO SUMA</v>
          </cell>
          <cell r="W4608">
            <v>0</v>
          </cell>
          <cell r="AJ4608">
            <v>0</v>
          </cell>
          <cell r="AW4608">
            <v>0</v>
          </cell>
        </row>
        <row r="4609">
          <cell r="B4609">
            <v>7890</v>
          </cell>
          <cell r="C4609" t="str">
            <v>EZ_67_</v>
          </cell>
          <cell r="D4609" t="str">
            <v>Rancho Estanzuela No. 67</v>
          </cell>
          <cell r="E4609" t="str">
            <v>Carmona Galarza</v>
          </cell>
          <cell r="F4609">
            <v>300</v>
          </cell>
          <cell r="G4609">
            <v>5</v>
          </cell>
          <cell r="H4609">
            <v>20</v>
          </cell>
          <cell r="I4609">
            <v>41900</v>
          </cell>
          <cell r="J4609" t="str">
            <v>NO SUMA</v>
          </cell>
          <cell r="W4609">
            <v>0</v>
          </cell>
          <cell r="AJ4609">
            <v>0</v>
          </cell>
          <cell r="AW4609">
            <v>0</v>
          </cell>
        </row>
        <row r="4610">
          <cell r="B4610">
            <v>7890</v>
          </cell>
          <cell r="C4610" t="str">
            <v>EZ_67_</v>
          </cell>
          <cell r="D4610" t="str">
            <v>Rancho Estanzuela No. 67</v>
          </cell>
          <cell r="E4610" t="str">
            <v>Carmona Galarza</v>
          </cell>
          <cell r="F4610">
            <v>300</v>
          </cell>
          <cell r="G4610">
            <v>5</v>
          </cell>
          <cell r="H4610">
            <v>50</v>
          </cell>
          <cell r="I4610">
            <v>41900</v>
          </cell>
          <cell r="J4610" t="str">
            <v>NO SUMA</v>
          </cell>
          <cell r="W4610">
            <v>0</v>
          </cell>
          <cell r="AJ4610">
            <v>0</v>
          </cell>
          <cell r="AW4610">
            <v>0</v>
          </cell>
        </row>
        <row r="4611">
          <cell r="B4611">
            <v>7891</v>
          </cell>
          <cell r="C4611" t="str">
            <v>EZ_149_</v>
          </cell>
          <cell r="D4611" t="str">
            <v>Rancho Estanzuela No. 149</v>
          </cell>
          <cell r="E4611" t="str">
            <v>Sala</v>
          </cell>
          <cell r="F4611">
            <v>300</v>
          </cell>
          <cell r="G4611">
            <v>5</v>
          </cell>
          <cell r="H4611">
            <v>20</v>
          </cell>
          <cell r="I4611">
            <v>41900</v>
          </cell>
          <cell r="J4611" t="str">
            <v>NO SUMA</v>
          </cell>
          <cell r="W4611">
            <v>0</v>
          </cell>
          <cell r="AJ4611">
            <v>0</v>
          </cell>
          <cell r="AW4611">
            <v>0</v>
          </cell>
        </row>
        <row r="4612">
          <cell r="B4612">
            <v>7891</v>
          </cell>
          <cell r="C4612" t="str">
            <v>EZ_149_</v>
          </cell>
          <cell r="D4612" t="str">
            <v>Rancho Estanzuela No. 149</v>
          </cell>
          <cell r="E4612" t="str">
            <v>Sala</v>
          </cell>
          <cell r="F4612">
            <v>300</v>
          </cell>
          <cell r="G4612">
            <v>5</v>
          </cell>
          <cell r="H4612">
            <v>20</v>
          </cell>
          <cell r="I4612">
            <v>41900</v>
          </cell>
          <cell r="J4612" t="str">
            <v>NO SUMA</v>
          </cell>
          <cell r="W4612">
            <v>0</v>
          </cell>
          <cell r="AJ4612">
            <v>0</v>
          </cell>
          <cell r="AW4612">
            <v>0</v>
          </cell>
        </row>
        <row r="4613">
          <cell r="B4613">
            <v>7891</v>
          </cell>
          <cell r="C4613" t="str">
            <v>EZ_149_</v>
          </cell>
          <cell r="D4613" t="str">
            <v>Rancho Estanzuela No. 149</v>
          </cell>
          <cell r="E4613" t="str">
            <v>Sala</v>
          </cell>
          <cell r="F4613">
            <v>300</v>
          </cell>
          <cell r="G4613">
            <v>5</v>
          </cell>
          <cell r="H4613">
            <v>20</v>
          </cell>
          <cell r="I4613">
            <v>41900</v>
          </cell>
          <cell r="J4613" t="str">
            <v>NO SUMA</v>
          </cell>
          <cell r="W4613">
            <v>0</v>
          </cell>
          <cell r="AJ4613">
            <v>0</v>
          </cell>
          <cell r="AW4613">
            <v>0</v>
          </cell>
        </row>
        <row r="4614">
          <cell r="B4614">
            <v>7891</v>
          </cell>
          <cell r="C4614" t="str">
            <v>EZ_149_</v>
          </cell>
          <cell r="D4614" t="str">
            <v>Rancho Estanzuela No. 149</v>
          </cell>
          <cell r="E4614" t="str">
            <v>Sala</v>
          </cell>
          <cell r="F4614">
            <v>300</v>
          </cell>
          <cell r="G4614">
            <v>5</v>
          </cell>
          <cell r="H4614">
            <v>50</v>
          </cell>
          <cell r="I4614">
            <v>41900</v>
          </cell>
          <cell r="J4614" t="str">
            <v>NO SUMA</v>
          </cell>
          <cell r="W4614">
            <v>0</v>
          </cell>
          <cell r="AJ4614">
            <v>0</v>
          </cell>
          <cell r="AW4614">
            <v>0</v>
          </cell>
        </row>
        <row r="4615">
          <cell r="B4615">
            <v>7891</v>
          </cell>
          <cell r="C4615" t="str">
            <v>EZ_149_</v>
          </cell>
          <cell r="D4615" t="str">
            <v>Rancho Estanzuela No. 149</v>
          </cell>
          <cell r="E4615" t="str">
            <v>Sala</v>
          </cell>
          <cell r="F4615">
            <v>300</v>
          </cell>
          <cell r="G4615">
            <v>5</v>
          </cell>
          <cell r="H4615">
            <v>50</v>
          </cell>
          <cell r="I4615">
            <v>41900</v>
          </cell>
          <cell r="J4615" t="str">
            <v>NO SUMA</v>
          </cell>
          <cell r="W4615">
            <v>0</v>
          </cell>
          <cell r="AJ4615">
            <v>0</v>
          </cell>
          <cell r="AW4615">
            <v>0</v>
          </cell>
        </row>
        <row r="4616">
          <cell r="B4616">
            <v>7892</v>
          </cell>
          <cell r="C4616" t="str">
            <v>UP_108_</v>
          </cell>
          <cell r="D4616" t="str">
            <v>Rancho Upácuaro No. 108</v>
          </cell>
          <cell r="E4616" t="str">
            <v>Mejía</v>
          </cell>
          <cell r="F4616">
            <v>300</v>
          </cell>
          <cell r="G4616">
            <v>1</v>
          </cell>
          <cell r="H4616">
            <v>600</v>
          </cell>
          <cell r="I4616">
            <v>41902</v>
          </cell>
          <cell r="J4616">
            <v>0</v>
          </cell>
          <cell r="W4616">
            <v>0</v>
          </cell>
          <cell r="AJ4616">
            <v>0</v>
          </cell>
          <cell r="AR4616">
            <v>300</v>
          </cell>
          <cell r="AS4616">
            <v>300</v>
          </cell>
          <cell r="AW4616">
            <v>600</v>
          </cell>
        </row>
        <row r="4617">
          <cell r="B4617">
            <v>7893</v>
          </cell>
          <cell r="C4617" t="str">
            <v>UP_69_</v>
          </cell>
          <cell r="D4617" t="str">
            <v>Rancho Upácuaro No. 69</v>
          </cell>
          <cell r="E4617" t="str">
            <v>Gómez</v>
          </cell>
          <cell r="F4617">
            <v>300</v>
          </cell>
          <cell r="G4617">
            <v>1</v>
          </cell>
          <cell r="H4617">
            <v>800</v>
          </cell>
          <cell r="I4617">
            <v>41903</v>
          </cell>
          <cell r="J4617">
            <v>0</v>
          </cell>
          <cell r="W4617">
            <v>0</v>
          </cell>
          <cell r="AJ4617">
            <v>0</v>
          </cell>
          <cell r="AR4617">
            <v>400</v>
          </cell>
          <cell r="AS4617">
            <v>400</v>
          </cell>
          <cell r="AW4617">
            <v>800</v>
          </cell>
        </row>
        <row r="4618">
          <cell r="B4618">
            <v>7893</v>
          </cell>
          <cell r="C4618" t="str">
            <v>UP_69_</v>
          </cell>
          <cell r="D4618" t="str">
            <v>Rancho Upácuaro No. 69</v>
          </cell>
          <cell r="E4618" t="str">
            <v>Gómez</v>
          </cell>
          <cell r="F4618">
            <v>300</v>
          </cell>
          <cell r="G4618">
            <v>5</v>
          </cell>
          <cell r="H4618">
            <v>20</v>
          </cell>
          <cell r="I4618">
            <v>41903</v>
          </cell>
          <cell r="J4618" t="str">
            <v>NO SUMA</v>
          </cell>
          <cell r="W4618">
            <v>0</v>
          </cell>
          <cell r="AJ4618">
            <v>0</v>
          </cell>
          <cell r="AW4618">
            <v>0</v>
          </cell>
        </row>
        <row r="4619">
          <cell r="B4619">
            <v>7893</v>
          </cell>
          <cell r="C4619" t="str">
            <v>UP_69_</v>
          </cell>
          <cell r="D4619" t="str">
            <v>Rancho Upácuaro No. 69</v>
          </cell>
          <cell r="E4619" t="str">
            <v>Gómez</v>
          </cell>
          <cell r="F4619">
            <v>300</v>
          </cell>
          <cell r="G4619">
            <v>5</v>
          </cell>
          <cell r="H4619">
            <v>20</v>
          </cell>
          <cell r="I4619">
            <v>41903</v>
          </cell>
          <cell r="J4619" t="str">
            <v>NO SUMA</v>
          </cell>
          <cell r="W4619">
            <v>0</v>
          </cell>
          <cell r="AJ4619">
            <v>0</v>
          </cell>
          <cell r="AW4619">
            <v>0</v>
          </cell>
        </row>
        <row r="4620">
          <cell r="B4620">
            <v>7893</v>
          </cell>
          <cell r="C4620" t="str">
            <v>UP_69_</v>
          </cell>
          <cell r="D4620" t="str">
            <v>Rancho Upácuaro No. 69</v>
          </cell>
          <cell r="E4620" t="str">
            <v>Gómez</v>
          </cell>
          <cell r="F4620">
            <v>300</v>
          </cell>
          <cell r="G4620">
            <v>5</v>
          </cell>
          <cell r="H4620">
            <v>20</v>
          </cell>
          <cell r="I4620">
            <v>41903</v>
          </cell>
          <cell r="J4620" t="str">
            <v>NO SUMA</v>
          </cell>
          <cell r="W4620">
            <v>0</v>
          </cell>
          <cell r="AJ4620">
            <v>0</v>
          </cell>
          <cell r="AW4620">
            <v>0</v>
          </cell>
        </row>
        <row r="4621">
          <cell r="B4621">
            <v>7894</v>
          </cell>
          <cell r="C4621" t="str">
            <v>UP_42_</v>
          </cell>
          <cell r="D4621" t="str">
            <v>Rancho Upácuaro No. 42</v>
          </cell>
          <cell r="E4621" t="str">
            <v>García Ramírez</v>
          </cell>
          <cell r="F4621">
            <v>300</v>
          </cell>
          <cell r="G4621">
            <v>1</v>
          </cell>
          <cell r="H4621">
            <v>400</v>
          </cell>
          <cell r="I4621">
            <v>41903</v>
          </cell>
          <cell r="J4621">
            <v>0</v>
          </cell>
          <cell r="W4621">
            <v>0</v>
          </cell>
          <cell r="AJ4621">
            <v>0</v>
          </cell>
          <cell r="AO4621">
            <v>400</v>
          </cell>
          <cell r="AW4621">
            <v>400</v>
          </cell>
        </row>
        <row r="4622">
          <cell r="B4622">
            <v>7894</v>
          </cell>
          <cell r="C4622" t="str">
            <v>UP_42_</v>
          </cell>
          <cell r="D4622" t="str">
            <v>Rancho Upácuaro No. 42</v>
          </cell>
          <cell r="E4622" t="str">
            <v>García Ramírez</v>
          </cell>
          <cell r="F4622">
            <v>300</v>
          </cell>
          <cell r="G4622">
            <v>5</v>
          </cell>
          <cell r="H4622">
            <v>20</v>
          </cell>
          <cell r="I4622">
            <v>41903</v>
          </cell>
          <cell r="J4622" t="str">
            <v>NO SUMA</v>
          </cell>
          <cell r="W4622">
            <v>0</v>
          </cell>
          <cell r="AJ4622">
            <v>0</v>
          </cell>
          <cell r="AW4622">
            <v>0</v>
          </cell>
        </row>
        <row r="4623">
          <cell r="B4623">
            <v>7894</v>
          </cell>
          <cell r="C4623" t="str">
            <v>UP_42_</v>
          </cell>
          <cell r="D4623" t="str">
            <v>Rancho Upácuaro No. 42</v>
          </cell>
          <cell r="E4623" t="str">
            <v>García Ramírez</v>
          </cell>
          <cell r="F4623">
            <v>300</v>
          </cell>
          <cell r="G4623">
            <v>5</v>
          </cell>
          <cell r="H4623">
            <v>20</v>
          </cell>
          <cell r="I4623">
            <v>41903</v>
          </cell>
          <cell r="J4623" t="str">
            <v>NO SUMA</v>
          </cell>
          <cell r="W4623">
            <v>0</v>
          </cell>
          <cell r="AJ4623">
            <v>0</v>
          </cell>
          <cell r="AW4623">
            <v>0</v>
          </cell>
        </row>
        <row r="4624">
          <cell r="B4624">
            <v>7895</v>
          </cell>
          <cell r="C4624" t="str">
            <v>UP_42_</v>
          </cell>
          <cell r="D4624" t="str">
            <v>Rancho Upácuaro No. 42</v>
          </cell>
          <cell r="E4624" t="str">
            <v>García Ramírez</v>
          </cell>
          <cell r="F4624">
            <v>300</v>
          </cell>
          <cell r="G4624">
            <v>1</v>
          </cell>
          <cell r="H4624">
            <v>400</v>
          </cell>
          <cell r="I4624">
            <v>41903</v>
          </cell>
          <cell r="J4624">
            <v>0</v>
          </cell>
          <cell r="W4624">
            <v>0</v>
          </cell>
          <cell r="AJ4624">
            <v>0</v>
          </cell>
          <cell r="AP4624">
            <v>400</v>
          </cell>
          <cell r="AW4624">
            <v>400</v>
          </cell>
        </row>
        <row r="4625">
          <cell r="B4625">
            <v>7896</v>
          </cell>
          <cell r="C4625" t="str">
            <v>CL_53_</v>
          </cell>
          <cell r="D4625" t="str">
            <v>Rancho La Cuchilla No. 53</v>
          </cell>
          <cell r="E4625" t="str">
            <v>Rivera Hernández</v>
          </cell>
          <cell r="F4625">
            <v>400</v>
          </cell>
          <cell r="G4625">
            <v>5</v>
          </cell>
          <cell r="H4625">
            <v>20</v>
          </cell>
          <cell r="I4625">
            <v>41903</v>
          </cell>
          <cell r="J4625" t="str">
            <v>NO SUMA</v>
          </cell>
          <cell r="W4625">
            <v>0</v>
          </cell>
          <cell r="AJ4625">
            <v>0</v>
          </cell>
          <cell r="AW4625">
            <v>0</v>
          </cell>
        </row>
        <row r="4626">
          <cell r="B4626">
            <v>7896</v>
          </cell>
          <cell r="C4626" t="str">
            <v>CL_53_</v>
          </cell>
          <cell r="D4626" t="str">
            <v>Rancho La Cuchilla No. 53</v>
          </cell>
          <cell r="E4626" t="str">
            <v>Rivera Hernández</v>
          </cell>
          <cell r="F4626">
            <v>400</v>
          </cell>
          <cell r="G4626">
            <v>5</v>
          </cell>
          <cell r="H4626">
            <v>20</v>
          </cell>
          <cell r="I4626">
            <v>41903</v>
          </cell>
          <cell r="J4626" t="str">
            <v>NO SUMA</v>
          </cell>
          <cell r="W4626">
            <v>0</v>
          </cell>
          <cell r="AJ4626">
            <v>0</v>
          </cell>
          <cell r="AW4626">
            <v>0</v>
          </cell>
        </row>
        <row r="4627">
          <cell r="B4627">
            <v>7896</v>
          </cell>
          <cell r="C4627" t="str">
            <v>CL_53_</v>
          </cell>
          <cell r="D4627" t="str">
            <v>Rancho La Cuchilla No. 53</v>
          </cell>
          <cell r="E4627" t="str">
            <v>Rivera Hernández</v>
          </cell>
          <cell r="F4627">
            <v>400</v>
          </cell>
          <cell r="G4627">
            <v>5</v>
          </cell>
          <cell r="H4627">
            <v>20</v>
          </cell>
          <cell r="I4627">
            <v>41903</v>
          </cell>
          <cell r="J4627" t="str">
            <v>NO SUMA</v>
          </cell>
          <cell r="W4627">
            <v>0</v>
          </cell>
          <cell r="AJ4627">
            <v>0</v>
          </cell>
          <cell r="AW4627">
            <v>0</v>
          </cell>
        </row>
        <row r="4628">
          <cell r="B4628">
            <v>7897</v>
          </cell>
          <cell r="C4628" t="str">
            <v>LD_24_</v>
          </cell>
          <cell r="D4628" t="str">
            <v>Rancho Landero No. 24</v>
          </cell>
          <cell r="E4628" t="str">
            <v>Vázquez Peralta</v>
          </cell>
          <cell r="F4628">
            <v>300</v>
          </cell>
          <cell r="G4628">
            <v>3</v>
          </cell>
          <cell r="H4628">
            <v>160</v>
          </cell>
          <cell r="I4628">
            <v>41903</v>
          </cell>
          <cell r="J4628" t="str">
            <v>NO SUMA</v>
          </cell>
          <cell r="W4628">
            <v>0</v>
          </cell>
          <cell r="AJ4628">
            <v>0</v>
          </cell>
          <cell r="AW4628">
            <v>0</v>
          </cell>
        </row>
        <row r="4629">
          <cell r="B4629">
            <v>7898</v>
          </cell>
          <cell r="C4629" t="str">
            <v>UP_39_</v>
          </cell>
          <cell r="D4629" t="str">
            <v>Rancho Upácuaro No. 39</v>
          </cell>
          <cell r="E4629" t="str">
            <v>Valdez</v>
          </cell>
          <cell r="F4629">
            <v>300</v>
          </cell>
          <cell r="G4629">
            <v>5</v>
          </cell>
          <cell r="H4629">
            <v>20</v>
          </cell>
          <cell r="I4629">
            <v>41903</v>
          </cell>
          <cell r="J4629" t="str">
            <v>NO SUMA</v>
          </cell>
          <cell r="W4629">
            <v>0</v>
          </cell>
          <cell r="AJ4629">
            <v>0</v>
          </cell>
          <cell r="AW4629">
            <v>0</v>
          </cell>
        </row>
        <row r="4630">
          <cell r="B4630">
            <v>7898</v>
          </cell>
          <cell r="C4630" t="str">
            <v>UP_39_</v>
          </cell>
          <cell r="D4630" t="str">
            <v>Rancho Upácuaro No. 39</v>
          </cell>
          <cell r="E4630" t="str">
            <v>Valdez</v>
          </cell>
          <cell r="F4630">
            <v>300</v>
          </cell>
          <cell r="G4630">
            <v>5</v>
          </cell>
          <cell r="H4630">
            <v>20</v>
          </cell>
          <cell r="I4630">
            <v>41903</v>
          </cell>
          <cell r="J4630" t="str">
            <v>NO SUMA</v>
          </cell>
          <cell r="W4630">
            <v>0</v>
          </cell>
          <cell r="AJ4630">
            <v>0</v>
          </cell>
          <cell r="AW4630">
            <v>0</v>
          </cell>
        </row>
        <row r="4631">
          <cell r="B4631">
            <v>7898</v>
          </cell>
          <cell r="C4631" t="str">
            <v>UP_39_</v>
          </cell>
          <cell r="D4631" t="str">
            <v>Rancho Upácuaro No. 39</v>
          </cell>
          <cell r="E4631" t="str">
            <v>Valdez</v>
          </cell>
          <cell r="F4631">
            <v>300</v>
          </cell>
          <cell r="G4631">
            <v>5</v>
          </cell>
          <cell r="H4631">
            <v>20</v>
          </cell>
          <cell r="I4631">
            <v>41903</v>
          </cell>
          <cell r="J4631" t="str">
            <v>NO SUMA</v>
          </cell>
          <cell r="W4631">
            <v>0</v>
          </cell>
          <cell r="AJ4631">
            <v>0</v>
          </cell>
          <cell r="AW4631">
            <v>0</v>
          </cell>
        </row>
        <row r="4632">
          <cell r="B4632">
            <v>7899</v>
          </cell>
          <cell r="C4632" t="str">
            <v>UP_146_</v>
          </cell>
          <cell r="D4632" t="str">
            <v>Rancho Upácuaro No. 146</v>
          </cell>
          <cell r="E4632" t="str">
            <v>Islas</v>
          </cell>
          <cell r="F4632">
            <v>300</v>
          </cell>
          <cell r="G4632">
            <v>1</v>
          </cell>
          <cell r="H4632">
            <v>800</v>
          </cell>
          <cell r="I4632">
            <v>41903</v>
          </cell>
          <cell r="J4632">
            <v>0</v>
          </cell>
          <cell r="W4632">
            <v>0</v>
          </cell>
          <cell r="AJ4632">
            <v>0</v>
          </cell>
          <cell r="AR4632">
            <v>400</v>
          </cell>
          <cell r="AS4632">
            <v>400</v>
          </cell>
          <cell r="AW4632">
            <v>800</v>
          </cell>
        </row>
        <row r="4633">
          <cell r="B4633">
            <v>7899</v>
          </cell>
          <cell r="C4633" t="str">
            <v>UP_146_</v>
          </cell>
          <cell r="D4633" t="str">
            <v>Rancho Upácuaro No. 146</v>
          </cell>
          <cell r="E4633" t="str">
            <v>Islas</v>
          </cell>
          <cell r="F4633">
            <v>300</v>
          </cell>
          <cell r="G4633">
            <v>5</v>
          </cell>
          <cell r="H4633">
            <v>20</v>
          </cell>
          <cell r="I4633">
            <v>41903</v>
          </cell>
          <cell r="J4633" t="str">
            <v>NO SUMA</v>
          </cell>
          <cell r="W4633">
            <v>0</v>
          </cell>
          <cell r="AJ4633">
            <v>0</v>
          </cell>
          <cell r="AW4633">
            <v>0</v>
          </cell>
        </row>
        <row r="4634">
          <cell r="B4634">
            <v>7900</v>
          </cell>
          <cell r="C4634" t="str">
            <v>LD_94_</v>
          </cell>
          <cell r="D4634" t="str">
            <v>Rancho Landero No. 94</v>
          </cell>
          <cell r="E4634" t="str">
            <v>Medina</v>
          </cell>
          <cell r="F4634">
            <v>150</v>
          </cell>
          <cell r="G4634">
            <v>3</v>
          </cell>
          <cell r="H4634">
            <v>160</v>
          </cell>
          <cell r="I4634">
            <v>41903</v>
          </cell>
          <cell r="J4634" t="str">
            <v>NO SUMA</v>
          </cell>
          <cell r="W4634">
            <v>0</v>
          </cell>
          <cell r="AJ4634">
            <v>0</v>
          </cell>
          <cell r="AW4634">
            <v>0</v>
          </cell>
        </row>
        <row r="4635">
          <cell r="B4635">
            <v>7901</v>
          </cell>
          <cell r="C4635" t="str">
            <v>EZ_115_</v>
          </cell>
          <cell r="D4635" t="str">
            <v>Rancho Estanzuela No. 115</v>
          </cell>
          <cell r="E4635" t="str">
            <v>Frías Solórzano</v>
          </cell>
          <cell r="F4635">
            <v>200</v>
          </cell>
          <cell r="G4635">
            <v>5</v>
          </cell>
          <cell r="H4635">
            <v>20</v>
          </cell>
          <cell r="I4635">
            <v>41903</v>
          </cell>
          <cell r="J4635" t="str">
            <v>NO SUMA</v>
          </cell>
          <cell r="W4635">
            <v>0</v>
          </cell>
          <cell r="AJ4635">
            <v>0</v>
          </cell>
          <cell r="AW4635">
            <v>0</v>
          </cell>
        </row>
        <row r="4636">
          <cell r="B4636">
            <v>7901</v>
          </cell>
          <cell r="C4636" t="str">
            <v>EZ_115_</v>
          </cell>
          <cell r="D4636" t="str">
            <v>Rancho Estanzuela No. 115</v>
          </cell>
          <cell r="E4636" t="str">
            <v>Frías Solórzano</v>
          </cell>
          <cell r="F4636">
            <v>200</v>
          </cell>
          <cell r="G4636">
            <v>5</v>
          </cell>
          <cell r="H4636">
            <v>20</v>
          </cell>
          <cell r="I4636">
            <v>41903</v>
          </cell>
          <cell r="J4636" t="str">
            <v>NO SUMA</v>
          </cell>
          <cell r="W4636">
            <v>0</v>
          </cell>
          <cell r="AJ4636">
            <v>0</v>
          </cell>
          <cell r="AW4636">
            <v>0</v>
          </cell>
        </row>
        <row r="4637">
          <cell r="B4637">
            <v>7902</v>
          </cell>
          <cell r="C4637" t="str">
            <v>LD_63_</v>
          </cell>
          <cell r="D4637" t="str">
            <v>Rancho Landero No. 63</v>
          </cell>
          <cell r="E4637" t="str">
            <v>Hernández Chávez</v>
          </cell>
          <cell r="F4637">
            <v>300</v>
          </cell>
          <cell r="G4637">
            <v>1</v>
          </cell>
          <cell r="H4637">
            <v>400</v>
          </cell>
          <cell r="I4637">
            <v>41903</v>
          </cell>
          <cell r="J4637">
            <v>0</v>
          </cell>
          <cell r="W4637">
            <v>0</v>
          </cell>
          <cell r="AJ4637">
            <v>0</v>
          </cell>
          <cell r="AR4637">
            <v>400</v>
          </cell>
          <cell r="AW4637">
            <v>400</v>
          </cell>
        </row>
        <row r="4638">
          <cell r="B4638">
            <v>7902</v>
          </cell>
          <cell r="C4638" t="str">
            <v>LD_63_</v>
          </cell>
          <cell r="D4638" t="str">
            <v>Rancho Landero No. 63</v>
          </cell>
          <cell r="E4638" t="str">
            <v>Hernández Chávez</v>
          </cell>
          <cell r="F4638">
            <v>300</v>
          </cell>
          <cell r="G4638">
            <v>5</v>
          </cell>
          <cell r="H4638">
            <v>20</v>
          </cell>
          <cell r="I4638">
            <v>41903</v>
          </cell>
          <cell r="J4638" t="str">
            <v>NO SUMA</v>
          </cell>
          <cell r="W4638">
            <v>0</v>
          </cell>
          <cell r="AJ4638">
            <v>0</v>
          </cell>
          <cell r="AW4638">
            <v>0</v>
          </cell>
        </row>
        <row r="4639">
          <cell r="B4639">
            <v>7902</v>
          </cell>
          <cell r="C4639" t="str">
            <v>LD_63_</v>
          </cell>
          <cell r="D4639" t="str">
            <v>Rancho Landero No. 63</v>
          </cell>
          <cell r="E4639" t="str">
            <v>Hernández Chávez</v>
          </cell>
          <cell r="F4639">
            <v>300</v>
          </cell>
          <cell r="G4639">
            <v>5</v>
          </cell>
          <cell r="H4639">
            <v>20</v>
          </cell>
          <cell r="I4639">
            <v>41903</v>
          </cell>
          <cell r="J4639" t="str">
            <v>NO SUMA</v>
          </cell>
          <cell r="W4639">
            <v>0</v>
          </cell>
          <cell r="AJ4639">
            <v>0</v>
          </cell>
          <cell r="AW4639">
            <v>0</v>
          </cell>
        </row>
        <row r="4640">
          <cell r="B4640">
            <v>7903</v>
          </cell>
          <cell r="C4640" t="str">
            <v>CL_96_</v>
          </cell>
          <cell r="D4640" t="str">
            <v>Rancho La Cuchilla No. 96</v>
          </cell>
          <cell r="E4640" t="str">
            <v>Valdez Álvarez</v>
          </cell>
          <cell r="F4640">
            <v>300</v>
          </cell>
          <cell r="G4640">
            <v>5</v>
          </cell>
          <cell r="H4640">
            <v>20</v>
          </cell>
          <cell r="I4640">
            <v>41903</v>
          </cell>
          <cell r="J4640" t="str">
            <v>NO SUMA</v>
          </cell>
          <cell r="W4640">
            <v>0</v>
          </cell>
          <cell r="AJ4640">
            <v>0</v>
          </cell>
          <cell r="AW4640">
            <v>0</v>
          </cell>
        </row>
        <row r="4641">
          <cell r="B4641">
            <v>7903</v>
          </cell>
          <cell r="C4641" t="str">
            <v>CL_96_</v>
          </cell>
          <cell r="D4641" t="str">
            <v>Rancho La Cuchilla No. 96</v>
          </cell>
          <cell r="E4641" t="str">
            <v>Valdez Álvarez</v>
          </cell>
          <cell r="F4641">
            <v>300</v>
          </cell>
          <cell r="G4641">
            <v>5</v>
          </cell>
          <cell r="H4641">
            <v>20</v>
          </cell>
          <cell r="I4641">
            <v>41903</v>
          </cell>
          <cell r="J4641" t="str">
            <v>NO SUMA</v>
          </cell>
          <cell r="W4641">
            <v>0</v>
          </cell>
          <cell r="AJ4641">
            <v>0</v>
          </cell>
          <cell r="AW4641">
            <v>0</v>
          </cell>
        </row>
        <row r="4642">
          <cell r="B4642">
            <v>7903</v>
          </cell>
          <cell r="C4642" t="str">
            <v>CL_96_</v>
          </cell>
          <cell r="D4642" t="str">
            <v>Rancho La Cuchilla No. 96</v>
          </cell>
          <cell r="E4642" t="str">
            <v>Valdez Álvarez</v>
          </cell>
          <cell r="F4642">
            <v>300</v>
          </cell>
          <cell r="G4642">
            <v>5</v>
          </cell>
          <cell r="H4642">
            <v>20</v>
          </cell>
          <cell r="I4642">
            <v>41903</v>
          </cell>
          <cell r="J4642" t="str">
            <v>NO SUMA</v>
          </cell>
          <cell r="W4642">
            <v>0</v>
          </cell>
          <cell r="AJ4642">
            <v>0</v>
          </cell>
          <cell r="AW4642">
            <v>0</v>
          </cell>
        </row>
        <row r="4643">
          <cell r="B4643">
            <v>7903</v>
          </cell>
          <cell r="C4643" t="str">
            <v>CL_96_</v>
          </cell>
          <cell r="D4643" t="str">
            <v>Rancho La Cuchilla No. 96</v>
          </cell>
          <cell r="E4643" t="str">
            <v>Valdez Álvarez</v>
          </cell>
          <cell r="F4643">
            <v>300</v>
          </cell>
          <cell r="G4643">
            <v>5</v>
          </cell>
          <cell r="H4643">
            <v>50</v>
          </cell>
          <cell r="I4643">
            <v>41903</v>
          </cell>
          <cell r="J4643" t="str">
            <v>NO SUMA</v>
          </cell>
          <cell r="W4643">
            <v>0</v>
          </cell>
          <cell r="AJ4643">
            <v>0</v>
          </cell>
          <cell r="AW4643">
            <v>0</v>
          </cell>
        </row>
        <row r="4644">
          <cell r="B4644">
            <v>7904</v>
          </cell>
          <cell r="C4644" t="str">
            <v>CL_31_</v>
          </cell>
          <cell r="D4644" t="str">
            <v>Rancho La Cuchilla No. 31</v>
          </cell>
          <cell r="E4644" t="str">
            <v>Lince</v>
          </cell>
          <cell r="F4644">
            <v>300</v>
          </cell>
          <cell r="G4644">
            <v>3</v>
          </cell>
          <cell r="H4644">
            <v>160</v>
          </cell>
          <cell r="I4644">
            <v>41903</v>
          </cell>
          <cell r="J4644" t="str">
            <v>NO SUMA</v>
          </cell>
          <cell r="W4644">
            <v>0</v>
          </cell>
          <cell r="AJ4644">
            <v>0</v>
          </cell>
          <cell r="AW4644">
            <v>0</v>
          </cell>
        </row>
        <row r="4645">
          <cell r="B4645">
            <v>7905</v>
          </cell>
          <cell r="C4645" t="str">
            <v>CL_92_</v>
          </cell>
          <cell r="D4645" t="str">
            <v>Rancho La Cuchilla No. 92</v>
          </cell>
          <cell r="E4645" t="str">
            <v>Cabrera</v>
          </cell>
          <cell r="F4645">
            <v>300</v>
          </cell>
          <cell r="G4645">
            <v>5</v>
          </cell>
          <cell r="H4645">
            <v>20</v>
          </cell>
          <cell r="I4645">
            <v>41903</v>
          </cell>
          <cell r="J4645" t="str">
            <v>NO SUMA</v>
          </cell>
          <cell r="W4645">
            <v>0</v>
          </cell>
          <cell r="AJ4645">
            <v>0</v>
          </cell>
          <cell r="AW4645">
            <v>0</v>
          </cell>
        </row>
        <row r="4646">
          <cell r="B4646">
            <v>7905</v>
          </cell>
          <cell r="C4646" t="str">
            <v>CL_92_</v>
          </cell>
          <cell r="D4646" t="str">
            <v>Rancho La Cuchilla No. 92</v>
          </cell>
          <cell r="E4646" t="str">
            <v>Cabrera</v>
          </cell>
          <cell r="F4646">
            <v>300</v>
          </cell>
          <cell r="G4646">
            <v>5</v>
          </cell>
          <cell r="H4646">
            <v>20</v>
          </cell>
          <cell r="I4646">
            <v>41903</v>
          </cell>
          <cell r="J4646" t="str">
            <v>NO SUMA</v>
          </cell>
          <cell r="W4646">
            <v>0</v>
          </cell>
          <cell r="AJ4646">
            <v>0</v>
          </cell>
          <cell r="AW4646">
            <v>0</v>
          </cell>
        </row>
        <row r="4647">
          <cell r="B4647">
            <v>7905</v>
          </cell>
          <cell r="C4647" t="str">
            <v>CL_92_</v>
          </cell>
          <cell r="D4647" t="str">
            <v>Rancho La Cuchilla No. 92</v>
          </cell>
          <cell r="E4647" t="str">
            <v>Cabrera</v>
          </cell>
          <cell r="F4647">
            <v>300</v>
          </cell>
          <cell r="G4647">
            <v>5</v>
          </cell>
          <cell r="H4647">
            <v>20</v>
          </cell>
          <cell r="I4647">
            <v>41903</v>
          </cell>
          <cell r="J4647" t="str">
            <v>NO SUMA</v>
          </cell>
          <cell r="W4647">
            <v>0</v>
          </cell>
          <cell r="AJ4647">
            <v>0</v>
          </cell>
          <cell r="AW4647">
            <v>0</v>
          </cell>
        </row>
        <row r="4648">
          <cell r="B4648">
            <v>7905</v>
          </cell>
          <cell r="C4648" t="str">
            <v>CL_92_</v>
          </cell>
          <cell r="D4648" t="str">
            <v>Rancho La Cuchilla No. 92</v>
          </cell>
          <cell r="E4648" t="str">
            <v>Cabrera</v>
          </cell>
          <cell r="F4648">
            <v>300</v>
          </cell>
          <cell r="G4648">
            <v>5</v>
          </cell>
          <cell r="H4648">
            <v>50</v>
          </cell>
          <cell r="I4648">
            <v>41903</v>
          </cell>
          <cell r="J4648" t="str">
            <v>NO SUMA</v>
          </cell>
          <cell r="W4648">
            <v>0</v>
          </cell>
          <cell r="AJ4648">
            <v>0</v>
          </cell>
          <cell r="AW4648">
            <v>0</v>
          </cell>
        </row>
        <row r="4649">
          <cell r="B4649">
            <v>7905</v>
          </cell>
          <cell r="C4649" t="str">
            <v>CL_92_</v>
          </cell>
          <cell r="D4649" t="str">
            <v>Rancho La Cuchilla No. 92</v>
          </cell>
          <cell r="E4649" t="str">
            <v>Cabrera</v>
          </cell>
          <cell r="F4649">
            <v>300</v>
          </cell>
          <cell r="G4649">
            <v>5</v>
          </cell>
          <cell r="H4649">
            <v>50</v>
          </cell>
          <cell r="I4649">
            <v>41903</v>
          </cell>
          <cell r="J4649" t="str">
            <v>NO SUMA</v>
          </cell>
          <cell r="W4649">
            <v>0</v>
          </cell>
          <cell r="AJ4649">
            <v>0</v>
          </cell>
          <cell r="AW4649">
            <v>0</v>
          </cell>
        </row>
        <row r="4650">
          <cell r="B4650">
            <v>7905</v>
          </cell>
          <cell r="C4650" t="str">
            <v>CL_92_</v>
          </cell>
          <cell r="D4650" t="str">
            <v>Rancho La Cuchilla No. 92</v>
          </cell>
          <cell r="E4650" t="str">
            <v>Cabrera</v>
          </cell>
          <cell r="F4650">
            <v>300</v>
          </cell>
          <cell r="G4650">
            <v>5</v>
          </cell>
          <cell r="H4650">
            <v>50</v>
          </cell>
          <cell r="I4650">
            <v>41903</v>
          </cell>
          <cell r="J4650" t="str">
            <v>NO SUMA</v>
          </cell>
          <cell r="W4650">
            <v>0</v>
          </cell>
          <cell r="AJ4650">
            <v>0</v>
          </cell>
          <cell r="AW4650">
            <v>0</v>
          </cell>
        </row>
        <row r="4651">
          <cell r="B4651">
            <v>7906</v>
          </cell>
          <cell r="C4651" t="str">
            <v>LD_7_</v>
          </cell>
          <cell r="D4651" t="str">
            <v>Rancho Landero No. 7</v>
          </cell>
          <cell r="E4651" t="str">
            <v>Robles</v>
          </cell>
          <cell r="F4651">
            <v>150</v>
          </cell>
          <cell r="G4651">
            <v>3</v>
          </cell>
          <cell r="H4651">
            <v>160</v>
          </cell>
          <cell r="I4651">
            <v>41903</v>
          </cell>
          <cell r="J4651" t="str">
            <v>NO SUMA</v>
          </cell>
          <cell r="W4651">
            <v>0</v>
          </cell>
          <cell r="AJ4651">
            <v>0</v>
          </cell>
          <cell r="AW4651">
            <v>0</v>
          </cell>
        </row>
        <row r="4652">
          <cell r="B4652">
            <v>7907</v>
          </cell>
          <cell r="C4652" t="str">
            <v>CL_33_</v>
          </cell>
          <cell r="D4652" t="str">
            <v>Rancho La Cuchilla No. 33</v>
          </cell>
          <cell r="E4652" t="str">
            <v>Tanús</v>
          </cell>
          <cell r="F4652">
            <v>300</v>
          </cell>
          <cell r="G4652">
            <v>1</v>
          </cell>
          <cell r="H4652">
            <v>400</v>
          </cell>
          <cell r="I4652">
            <v>41903</v>
          </cell>
          <cell r="J4652">
            <v>0</v>
          </cell>
          <cell r="W4652">
            <v>0</v>
          </cell>
          <cell r="AJ4652">
            <v>0</v>
          </cell>
          <cell r="AS4652">
            <v>400</v>
          </cell>
          <cell r="AW4652">
            <v>400</v>
          </cell>
        </row>
        <row r="4653">
          <cell r="B4653">
            <v>7907</v>
          </cell>
          <cell r="C4653" t="str">
            <v>CL_33_</v>
          </cell>
          <cell r="D4653" t="str">
            <v>Rancho La Cuchilla No. 33</v>
          </cell>
          <cell r="E4653" t="str">
            <v>Tanús</v>
          </cell>
          <cell r="F4653">
            <v>300</v>
          </cell>
          <cell r="G4653">
            <v>5</v>
          </cell>
          <cell r="H4653">
            <v>20</v>
          </cell>
          <cell r="I4653">
            <v>41903</v>
          </cell>
          <cell r="J4653" t="str">
            <v>NO SUMA</v>
          </cell>
          <cell r="W4653">
            <v>0</v>
          </cell>
          <cell r="AJ4653">
            <v>0</v>
          </cell>
          <cell r="AW4653">
            <v>0</v>
          </cell>
        </row>
        <row r="4654">
          <cell r="B4654">
            <v>7907</v>
          </cell>
          <cell r="C4654" t="str">
            <v>CL_33_</v>
          </cell>
          <cell r="D4654" t="str">
            <v>Rancho La Cuchilla No. 33</v>
          </cell>
          <cell r="E4654" t="str">
            <v>Tanús</v>
          </cell>
          <cell r="F4654">
            <v>300</v>
          </cell>
          <cell r="G4654">
            <v>5</v>
          </cell>
          <cell r="H4654">
            <v>20</v>
          </cell>
          <cell r="I4654">
            <v>41903</v>
          </cell>
          <cell r="J4654" t="str">
            <v>NO SUMA</v>
          </cell>
          <cell r="W4654">
            <v>0</v>
          </cell>
          <cell r="AJ4654">
            <v>0</v>
          </cell>
          <cell r="AW4654">
            <v>0</v>
          </cell>
        </row>
        <row r="4655">
          <cell r="B4655">
            <v>7907</v>
          </cell>
          <cell r="C4655" t="str">
            <v>CL_33_</v>
          </cell>
          <cell r="D4655" t="str">
            <v>Rancho La Cuchilla No. 33</v>
          </cell>
          <cell r="E4655" t="str">
            <v>Tanús</v>
          </cell>
          <cell r="F4655">
            <v>300</v>
          </cell>
          <cell r="G4655">
            <v>5</v>
          </cell>
          <cell r="H4655">
            <v>20</v>
          </cell>
          <cell r="I4655">
            <v>41903</v>
          </cell>
          <cell r="J4655" t="str">
            <v>NO SUMA</v>
          </cell>
          <cell r="W4655">
            <v>0</v>
          </cell>
          <cell r="AJ4655">
            <v>0</v>
          </cell>
          <cell r="AW4655">
            <v>0</v>
          </cell>
        </row>
        <row r="4656">
          <cell r="B4656">
            <v>7907</v>
          </cell>
          <cell r="C4656" t="str">
            <v>CL_33_</v>
          </cell>
          <cell r="D4656" t="str">
            <v>Rancho La Cuchilla No. 33</v>
          </cell>
          <cell r="E4656" t="str">
            <v>Tanús</v>
          </cell>
          <cell r="F4656">
            <v>300</v>
          </cell>
          <cell r="G4656">
            <v>5</v>
          </cell>
          <cell r="H4656">
            <v>50</v>
          </cell>
          <cell r="I4656">
            <v>41903</v>
          </cell>
          <cell r="J4656" t="str">
            <v>NO SUMA</v>
          </cell>
          <cell r="W4656">
            <v>0</v>
          </cell>
          <cell r="AJ4656">
            <v>0</v>
          </cell>
          <cell r="AW4656">
            <v>0</v>
          </cell>
        </row>
        <row r="4657">
          <cell r="B4657">
            <v>7907</v>
          </cell>
          <cell r="C4657" t="str">
            <v>CL_33_</v>
          </cell>
          <cell r="D4657" t="str">
            <v>Rancho La Cuchilla No. 33</v>
          </cell>
          <cell r="E4657" t="str">
            <v>Tanús</v>
          </cell>
          <cell r="F4657">
            <v>300</v>
          </cell>
          <cell r="G4657">
            <v>5</v>
          </cell>
          <cell r="H4657">
            <v>50</v>
          </cell>
          <cell r="I4657">
            <v>41903</v>
          </cell>
          <cell r="J4657" t="str">
            <v>NO SUMA</v>
          </cell>
          <cell r="W4657">
            <v>0</v>
          </cell>
          <cell r="AJ4657">
            <v>0</v>
          </cell>
          <cell r="AW4657">
            <v>0</v>
          </cell>
        </row>
        <row r="4658">
          <cell r="B4658">
            <v>7908</v>
          </cell>
          <cell r="C4658" t="str">
            <v>LD_14_</v>
          </cell>
          <cell r="D4658" t="str">
            <v>Rancho Landero No. 14</v>
          </cell>
          <cell r="E4658" t="str">
            <v xml:space="preserve">Castrejón  </v>
          </cell>
          <cell r="F4658">
            <v>300</v>
          </cell>
          <cell r="G4658">
            <v>1</v>
          </cell>
          <cell r="H4658">
            <v>1200</v>
          </cell>
          <cell r="I4658">
            <v>41903</v>
          </cell>
          <cell r="J4658">
            <v>0</v>
          </cell>
          <cell r="W4658">
            <v>0</v>
          </cell>
          <cell r="AJ4658">
            <v>0</v>
          </cell>
          <cell r="AR4658">
            <v>400</v>
          </cell>
          <cell r="AS4658">
            <v>400</v>
          </cell>
          <cell r="AT4658">
            <v>400</v>
          </cell>
          <cell r="AW4658">
            <v>1200</v>
          </cell>
        </row>
        <row r="4659">
          <cell r="B4659">
            <v>7909</v>
          </cell>
          <cell r="C4659" t="str">
            <v>UP_100_</v>
          </cell>
          <cell r="D4659" t="str">
            <v>Rancho Upácuaro No. 100</v>
          </cell>
          <cell r="E4659" t="str">
            <v>Mancera Rodríguez</v>
          </cell>
          <cell r="F4659">
            <v>300</v>
          </cell>
          <cell r="G4659">
            <v>5</v>
          </cell>
          <cell r="H4659">
            <v>20</v>
          </cell>
          <cell r="I4659">
            <v>41903</v>
          </cell>
          <cell r="J4659" t="str">
            <v>NO SUMA</v>
          </cell>
          <cell r="W4659">
            <v>0</v>
          </cell>
          <cell r="AJ4659">
            <v>0</v>
          </cell>
          <cell r="AW4659">
            <v>0</v>
          </cell>
        </row>
        <row r="4660">
          <cell r="B4660">
            <v>7909</v>
          </cell>
          <cell r="C4660" t="str">
            <v>UP_100_</v>
          </cell>
          <cell r="D4660" t="str">
            <v>Rancho Upácuaro No. 100</v>
          </cell>
          <cell r="E4660" t="str">
            <v>Mancera Rodríguez</v>
          </cell>
          <cell r="F4660">
            <v>300</v>
          </cell>
          <cell r="G4660">
            <v>5</v>
          </cell>
          <cell r="H4660">
            <v>20</v>
          </cell>
          <cell r="I4660">
            <v>41903</v>
          </cell>
          <cell r="J4660" t="str">
            <v>NO SUMA</v>
          </cell>
          <cell r="W4660">
            <v>0</v>
          </cell>
          <cell r="AJ4660">
            <v>0</v>
          </cell>
          <cell r="AW4660">
            <v>0</v>
          </cell>
        </row>
        <row r="4661">
          <cell r="B4661">
            <v>7909</v>
          </cell>
          <cell r="C4661" t="str">
            <v>UP_100_</v>
          </cell>
          <cell r="D4661" t="str">
            <v>Rancho Upácuaro No. 100</v>
          </cell>
          <cell r="E4661" t="str">
            <v>Mancera Rodríguez</v>
          </cell>
          <cell r="F4661">
            <v>300</v>
          </cell>
          <cell r="G4661">
            <v>5</v>
          </cell>
          <cell r="H4661">
            <v>20</v>
          </cell>
          <cell r="I4661">
            <v>41903</v>
          </cell>
          <cell r="J4661" t="str">
            <v>NO SUMA</v>
          </cell>
          <cell r="W4661">
            <v>0</v>
          </cell>
          <cell r="AJ4661">
            <v>0</v>
          </cell>
          <cell r="AW4661">
            <v>0</v>
          </cell>
        </row>
        <row r="4662">
          <cell r="B4662">
            <v>7909</v>
          </cell>
          <cell r="C4662" t="str">
            <v>UP_100_</v>
          </cell>
          <cell r="D4662" t="str">
            <v>Rancho Upácuaro No. 100</v>
          </cell>
          <cell r="E4662" t="str">
            <v>Mancera Rodríguez</v>
          </cell>
          <cell r="F4662">
            <v>300</v>
          </cell>
          <cell r="G4662">
            <v>5</v>
          </cell>
          <cell r="H4662">
            <v>50</v>
          </cell>
          <cell r="I4662">
            <v>41903</v>
          </cell>
          <cell r="J4662" t="str">
            <v>NO SUMA</v>
          </cell>
          <cell r="W4662">
            <v>0</v>
          </cell>
          <cell r="AJ4662">
            <v>0</v>
          </cell>
          <cell r="AW4662">
            <v>0</v>
          </cell>
        </row>
        <row r="4663">
          <cell r="B4663">
            <v>7909</v>
          </cell>
          <cell r="C4663" t="str">
            <v>UP_100_</v>
          </cell>
          <cell r="D4663" t="str">
            <v>Rancho Upácuaro No. 100</v>
          </cell>
          <cell r="E4663" t="str">
            <v>Mancera Rodríguez</v>
          </cell>
          <cell r="F4663">
            <v>300</v>
          </cell>
          <cell r="G4663">
            <v>5</v>
          </cell>
          <cell r="H4663">
            <v>50</v>
          </cell>
          <cell r="I4663">
            <v>41903</v>
          </cell>
          <cell r="J4663" t="str">
            <v>NO SUMA</v>
          </cell>
          <cell r="W4663">
            <v>0</v>
          </cell>
          <cell r="AJ4663">
            <v>0</v>
          </cell>
          <cell r="AW4663">
            <v>0</v>
          </cell>
        </row>
        <row r="4664">
          <cell r="B4664">
            <v>7910</v>
          </cell>
          <cell r="C4664" t="str">
            <v>CL_139_</v>
          </cell>
          <cell r="D4664" t="str">
            <v>Rancho La Cuchilla No. 139</v>
          </cell>
          <cell r="E4664" t="str">
            <v>Garcia</v>
          </cell>
          <cell r="F4664">
            <v>200</v>
          </cell>
          <cell r="G4664">
            <v>5</v>
          </cell>
          <cell r="H4664">
            <v>20</v>
          </cell>
          <cell r="I4664">
            <v>41903</v>
          </cell>
          <cell r="J4664" t="str">
            <v>NO SUMA</v>
          </cell>
          <cell r="W4664">
            <v>0</v>
          </cell>
          <cell r="AJ4664">
            <v>0</v>
          </cell>
          <cell r="AW4664">
            <v>0</v>
          </cell>
        </row>
        <row r="4665">
          <cell r="B4665">
            <v>7910</v>
          </cell>
          <cell r="C4665" t="str">
            <v>CL_139_</v>
          </cell>
          <cell r="D4665" t="str">
            <v>Rancho La Cuchilla No. 139</v>
          </cell>
          <cell r="E4665" t="str">
            <v>Garcia</v>
          </cell>
          <cell r="F4665">
            <v>200</v>
          </cell>
          <cell r="G4665">
            <v>5</v>
          </cell>
          <cell r="H4665">
            <v>20</v>
          </cell>
          <cell r="I4665">
            <v>41903</v>
          </cell>
          <cell r="J4665" t="str">
            <v>NO SUMA</v>
          </cell>
          <cell r="W4665">
            <v>0</v>
          </cell>
          <cell r="AJ4665">
            <v>0</v>
          </cell>
          <cell r="AW4665">
            <v>0</v>
          </cell>
        </row>
        <row r="4666">
          <cell r="B4666">
            <v>7911</v>
          </cell>
          <cell r="C4666" t="str">
            <v>LD_14_</v>
          </cell>
          <cell r="D4666" t="str">
            <v>Rancho Landero No. 14</v>
          </cell>
          <cell r="E4666" t="str">
            <v xml:space="preserve">Castrejón  </v>
          </cell>
          <cell r="F4666">
            <v>300</v>
          </cell>
          <cell r="G4666">
            <v>5</v>
          </cell>
          <cell r="H4666">
            <v>20</v>
          </cell>
          <cell r="I4666">
            <v>41903</v>
          </cell>
          <cell r="J4666" t="str">
            <v>NO SUMA</v>
          </cell>
          <cell r="W4666">
            <v>0</v>
          </cell>
          <cell r="AJ4666">
            <v>0</v>
          </cell>
          <cell r="AW4666">
            <v>0</v>
          </cell>
        </row>
        <row r="4667">
          <cell r="B4667">
            <v>7912</v>
          </cell>
          <cell r="C4667" t="str">
            <v>UP_64_</v>
          </cell>
          <cell r="D4667" t="str">
            <v>Rancho Upácuaro No. 64</v>
          </cell>
          <cell r="E4667" t="str">
            <v>Méndez Oliva</v>
          </cell>
          <cell r="F4667">
            <v>300</v>
          </cell>
          <cell r="G4667">
            <v>1</v>
          </cell>
          <cell r="H4667">
            <v>300</v>
          </cell>
          <cell r="I4667">
            <v>41903</v>
          </cell>
          <cell r="J4667">
            <v>0</v>
          </cell>
          <cell r="W4667">
            <v>0</v>
          </cell>
          <cell r="AJ4667">
            <v>0</v>
          </cell>
          <cell r="AS4667">
            <v>300</v>
          </cell>
          <cell r="AW4667">
            <v>300</v>
          </cell>
        </row>
        <row r="4668">
          <cell r="B4668">
            <v>7912</v>
          </cell>
          <cell r="C4668" t="str">
            <v>UP_64_</v>
          </cell>
          <cell r="D4668" t="str">
            <v>Rancho Upácuaro No. 64</v>
          </cell>
          <cell r="E4668" t="str">
            <v>Méndez Oliva</v>
          </cell>
          <cell r="F4668">
            <v>300</v>
          </cell>
          <cell r="G4668">
            <v>5</v>
          </cell>
          <cell r="H4668">
            <v>20</v>
          </cell>
          <cell r="I4668">
            <v>41903</v>
          </cell>
          <cell r="J4668" t="str">
            <v>NO SUMA</v>
          </cell>
          <cell r="W4668">
            <v>0</v>
          </cell>
          <cell r="AJ4668">
            <v>0</v>
          </cell>
          <cell r="AW4668">
            <v>0</v>
          </cell>
        </row>
        <row r="4669">
          <cell r="B4669">
            <v>7912</v>
          </cell>
          <cell r="C4669" t="str">
            <v>UP_64_</v>
          </cell>
          <cell r="D4669" t="str">
            <v>Rancho Upácuaro No. 64</v>
          </cell>
          <cell r="E4669" t="str">
            <v>Méndez Oliva</v>
          </cell>
          <cell r="F4669">
            <v>300</v>
          </cell>
          <cell r="G4669">
            <v>5</v>
          </cell>
          <cell r="H4669">
            <v>20</v>
          </cell>
          <cell r="I4669">
            <v>41903</v>
          </cell>
          <cell r="J4669" t="str">
            <v>NO SUMA</v>
          </cell>
          <cell r="W4669">
            <v>0</v>
          </cell>
          <cell r="AJ4669">
            <v>0</v>
          </cell>
          <cell r="AW4669">
            <v>0</v>
          </cell>
        </row>
        <row r="4670">
          <cell r="B4670">
            <v>7912</v>
          </cell>
          <cell r="C4670" t="str">
            <v>UP_64_</v>
          </cell>
          <cell r="D4670" t="str">
            <v>Rancho Upácuaro No. 64</v>
          </cell>
          <cell r="E4670" t="str">
            <v>Méndez Oliva</v>
          </cell>
          <cell r="F4670">
            <v>300</v>
          </cell>
          <cell r="G4670">
            <v>5</v>
          </cell>
          <cell r="H4670">
            <v>20</v>
          </cell>
          <cell r="I4670">
            <v>41903</v>
          </cell>
          <cell r="J4670" t="str">
            <v>NO SUMA</v>
          </cell>
          <cell r="W4670">
            <v>0</v>
          </cell>
          <cell r="AJ4670">
            <v>0</v>
          </cell>
          <cell r="AW4670">
            <v>0</v>
          </cell>
        </row>
        <row r="4671">
          <cell r="B4671">
            <v>7913</v>
          </cell>
          <cell r="C4671" t="str">
            <v>CL_130_</v>
          </cell>
          <cell r="D4671" t="str">
            <v>Rancho La Cuchilla No. 130</v>
          </cell>
          <cell r="E4671" t="str">
            <v>Gonzalez</v>
          </cell>
          <cell r="F4671">
            <v>300</v>
          </cell>
          <cell r="G4671">
            <v>1</v>
          </cell>
          <cell r="H4671">
            <v>800</v>
          </cell>
          <cell r="I4671">
            <v>41903</v>
          </cell>
          <cell r="J4671">
            <v>0</v>
          </cell>
          <cell r="W4671">
            <v>0</v>
          </cell>
          <cell r="AJ4671">
            <v>0</v>
          </cell>
          <cell r="AR4671">
            <v>400</v>
          </cell>
          <cell r="AS4671">
            <v>400</v>
          </cell>
          <cell r="AW4671">
            <v>800</v>
          </cell>
        </row>
        <row r="4672">
          <cell r="B4672">
            <v>7913</v>
          </cell>
          <cell r="C4672" t="str">
            <v>CL_130_</v>
          </cell>
          <cell r="D4672" t="str">
            <v>Rancho La Cuchilla No. 130</v>
          </cell>
          <cell r="E4672" t="str">
            <v>Gonzalez</v>
          </cell>
          <cell r="F4672">
            <v>300</v>
          </cell>
          <cell r="G4672">
            <v>5</v>
          </cell>
          <cell r="H4672">
            <v>20</v>
          </cell>
          <cell r="I4672">
            <v>41903</v>
          </cell>
          <cell r="J4672" t="str">
            <v>NO SUMA</v>
          </cell>
          <cell r="W4672">
            <v>0</v>
          </cell>
          <cell r="AJ4672">
            <v>0</v>
          </cell>
          <cell r="AW4672">
            <v>0</v>
          </cell>
        </row>
        <row r="4673">
          <cell r="B4673">
            <v>7913</v>
          </cell>
          <cell r="C4673" t="str">
            <v>CL_130_</v>
          </cell>
          <cell r="D4673" t="str">
            <v>Rancho La Cuchilla No. 130</v>
          </cell>
          <cell r="E4673" t="str">
            <v>Gonzalez</v>
          </cell>
          <cell r="F4673">
            <v>300</v>
          </cell>
          <cell r="G4673">
            <v>5</v>
          </cell>
          <cell r="H4673">
            <v>20</v>
          </cell>
          <cell r="I4673">
            <v>41903</v>
          </cell>
          <cell r="J4673" t="str">
            <v>NO SUMA</v>
          </cell>
          <cell r="W4673">
            <v>0</v>
          </cell>
          <cell r="AJ4673">
            <v>0</v>
          </cell>
          <cell r="AW4673">
            <v>0</v>
          </cell>
        </row>
        <row r="4674">
          <cell r="B4674">
            <v>7913</v>
          </cell>
          <cell r="C4674" t="str">
            <v>CL_130_</v>
          </cell>
          <cell r="D4674" t="str">
            <v>Rancho La Cuchilla No. 130</v>
          </cell>
          <cell r="E4674" t="str">
            <v>Gonzalez</v>
          </cell>
          <cell r="F4674">
            <v>300</v>
          </cell>
          <cell r="G4674">
            <v>5</v>
          </cell>
          <cell r="H4674">
            <v>20</v>
          </cell>
          <cell r="I4674">
            <v>41903</v>
          </cell>
          <cell r="J4674" t="str">
            <v>NO SUMA</v>
          </cell>
          <cell r="W4674">
            <v>0</v>
          </cell>
          <cell r="AJ4674">
            <v>0</v>
          </cell>
          <cell r="AW4674">
            <v>0</v>
          </cell>
        </row>
        <row r="4675">
          <cell r="B4675">
            <v>7913</v>
          </cell>
          <cell r="C4675" t="str">
            <v>CL_130_</v>
          </cell>
          <cell r="D4675" t="str">
            <v>Rancho La Cuchilla No. 130</v>
          </cell>
          <cell r="E4675" t="str">
            <v>Gonzalez</v>
          </cell>
          <cell r="F4675">
            <v>300</v>
          </cell>
          <cell r="G4675">
            <v>5</v>
          </cell>
          <cell r="H4675">
            <v>50</v>
          </cell>
          <cell r="I4675">
            <v>41903</v>
          </cell>
          <cell r="J4675" t="str">
            <v>NO SUMA</v>
          </cell>
          <cell r="W4675">
            <v>0</v>
          </cell>
          <cell r="AJ4675">
            <v>0</v>
          </cell>
          <cell r="AW4675">
            <v>0</v>
          </cell>
        </row>
        <row r="4676">
          <cell r="B4676">
            <v>7913</v>
          </cell>
          <cell r="C4676" t="str">
            <v>CL_130_</v>
          </cell>
          <cell r="D4676" t="str">
            <v>Rancho La Cuchilla No. 130</v>
          </cell>
          <cell r="E4676" t="str">
            <v>Gonzalez</v>
          </cell>
          <cell r="F4676">
            <v>300</v>
          </cell>
          <cell r="G4676">
            <v>5</v>
          </cell>
          <cell r="H4676">
            <v>50</v>
          </cell>
          <cell r="I4676">
            <v>41903</v>
          </cell>
          <cell r="J4676" t="str">
            <v>NO SUMA</v>
          </cell>
          <cell r="W4676">
            <v>0</v>
          </cell>
          <cell r="AJ4676">
            <v>0</v>
          </cell>
          <cell r="AW4676">
            <v>0</v>
          </cell>
        </row>
        <row r="4677">
          <cell r="B4677">
            <v>7913</v>
          </cell>
          <cell r="C4677" t="str">
            <v>CL_130_</v>
          </cell>
          <cell r="D4677" t="str">
            <v>Rancho La Cuchilla No. 130</v>
          </cell>
          <cell r="E4677" t="str">
            <v>Gonzalez</v>
          </cell>
          <cell r="F4677">
            <v>300</v>
          </cell>
          <cell r="G4677">
            <v>5</v>
          </cell>
          <cell r="H4677">
            <v>50</v>
          </cell>
          <cell r="I4677">
            <v>41903</v>
          </cell>
          <cell r="J4677" t="str">
            <v>NO SUMA</v>
          </cell>
          <cell r="W4677">
            <v>0</v>
          </cell>
          <cell r="AJ4677">
            <v>0</v>
          </cell>
          <cell r="AW4677">
            <v>0</v>
          </cell>
        </row>
        <row r="4678">
          <cell r="B4678">
            <v>7914</v>
          </cell>
          <cell r="C4678" t="str">
            <v>CL_111_</v>
          </cell>
          <cell r="D4678" t="str">
            <v>Rancho La Cuchilla No. 111</v>
          </cell>
          <cell r="E4678" t="str">
            <v>García Santos Ofelia</v>
          </cell>
          <cell r="F4678">
            <v>150</v>
          </cell>
          <cell r="G4678">
            <v>1</v>
          </cell>
          <cell r="H4678">
            <v>200</v>
          </cell>
          <cell r="I4678">
            <v>41903</v>
          </cell>
          <cell r="J4678">
            <v>0</v>
          </cell>
          <cell r="W4678">
            <v>0</v>
          </cell>
          <cell r="AJ4678">
            <v>0</v>
          </cell>
          <cell r="AS4678">
            <v>200</v>
          </cell>
          <cell r="AW4678">
            <v>200</v>
          </cell>
        </row>
        <row r="4679">
          <cell r="B4679">
            <v>7914</v>
          </cell>
          <cell r="C4679" t="str">
            <v>CL_111_</v>
          </cell>
          <cell r="D4679" t="str">
            <v>Rancho La Cuchilla No. 111</v>
          </cell>
          <cell r="E4679" t="str">
            <v>García Santos Ofelia</v>
          </cell>
          <cell r="F4679">
            <v>150</v>
          </cell>
          <cell r="G4679">
            <v>5</v>
          </cell>
          <cell r="H4679">
            <v>20</v>
          </cell>
          <cell r="I4679">
            <v>41903</v>
          </cell>
          <cell r="J4679" t="str">
            <v>NO SUMA</v>
          </cell>
          <cell r="W4679">
            <v>0</v>
          </cell>
          <cell r="AJ4679">
            <v>0</v>
          </cell>
          <cell r="AW4679">
            <v>0</v>
          </cell>
        </row>
        <row r="4680">
          <cell r="B4680">
            <v>7914</v>
          </cell>
          <cell r="C4680" t="str">
            <v>CL_111_</v>
          </cell>
          <cell r="D4680" t="str">
            <v>Rancho La Cuchilla No. 111</v>
          </cell>
          <cell r="E4680" t="str">
            <v>García Santos Ofelia</v>
          </cell>
          <cell r="F4680">
            <v>150</v>
          </cell>
          <cell r="G4680">
            <v>5</v>
          </cell>
          <cell r="H4680">
            <v>20</v>
          </cell>
          <cell r="I4680">
            <v>41903</v>
          </cell>
          <cell r="J4680" t="str">
            <v>NO SUMA</v>
          </cell>
          <cell r="W4680">
            <v>0</v>
          </cell>
          <cell r="AJ4680">
            <v>0</v>
          </cell>
          <cell r="AW4680">
            <v>0</v>
          </cell>
        </row>
        <row r="4681">
          <cell r="B4681">
            <v>7914</v>
          </cell>
          <cell r="C4681" t="str">
            <v>CL_111_</v>
          </cell>
          <cell r="D4681" t="str">
            <v>Rancho La Cuchilla No. 111</v>
          </cell>
          <cell r="E4681" t="str">
            <v>García Santos Ofelia</v>
          </cell>
          <cell r="F4681">
            <v>150</v>
          </cell>
          <cell r="G4681">
            <v>5</v>
          </cell>
          <cell r="H4681">
            <v>20</v>
          </cell>
          <cell r="I4681">
            <v>41903</v>
          </cell>
          <cell r="J4681" t="str">
            <v>NO SUMA</v>
          </cell>
          <cell r="W4681">
            <v>0</v>
          </cell>
          <cell r="AJ4681">
            <v>0</v>
          </cell>
          <cell r="AW4681">
            <v>0</v>
          </cell>
        </row>
        <row r="4682">
          <cell r="B4682">
            <v>7915</v>
          </cell>
          <cell r="C4682" t="str">
            <v>EZ_3_</v>
          </cell>
          <cell r="D4682" t="str">
            <v>Rancho Estanzuela No. 3</v>
          </cell>
          <cell r="E4682" t="str">
            <v>Villanueva Nájera</v>
          </cell>
          <cell r="F4682">
            <v>150</v>
          </cell>
          <cell r="G4682">
            <v>5</v>
          </cell>
          <cell r="H4682">
            <v>20</v>
          </cell>
          <cell r="I4682">
            <v>41903</v>
          </cell>
          <cell r="J4682" t="str">
            <v>NO SUMA</v>
          </cell>
          <cell r="W4682">
            <v>0</v>
          </cell>
          <cell r="AJ4682">
            <v>0</v>
          </cell>
          <cell r="AW4682">
            <v>0</v>
          </cell>
        </row>
        <row r="4683">
          <cell r="B4683">
            <v>7915</v>
          </cell>
          <cell r="C4683" t="str">
            <v>EZ_3_</v>
          </cell>
          <cell r="D4683" t="str">
            <v>Rancho Estanzuela No. 3</v>
          </cell>
          <cell r="E4683" t="str">
            <v>Villanueva Nájera</v>
          </cell>
          <cell r="F4683">
            <v>150</v>
          </cell>
          <cell r="G4683">
            <v>5</v>
          </cell>
          <cell r="H4683">
            <v>20</v>
          </cell>
          <cell r="I4683">
            <v>41903</v>
          </cell>
          <cell r="J4683" t="str">
            <v>NO SUMA</v>
          </cell>
          <cell r="W4683">
            <v>0</v>
          </cell>
          <cell r="AJ4683">
            <v>0</v>
          </cell>
          <cell r="AW4683">
            <v>0</v>
          </cell>
        </row>
        <row r="4684">
          <cell r="B4684">
            <v>7915</v>
          </cell>
          <cell r="C4684" t="str">
            <v>EZ_3_</v>
          </cell>
          <cell r="D4684" t="str">
            <v>Rancho Estanzuela No. 3</v>
          </cell>
          <cell r="E4684" t="str">
            <v>Villanueva Nájera</v>
          </cell>
          <cell r="F4684">
            <v>150</v>
          </cell>
          <cell r="G4684">
            <v>5</v>
          </cell>
          <cell r="H4684">
            <v>20</v>
          </cell>
          <cell r="I4684">
            <v>41903</v>
          </cell>
          <cell r="J4684" t="str">
            <v>NO SUMA</v>
          </cell>
          <cell r="W4684">
            <v>0</v>
          </cell>
          <cell r="AJ4684">
            <v>0</v>
          </cell>
          <cell r="AW4684">
            <v>0</v>
          </cell>
        </row>
        <row r="4685">
          <cell r="B4685">
            <v>7916</v>
          </cell>
          <cell r="C4685" t="str">
            <v>RM_33_</v>
          </cell>
          <cell r="D4685" t="str">
            <v>Rancho Romeral No. 33</v>
          </cell>
          <cell r="E4685" t="str">
            <v>Juárez Alva</v>
          </cell>
          <cell r="F4685">
            <v>300</v>
          </cell>
          <cell r="G4685">
            <v>1</v>
          </cell>
          <cell r="H4685">
            <v>800</v>
          </cell>
          <cell r="I4685">
            <v>41903</v>
          </cell>
          <cell r="J4685">
            <v>0</v>
          </cell>
          <cell r="W4685">
            <v>0</v>
          </cell>
          <cell r="AJ4685">
            <v>0</v>
          </cell>
          <cell r="AR4685">
            <v>400</v>
          </cell>
          <cell r="AS4685">
            <v>400</v>
          </cell>
          <cell r="AW4685">
            <v>800</v>
          </cell>
        </row>
        <row r="4686">
          <cell r="B4686">
            <v>7916</v>
          </cell>
          <cell r="C4686" t="str">
            <v>RM_33_</v>
          </cell>
          <cell r="D4686" t="str">
            <v>Rancho Romeral No. 33</v>
          </cell>
          <cell r="E4686" t="str">
            <v>Juárez Alva</v>
          </cell>
          <cell r="F4686">
            <v>300</v>
          </cell>
          <cell r="G4686">
            <v>5</v>
          </cell>
          <cell r="H4686">
            <v>20</v>
          </cell>
          <cell r="I4686">
            <v>41903</v>
          </cell>
          <cell r="J4686" t="str">
            <v>NO SUMA</v>
          </cell>
          <cell r="W4686">
            <v>0</v>
          </cell>
          <cell r="AJ4686">
            <v>0</v>
          </cell>
          <cell r="AW4686">
            <v>0</v>
          </cell>
        </row>
        <row r="4687">
          <cell r="B4687">
            <v>7916</v>
          </cell>
          <cell r="C4687" t="str">
            <v>RM_33_</v>
          </cell>
          <cell r="D4687" t="str">
            <v>Rancho Romeral No. 33</v>
          </cell>
          <cell r="E4687" t="str">
            <v>Juárez Alva</v>
          </cell>
          <cell r="F4687">
            <v>300</v>
          </cell>
          <cell r="G4687">
            <v>5</v>
          </cell>
          <cell r="H4687">
            <v>20</v>
          </cell>
          <cell r="I4687">
            <v>41903</v>
          </cell>
          <cell r="J4687" t="str">
            <v>NO SUMA</v>
          </cell>
          <cell r="W4687">
            <v>0</v>
          </cell>
          <cell r="AJ4687">
            <v>0</v>
          </cell>
          <cell r="AW4687">
            <v>0</v>
          </cell>
        </row>
        <row r="4688">
          <cell r="B4688">
            <v>7916</v>
          </cell>
          <cell r="C4688" t="str">
            <v>RM_33_</v>
          </cell>
          <cell r="D4688" t="str">
            <v>Rancho Romeral No. 33</v>
          </cell>
          <cell r="E4688" t="str">
            <v>Juárez Alva</v>
          </cell>
          <cell r="F4688">
            <v>300</v>
          </cell>
          <cell r="G4688">
            <v>5</v>
          </cell>
          <cell r="H4688">
            <v>20</v>
          </cell>
          <cell r="I4688">
            <v>41903</v>
          </cell>
          <cell r="J4688" t="str">
            <v>NO SUMA</v>
          </cell>
          <cell r="W4688">
            <v>0</v>
          </cell>
          <cell r="AJ4688">
            <v>0</v>
          </cell>
          <cell r="AW4688">
            <v>0</v>
          </cell>
        </row>
        <row r="4689">
          <cell r="B4689">
            <v>7917</v>
          </cell>
          <cell r="C4689" t="str">
            <v>UP_88_</v>
          </cell>
          <cell r="D4689" t="str">
            <v>Rancho Upácuaro No. 88</v>
          </cell>
          <cell r="E4689" t="str">
            <v>Millán Núñez</v>
          </cell>
          <cell r="F4689">
            <v>300</v>
          </cell>
          <cell r="G4689">
            <v>1</v>
          </cell>
          <cell r="H4689">
            <v>400</v>
          </cell>
          <cell r="I4689">
            <v>41903</v>
          </cell>
          <cell r="J4689">
            <v>0</v>
          </cell>
          <cell r="W4689">
            <v>0</v>
          </cell>
          <cell r="AJ4689">
            <v>0</v>
          </cell>
          <cell r="AS4689">
            <v>400</v>
          </cell>
          <cell r="AW4689">
            <v>400</v>
          </cell>
        </row>
        <row r="4690">
          <cell r="B4690">
            <v>7917</v>
          </cell>
          <cell r="C4690" t="str">
            <v>UP_88_</v>
          </cell>
          <cell r="D4690" t="str">
            <v>Rancho Upácuaro No. 88</v>
          </cell>
          <cell r="E4690" t="str">
            <v>Millán Núñez</v>
          </cell>
          <cell r="F4690">
            <v>300</v>
          </cell>
          <cell r="G4690">
            <v>5</v>
          </cell>
          <cell r="H4690">
            <v>20</v>
          </cell>
          <cell r="I4690">
            <v>41903</v>
          </cell>
          <cell r="J4690" t="str">
            <v>NO SUMA</v>
          </cell>
          <cell r="W4690">
            <v>0</v>
          </cell>
          <cell r="AJ4690">
            <v>0</v>
          </cell>
          <cell r="AW4690">
            <v>0</v>
          </cell>
        </row>
        <row r="4691">
          <cell r="B4691">
            <v>7917</v>
          </cell>
          <cell r="C4691" t="str">
            <v>UP_88_</v>
          </cell>
          <cell r="D4691" t="str">
            <v>Rancho Upácuaro No. 88</v>
          </cell>
          <cell r="E4691" t="str">
            <v>Millán Núñez</v>
          </cell>
          <cell r="F4691">
            <v>300</v>
          </cell>
          <cell r="G4691">
            <v>5</v>
          </cell>
          <cell r="H4691">
            <v>20</v>
          </cell>
          <cell r="I4691">
            <v>41903</v>
          </cell>
          <cell r="J4691" t="str">
            <v>NO SUMA</v>
          </cell>
          <cell r="W4691">
            <v>0</v>
          </cell>
          <cell r="AJ4691">
            <v>0</v>
          </cell>
          <cell r="AW4691">
            <v>0</v>
          </cell>
        </row>
        <row r="4692">
          <cell r="B4692">
            <v>7917</v>
          </cell>
          <cell r="C4692" t="str">
            <v>UP_88_</v>
          </cell>
          <cell r="D4692" t="str">
            <v>Rancho Upácuaro No. 88</v>
          </cell>
          <cell r="E4692" t="str">
            <v>Millán Núñez</v>
          </cell>
          <cell r="F4692">
            <v>300</v>
          </cell>
          <cell r="G4692">
            <v>5</v>
          </cell>
          <cell r="H4692">
            <v>20</v>
          </cell>
          <cell r="I4692">
            <v>41903</v>
          </cell>
          <cell r="J4692" t="str">
            <v>NO SUMA</v>
          </cell>
          <cell r="W4692">
            <v>0</v>
          </cell>
          <cell r="AJ4692">
            <v>0</v>
          </cell>
          <cell r="AW4692">
            <v>0</v>
          </cell>
        </row>
        <row r="4693">
          <cell r="B4693">
            <v>7918</v>
          </cell>
          <cell r="C4693" t="str">
            <v>RV_197_</v>
          </cell>
          <cell r="D4693" t="str">
            <v>Rancho Recoveco No. 197</v>
          </cell>
          <cell r="E4693" t="str">
            <v>Colín González</v>
          </cell>
          <cell r="F4693">
            <v>300</v>
          </cell>
          <cell r="G4693">
            <v>1</v>
          </cell>
          <cell r="H4693">
            <v>400</v>
          </cell>
          <cell r="I4693">
            <v>41903</v>
          </cell>
          <cell r="J4693">
            <v>0</v>
          </cell>
          <cell r="W4693">
            <v>0</v>
          </cell>
          <cell r="AJ4693">
            <v>0</v>
          </cell>
          <cell r="AS4693">
            <v>400</v>
          </cell>
          <cell r="AW4693">
            <v>400</v>
          </cell>
        </row>
        <row r="4694">
          <cell r="B4694">
            <v>7918</v>
          </cell>
          <cell r="C4694" t="str">
            <v>RV_197_</v>
          </cell>
          <cell r="D4694" t="str">
            <v>Rancho Recoveco No. 197</v>
          </cell>
          <cell r="E4694" t="str">
            <v>Colín González</v>
          </cell>
          <cell r="F4694">
            <v>300</v>
          </cell>
          <cell r="G4694">
            <v>5</v>
          </cell>
          <cell r="H4694">
            <v>20</v>
          </cell>
          <cell r="I4694">
            <v>41903</v>
          </cell>
          <cell r="J4694" t="str">
            <v>NO SUMA</v>
          </cell>
          <cell r="W4694">
            <v>0</v>
          </cell>
          <cell r="AJ4694">
            <v>0</v>
          </cell>
          <cell r="AW4694">
            <v>0</v>
          </cell>
        </row>
        <row r="4695">
          <cell r="B4695">
            <v>7918</v>
          </cell>
          <cell r="C4695" t="str">
            <v>RV_197_</v>
          </cell>
          <cell r="D4695" t="str">
            <v>Rancho Recoveco No. 197</v>
          </cell>
          <cell r="E4695" t="str">
            <v>Colín González</v>
          </cell>
          <cell r="F4695">
            <v>300</v>
          </cell>
          <cell r="G4695">
            <v>5</v>
          </cell>
          <cell r="H4695">
            <v>20</v>
          </cell>
          <cell r="I4695">
            <v>41903</v>
          </cell>
          <cell r="J4695" t="str">
            <v>NO SUMA</v>
          </cell>
          <cell r="W4695">
            <v>0</v>
          </cell>
          <cell r="AJ4695">
            <v>0</v>
          </cell>
          <cell r="AW4695">
            <v>0</v>
          </cell>
        </row>
        <row r="4696">
          <cell r="B4696">
            <v>7918</v>
          </cell>
          <cell r="C4696" t="str">
            <v>RV_197_</v>
          </cell>
          <cell r="D4696" t="str">
            <v>Rancho Recoveco No. 197</v>
          </cell>
          <cell r="E4696" t="str">
            <v>Colín González</v>
          </cell>
          <cell r="F4696">
            <v>300</v>
          </cell>
          <cell r="G4696">
            <v>5</v>
          </cell>
          <cell r="H4696">
            <v>20</v>
          </cell>
          <cell r="I4696">
            <v>41903</v>
          </cell>
          <cell r="J4696" t="str">
            <v>NO SUMA</v>
          </cell>
          <cell r="W4696">
            <v>0</v>
          </cell>
          <cell r="AJ4696">
            <v>0</v>
          </cell>
          <cell r="AW4696">
            <v>0</v>
          </cell>
        </row>
        <row r="4697">
          <cell r="B4697">
            <v>7918</v>
          </cell>
          <cell r="C4697" t="str">
            <v>RV_197_</v>
          </cell>
          <cell r="D4697" t="str">
            <v>Rancho Recoveco No. 197</v>
          </cell>
          <cell r="E4697" t="str">
            <v>Colín González</v>
          </cell>
          <cell r="F4697">
            <v>300</v>
          </cell>
          <cell r="G4697">
            <v>5</v>
          </cell>
          <cell r="H4697">
            <v>50</v>
          </cell>
          <cell r="I4697">
            <v>41903</v>
          </cell>
          <cell r="J4697" t="str">
            <v>NO SUMA</v>
          </cell>
          <cell r="W4697">
            <v>0</v>
          </cell>
          <cell r="AJ4697">
            <v>0</v>
          </cell>
          <cell r="AW4697">
            <v>0</v>
          </cell>
        </row>
        <row r="4698">
          <cell r="B4698">
            <v>7819</v>
          </cell>
          <cell r="C4698" t="str">
            <v>UP_63_</v>
          </cell>
          <cell r="D4698" t="str">
            <v>Rancho Upácuaro No. 63</v>
          </cell>
          <cell r="E4698" t="str">
            <v>González Benavides</v>
          </cell>
          <cell r="F4698">
            <v>300</v>
          </cell>
          <cell r="G4698">
            <v>1</v>
          </cell>
          <cell r="H4698">
            <v>1600</v>
          </cell>
          <cell r="I4698">
            <v>41903</v>
          </cell>
          <cell r="J4698">
            <v>0</v>
          </cell>
          <cell r="W4698">
            <v>0</v>
          </cell>
          <cell r="AJ4698">
            <v>0</v>
          </cell>
          <cell r="AS4698">
            <v>400</v>
          </cell>
          <cell r="AT4698">
            <v>400</v>
          </cell>
          <cell r="AU4698">
            <v>400</v>
          </cell>
          <cell r="AV4698">
            <v>400</v>
          </cell>
          <cell r="AW4698">
            <v>1600</v>
          </cell>
        </row>
        <row r="4699">
          <cell r="B4699">
            <v>7819</v>
          </cell>
          <cell r="C4699" t="str">
            <v>UP_63_</v>
          </cell>
          <cell r="D4699" t="str">
            <v>Rancho Upácuaro No. 63</v>
          </cell>
          <cell r="E4699" t="str">
            <v>González Benavides</v>
          </cell>
          <cell r="F4699">
            <v>300</v>
          </cell>
          <cell r="G4699">
            <v>5</v>
          </cell>
          <cell r="H4699">
            <v>20</v>
          </cell>
          <cell r="I4699">
            <v>41903</v>
          </cell>
          <cell r="J4699" t="str">
            <v>NO SUMA</v>
          </cell>
          <cell r="W4699">
            <v>0</v>
          </cell>
          <cell r="AJ4699">
            <v>0</v>
          </cell>
          <cell r="AW4699">
            <v>0</v>
          </cell>
        </row>
        <row r="4700">
          <cell r="B4700">
            <v>7819</v>
          </cell>
          <cell r="C4700" t="str">
            <v>UP_63_</v>
          </cell>
          <cell r="D4700" t="str">
            <v>Rancho Upácuaro No. 63</v>
          </cell>
          <cell r="E4700" t="str">
            <v>González Benavides</v>
          </cell>
          <cell r="F4700">
            <v>300</v>
          </cell>
          <cell r="G4700">
            <v>5</v>
          </cell>
          <cell r="H4700">
            <v>20</v>
          </cell>
          <cell r="I4700">
            <v>41903</v>
          </cell>
          <cell r="J4700" t="str">
            <v>NO SUMA</v>
          </cell>
          <cell r="W4700">
            <v>0</v>
          </cell>
          <cell r="AJ4700">
            <v>0</v>
          </cell>
          <cell r="AW4700">
            <v>0</v>
          </cell>
        </row>
        <row r="4701">
          <cell r="B4701">
            <v>7819</v>
          </cell>
          <cell r="C4701" t="str">
            <v>UP_63_</v>
          </cell>
          <cell r="D4701" t="str">
            <v>Rancho Upácuaro No. 63</v>
          </cell>
          <cell r="E4701" t="str">
            <v>González Benavides</v>
          </cell>
          <cell r="F4701">
            <v>300</v>
          </cell>
          <cell r="G4701">
            <v>5</v>
          </cell>
          <cell r="H4701">
            <v>20</v>
          </cell>
          <cell r="I4701">
            <v>41903</v>
          </cell>
          <cell r="J4701" t="str">
            <v>NO SUMA</v>
          </cell>
          <cell r="W4701">
            <v>0</v>
          </cell>
          <cell r="AJ4701">
            <v>0</v>
          </cell>
          <cell r="AW4701">
            <v>0</v>
          </cell>
        </row>
        <row r="4702">
          <cell r="B4702">
            <v>7819</v>
          </cell>
          <cell r="C4702" t="str">
            <v>UP_63_</v>
          </cell>
          <cell r="D4702" t="str">
            <v>Rancho Upácuaro No. 63</v>
          </cell>
          <cell r="E4702" t="str">
            <v>González Benavides</v>
          </cell>
          <cell r="F4702">
            <v>300</v>
          </cell>
          <cell r="G4702">
            <v>5</v>
          </cell>
          <cell r="H4702">
            <v>50</v>
          </cell>
          <cell r="I4702">
            <v>41903</v>
          </cell>
          <cell r="J4702" t="str">
            <v>NO SUMA</v>
          </cell>
          <cell r="W4702">
            <v>0</v>
          </cell>
          <cell r="AJ4702">
            <v>0</v>
          </cell>
          <cell r="AW4702">
            <v>0</v>
          </cell>
        </row>
        <row r="4703">
          <cell r="B4703">
            <v>7819</v>
          </cell>
          <cell r="C4703" t="str">
            <v>UP_63_</v>
          </cell>
          <cell r="D4703" t="str">
            <v>Rancho Upácuaro No. 63</v>
          </cell>
          <cell r="E4703" t="str">
            <v>González Benavides</v>
          </cell>
          <cell r="F4703">
            <v>300</v>
          </cell>
          <cell r="G4703">
            <v>5</v>
          </cell>
          <cell r="H4703">
            <v>50</v>
          </cell>
          <cell r="I4703">
            <v>41903</v>
          </cell>
          <cell r="J4703" t="str">
            <v>NO SUMA</v>
          </cell>
          <cell r="W4703">
            <v>0</v>
          </cell>
          <cell r="AJ4703">
            <v>0</v>
          </cell>
          <cell r="AW4703">
            <v>0</v>
          </cell>
        </row>
        <row r="4704">
          <cell r="B4704">
            <v>7920</v>
          </cell>
          <cell r="C4704" t="str">
            <v>RV_189_</v>
          </cell>
          <cell r="D4704" t="str">
            <v>Rancho Recoveco No. 189</v>
          </cell>
          <cell r="E4704" t="str">
            <v>Vidal García</v>
          </cell>
          <cell r="F4704">
            <v>300</v>
          </cell>
          <cell r="G4704">
            <v>1</v>
          </cell>
          <cell r="H4704">
            <v>400</v>
          </cell>
          <cell r="I4704">
            <v>41903</v>
          </cell>
          <cell r="J4704">
            <v>0</v>
          </cell>
          <cell r="W4704">
            <v>0</v>
          </cell>
          <cell r="AJ4704">
            <v>0</v>
          </cell>
          <cell r="AS4704">
            <v>400</v>
          </cell>
          <cell r="AW4704">
            <v>400</v>
          </cell>
        </row>
        <row r="4705">
          <cell r="B4705">
            <v>7920</v>
          </cell>
          <cell r="C4705" t="str">
            <v>RV_189_</v>
          </cell>
          <cell r="D4705" t="str">
            <v>Rancho Recoveco No. 189</v>
          </cell>
          <cell r="E4705" t="str">
            <v>Vidal García</v>
          </cell>
          <cell r="F4705">
            <v>300</v>
          </cell>
          <cell r="G4705">
            <v>3</v>
          </cell>
          <cell r="H4705">
            <v>160</v>
          </cell>
          <cell r="I4705">
            <v>41903</v>
          </cell>
          <cell r="J4705" t="str">
            <v>NO SUMA</v>
          </cell>
          <cell r="W4705">
            <v>0</v>
          </cell>
          <cell r="AJ4705">
            <v>0</v>
          </cell>
          <cell r="AW4705">
            <v>0</v>
          </cell>
        </row>
        <row r="4706">
          <cell r="B4706">
            <v>7920</v>
          </cell>
          <cell r="C4706" t="str">
            <v>RV_189_</v>
          </cell>
          <cell r="D4706" t="str">
            <v>Rancho Recoveco No. 189</v>
          </cell>
          <cell r="E4706" t="str">
            <v>Vidal García</v>
          </cell>
          <cell r="F4706">
            <v>300</v>
          </cell>
          <cell r="G4706">
            <v>3</v>
          </cell>
          <cell r="H4706">
            <v>160</v>
          </cell>
          <cell r="I4706">
            <v>41903</v>
          </cell>
          <cell r="J4706" t="str">
            <v>NO SUMA</v>
          </cell>
          <cell r="W4706">
            <v>0</v>
          </cell>
          <cell r="AJ4706">
            <v>0</v>
          </cell>
          <cell r="AW4706">
            <v>0</v>
          </cell>
        </row>
        <row r="4707">
          <cell r="B4707">
            <v>7920</v>
          </cell>
          <cell r="C4707" t="str">
            <v>RV_189_</v>
          </cell>
          <cell r="D4707" t="str">
            <v>Rancho Recoveco No. 189</v>
          </cell>
          <cell r="E4707" t="str">
            <v>Vidal García</v>
          </cell>
          <cell r="F4707">
            <v>300</v>
          </cell>
          <cell r="G4707">
            <v>4</v>
          </cell>
          <cell r="H4707">
            <v>160</v>
          </cell>
          <cell r="I4707">
            <v>41903</v>
          </cell>
          <cell r="J4707" t="str">
            <v>NO SUMA</v>
          </cell>
          <cell r="W4707">
            <v>0</v>
          </cell>
          <cell r="AJ4707">
            <v>0</v>
          </cell>
          <cell r="AW4707">
            <v>0</v>
          </cell>
        </row>
        <row r="4708">
          <cell r="B4708">
            <v>7920</v>
          </cell>
          <cell r="C4708" t="str">
            <v>RV_189_</v>
          </cell>
          <cell r="D4708" t="str">
            <v>Rancho Recoveco No. 189</v>
          </cell>
          <cell r="E4708" t="str">
            <v>Vidal García</v>
          </cell>
          <cell r="F4708">
            <v>300</v>
          </cell>
          <cell r="G4708">
            <v>5</v>
          </cell>
          <cell r="H4708">
            <v>20</v>
          </cell>
          <cell r="I4708">
            <v>41903</v>
          </cell>
          <cell r="J4708" t="str">
            <v>NO SUMA</v>
          </cell>
          <cell r="W4708">
            <v>0</v>
          </cell>
          <cell r="AJ4708">
            <v>0</v>
          </cell>
          <cell r="AW4708">
            <v>0</v>
          </cell>
        </row>
        <row r="4709">
          <cell r="B4709">
            <v>7920</v>
          </cell>
          <cell r="C4709" t="str">
            <v>RV_189_</v>
          </cell>
          <cell r="D4709" t="str">
            <v>Rancho Recoveco No. 189</v>
          </cell>
          <cell r="E4709" t="str">
            <v>Vidal García</v>
          </cell>
          <cell r="F4709">
            <v>300</v>
          </cell>
          <cell r="G4709">
            <v>5</v>
          </cell>
          <cell r="H4709">
            <v>20</v>
          </cell>
          <cell r="I4709">
            <v>41903</v>
          </cell>
          <cell r="J4709" t="str">
            <v>NO SUMA</v>
          </cell>
          <cell r="W4709">
            <v>0</v>
          </cell>
          <cell r="AJ4709">
            <v>0</v>
          </cell>
          <cell r="AW4709">
            <v>0</v>
          </cell>
        </row>
        <row r="4710">
          <cell r="B4710">
            <v>7921</v>
          </cell>
          <cell r="C4710" t="str">
            <v>EZ_111_</v>
          </cell>
          <cell r="D4710" t="str">
            <v>Rancho Estanzuela No. 111</v>
          </cell>
          <cell r="E4710" t="str">
            <v>Flores Pérez</v>
          </cell>
          <cell r="F4710">
            <v>300</v>
          </cell>
          <cell r="G4710">
            <v>1</v>
          </cell>
          <cell r="H4710">
            <v>400</v>
          </cell>
          <cell r="I4710">
            <v>41903</v>
          </cell>
          <cell r="J4710">
            <v>0</v>
          </cell>
          <cell r="W4710">
            <v>0</v>
          </cell>
          <cell r="AJ4710">
            <v>0</v>
          </cell>
          <cell r="AS4710">
            <v>400</v>
          </cell>
          <cell r="AW4710">
            <v>400</v>
          </cell>
        </row>
        <row r="4711">
          <cell r="B4711">
            <v>7921</v>
          </cell>
          <cell r="C4711" t="str">
            <v>EZ_111_</v>
          </cell>
          <cell r="D4711" t="str">
            <v>Rancho Estanzuela No. 111</v>
          </cell>
          <cell r="E4711" t="str">
            <v>Flores Pérez</v>
          </cell>
          <cell r="F4711">
            <v>300</v>
          </cell>
          <cell r="G4711">
            <v>5</v>
          </cell>
          <cell r="H4711">
            <v>20</v>
          </cell>
          <cell r="I4711">
            <v>41903</v>
          </cell>
          <cell r="J4711" t="str">
            <v>NO SUMA</v>
          </cell>
          <cell r="W4711">
            <v>0</v>
          </cell>
          <cell r="AJ4711">
            <v>0</v>
          </cell>
          <cell r="AW4711">
            <v>0</v>
          </cell>
        </row>
        <row r="4712">
          <cell r="B4712">
            <v>7921</v>
          </cell>
          <cell r="C4712" t="str">
            <v>EZ_111_</v>
          </cell>
          <cell r="D4712" t="str">
            <v>Rancho Estanzuela No. 111</v>
          </cell>
          <cell r="E4712" t="str">
            <v>Flores Pérez</v>
          </cell>
          <cell r="F4712">
            <v>300</v>
          </cell>
          <cell r="G4712">
            <v>5</v>
          </cell>
          <cell r="H4712">
            <v>20</v>
          </cell>
          <cell r="I4712">
            <v>41903</v>
          </cell>
          <cell r="J4712" t="str">
            <v>NO SUMA</v>
          </cell>
          <cell r="W4712">
            <v>0</v>
          </cell>
          <cell r="AJ4712">
            <v>0</v>
          </cell>
          <cell r="AW4712">
            <v>0</v>
          </cell>
        </row>
        <row r="4713">
          <cell r="B4713">
            <v>7921</v>
          </cell>
          <cell r="C4713" t="str">
            <v>EZ_111_</v>
          </cell>
          <cell r="D4713" t="str">
            <v>Rancho Estanzuela No. 111</v>
          </cell>
          <cell r="E4713" t="str">
            <v>Flores Pérez</v>
          </cell>
          <cell r="F4713">
            <v>300</v>
          </cell>
          <cell r="G4713">
            <v>5</v>
          </cell>
          <cell r="H4713">
            <v>20</v>
          </cell>
          <cell r="I4713">
            <v>41903</v>
          </cell>
          <cell r="J4713" t="str">
            <v>NO SUMA</v>
          </cell>
          <cell r="W4713">
            <v>0</v>
          </cell>
          <cell r="AJ4713">
            <v>0</v>
          </cell>
          <cell r="AW4713">
            <v>0</v>
          </cell>
        </row>
        <row r="4714">
          <cell r="B4714">
            <v>7921</v>
          </cell>
          <cell r="C4714" t="str">
            <v>EZ_111_</v>
          </cell>
          <cell r="D4714" t="str">
            <v>Rancho Estanzuela No. 111</v>
          </cell>
          <cell r="E4714" t="str">
            <v>Flores Pérez</v>
          </cell>
          <cell r="F4714">
            <v>300</v>
          </cell>
          <cell r="G4714">
            <v>5</v>
          </cell>
          <cell r="H4714">
            <v>50</v>
          </cell>
          <cell r="I4714">
            <v>41903</v>
          </cell>
          <cell r="J4714" t="str">
            <v>NO SUMA</v>
          </cell>
          <cell r="W4714">
            <v>0</v>
          </cell>
          <cell r="AJ4714">
            <v>0</v>
          </cell>
          <cell r="AW4714">
            <v>0</v>
          </cell>
        </row>
        <row r="4715">
          <cell r="B4715">
            <v>7921</v>
          </cell>
          <cell r="C4715" t="str">
            <v>EZ_111_</v>
          </cell>
          <cell r="D4715" t="str">
            <v>Rancho Estanzuela No. 111</v>
          </cell>
          <cell r="E4715" t="str">
            <v>Flores Pérez</v>
          </cell>
          <cell r="F4715">
            <v>300</v>
          </cell>
          <cell r="G4715">
            <v>5</v>
          </cell>
          <cell r="H4715">
            <v>50</v>
          </cell>
          <cell r="I4715">
            <v>41903</v>
          </cell>
          <cell r="J4715" t="str">
            <v>NO SUMA</v>
          </cell>
          <cell r="W4715">
            <v>0</v>
          </cell>
          <cell r="AJ4715">
            <v>0</v>
          </cell>
          <cell r="AW4715">
            <v>0</v>
          </cell>
        </row>
        <row r="4716">
          <cell r="B4716">
            <v>7922</v>
          </cell>
          <cell r="C4716" t="str">
            <v>ZB_24_</v>
          </cell>
          <cell r="D4716" t="str">
            <v>Rancho Zinamba No. 24</v>
          </cell>
          <cell r="E4716" t="str">
            <v>Monroy García</v>
          </cell>
          <cell r="F4716">
            <v>300</v>
          </cell>
          <cell r="G4716">
            <v>1</v>
          </cell>
          <cell r="H4716">
            <v>400</v>
          </cell>
          <cell r="I4716">
            <v>41903</v>
          </cell>
          <cell r="J4716">
            <v>0</v>
          </cell>
          <cell r="W4716">
            <v>0</v>
          </cell>
          <cell r="AJ4716">
            <v>0</v>
          </cell>
          <cell r="AS4716">
            <v>400</v>
          </cell>
          <cell r="AW4716">
            <v>400</v>
          </cell>
        </row>
        <row r="4717">
          <cell r="B4717">
            <v>7922</v>
          </cell>
          <cell r="C4717" t="str">
            <v>ZB_24_</v>
          </cell>
          <cell r="D4717" t="str">
            <v>Rancho Zinamba No. 24</v>
          </cell>
          <cell r="E4717" t="str">
            <v>Monroy García</v>
          </cell>
          <cell r="F4717">
            <v>300</v>
          </cell>
          <cell r="G4717">
            <v>5</v>
          </cell>
          <cell r="H4717">
            <v>20</v>
          </cell>
          <cell r="I4717">
            <v>41903</v>
          </cell>
          <cell r="J4717" t="str">
            <v>NO SUMA</v>
          </cell>
          <cell r="W4717">
            <v>0</v>
          </cell>
          <cell r="AJ4717">
            <v>0</v>
          </cell>
          <cell r="AW4717">
            <v>0</v>
          </cell>
        </row>
        <row r="4718">
          <cell r="B4718">
            <v>7922</v>
          </cell>
          <cell r="C4718" t="str">
            <v>ZB_24_</v>
          </cell>
          <cell r="D4718" t="str">
            <v>Rancho Zinamba No. 24</v>
          </cell>
          <cell r="E4718" t="str">
            <v>Monroy García</v>
          </cell>
          <cell r="F4718">
            <v>300</v>
          </cell>
          <cell r="G4718">
            <v>5</v>
          </cell>
          <cell r="H4718">
            <v>20</v>
          </cell>
          <cell r="I4718">
            <v>41903</v>
          </cell>
          <cell r="J4718" t="str">
            <v>NO SUMA</v>
          </cell>
          <cell r="W4718">
            <v>0</v>
          </cell>
          <cell r="AJ4718">
            <v>0</v>
          </cell>
          <cell r="AW4718">
            <v>0</v>
          </cell>
        </row>
        <row r="4719">
          <cell r="B4719">
            <v>7922</v>
          </cell>
          <cell r="C4719" t="str">
            <v>ZB_24_</v>
          </cell>
          <cell r="D4719" t="str">
            <v>Rancho Zinamba No. 24</v>
          </cell>
          <cell r="E4719" t="str">
            <v>Monroy García</v>
          </cell>
          <cell r="F4719">
            <v>300</v>
          </cell>
          <cell r="G4719">
            <v>5</v>
          </cell>
          <cell r="H4719">
            <v>20</v>
          </cell>
          <cell r="I4719">
            <v>41903</v>
          </cell>
          <cell r="J4719" t="str">
            <v>NO SUMA</v>
          </cell>
          <cell r="W4719">
            <v>0</v>
          </cell>
          <cell r="AJ4719">
            <v>0</v>
          </cell>
          <cell r="AW4719">
            <v>0</v>
          </cell>
        </row>
        <row r="4720">
          <cell r="B4720">
            <v>7922</v>
          </cell>
          <cell r="C4720" t="str">
            <v>ZB_24_</v>
          </cell>
          <cell r="D4720" t="str">
            <v>Rancho Zinamba No. 24</v>
          </cell>
          <cell r="E4720" t="str">
            <v>Monroy García</v>
          </cell>
          <cell r="F4720">
            <v>300</v>
          </cell>
          <cell r="G4720">
            <v>5</v>
          </cell>
          <cell r="H4720">
            <v>50</v>
          </cell>
          <cell r="I4720">
            <v>41903</v>
          </cell>
          <cell r="J4720" t="str">
            <v>NO SUMA</v>
          </cell>
          <cell r="W4720">
            <v>0</v>
          </cell>
          <cell r="AJ4720">
            <v>0</v>
          </cell>
          <cell r="AW4720">
            <v>0</v>
          </cell>
        </row>
        <row r="4721">
          <cell r="B4721">
            <v>7922</v>
          </cell>
          <cell r="C4721" t="str">
            <v>ZB_24_</v>
          </cell>
          <cell r="D4721" t="str">
            <v>Rancho Zinamba No. 24</v>
          </cell>
          <cell r="E4721" t="str">
            <v>Monroy García</v>
          </cell>
          <cell r="F4721">
            <v>300</v>
          </cell>
          <cell r="G4721">
            <v>5</v>
          </cell>
          <cell r="H4721">
            <v>50</v>
          </cell>
          <cell r="I4721">
            <v>41903</v>
          </cell>
          <cell r="J4721" t="str">
            <v>NO SUMA</v>
          </cell>
          <cell r="W4721">
            <v>0</v>
          </cell>
          <cell r="AJ4721">
            <v>0</v>
          </cell>
          <cell r="AW4721">
            <v>0</v>
          </cell>
        </row>
        <row r="4722">
          <cell r="B4722">
            <v>7923</v>
          </cell>
          <cell r="C4722" t="str">
            <v>EZ_9_B</v>
          </cell>
          <cell r="D4722" t="str">
            <v>Rancho Estanzuela No. 9, B</v>
          </cell>
          <cell r="E4722" t="str">
            <v>Velasco Rojas</v>
          </cell>
          <cell r="F4722">
            <v>200</v>
          </cell>
          <cell r="G4722">
            <v>1</v>
          </cell>
          <cell r="H4722">
            <v>400</v>
          </cell>
          <cell r="I4722">
            <v>41903</v>
          </cell>
          <cell r="J4722">
            <v>0</v>
          </cell>
          <cell r="W4722">
            <v>0</v>
          </cell>
          <cell r="AJ4722">
            <v>0</v>
          </cell>
          <cell r="AS4722">
            <v>400</v>
          </cell>
          <cell r="AW4722">
            <v>400</v>
          </cell>
        </row>
        <row r="4723">
          <cell r="B4723">
            <v>7923</v>
          </cell>
          <cell r="C4723" t="str">
            <v>EZ_9_B</v>
          </cell>
          <cell r="D4723" t="str">
            <v>Rancho Estanzuela No. 9, B</v>
          </cell>
          <cell r="E4723" t="str">
            <v>Velasco Rojas</v>
          </cell>
          <cell r="F4723">
            <v>200</v>
          </cell>
          <cell r="G4723">
            <v>5</v>
          </cell>
          <cell r="H4723">
            <v>20</v>
          </cell>
          <cell r="I4723">
            <v>41903</v>
          </cell>
          <cell r="J4723" t="str">
            <v>NO SUMA</v>
          </cell>
          <cell r="W4723">
            <v>0</v>
          </cell>
          <cell r="AJ4723">
            <v>0</v>
          </cell>
          <cell r="AW4723">
            <v>0</v>
          </cell>
        </row>
        <row r="4724">
          <cell r="B4724">
            <v>7923</v>
          </cell>
          <cell r="C4724" t="str">
            <v>EZ_9_B</v>
          </cell>
          <cell r="D4724" t="str">
            <v>Rancho Estanzuela No. 9, B</v>
          </cell>
          <cell r="E4724" t="str">
            <v>Velasco Rojas</v>
          </cell>
          <cell r="F4724">
            <v>200</v>
          </cell>
          <cell r="G4724">
            <v>5</v>
          </cell>
          <cell r="H4724">
            <v>20</v>
          </cell>
          <cell r="I4724">
            <v>41903</v>
          </cell>
          <cell r="J4724" t="str">
            <v>NO SUMA</v>
          </cell>
          <cell r="W4724">
            <v>0</v>
          </cell>
          <cell r="AJ4724">
            <v>0</v>
          </cell>
          <cell r="AW4724">
            <v>0</v>
          </cell>
        </row>
        <row r="4725">
          <cell r="B4725">
            <v>7923</v>
          </cell>
          <cell r="C4725" t="str">
            <v>EZ_9_B</v>
          </cell>
          <cell r="D4725" t="str">
            <v>Rancho Estanzuela No. 9, B</v>
          </cell>
          <cell r="E4725" t="str">
            <v>Velasco Rojas</v>
          </cell>
          <cell r="F4725">
            <v>200</v>
          </cell>
          <cell r="G4725">
            <v>5</v>
          </cell>
          <cell r="H4725">
            <v>20</v>
          </cell>
          <cell r="I4725">
            <v>41903</v>
          </cell>
          <cell r="J4725" t="str">
            <v>NO SUMA</v>
          </cell>
          <cell r="W4725">
            <v>0</v>
          </cell>
          <cell r="AJ4725">
            <v>0</v>
          </cell>
          <cell r="AW4725">
            <v>0</v>
          </cell>
        </row>
        <row r="4726">
          <cell r="B4726">
            <v>7923</v>
          </cell>
          <cell r="C4726" t="str">
            <v>EZ_9_B</v>
          </cell>
          <cell r="D4726" t="str">
            <v>Rancho Estanzuela No. 9, B</v>
          </cell>
          <cell r="E4726" t="str">
            <v>Velasco Rojas</v>
          </cell>
          <cell r="F4726">
            <v>200</v>
          </cell>
          <cell r="G4726">
            <v>5</v>
          </cell>
          <cell r="H4726">
            <v>50</v>
          </cell>
          <cell r="I4726">
            <v>41903</v>
          </cell>
          <cell r="J4726" t="str">
            <v>NO SUMA</v>
          </cell>
          <cell r="W4726">
            <v>0</v>
          </cell>
          <cell r="AJ4726">
            <v>0</v>
          </cell>
          <cell r="AW4726">
            <v>0</v>
          </cell>
        </row>
        <row r="4727">
          <cell r="B4727">
            <v>7923</v>
          </cell>
          <cell r="C4727" t="str">
            <v>EZ_9_B</v>
          </cell>
          <cell r="D4727" t="str">
            <v>Rancho Estanzuela No. 9, B</v>
          </cell>
          <cell r="E4727" t="str">
            <v>Velasco Rojas</v>
          </cell>
          <cell r="F4727">
            <v>200</v>
          </cell>
          <cell r="G4727">
            <v>5</v>
          </cell>
          <cell r="H4727">
            <v>50</v>
          </cell>
          <cell r="I4727">
            <v>41903</v>
          </cell>
          <cell r="J4727" t="str">
            <v>NO SUMA</v>
          </cell>
          <cell r="W4727">
            <v>0</v>
          </cell>
          <cell r="AJ4727">
            <v>0</v>
          </cell>
          <cell r="AW4727">
            <v>0</v>
          </cell>
        </row>
        <row r="4728">
          <cell r="B4728">
            <v>7924</v>
          </cell>
          <cell r="C4728" t="str">
            <v>ZB_38_</v>
          </cell>
          <cell r="D4728" t="str">
            <v>Rancho Zinamba No. 38</v>
          </cell>
          <cell r="E4728" t="str">
            <v>Ramírez Díaz</v>
          </cell>
          <cell r="F4728">
            <v>300</v>
          </cell>
          <cell r="G4728">
            <v>1</v>
          </cell>
          <cell r="H4728">
            <v>800</v>
          </cell>
          <cell r="I4728">
            <v>41903</v>
          </cell>
          <cell r="J4728">
            <v>0</v>
          </cell>
          <cell r="W4728">
            <v>0</v>
          </cell>
          <cell r="AJ4728">
            <v>0</v>
          </cell>
          <cell r="AS4728">
            <v>400</v>
          </cell>
          <cell r="AT4728">
            <v>400</v>
          </cell>
          <cell r="AW4728">
            <v>800</v>
          </cell>
        </row>
        <row r="4729">
          <cell r="B4729">
            <v>7924</v>
          </cell>
          <cell r="C4729" t="str">
            <v>ZB_38_</v>
          </cell>
          <cell r="D4729" t="str">
            <v>Rancho Zinamba No. 38</v>
          </cell>
          <cell r="E4729" t="str">
            <v>Ramírez Díaz</v>
          </cell>
          <cell r="F4729">
            <v>300</v>
          </cell>
          <cell r="G4729">
            <v>5</v>
          </cell>
          <cell r="H4729">
            <v>20</v>
          </cell>
          <cell r="I4729">
            <v>41903</v>
          </cell>
          <cell r="J4729" t="str">
            <v>NO SUMA</v>
          </cell>
          <cell r="W4729">
            <v>0</v>
          </cell>
          <cell r="AJ4729">
            <v>0</v>
          </cell>
          <cell r="AW4729">
            <v>0</v>
          </cell>
        </row>
        <row r="4730">
          <cell r="B4730">
            <v>7924</v>
          </cell>
          <cell r="C4730" t="str">
            <v>ZB_38_</v>
          </cell>
          <cell r="D4730" t="str">
            <v>Rancho Zinamba No. 38</v>
          </cell>
          <cell r="E4730" t="str">
            <v>Ramírez Díaz</v>
          </cell>
          <cell r="F4730">
            <v>300</v>
          </cell>
          <cell r="G4730">
            <v>5</v>
          </cell>
          <cell r="H4730">
            <v>20</v>
          </cell>
          <cell r="I4730">
            <v>41903</v>
          </cell>
          <cell r="J4730" t="str">
            <v>NO SUMA</v>
          </cell>
          <cell r="W4730">
            <v>0</v>
          </cell>
          <cell r="AJ4730">
            <v>0</v>
          </cell>
          <cell r="AW4730">
            <v>0</v>
          </cell>
        </row>
        <row r="4731">
          <cell r="B4731">
            <v>7924</v>
          </cell>
          <cell r="C4731" t="str">
            <v>ZB_38_</v>
          </cell>
          <cell r="D4731" t="str">
            <v>Rancho Zinamba No. 38</v>
          </cell>
          <cell r="E4731" t="str">
            <v>Ramírez Díaz</v>
          </cell>
          <cell r="F4731">
            <v>300</v>
          </cell>
          <cell r="G4731">
            <v>5</v>
          </cell>
          <cell r="H4731">
            <v>20</v>
          </cell>
          <cell r="I4731">
            <v>41903</v>
          </cell>
          <cell r="J4731" t="str">
            <v>NO SUMA</v>
          </cell>
          <cell r="W4731">
            <v>0</v>
          </cell>
          <cell r="AJ4731">
            <v>0</v>
          </cell>
          <cell r="AW4731">
            <v>0</v>
          </cell>
        </row>
        <row r="4732">
          <cell r="B4732">
            <v>7924</v>
          </cell>
          <cell r="C4732" t="str">
            <v>ZB_38_</v>
          </cell>
          <cell r="D4732" t="str">
            <v>Rancho Zinamba No. 38</v>
          </cell>
          <cell r="E4732" t="str">
            <v>Ramírez Díaz</v>
          </cell>
          <cell r="F4732">
            <v>300</v>
          </cell>
          <cell r="G4732">
            <v>5</v>
          </cell>
          <cell r="H4732">
            <v>50</v>
          </cell>
          <cell r="I4732">
            <v>41903</v>
          </cell>
          <cell r="J4732" t="str">
            <v>NO SUMA</v>
          </cell>
          <cell r="W4732">
            <v>0</v>
          </cell>
          <cell r="AJ4732">
            <v>0</v>
          </cell>
          <cell r="AW4732">
            <v>0</v>
          </cell>
        </row>
        <row r="4733">
          <cell r="B4733">
            <v>7924</v>
          </cell>
          <cell r="C4733" t="str">
            <v>ZB_38_</v>
          </cell>
          <cell r="D4733" t="str">
            <v>Rancho Zinamba No. 38</v>
          </cell>
          <cell r="E4733" t="str">
            <v>Ramírez Díaz</v>
          </cell>
          <cell r="F4733">
            <v>300</v>
          </cell>
          <cell r="G4733">
            <v>5</v>
          </cell>
          <cell r="H4733">
            <v>50</v>
          </cell>
          <cell r="I4733">
            <v>41903</v>
          </cell>
          <cell r="J4733" t="str">
            <v>NO SUMA</v>
          </cell>
          <cell r="W4733">
            <v>0</v>
          </cell>
          <cell r="AJ4733">
            <v>0</v>
          </cell>
          <cell r="AW4733">
            <v>0</v>
          </cell>
        </row>
        <row r="4734">
          <cell r="B4734">
            <v>7924</v>
          </cell>
          <cell r="C4734" t="str">
            <v>ZB_38_</v>
          </cell>
          <cell r="D4734" t="str">
            <v>Rancho Zinamba No. 38</v>
          </cell>
          <cell r="E4734" t="str">
            <v>Ramírez Díaz</v>
          </cell>
          <cell r="F4734">
            <v>300</v>
          </cell>
          <cell r="G4734">
            <v>5</v>
          </cell>
          <cell r="H4734">
            <v>50</v>
          </cell>
          <cell r="I4734">
            <v>41903</v>
          </cell>
          <cell r="J4734" t="str">
            <v>NO SUMA</v>
          </cell>
          <cell r="W4734">
            <v>0</v>
          </cell>
          <cell r="AJ4734">
            <v>0</v>
          </cell>
          <cell r="AW4734">
            <v>0</v>
          </cell>
        </row>
        <row r="4735">
          <cell r="B4735">
            <v>7924</v>
          </cell>
          <cell r="C4735" t="str">
            <v>ZB_38_</v>
          </cell>
          <cell r="D4735" t="str">
            <v>Rancho Zinamba No. 38</v>
          </cell>
          <cell r="E4735" t="str">
            <v>Ramírez Díaz</v>
          </cell>
          <cell r="F4735">
            <v>300</v>
          </cell>
          <cell r="G4735">
            <v>5</v>
          </cell>
          <cell r="H4735">
            <v>50</v>
          </cell>
          <cell r="I4735">
            <v>41903</v>
          </cell>
          <cell r="J4735" t="str">
            <v>NO SUMA</v>
          </cell>
          <cell r="W4735">
            <v>0</v>
          </cell>
          <cell r="AJ4735">
            <v>0</v>
          </cell>
          <cell r="AW4735">
            <v>0</v>
          </cell>
        </row>
        <row r="4736">
          <cell r="B4736">
            <v>7924</v>
          </cell>
          <cell r="C4736" t="str">
            <v>ZB_38_</v>
          </cell>
          <cell r="D4736" t="str">
            <v>Rancho Zinamba No. 38</v>
          </cell>
          <cell r="E4736" t="str">
            <v>Ramírez Díaz</v>
          </cell>
          <cell r="F4736">
            <v>300</v>
          </cell>
          <cell r="G4736">
            <v>5</v>
          </cell>
          <cell r="H4736">
            <v>50</v>
          </cell>
          <cell r="I4736">
            <v>41903</v>
          </cell>
          <cell r="J4736" t="str">
            <v>NO SUMA</v>
          </cell>
          <cell r="W4736">
            <v>0</v>
          </cell>
          <cell r="AJ4736">
            <v>0</v>
          </cell>
          <cell r="AW4736">
            <v>0</v>
          </cell>
        </row>
        <row r="4737">
          <cell r="B4737">
            <v>7924</v>
          </cell>
          <cell r="C4737" t="str">
            <v>ZB_38_</v>
          </cell>
          <cell r="D4737" t="str">
            <v>Rancho Zinamba No. 38</v>
          </cell>
          <cell r="E4737" t="str">
            <v>Ramírez Díaz</v>
          </cell>
          <cell r="F4737">
            <v>300</v>
          </cell>
          <cell r="G4737">
            <v>5</v>
          </cell>
          <cell r="H4737">
            <v>50</v>
          </cell>
          <cell r="I4737">
            <v>41903</v>
          </cell>
          <cell r="J4737" t="str">
            <v>NO SUMA</v>
          </cell>
          <cell r="W4737">
            <v>0</v>
          </cell>
          <cell r="AJ4737">
            <v>0</v>
          </cell>
          <cell r="AW4737">
            <v>0</v>
          </cell>
        </row>
        <row r="4738">
          <cell r="B4738">
            <v>7924</v>
          </cell>
          <cell r="C4738" t="str">
            <v>ZB_38_</v>
          </cell>
          <cell r="D4738" t="str">
            <v>Rancho Zinamba No. 38</v>
          </cell>
          <cell r="E4738" t="str">
            <v>Ramírez Díaz</v>
          </cell>
          <cell r="F4738">
            <v>300</v>
          </cell>
          <cell r="G4738">
            <v>5</v>
          </cell>
          <cell r="H4738">
            <v>50</v>
          </cell>
          <cell r="I4738">
            <v>41903</v>
          </cell>
          <cell r="J4738" t="str">
            <v>NO SUMA</v>
          </cell>
          <cell r="W4738">
            <v>0</v>
          </cell>
          <cell r="AJ4738">
            <v>0</v>
          </cell>
          <cell r="AW4738">
            <v>0</v>
          </cell>
        </row>
        <row r="4739">
          <cell r="B4739">
            <v>7925</v>
          </cell>
          <cell r="C4739" t="str">
            <v>CL_149_</v>
          </cell>
          <cell r="D4739" t="str">
            <v>Rancho La Cuchilla No. 149</v>
          </cell>
          <cell r="E4739" t="str">
            <v>Montes Irineos</v>
          </cell>
          <cell r="F4739">
            <v>300</v>
          </cell>
          <cell r="G4739">
            <v>5</v>
          </cell>
          <cell r="H4739">
            <v>20</v>
          </cell>
          <cell r="I4739">
            <v>41903</v>
          </cell>
          <cell r="J4739" t="str">
            <v>NO SUMA</v>
          </cell>
          <cell r="W4739">
            <v>0</v>
          </cell>
          <cell r="AJ4739">
            <v>0</v>
          </cell>
          <cell r="AW4739">
            <v>0</v>
          </cell>
        </row>
        <row r="4740">
          <cell r="B4740">
            <v>7926</v>
          </cell>
          <cell r="C4740" t="str">
            <v>LD_84_</v>
          </cell>
          <cell r="D4740" t="str">
            <v>Rancho Landero No. 84</v>
          </cell>
          <cell r="E4740" t="str">
            <v>Alcántara</v>
          </cell>
          <cell r="F4740">
            <v>300</v>
          </cell>
          <cell r="G4740">
            <v>1</v>
          </cell>
          <cell r="H4740">
            <v>400</v>
          </cell>
          <cell r="I4740">
            <v>41903</v>
          </cell>
          <cell r="J4740">
            <v>0</v>
          </cell>
          <cell r="W4740">
            <v>0</v>
          </cell>
          <cell r="AJ4740">
            <v>0</v>
          </cell>
          <cell r="AS4740">
            <v>400</v>
          </cell>
          <cell r="AW4740">
            <v>400</v>
          </cell>
        </row>
        <row r="4741">
          <cell r="B4741">
            <v>7926</v>
          </cell>
          <cell r="C4741" t="str">
            <v>LD_84_</v>
          </cell>
          <cell r="D4741" t="str">
            <v>Rancho Landero No. 84</v>
          </cell>
          <cell r="E4741" t="str">
            <v>Alcántara</v>
          </cell>
          <cell r="F4741">
            <v>300</v>
          </cell>
          <cell r="G4741">
            <v>5</v>
          </cell>
          <cell r="H4741">
            <v>20</v>
          </cell>
          <cell r="I4741">
            <v>41903</v>
          </cell>
          <cell r="J4741" t="str">
            <v>NO SUMA</v>
          </cell>
          <cell r="W4741">
            <v>0</v>
          </cell>
          <cell r="AJ4741">
            <v>0</v>
          </cell>
          <cell r="AW4741">
            <v>0</v>
          </cell>
        </row>
        <row r="4742">
          <cell r="B4742">
            <v>7926</v>
          </cell>
          <cell r="C4742" t="str">
            <v>LD_84_</v>
          </cell>
          <cell r="D4742" t="str">
            <v>Rancho Landero No. 84</v>
          </cell>
          <cell r="E4742" t="str">
            <v>Alcántara</v>
          </cell>
          <cell r="F4742">
            <v>300</v>
          </cell>
          <cell r="G4742">
            <v>5</v>
          </cell>
          <cell r="H4742">
            <v>20</v>
          </cell>
          <cell r="I4742">
            <v>41903</v>
          </cell>
          <cell r="J4742" t="str">
            <v>NO SUMA</v>
          </cell>
          <cell r="W4742">
            <v>0</v>
          </cell>
          <cell r="AJ4742">
            <v>0</v>
          </cell>
          <cell r="AW4742">
            <v>0</v>
          </cell>
        </row>
        <row r="4743">
          <cell r="B4743">
            <v>7926</v>
          </cell>
          <cell r="C4743" t="str">
            <v>LD_84_</v>
          </cell>
          <cell r="D4743" t="str">
            <v>Rancho Landero No. 84</v>
          </cell>
          <cell r="E4743" t="str">
            <v>Alcántara</v>
          </cell>
          <cell r="F4743">
            <v>300</v>
          </cell>
          <cell r="G4743">
            <v>5</v>
          </cell>
          <cell r="H4743">
            <v>20</v>
          </cell>
          <cell r="I4743">
            <v>41903</v>
          </cell>
          <cell r="J4743" t="str">
            <v>NO SUMA</v>
          </cell>
          <cell r="W4743">
            <v>0</v>
          </cell>
          <cell r="AJ4743">
            <v>0</v>
          </cell>
          <cell r="AW4743">
            <v>0</v>
          </cell>
        </row>
        <row r="4744">
          <cell r="B4744">
            <v>7927</v>
          </cell>
          <cell r="C4744" t="str">
            <v>EZ_100_</v>
          </cell>
          <cell r="D4744" t="str">
            <v>Rancho Estanzuela No. 100</v>
          </cell>
          <cell r="E4744" t="str">
            <v>Arias Monter</v>
          </cell>
          <cell r="F4744">
            <v>300</v>
          </cell>
          <cell r="G4744">
            <v>1</v>
          </cell>
          <cell r="H4744">
            <v>1600</v>
          </cell>
          <cell r="I4744">
            <v>41903</v>
          </cell>
          <cell r="J4744">
            <v>0</v>
          </cell>
          <cell r="W4744">
            <v>0</v>
          </cell>
          <cell r="AJ4744">
            <v>0</v>
          </cell>
          <cell r="AQ4744">
            <v>400</v>
          </cell>
          <cell r="AR4744">
            <v>400</v>
          </cell>
          <cell r="AS4744">
            <v>400</v>
          </cell>
          <cell r="AT4744">
            <v>400</v>
          </cell>
          <cell r="AW4744">
            <v>1600</v>
          </cell>
        </row>
        <row r="4745">
          <cell r="B4745">
            <v>7927</v>
          </cell>
          <cell r="C4745" t="str">
            <v>EZ_100_</v>
          </cell>
          <cell r="D4745" t="str">
            <v>Rancho Estanzuela No. 100</v>
          </cell>
          <cell r="E4745" t="str">
            <v>Arias Monter</v>
          </cell>
          <cell r="F4745">
            <v>300</v>
          </cell>
          <cell r="G4745">
            <v>5</v>
          </cell>
          <cell r="H4745">
            <v>20</v>
          </cell>
          <cell r="I4745">
            <v>41903</v>
          </cell>
          <cell r="J4745" t="str">
            <v>NO SUMA</v>
          </cell>
          <cell r="W4745">
            <v>0</v>
          </cell>
          <cell r="AJ4745">
            <v>0</v>
          </cell>
          <cell r="AW4745">
            <v>0</v>
          </cell>
        </row>
        <row r="4746">
          <cell r="B4746">
            <v>7927</v>
          </cell>
          <cell r="C4746" t="str">
            <v>EZ_100_</v>
          </cell>
          <cell r="D4746" t="str">
            <v>Rancho Estanzuela No. 100</v>
          </cell>
          <cell r="E4746" t="str">
            <v>Arias Monter</v>
          </cell>
          <cell r="F4746">
            <v>300</v>
          </cell>
          <cell r="G4746">
            <v>5</v>
          </cell>
          <cell r="H4746">
            <v>20</v>
          </cell>
          <cell r="I4746">
            <v>41903</v>
          </cell>
          <cell r="J4746" t="str">
            <v>NO SUMA</v>
          </cell>
          <cell r="W4746">
            <v>0</v>
          </cell>
          <cell r="AJ4746">
            <v>0</v>
          </cell>
          <cell r="AW4746">
            <v>0</v>
          </cell>
        </row>
        <row r="4747">
          <cell r="B4747">
            <v>7927</v>
          </cell>
          <cell r="C4747" t="str">
            <v>EZ_100_</v>
          </cell>
          <cell r="D4747" t="str">
            <v>Rancho Estanzuela No. 100</v>
          </cell>
          <cell r="E4747" t="str">
            <v>Arias Monter</v>
          </cell>
          <cell r="F4747">
            <v>300</v>
          </cell>
          <cell r="G4747">
            <v>5</v>
          </cell>
          <cell r="H4747">
            <v>20</v>
          </cell>
          <cell r="I4747">
            <v>41903</v>
          </cell>
          <cell r="J4747" t="str">
            <v>NO SUMA</v>
          </cell>
          <cell r="W4747">
            <v>0</v>
          </cell>
          <cell r="AJ4747">
            <v>0</v>
          </cell>
          <cell r="AW4747">
            <v>0</v>
          </cell>
        </row>
        <row r="4748">
          <cell r="B4748">
            <v>7927</v>
          </cell>
          <cell r="C4748" t="str">
            <v>EZ_100_</v>
          </cell>
          <cell r="D4748" t="str">
            <v>Rancho Estanzuela No. 100</v>
          </cell>
          <cell r="E4748" t="str">
            <v>Arias Monter</v>
          </cell>
          <cell r="F4748">
            <v>300</v>
          </cell>
          <cell r="G4748">
            <v>5</v>
          </cell>
          <cell r="H4748">
            <v>50</v>
          </cell>
          <cell r="I4748">
            <v>41903</v>
          </cell>
          <cell r="J4748" t="str">
            <v>NO SUMA</v>
          </cell>
          <cell r="W4748">
            <v>0</v>
          </cell>
          <cell r="AJ4748">
            <v>0</v>
          </cell>
          <cell r="AW4748">
            <v>0</v>
          </cell>
        </row>
        <row r="4749">
          <cell r="B4749">
            <v>7927</v>
          </cell>
          <cell r="C4749" t="str">
            <v>EZ_159_</v>
          </cell>
          <cell r="D4749" t="str">
            <v>Rancho Estanzuela No. 159</v>
          </cell>
          <cell r="E4749" t="str">
            <v>Silva</v>
          </cell>
          <cell r="F4749">
            <v>250</v>
          </cell>
          <cell r="G4749">
            <v>1</v>
          </cell>
          <cell r="H4749">
            <v>600</v>
          </cell>
          <cell r="I4749">
            <v>41903</v>
          </cell>
          <cell r="J4749">
            <v>0</v>
          </cell>
          <cell r="W4749">
            <v>0</v>
          </cell>
          <cell r="AJ4749">
            <v>0</v>
          </cell>
          <cell r="AR4749">
            <v>300</v>
          </cell>
          <cell r="AS4749">
            <v>300</v>
          </cell>
          <cell r="AW4749">
            <v>600</v>
          </cell>
        </row>
        <row r="4750">
          <cell r="B4750">
            <v>7930</v>
          </cell>
          <cell r="C4750" t="str">
            <v>UP_44_</v>
          </cell>
          <cell r="D4750" t="str">
            <v>Rancho Estanzuela No. 159</v>
          </cell>
          <cell r="E4750" t="str">
            <v xml:space="preserve"> Silva</v>
          </cell>
          <cell r="F4750">
            <v>300</v>
          </cell>
          <cell r="G4750">
            <v>1</v>
          </cell>
          <cell r="H4750">
            <v>600</v>
          </cell>
          <cell r="I4750">
            <v>41903</v>
          </cell>
          <cell r="J4750">
            <v>0</v>
          </cell>
          <cell r="W4750">
            <v>0</v>
          </cell>
          <cell r="AJ4750">
            <v>0</v>
          </cell>
          <cell r="AN4750">
            <v>200</v>
          </cell>
          <cell r="AO4750">
            <v>200</v>
          </cell>
          <cell r="AP4750">
            <v>200</v>
          </cell>
          <cell r="AW4750">
            <v>600</v>
          </cell>
        </row>
        <row r="4751">
          <cell r="B4751">
            <v>7930</v>
          </cell>
          <cell r="C4751" t="str">
            <v>UP_44_</v>
          </cell>
          <cell r="D4751" t="str">
            <v>Rancho Upácuaro No. 44</v>
          </cell>
          <cell r="E4751" t="str">
            <v>Basurto</v>
          </cell>
          <cell r="F4751">
            <v>300</v>
          </cell>
          <cell r="G4751">
            <v>5</v>
          </cell>
          <cell r="H4751">
            <v>20</v>
          </cell>
          <cell r="I4751">
            <v>41903</v>
          </cell>
          <cell r="J4751" t="str">
            <v>NO SUMA</v>
          </cell>
          <cell r="W4751">
            <v>0</v>
          </cell>
          <cell r="AJ4751">
            <v>0</v>
          </cell>
          <cell r="AW4751">
            <v>0</v>
          </cell>
        </row>
        <row r="4752">
          <cell r="B4752">
            <v>7930</v>
          </cell>
          <cell r="C4752" t="str">
            <v>UP_44_</v>
          </cell>
          <cell r="D4752" t="str">
            <v>Rancho Upácuaro No. 44</v>
          </cell>
          <cell r="E4752" t="str">
            <v>Basurto</v>
          </cell>
          <cell r="F4752">
            <v>300</v>
          </cell>
          <cell r="G4752">
            <v>5</v>
          </cell>
          <cell r="H4752">
            <v>20</v>
          </cell>
          <cell r="I4752">
            <v>41903</v>
          </cell>
          <cell r="J4752" t="str">
            <v>NO SUMA</v>
          </cell>
          <cell r="W4752">
            <v>0</v>
          </cell>
          <cell r="AJ4752">
            <v>0</v>
          </cell>
          <cell r="AW4752">
            <v>0</v>
          </cell>
        </row>
        <row r="4753">
          <cell r="B4753">
            <v>7930</v>
          </cell>
          <cell r="C4753" t="str">
            <v>UP_44_</v>
          </cell>
          <cell r="D4753" t="str">
            <v>Rancho Upácuaro No. 44</v>
          </cell>
          <cell r="E4753" t="str">
            <v>Basurto</v>
          </cell>
          <cell r="F4753">
            <v>300</v>
          </cell>
          <cell r="G4753">
            <v>5</v>
          </cell>
          <cell r="H4753">
            <v>20</v>
          </cell>
          <cell r="I4753">
            <v>41903</v>
          </cell>
          <cell r="J4753" t="str">
            <v>NO SUMA</v>
          </cell>
          <cell r="W4753">
            <v>0</v>
          </cell>
          <cell r="AJ4753">
            <v>0</v>
          </cell>
          <cell r="AW4753">
            <v>0</v>
          </cell>
        </row>
        <row r="4754">
          <cell r="B4754">
            <v>7931</v>
          </cell>
          <cell r="C4754" t="str">
            <v>CL_35_</v>
          </cell>
          <cell r="D4754" t="str">
            <v>Rancho La Cuchilla No. 35</v>
          </cell>
          <cell r="E4754" t="str">
            <v>Mendoza</v>
          </cell>
          <cell r="F4754">
            <v>150</v>
          </cell>
          <cell r="G4754">
            <v>3</v>
          </cell>
          <cell r="H4754">
            <v>160</v>
          </cell>
          <cell r="I4754">
            <v>41903</v>
          </cell>
          <cell r="J4754" t="str">
            <v>NO SUMA</v>
          </cell>
          <cell r="W4754">
            <v>0</v>
          </cell>
          <cell r="AJ4754">
            <v>0</v>
          </cell>
          <cell r="AW4754">
            <v>0</v>
          </cell>
        </row>
        <row r="4755">
          <cell r="B4755">
            <v>7931</v>
          </cell>
          <cell r="C4755" t="str">
            <v>CL_35_</v>
          </cell>
          <cell r="D4755" t="str">
            <v>Rancho La Cuchilla No. 35</v>
          </cell>
          <cell r="E4755" t="str">
            <v>Mendoza</v>
          </cell>
          <cell r="F4755">
            <v>150</v>
          </cell>
          <cell r="G4755">
            <v>5</v>
          </cell>
          <cell r="H4755">
            <v>20</v>
          </cell>
          <cell r="I4755">
            <v>41903</v>
          </cell>
          <cell r="J4755" t="str">
            <v>NO SUMA</v>
          </cell>
          <cell r="W4755">
            <v>0</v>
          </cell>
          <cell r="AJ4755">
            <v>0</v>
          </cell>
          <cell r="AW4755">
            <v>0</v>
          </cell>
        </row>
        <row r="4756">
          <cell r="B4756">
            <v>7931</v>
          </cell>
          <cell r="C4756" t="str">
            <v>CL_35_</v>
          </cell>
          <cell r="D4756" t="str">
            <v>Rancho La Cuchilla No. 35</v>
          </cell>
          <cell r="E4756" t="str">
            <v>Mendoza</v>
          </cell>
          <cell r="F4756">
            <v>150</v>
          </cell>
          <cell r="G4756">
            <v>5</v>
          </cell>
          <cell r="H4756">
            <v>20</v>
          </cell>
          <cell r="I4756">
            <v>41903</v>
          </cell>
          <cell r="J4756" t="str">
            <v>NO SUMA</v>
          </cell>
          <cell r="W4756">
            <v>0</v>
          </cell>
          <cell r="AJ4756">
            <v>0</v>
          </cell>
          <cell r="AW4756">
            <v>0</v>
          </cell>
        </row>
        <row r="4757">
          <cell r="B4757">
            <v>7932</v>
          </cell>
          <cell r="C4757" t="str">
            <v>LD_17_</v>
          </cell>
          <cell r="D4757" t="str">
            <v>Rancho Landero No. 17</v>
          </cell>
          <cell r="E4757" t="str">
            <v>González</v>
          </cell>
          <cell r="F4757">
            <v>300</v>
          </cell>
          <cell r="G4757">
            <v>1</v>
          </cell>
          <cell r="H4757">
            <v>400</v>
          </cell>
          <cell r="I4757">
            <v>41903</v>
          </cell>
          <cell r="J4757">
            <v>0</v>
          </cell>
          <cell r="W4757">
            <v>0</v>
          </cell>
          <cell r="AJ4757">
            <v>0</v>
          </cell>
          <cell r="AS4757">
            <v>400</v>
          </cell>
          <cell r="AW4757">
            <v>400</v>
          </cell>
        </row>
        <row r="4758">
          <cell r="B4758">
            <v>7932</v>
          </cell>
          <cell r="C4758" t="str">
            <v>LD_17_</v>
          </cell>
          <cell r="D4758" t="str">
            <v>Rancho Landero No. 17</v>
          </cell>
          <cell r="E4758" t="str">
            <v>González</v>
          </cell>
          <cell r="F4758">
            <v>300</v>
          </cell>
          <cell r="G4758">
            <v>5</v>
          </cell>
          <cell r="H4758">
            <v>20</v>
          </cell>
          <cell r="I4758">
            <v>41903</v>
          </cell>
          <cell r="J4758" t="str">
            <v>NO SUMA</v>
          </cell>
          <cell r="W4758">
            <v>0</v>
          </cell>
          <cell r="AJ4758">
            <v>0</v>
          </cell>
          <cell r="AW4758">
            <v>0</v>
          </cell>
        </row>
        <row r="4759">
          <cell r="B4759">
            <v>7932</v>
          </cell>
          <cell r="C4759" t="str">
            <v>LD_17_</v>
          </cell>
          <cell r="D4759" t="str">
            <v>Rancho Landero No. 17</v>
          </cell>
          <cell r="E4759" t="str">
            <v>González</v>
          </cell>
          <cell r="F4759">
            <v>300</v>
          </cell>
          <cell r="G4759">
            <v>5</v>
          </cell>
          <cell r="H4759">
            <v>20</v>
          </cell>
          <cell r="I4759">
            <v>41903</v>
          </cell>
          <cell r="J4759" t="str">
            <v>NO SUMA</v>
          </cell>
          <cell r="W4759">
            <v>0</v>
          </cell>
          <cell r="AJ4759">
            <v>0</v>
          </cell>
          <cell r="AW4759">
            <v>0</v>
          </cell>
        </row>
        <row r="4760">
          <cell r="B4760">
            <v>7932</v>
          </cell>
          <cell r="C4760" t="str">
            <v>LD_17_</v>
          </cell>
          <cell r="D4760" t="str">
            <v>Rancho Landero No. 17</v>
          </cell>
          <cell r="E4760" t="str">
            <v>González</v>
          </cell>
          <cell r="F4760">
            <v>300</v>
          </cell>
          <cell r="G4760">
            <v>5</v>
          </cell>
          <cell r="H4760">
            <v>20</v>
          </cell>
          <cell r="I4760">
            <v>41903</v>
          </cell>
          <cell r="J4760" t="str">
            <v>NO SUMA</v>
          </cell>
          <cell r="W4760">
            <v>0</v>
          </cell>
          <cell r="AJ4760">
            <v>0</v>
          </cell>
          <cell r="AW4760">
            <v>0</v>
          </cell>
        </row>
        <row r="4761">
          <cell r="B4761">
            <v>7933</v>
          </cell>
          <cell r="C4761" t="str">
            <v>CL_129_</v>
          </cell>
          <cell r="D4761" t="str">
            <v>Rancho La Cuchilla No. 129</v>
          </cell>
          <cell r="E4761" t="str">
            <v>Gamboa Rueda</v>
          </cell>
          <cell r="F4761">
            <v>200</v>
          </cell>
          <cell r="G4761">
            <v>1</v>
          </cell>
          <cell r="H4761">
            <v>300</v>
          </cell>
          <cell r="I4761">
            <v>41903</v>
          </cell>
          <cell r="J4761">
            <v>0</v>
          </cell>
          <cell r="W4761">
            <v>0</v>
          </cell>
          <cell r="AJ4761">
            <v>0</v>
          </cell>
          <cell r="AS4761">
            <v>300</v>
          </cell>
          <cell r="AW4761">
            <v>300</v>
          </cell>
        </row>
        <row r="4762">
          <cell r="B4762">
            <v>7933</v>
          </cell>
          <cell r="C4762" t="str">
            <v>CL_129_</v>
          </cell>
          <cell r="D4762" t="str">
            <v>Rancho La Cuchilla No. 129</v>
          </cell>
          <cell r="E4762" t="str">
            <v>Gamboa Rueda</v>
          </cell>
          <cell r="F4762">
            <v>200</v>
          </cell>
          <cell r="G4762">
            <v>5</v>
          </cell>
          <cell r="H4762">
            <v>20</v>
          </cell>
          <cell r="I4762">
            <v>41903</v>
          </cell>
          <cell r="J4762" t="str">
            <v>NO SUMA</v>
          </cell>
          <cell r="W4762">
            <v>0</v>
          </cell>
          <cell r="AJ4762">
            <v>0</v>
          </cell>
          <cell r="AW4762">
            <v>0</v>
          </cell>
        </row>
        <row r="4763">
          <cell r="B4763">
            <v>7933</v>
          </cell>
          <cell r="C4763" t="str">
            <v>CL_129_</v>
          </cell>
          <cell r="D4763" t="str">
            <v>Rancho La Cuchilla No. 129</v>
          </cell>
          <cell r="E4763" t="str">
            <v>Gamboa Rueda</v>
          </cell>
          <cell r="F4763">
            <v>200</v>
          </cell>
          <cell r="G4763">
            <v>5</v>
          </cell>
          <cell r="H4763">
            <v>20</v>
          </cell>
          <cell r="I4763">
            <v>41903</v>
          </cell>
          <cell r="J4763" t="str">
            <v>NO SUMA</v>
          </cell>
          <cell r="W4763">
            <v>0</v>
          </cell>
          <cell r="AJ4763">
            <v>0</v>
          </cell>
          <cell r="AW4763">
            <v>0</v>
          </cell>
        </row>
        <row r="4764">
          <cell r="B4764">
            <v>7933</v>
          </cell>
          <cell r="C4764" t="str">
            <v>CL_129_</v>
          </cell>
          <cell r="D4764" t="str">
            <v>Rancho La Cuchilla No. 129</v>
          </cell>
          <cell r="E4764" t="str">
            <v>Gamboa Rueda</v>
          </cell>
          <cell r="F4764">
            <v>200</v>
          </cell>
          <cell r="G4764">
            <v>5</v>
          </cell>
          <cell r="H4764">
            <v>20</v>
          </cell>
          <cell r="I4764">
            <v>41903</v>
          </cell>
          <cell r="J4764" t="str">
            <v>NO SUMA</v>
          </cell>
          <cell r="W4764">
            <v>0</v>
          </cell>
          <cell r="AJ4764">
            <v>0</v>
          </cell>
          <cell r="AW4764">
            <v>0</v>
          </cell>
        </row>
        <row r="4765">
          <cell r="B4765">
            <v>7933</v>
          </cell>
          <cell r="C4765" t="str">
            <v>CL_129_</v>
          </cell>
          <cell r="D4765" t="str">
            <v>Rancho La Cuchilla No. 129</v>
          </cell>
          <cell r="E4765" t="str">
            <v>Gamboa Rueda</v>
          </cell>
          <cell r="F4765">
            <v>200</v>
          </cell>
          <cell r="G4765">
            <v>5</v>
          </cell>
          <cell r="H4765">
            <v>50</v>
          </cell>
          <cell r="I4765">
            <v>41903</v>
          </cell>
          <cell r="J4765" t="str">
            <v>NO SUMA</v>
          </cell>
          <cell r="W4765">
            <v>0</v>
          </cell>
          <cell r="AJ4765">
            <v>0</v>
          </cell>
          <cell r="AW4765">
            <v>0</v>
          </cell>
        </row>
        <row r="4766">
          <cell r="B4766">
            <v>7933</v>
          </cell>
          <cell r="C4766" t="str">
            <v>CL_129_</v>
          </cell>
          <cell r="D4766" t="str">
            <v>Rancho La Cuchilla No. 129</v>
          </cell>
          <cell r="E4766" t="str">
            <v>Gamboa Rueda</v>
          </cell>
          <cell r="F4766">
            <v>200</v>
          </cell>
          <cell r="G4766">
            <v>5</v>
          </cell>
          <cell r="H4766">
            <v>50</v>
          </cell>
          <cell r="I4766">
            <v>41903</v>
          </cell>
          <cell r="J4766" t="str">
            <v>NO SUMA</v>
          </cell>
          <cell r="W4766">
            <v>0</v>
          </cell>
          <cell r="AJ4766">
            <v>0</v>
          </cell>
          <cell r="AW4766">
            <v>0</v>
          </cell>
        </row>
        <row r="4767">
          <cell r="B4767">
            <v>7934</v>
          </cell>
          <cell r="C4767" t="str">
            <v>CL_35_</v>
          </cell>
          <cell r="D4767" t="str">
            <v>Rancho La Cuchilla No. 35</v>
          </cell>
          <cell r="E4767" t="str">
            <v>Mendoza</v>
          </cell>
          <cell r="F4767">
            <v>150</v>
          </cell>
          <cell r="G4767">
            <v>3</v>
          </cell>
          <cell r="H4767">
            <v>160</v>
          </cell>
          <cell r="I4767">
            <v>41903</v>
          </cell>
          <cell r="J4767" t="str">
            <v>NO SUMA</v>
          </cell>
          <cell r="W4767">
            <v>0</v>
          </cell>
          <cell r="AJ4767">
            <v>0</v>
          </cell>
          <cell r="AW4767">
            <v>0</v>
          </cell>
        </row>
        <row r="4768">
          <cell r="B4768">
            <v>7934</v>
          </cell>
          <cell r="C4768" t="str">
            <v>CL_35_</v>
          </cell>
          <cell r="D4768" t="str">
            <v>Rancho La Cuchilla No. 35</v>
          </cell>
          <cell r="E4768" t="str">
            <v>Mendoza</v>
          </cell>
          <cell r="F4768">
            <v>150</v>
          </cell>
          <cell r="G4768">
            <v>5</v>
          </cell>
          <cell r="H4768">
            <v>35</v>
          </cell>
          <cell r="I4768">
            <v>41903</v>
          </cell>
          <cell r="J4768" t="str">
            <v>NO SUMA</v>
          </cell>
          <cell r="W4768">
            <v>0</v>
          </cell>
          <cell r="AJ4768">
            <v>0</v>
          </cell>
          <cell r="AW4768">
            <v>0</v>
          </cell>
        </row>
        <row r="4769">
          <cell r="B4769">
            <v>7934</v>
          </cell>
          <cell r="C4769" t="str">
            <v>CL_35_</v>
          </cell>
          <cell r="D4769" t="str">
            <v>Rancho La Cuchilla No. 35</v>
          </cell>
          <cell r="E4769" t="str">
            <v>Mendoza</v>
          </cell>
          <cell r="F4769">
            <v>150</v>
          </cell>
          <cell r="G4769">
            <v>5</v>
          </cell>
          <cell r="H4769">
            <v>35</v>
          </cell>
          <cell r="I4769">
            <v>41903</v>
          </cell>
          <cell r="J4769" t="str">
            <v>NO SUMA</v>
          </cell>
          <cell r="W4769">
            <v>0</v>
          </cell>
          <cell r="AJ4769">
            <v>0</v>
          </cell>
          <cell r="AW4769">
            <v>0</v>
          </cell>
        </row>
        <row r="4770">
          <cell r="B4770">
            <v>7935</v>
          </cell>
          <cell r="C4770" t="str">
            <v>CL_21_</v>
          </cell>
          <cell r="D4770" t="str">
            <v>Rancho La Cuchilla No. 21</v>
          </cell>
          <cell r="E4770" t="str">
            <v>Solórzano Calderón</v>
          </cell>
          <cell r="F4770">
            <v>300</v>
          </cell>
          <cell r="G4770">
            <v>1</v>
          </cell>
          <cell r="H4770">
            <v>400</v>
          </cell>
          <cell r="I4770">
            <v>41903</v>
          </cell>
          <cell r="J4770">
            <v>0</v>
          </cell>
          <cell r="W4770">
            <v>0</v>
          </cell>
          <cell r="AJ4770">
            <v>0</v>
          </cell>
          <cell r="AS4770">
            <v>400</v>
          </cell>
          <cell r="AW4770">
            <v>400</v>
          </cell>
        </row>
        <row r="4771">
          <cell r="B4771">
            <v>7935</v>
          </cell>
          <cell r="C4771" t="str">
            <v>CL_21_</v>
          </cell>
          <cell r="D4771" t="str">
            <v>Rancho La Cuchilla No. 21</v>
          </cell>
          <cell r="E4771" t="str">
            <v>Solórzano Calderón</v>
          </cell>
          <cell r="F4771">
            <v>300</v>
          </cell>
          <cell r="G4771">
            <v>5</v>
          </cell>
          <cell r="H4771">
            <v>20</v>
          </cell>
          <cell r="I4771">
            <v>41903</v>
          </cell>
          <cell r="J4771" t="str">
            <v>NO SUMA</v>
          </cell>
          <cell r="W4771">
            <v>0</v>
          </cell>
          <cell r="AJ4771">
            <v>0</v>
          </cell>
          <cell r="AW4771">
            <v>0</v>
          </cell>
        </row>
        <row r="4772">
          <cell r="B4772">
            <v>7935</v>
          </cell>
          <cell r="C4772" t="str">
            <v>CL_21_</v>
          </cell>
          <cell r="D4772" t="str">
            <v>Rancho La Cuchilla No. 21</v>
          </cell>
          <cell r="E4772" t="str">
            <v>Solórzano Calderón</v>
          </cell>
          <cell r="F4772">
            <v>300</v>
          </cell>
          <cell r="G4772">
            <v>5</v>
          </cell>
          <cell r="H4772">
            <v>20</v>
          </cell>
          <cell r="I4772">
            <v>41903</v>
          </cell>
          <cell r="J4772" t="str">
            <v>NO SUMA</v>
          </cell>
          <cell r="W4772">
            <v>0</v>
          </cell>
          <cell r="AJ4772">
            <v>0</v>
          </cell>
          <cell r="AW4772">
            <v>0</v>
          </cell>
        </row>
        <row r="4773">
          <cell r="B4773">
            <v>7935</v>
          </cell>
          <cell r="C4773" t="str">
            <v>CL_21_</v>
          </cell>
          <cell r="D4773" t="str">
            <v>Rancho La Cuchilla No. 21</v>
          </cell>
          <cell r="E4773" t="str">
            <v>Solórzano Calderón</v>
          </cell>
          <cell r="F4773">
            <v>300</v>
          </cell>
          <cell r="G4773">
            <v>5</v>
          </cell>
          <cell r="H4773">
            <v>20</v>
          </cell>
          <cell r="I4773">
            <v>41903</v>
          </cell>
          <cell r="J4773" t="str">
            <v>NO SUMA</v>
          </cell>
          <cell r="W4773">
            <v>0</v>
          </cell>
          <cell r="AJ4773">
            <v>0</v>
          </cell>
          <cell r="AW4773">
            <v>0</v>
          </cell>
        </row>
        <row r="4774">
          <cell r="B4774">
            <v>7936</v>
          </cell>
          <cell r="C4774" t="str">
            <v>EP_22_A</v>
          </cell>
          <cell r="D4774" t="str">
            <v>Rancho Estopila No. 22, A</v>
          </cell>
          <cell r="E4774" t="str">
            <v>Ayala Carranza</v>
          </cell>
          <cell r="F4774">
            <v>150</v>
          </cell>
          <cell r="G4774">
            <v>1</v>
          </cell>
          <cell r="H4774">
            <v>200</v>
          </cell>
          <cell r="I4774">
            <v>41903</v>
          </cell>
          <cell r="J4774">
            <v>0</v>
          </cell>
          <cell r="W4774">
            <v>0</v>
          </cell>
          <cell r="AJ4774">
            <v>0</v>
          </cell>
          <cell r="AS4774">
            <v>200</v>
          </cell>
          <cell r="AW4774">
            <v>200</v>
          </cell>
        </row>
        <row r="4775">
          <cell r="B4775">
            <v>7936</v>
          </cell>
          <cell r="C4775" t="str">
            <v>EP_22_A</v>
          </cell>
          <cell r="D4775" t="str">
            <v>Rancho Estopila No. 22, A</v>
          </cell>
          <cell r="E4775" t="str">
            <v>Ayala Carranza</v>
          </cell>
          <cell r="F4775">
            <v>150</v>
          </cell>
          <cell r="G4775">
            <v>5</v>
          </cell>
          <cell r="H4775">
            <v>20</v>
          </cell>
          <cell r="I4775">
            <v>41903</v>
          </cell>
          <cell r="J4775" t="str">
            <v>NO SUMA</v>
          </cell>
          <cell r="W4775">
            <v>0</v>
          </cell>
          <cell r="AJ4775">
            <v>0</v>
          </cell>
          <cell r="AW4775">
            <v>0</v>
          </cell>
        </row>
        <row r="4776">
          <cell r="B4776">
            <v>7937</v>
          </cell>
          <cell r="C4776" t="str">
            <v>CL_12_</v>
          </cell>
          <cell r="D4776" t="str">
            <v>Rancho La Cuchilla No. 12</v>
          </cell>
          <cell r="E4776" t="str">
            <v>Rivera Flores</v>
          </cell>
          <cell r="F4776">
            <v>300</v>
          </cell>
          <cell r="G4776">
            <v>1</v>
          </cell>
          <cell r="H4776">
            <v>600</v>
          </cell>
          <cell r="I4776">
            <v>41903</v>
          </cell>
          <cell r="J4776">
            <v>0</v>
          </cell>
          <cell r="W4776">
            <v>0</v>
          </cell>
          <cell r="AJ4776">
            <v>0</v>
          </cell>
          <cell r="AR4776">
            <v>300</v>
          </cell>
          <cell r="AS4776">
            <v>300</v>
          </cell>
          <cell r="AW4776">
            <v>600</v>
          </cell>
        </row>
        <row r="4777">
          <cell r="B4777">
            <v>7938</v>
          </cell>
          <cell r="C4777" t="str">
            <v>CL_89_</v>
          </cell>
          <cell r="D4777" t="str">
            <v>Rancho La Cuchilla No. 89</v>
          </cell>
          <cell r="E4777" t="str">
            <v>Gálvez</v>
          </cell>
          <cell r="F4777">
            <v>300</v>
          </cell>
          <cell r="G4777">
            <v>5</v>
          </cell>
          <cell r="H4777">
            <v>20</v>
          </cell>
          <cell r="I4777">
            <v>41903</v>
          </cell>
          <cell r="J4777" t="str">
            <v>NO SUMA</v>
          </cell>
          <cell r="W4777">
            <v>0</v>
          </cell>
          <cell r="AJ4777">
            <v>0</v>
          </cell>
          <cell r="AW4777">
            <v>0</v>
          </cell>
        </row>
        <row r="4778">
          <cell r="B4778">
            <v>7939</v>
          </cell>
          <cell r="C4778" t="str">
            <v>ZB_68_</v>
          </cell>
          <cell r="D4778" t="str">
            <v>Rancho Zinamba No. 68</v>
          </cell>
          <cell r="E4778" t="str">
            <v>Rivera Villicaña</v>
          </cell>
          <cell r="F4778">
            <v>300</v>
          </cell>
          <cell r="G4778">
            <v>5</v>
          </cell>
          <cell r="H4778">
            <v>20</v>
          </cell>
          <cell r="I4778">
            <v>41903</v>
          </cell>
          <cell r="J4778" t="str">
            <v>NO SUMA</v>
          </cell>
          <cell r="W4778">
            <v>0</v>
          </cell>
          <cell r="AJ4778">
            <v>0</v>
          </cell>
          <cell r="AW4778">
            <v>0</v>
          </cell>
        </row>
        <row r="4779">
          <cell r="B4779">
            <v>7939</v>
          </cell>
          <cell r="C4779" t="str">
            <v>ZB_68_</v>
          </cell>
          <cell r="D4779" t="str">
            <v>Rancho Zinamba No. 68</v>
          </cell>
          <cell r="E4779" t="str">
            <v>Rivera Villicaña</v>
          </cell>
          <cell r="F4779">
            <v>300</v>
          </cell>
          <cell r="G4779">
            <v>5</v>
          </cell>
          <cell r="H4779">
            <v>20</v>
          </cell>
          <cell r="I4779">
            <v>41903</v>
          </cell>
          <cell r="J4779" t="str">
            <v>NO SUMA</v>
          </cell>
          <cell r="W4779">
            <v>0</v>
          </cell>
          <cell r="AJ4779">
            <v>0</v>
          </cell>
          <cell r="AW4779">
            <v>0</v>
          </cell>
        </row>
        <row r="4780">
          <cell r="B4780">
            <v>7939</v>
          </cell>
          <cell r="C4780" t="str">
            <v>ZB_68_</v>
          </cell>
          <cell r="D4780" t="str">
            <v>Rancho Zinamba No. 68</v>
          </cell>
          <cell r="E4780" t="str">
            <v>Rivera Villicaña</v>
          </cell>
          <cell r="F4780">
            <v>300</v>
          </cell>
          <cell r="G4780">
            <v>5</v>
          </cell>
          <cell r="H4780">
            <v>20</v>
          </cell>
          <cell r="I4780">
            <v>41903</v>
          </cell>
          <cell r="J4780" t="str">
            <v>NO SUMA</v>
          </cell>
          <cell r="W4780">
            <v>0</v>
          </cell>
          <cell r="AJ4780">
            <v>0</v>
          </cell>
          <cell r="AW4780">
            <v>0</v>
          </cell>
        </row>
        <row r="4781">
          <cell r="B4781">
            <v>7940</v>
          </cell>
          <cell r="C4781" t="str">
            <v>RV_175_A</v>
          </cell>
          <cell r="D4781" t="str">
            <v>Rancho Recoveco No. 175, A</v>
          </cell>
          <cell r="E4781" t="str">
            <v>Pérez</v>
          </cell>
          <cell r="F4781">
            <v>300</v>
          </cell>
          <cell r="G4781">
            <v>1</v>
          </cell>
          <cell r="H4781">
            <v>800</v>
          </cell>
          <cell r="I4781">
            <v>41903</v>
          </cell>
          <cell r="J4781">
            <v>0</v>
          </cell>
          <cell r="W4781">
            <v>0</v>
          </cell>
          <cell r="AJ4781">
            <v>0</v>
          </cell>
          <cell r="AR4781">
            <v>400</v>
          </cell>
          <cell r="AS4781">
            <v>400</v>
          </cell>
          <cell r="AW4781">
            <v>800</v>
          </cell>
        </row>
        <row r="4782">
          <cell r="B4782">
            <v>7940</v>
          </cell>
          <cell r="C4782" t="str">
            <v>RV_175_A</v>
          </cell>
          <cell r="D4782" t="str">
            <v>Rancho Recoveco No. 175, A</v>
          </cell>
          <cell r="E4782" t="str">
            <v>Pérez</v>
          </cell>
          <cell r="F4782">
            <v>300</v>
          </cell>
          <cell r="G4782">
            <v>5</v>
          </cell>
          <cell r="H4782">
            <v>20</v>
          </cell>
          <cell r="I4782">
            <v>41903</v>
          </cell>
          <cell r="J4782" t="str">
            <v>NO SUMA</v>
          </cell>
          <cell r="W4782">
            <v>0</v>
          </cell>
          <cell r="AJ4782">
            <v>0</v>
          </cell>
          <cell r="AW4782">
            <v>0</v>
          </cell>
        </row>
        <row r="4783">
          <cell r="B4783">
            <v>7940</v>
          </cell>
          <cell r="C4783" t="str">
            <v>RV_175_A</v>
          </cell>
          <cell r="D4783" t="str">
            <v>Rancho Recoveco No. 175, A</v>
          </cell>
          <cell r="E4783" t="str">
            <v>Pérez</v>
          </cell>
          <cell r="F4783">
            <v>300</v>
          </cell>
          <cell r="G4783">
            <v>5</v>
          </cell>
          <cell r="H4783">
            <v>20</v>
          </cell>
          <cell r="I4783">
            <v>41903</v>
          </cell>
          <cell r="J4783" t="str">
            <v>NO SUMA</v>
          </cell>
          <cell r="W4783">
            <v>0</v>
          </cell>
          <cell r="AJ4783">
            <v>0</v>
          </cell>
          <cell r="AW4783">
            <v>0</v>
          </cell>
        </row>
        <row r="4784">
          <cell r="B4784">
            <v>7940</v>
          </cell>
          <cell r="C4784" t="str">
            <v>RV_175_A</v>
          </cell>
          <cell r="D4784" t="str">
            <v>Rancho Recoveco No. 175, A</v>
          </cell>
          <cell r="E4784" t="str">
            <v>Pérez</v>
          </cell>
          <cell r="F4784">
            <v>300</v>
          </cell>
          <cell r="G4784">
            <v>5</v>
          </cell>
          <cell r="H4784">
            <v>20</v>
          </cell>
          <cell r="I4784">
            <v>41903</v>
          </cell>
          <cell r="J4784" t="str">
            <v>NO SUMA</v>
          </cell>
          <cell r="W4784">
            <v>0</v>
          </cell>
          <cell r="AJ4784">
            <v>0</v>
          </cell>
          <cell r="AW4784">
            <v>0</v>
          </cell>
        </row>
        <row r="4785">
          <cell r="B4785">
            <v>7941</v>
          </cell>
          <cell r="C4785" t="str">
            <v>UP_46_</v>
          </cell>
          <cell r="D4785" t="str">
            <v>Rancho Upácuaro No. 46</v>
          </cell>
          <cell r="E4785" t="str">
            <v>Fuentes</v>
          </cell>
          <cell r="F4785">
            <v>300</v>
          </cell>
          <cell r="G4785">
            <v>5</v>
          </cell>
          <cell r="H4785">
            <v>20</v>
          </cell>
          <cell r="I4785">
            <v>41903</v>
          </cell>
          <cell r="J4785" t="str">
            <v>NO SUMA</v>
          </cell>
          <cell r="W4785">
            <v>0</v>
          </cell>
          <cell r="AJ4785">
            <v>0</v>
          </cell>
          <cell r="AW4785">
            <v>0</v>
          </cell>
        </row>
        <row r="4786">
          <cell r="B4786">
            <v>7941</v>
          </cell>
          <cell r="C4786" t="str">
            <v>UP_46_</v>
          </cell>
          <cell r="D4786" t="str">
            <v>Rancho Upácuaro No. 46</v>
          </cell>
          <cell r="E4786" t="str">
            <v>Fuentes</v>
          </cell>
          <cell r="F4786">
            <v>300</v>
          </cell>
          <cell r="G4786">
            <v>5</v>
          </cell>
          <cell r="H4786">
            <v>20</v>
          </cell>
          <cell r="I4786">
            <v>41903</v>
          </cell>
          <cell r="J4786" t="str">
            <v>NO SUMA</v>
          </cell>
          <cell r="W4786">
            <v>0</v>
          </cell>
          <cell r="AJ4786">
            <v>0</v>
          </cell>
          <cell r="AW4786">
            <v>0</v>
          </cell>
        </row>
        <row r="4787">
          <cell r="B4787">
            <v>7941</v>
          </cell>
          <cell r="C4787" t="str">
            <v>UP_46_</v>
          </cell>
          <cell r="D4787" t="str">
            <v>Rancho Upácuaro No. 46</v>
          </cell>
          <cell r="E4787" t="str">
            <v>Fuentes</v>
          </cell>
          <cell r="F4787">
            <v>300</v>
          </cell>
          <cell r="G4787">
            <v>5</v>
          </cell>
          <cell r="H4787">
            <v>20</v>
          </cell>
          <cell r="I4787">
            <v>41903</v>
          </cell>
          <cell r="J4787" t="str">
            <v>NO SUMA</v>
          </cell>
          <cell r="W4787">
            <v>0</v>
          </cell>
          <cell r="AJ4787">
            <v>0</v>
          </cell>
          <cell r="AW4787">
            <v>0</v>
          </cell>
        </row>
        <row r="4788">
          <cell r="B4788">
            <v>7942</v>
          </cell>
          <cell r="C4788" t="str">
            <v>LD_22_</v>
          </cell>
          <cell r="D4788" t="str">
            <v>Rancho Landero No. 22</v>
          </cell>
          <cell r="E4788" t="str">
            <v>Reyes</v>
          </cell>
          <cell r="F4788">
            <v>150</v>
          </cell>
          <cell r="G4788">
            <v>1</v>
          </cell>
          <cell r="H4788">
            <v>400</v>
          </cell>
          <cell r="I4788">
            <v>41903</v>
          </cell>
          <cell r="J4788">
            <v>0</v>
          </cell>
          <cell r="W4788">
            <v>0</v>
          </cell>
          <cell r="AJ4788">
            <v>0</v>
          </cell>
          <cell r="AS4788">
            <v>400</v>
          </cell>
          <cell r="AW4788">
            <v>400</v>
          </cell>
        </row>
        <row r="4789">
          <cell r="B4789">
            <v>7942</v>
          </cell>
          <cell r="C4789" t="str">
            <v>LD_22_</v>
          </cell>
          <cell r="D4789" t="str">
            <v>Rancho Landero No. 22</v>
          </cell>
          <cell r="E4789" t="str">
            <v>Reyes</v>
          </cell>
          <cell r="F4789">
            <v>150</v>
          </cell>
          <cell r="G4789">
            <v>5</v>
          </cell>
          <cell r="H4789">
            <v>20</v>
          </cell>
          <cell r="I4789">
            <v>41903</v>
          </cell>
          <cell r="J4789" t="str">
            <v>NO SUMA</v>
          </cell>
          <cell r="W4789">
            <v>0</v>
          </cell>
          <cell r="AJ4789">
            <v>0</v>
          </cell>
          <cell r="AW4789">
            <v>0</v>
          </cell>
        </row>
        <row r="4790">
          <cell r="B4790">
            <v>7942</v>
          </cell>
          <cell r="C4790" t="str">
            <v>LD_22_</v>
          </cell>
          <cell r="D4790" t="str">
            <v>Rancho Landero No. 22</v>
          </cell>
          <cell r="E4790" t="str">
            <v>Reyes</v>
          </cell>
          <cell r="F4790">
            <v>150</v>
          </cell>
          <cell r="G4790">
            <v>5</v>
          </cell>
          <cell r="H4790">
            <v>20</v>
          </cell>
          <cell r="I4790">
            <v>41903</v>
          </cell>
          <cell r="J4790" t="str">
            <v>NO SUMA</v>
          </cell>
          <cell r="W4790">
            <v>0</v>
          </cell>
          <cell r="AJ4790">
            <v>0</v>
          </cell>
          <cell r="AW4790">
            <v>0</v>
          </cell>
        </row>
        <row r="4791">
          <cell r="B4791">
            <v>7942</v>
          </cell>
          <cell r="C4791" t="str">
            <v>LD_22_</v>
          </cell>
          <cell r="D4791" t="str">
            <v>Rancho Landero No. 22</v>
          </cell>
          <cell r="E4791" t="str">
            <v>Reyes</v>
          </cell>
          <cell r="F4791">
            <v>150</v>
          </cell>
          <cell r="G4791">
            <v>5</v>
          </cell>
          <cell r="H4791">
            <v>20</v>
          </cell>
          <cell r="I4791">
            <v>41903</v>
          </cell>
          <cell r="J4791" t="str">
            <v>NO SUMA</v>
          </cell>
          <cell r="W4791">
            <v>0</v>
          </cell>
          <cell r="AJ4791">
            <v>0</v>
          </cell>
          <cell r="AW4791">
            <v>0</v>
          </cell>
        </row>
        <row r="4792">
          <cell r="B4792">
            <v>7942</v>
          </cell>
          <cell r="C4792" t="str">
            <v>LD_22_</v>
          </cell>
          <cell r="D4792" t="str">
            <v>Rancho Landero No. 22</v>
          </cell>
          <cell r="E4792" t="str">
            <v>Reyes</v>
          </cell>
          <cell r="F4792">
            <v>150</v>
          </cell>
          <cell r="G4792">
            <v>5</v>
          </cell>
          <cell r="H4792">
            <v>50</v>
          </cell>
          <cell r="I4792">
            <v>41903</v>
          </cell>
          <cell r="J4792" t="str">
            <v>NO SUMA</v>
          </cell>
          <cell r="W4792">
            <v>0</v>
          </cell>
          <cell r="AJ4792">
            <v>0</v>
          </cell>
          <cell r="AW4792">
            <v>0</v>
          </cell>
        </row>
        <row r="4793">
          <cell r="B4793">
            <v>7942</v>
          </cell>
          <cell r="C4793" t="str">
            <v>LD_22_</v>
          </cell>
          <cell r="D4793" t="str">
            <v>Rancho Landero No. 22</v>
          </cell>
          <cell r="E4793" t="str">
            <v>Reyes</v>
          </cell>
          <cell r="F4793">
            <v>150</v>
          </cell>
          <cell r="G4793">
            <v>5</v>
          </cell>
          <cell r="H4793">
            <v>50</v>
          </cell>
          <cell r="I4793">
            <v>41903</v>
          </cell>
          <cell r="J4793" t="str">
            <v>NO SUMA</v>
          </cell>
          <cell r="W4793">
            <v>0</v>
          </cell>
          <cell r="AJ4793">
            <v>0</v>
          </cell>
          <cell r="AW4793">
            <v>0</v>
          </cell>
        </row>
        <row r="4794">
          <cell r="B4794">
            <v>7943</v>
          </cell>
          <cell r="C4794" t="str">
            <v>CL_132_</v>
          </cell>
          <cell r="D4794" t="str">
            <v>Rancho La Cuchilla No. 132</v>
          </cell>
          <cell r="E4794" t="str">
            <v>Téllez Girón</v>
          </cell>
          <cell r="F4794">
            <v>300</v>
          </cell>
          <cell r="G4794">
            <v>1</v>
          </cell>
          <cell r="H4794">
            <v>300</v>
          </cell>
          <cell r="I4794">
            <v>41903</v>
          </cell>
          <cell r="J4794">
            <v>0</v>
          </cell>
          <cell r="W4794">
            <v>0</v>
          </cell>
          <cell r="AJ4794">
            <v>0</v>
          </cell>
          <cell r="AS4794">
            <v>300</v>
          </cell>
          <cell r="AW4794">
            <v>300</v>
          </cell>
        </row>
        <row r="4795">
          <cell r="B4795">
            <v>7943</v>
          </cell>
          <cell r="C4795" t="str">
            <v>CL_132_</v>
          </cell>
          <cell r="D4795" t="str">
            <v>Rancho La Cuchilla No. 132</v>
          </cell>
          <cell r="E4795" t="str">
            <v>Téllez Girón</v>
          </cell>
          <cell r="F4795">
            <v>300</v>
          </cell>
          <cell r="G4795">
            <v>5</v>
          </cell>
          <cell r="H4795">
            <v>20</v>
          </cell>
          <cell r="I4795">
            <v>41903</v>
          </cell>
          <cell r="J4795" t="str">
            <v>NO SUMA</v>
          </cell>
          <cell r="W4795">
            <v>0</v>
          </cell>
          <cell r="AJ4795">
            <v>0</v>
          </cell>
          <cell r="AW4795">
            <v>0</v>
          </cell>
        </row>
        <row r="4796">
          <cell r="B4796">
            <v>7943</v>
          </cell>
          <cell r="C4796" t="str">
            <v>CL_132_</v>
          </cell>
          <cell r="D4796" t="str">
            <v>Rancho La Cuchilla No. 132</v>
          </cell>
          <cell r="E4796" t="str">
            <v>Téllez Girón</v>
          </cell>
          <cell r="F4796">
            <v>300</v>
          </cell>
          <cell r="G4796">
            <v>5</v>
          </cell>
          <cell r="H4796">
            <v>20</v>
          </cell>
          <cell r="I4796">
            <v>41903</v>
          </cell>
          <cell r="J4796" t="str">
            <v>NO SUMA</v>
          </cell>
          <cell r="W4796">
            <v>0</v>
          </cell>
          <cell r="AJ4796">
            <v>0</v>
          </cell>
          <cell r="AW4796">
            <v>0</v>
          </cell>
        </row>
        <row r="4797">
          <cell r="B4797">
            <v>7943</v>
          </cell>
          <cell r="C4797" t="str">
            <v>CL_132_</v>
          </cell>
          <cell r="D4797" t="str">
            <v>Rancho La Cuchilla No. 132</v>
          </cell>
          <cell r="E4797" t="str">
            <v>Téllez Girón</v>
          </cell>
          <cell r="F4797">
            <v>300</v>
          </cell>
          <cell r="G4797">
            <v>5</v>
          </cell>
          <cell r="H4797">
            <v>20</v>
          </cell>
          <cell r="I4797">
            <v>41903</v>
          </cell>
          <cell r="J4797" t="str">
            <v>NO SUMA</v>
          </cell>
          <cell r="W4797">
            <v>0</v>
          </cell>
          <cell r="AJ4797">
            <v>0</v>
          </cell>
          <cell r="AW4797">
            <v>0</v>
          </cell>
        </row>
        <row r="4798">
          <cell r="B4798">
            <v>7944</v>
          </cell>
          <cell r="C4798" t="str">
            <v>EZ_77_</v>
          </cell>
          <cell r="D4798" t="str">
            <v>Rancho Estanzuela No. 77</v>
          </cell>
          <cell r="E4798" t="str">
            <v>De la Rosa Rico</v>
          </cell>
          <cell r="F4798">
            <v>300</v>
          </cell>
          <cell r="G4798">
            <v>1</v>
          </cell>
          <cell r="H4798">
            <v>400</v>
          </cell>
          <cell r="I4798">
            <v>41903</v>
          </cell>
          <cell r="J4798">
            <v>0</v>
          </cell>
          <cell r="W4798">
            <v>0</v>
          </cell>
          <cell r="AJ4798">
            <v>0</v>
          </cell>
          <cell r="AS4798">
            <v>400</v>
          </cell>
          <cell r="AW4798">
            <v>400</v>
          </cell>
        </row>
        <row r="4799">
          <cell r="B4799">
            <v>7944</v>
          </cell>
          <cell r="C4799" t="str">
            <v>EZ_77_</v>
          </cell>
          <cell r="D4799" t="str">
            <v>Rancho Estanzuela No. 77</v>
          </cell>
          <cell r="E4799" t="str">
            <v>De la Rosa Rico</v>
          </cell>
          <cell r="F4799">
            <v>300</v>
          </cell>
          <cell r="G4799">
            <v>4</v>
          </cell>
          <cell r="H4799">
            <v>160</v>
          </cell>
          <cell r="I4799">
            <v>41903</v>
          </cell>
          <cell r="J4799" t="str">
            <v>NO SUMA</v>
          </cell>
          <cell r="W4799">
            <v>0</v>
          </cell>
          <cell r="AJ4799">
            <v>0</v>
          </cell>
          <cell r="AW4799">
            <v>0</v>
          </cell>
        </row>
        <row r="4800">
          <cell r="B4800">
            <v>7944</v>
          </cell>
          <cell r="C4800" t="str">
            <v>EZ_77_</v>
          </cell>
          <cell r="D4800" t="str">
            <v>Rancho Estanzuela No. 77</v>
          </cell>
          <cell r="E4800" t="str">
            <v>De la Rosa Rico</v>
          </cell>
          <cell r="F4800">
            <v>300</v>
          </cell>
          <cell r="G4800">
            <v>5</v>
          </cell>
          <cell r="H4800">
            <v>20</v>
          </cell>
          <cell r="I4800">
            <v>41903</v>
          </cell>
          <cell r="J4800" t="str">
            <v>NO SUMA</v>
          </cell>
          <cell r="W4800">
            <v>0</v>
          </cell>
          <cell r="AJ4800">
            <v>0</v>
          </cell>
          <cell r="AW4800">
            <v>0</v>
          </cell>
        </row>
        <row r="4801">
          <cell r="B4801">
            <v>7944</v>
          </cell>
          <cell r="C4801" t="str">
            <v>EZ_77_</v>
          </cell>
          <cell r="D4801" t="str">
            <v>Rancho Estanzuela No. 77</v>
          </cell>
          <cell r="E4801" t="str">
            <v>De la Rosa Rico</v>
          </cell>
          <cell r="F4801">
            <v>300</v>
          </cell>
          <cell r="G4801">
            <v>5</v>
          </cell>
          <cell r="H4801">
            <v>20</v>
          </cell>
          <cell r="I4801">
            <v>41903</v>
          </cell>
          <cell r="J4801" t="str">
            <v>NO SUMA</v>
          </cell>
          <cell r="W4801">
            <v>0</v>
          </cell>
          <cell r="AJ4801">
            <v>0</v>
          </cell>
          <cell r="AW4801">
            <v>0</v>
          </cell>
        </row>
        <row r="4802">
          <cell r="B4802">
            <v>7944</v>
          </cell>
          <cell r="C4802" t="str">
            <v>EZ_77_</v>
          </cell>
          <cell r="D4802" t="str">
            <v>Rancho Estanzuela No. 77</v>
          </cell>
          <cell r="E4802" t="str">
            <v>De la Rosa Rico</v>
          </cell>
          <cell r="F4802">
            <v>300</v>
          </cell>
          <cell r="G4802">
            <v>5</v>
          </cell>
          <cell r="H4802">
            <v>20</v>
          </cell>
          <cell r="I4802">
            <v>41903</v>
          </cell>
          <cell r="J4802" t="str">
            <v>NO SUMA</v>
          </cell>
          <cell r="W4802">
            <v>0</v>
          </cell>
          <cell r="AJ4802">
            <v>0</v>
          </cell>
          <cell r="AW4802">
            <v>0</v>
          </cell>
        </row>
        <row r="4803">
          <cell r="B4803">
            <v>7945</v>
          </cell>
          <cell r="C4803" t="str">
            <v>UP_85_</v>
          </cell>
          <cell r="D4803" t="str">
            <v>Rancho Upácuaro No. 85</v>
          </cell>
          <cell r="E4803" t="str">
            <v>Del Toro Huerta</v>
          </cell>
          <cell r="F4803">
            <v>300</v>
          </cell>
          <cell r="G4803">
            <v>5</v>
          </cell>
          <cell r="H4803">
            <v>20</v>
          </cell>
          <cell r="I4803">
            <v>41903</v>
          </cell>
          <cell r="J4803" t="str">
            <v>NO SUMA</v>
          </cell>
          <cell r="W4803">
            <v>0</v>
          </cell>
          <cell r="AJ4803">
            <v>0</v>
          </cell>
          <cell r="AW4803">
            <v>0</v>
          </cell>
        </row>
        <row r="4804">
          <cell r="B4804">
            <v>7945</v>
          </cell>
          <cell r="C4804" t="str">
            <v>UP_85_</v>
          </cell>
          <cell r="D4804" t="str">
            <v>Rancho Upácuaro No. 85</v>
          </cell>
          <cell r="E4804" t="str">
            <v>Del Toro Huerta</v>
          </cell>
          <cell r="F4804">
            <v>300</v>
          </cell>
          <cell r="G4804">
            <v>5</v>
          </cell>
          <cell r="H4804">
            <v>20</v>
          </cell>
          <cell r="I4804">
            <v>41903</v>
          </cell>
          <cell r="J4804" t="str">
            <v>NO SUMA</v>
          </cell>
          <cell r="W4804">
            <v>0</v>
          </cell>
          <cell r="AJ4804">
            <v>0</v>
          </cell>
          <cell r="AW4804">
            <v>0</v>
          </cell>
        </row>
        <row r="4805">
          <cell r="B4805">
            <v>7945</v>
          </cell>
          <cell r="C4805" t="str">
            <v>UP_85_</v>
          </cell>
          <cell r="D4805" t="str">
            <v>Rancho Upácuaro No. 85</v>
          </cell>
          <cell r="E4805" t="str">
            <v>Del Toro Huerta</v>
          </cell>
          <cell r="F4805">
            <v>300</v>
          </cell>
          <cell r="G4805">
            <v>5</v>
          </cell>
          <cell r="H4805">
            <v>20</v>
          </cell>
          <cell r="I4805">
            <v>41903</v>
          </cell>
          <cell r="J4805" t="str">
            <v>NO SUMA</v>
          </cell>
          <cell r="W4805">
            <v>0</v>
          </cell>
          <cell r="AJ4805">
            <v>0</v>
          </cell>
          <cell r="AW4805">
            <v>0</v>
          </cell>
        </row>
        <row r="4806">
          <cell r="B4806">
            <v>7946</v>
          </cell>
          <cell r="C4806" t="str">
            <v>CL_54_</v>
          </cell>
          <cell r="D4806" t="str">
            <v>Rancho La Cuchilla No. 54</v>
          </cell>
          <cell r="E4806" t="str">
            <v>Mendoza León</v>
          </cell>
          <cell r="F4806">
            <v>300</v>
          </cell>
          <cell r="G4806">
            <v>1</v>
          </cell>
          <cell r="H4806">
            <v>800</v>
          </cell>
          <cell r="I4806">
            <v>41903</v>
          </cell>
          <cell r="J4806">
            <v>0</v>
          </cell>
          <cell r="W4806">
            <v>0</v>
          </cell>
          <cell r="AJ4806">
            <v>0</v>
          </cell>
          <cell r="AR4806">
            <v>400</v>
          </cell>
          <cell r="AS4806">
            <v>400</v>
          </cell>
          <cell r="AW4806">
            <v>800</v>
          </cell>
        </row>
        <row r="4807">
          <cell r="B4807">
            <v>7946</v>
          </cell>
          <cell r="C4807" t="str">
            <v>CL_54_</v>
          </cell>
          <cell r="D4807" t="str">
            <v>Rancho La Cuchilla No. 54</v>
          </cell>
          <cell r="E4807" t="str">
            <v>Mendoza León</v>
          </cell>
          <cell r="F4807">
            <v>300</v>
          </cell>
          <cell r="G4807">
            <v>5</v>
          </cell>
          <cell r="H4807">
            <v>20</v>
          </cell>
          <cell r="I4807">
            <v>41903</v>
          </cell>
          <cell r="J4807" t="str">
            <v>NO SUMA</v>
          </cell>
          <cell r="W4807">
            <v>0</v>
          </cell>
          <cell r="AJ4807">
            <v>0</v>
          </cell>
          <cell r="AW4807">
            <v>0</v>
          </cell>
        </row>
        <row r="4808">
          <cell r="B4808">
            <v>7946</v>
          </cell>
          <cell r="C4808" t="str">
            <v>CL_54_</v>
          </cell>
          <cell r="D4808" t="str">
            <v>Rancho La Cuchilla No. 54</v>
          </cell>
          <cell r="E4808" t="str">
            <v>Mendoza León</v>
          </cell>
          <cell r="F4808">
            <v>300</v>
          </cell>
          <cell r="G4808">
            <v>5</v>
          </cell>
          <cell r="H4808">
            <v>20</v>
          </cell>
          <cell r="I4808">
            <v>41903</v>
          </cell>
          <cell r="J4808" t="str">
            <v>NO SUMA</v>
          </cell>
          <cell r="W4808">
            <v>0</v>
          </cell>
          <cell r="AJ4808">
            <v>0</v>
          </cell>
          <cell r="AW4808">
            <v>0</v>
          </cell>
        </row>
        <row r="4809">
          <cell r="B4809">
            <v>7946</v>
          </cell>
          <cell r="C4809" t="str">
            <v>CL_54_</v>
          </cell>
          <cell r="D4809" t="str">
            <v>Rancho La Cuchilla No. 54</v>
          </cell>
          <cell r="E4809" t="str">
            <v>Mendoza León</v>
          </cell>
          <cell r="F4809">
            <v>300</v>
          </cell>
          <cell r="G4809">
            <v>5</v>
          </cell>
          <cell r="H4809">
            <v>20</v>
          </cell>
          <cell r="I4809">
            <v>41903</v>
          </cell>
          <cell r="J4809" t="str">
            <v>NO SUMA</v>
          </cell>
          <cell r="W4809">
            <v>0</v>
          </cell>
          <cell r="AJ4809">
            <v>0</v>
          </cell>
          <cell r="AW4809">
            <v>0</v>
          </cell>
        </row>
        <row r="4810">
          <cell r="B4810">
            <v>7947</v>
          </cell>
          <cell r="C4810" t="str">
            <v>CL_121_</v>
          </cell>
          <cell r="D4810" t="str">
            <v>Rancho La Cuchilla No. 121</v>
          </cell>
          <cell r="E4810" t="str">
            <v>Ramírez Márquez</v>
          </cell>
          <cell r="F4810">
            <v>300</v>
          </cell>
          <cell r="G4810">
            <v>5</v>
          </cell>
          <cell r="H4810">
            <v>20</v>
          </cell>
          <cell r="I4810">
            <v>41903</v>
          </cell>
          <cell r="J4810" t="str">
            <v>NO SUMA</v>
          </cell>
          <cell r="W4810">
            <v>0</v>
          </cell>
          <cell r="AJ4810">
            <v>0</v>
          </cell>
          <cell r="AW4810">
            <v>0</v>
          </cell>
        </row>
        <row r="4811">
          <cell r="B4811">
            <v>7947</v>
          </cell>
          <cell r="C4811" t="str">
            <v>CL_121_</v>
          </cell>
          <cell r="D4811" t="str">
            <v>Rancho La Cuchilla No. 121</v>
          </cell>
          <cell r="E4811" t="str">
            <v>Ramírez Márquez</v>
          </cell>
          <cell r="F4811">
            <v>300</v>
          </cell>
          <cell r="G4811">
            <v>5</v>
          </cell>
          <cell r="H4811">
            <v>20</v>
          </cell>
          <cell r="I4811">
            <v>41903</v>
          </cell>
          <cell r="J4811" t="str">
            <v>NO SUMA</v>
          </cell>
          <cell r="W4811">
            <v>0</v>
          </cell>
          <cell r="AJ4811">
            <v>0</v>
          </cell>
          <cell r="AW4811">
            <v>0</v>
          </cell>
        </row>
        <row r="4812">
          <cell r="B4812">
            <v>7947</v>
          </cell>
          <cell r="C4812" t="str">
            <v>CL_121_</v>
          </cell>
          <cell r="D4812" t="str">
            <v>Rancho La Cuchilla No. 121</v>
          </cell>
          <cell r="E4812" t="str">
            <v>Ramírez Márquez</v>
          </cell>
          <cell r="F4812">
            <v>300</v>
          </cell>
          <cell r="G4812">
            <v>5</v>
          </cell>
          <cell r="H4812">
            <v>20</v>
          </cell>
          <cell r="I4812">
            <v>41903</v>
          </cell>
          <cell r="J4812" t="str">
            <v>NO SUMA</v>
          </cell>
          <cell r="W4812">
            <v>0</v>
          </cell>
          <cell r="AJ4812">
            <v>0</v>
          </cell>
          <cell r="AW4812">
            <v>0</v>
          </cell>
        </row>
        <row r="4813">
          <cell r="B4813">
            <v>7948</v>
          </cell>
          <cell r="C4813" t="str">
            <v>LD_58_</v>
          </cell>
          <cell r="D4813" t="str">
            <v>Rancho Landero No. 58</v>
          </cell>
          <cell r="E4813" t="str">
            <v>Valero</v>
          </cell>
          <cell r="F4813">
            <v>300</v>
          </cell>
          <cell r="G4813">
            <v>1</v>
          </cell>
          <cell r="H4813">
            <v>400</v>
          </cell>
          <cell r="I4813">
            <v>41903</v>
          </cell>
          <cell r="J4813">
            <v>0</v>
          </cell>
          <cell r="W4813">
            <v>0</v>
          </cell>
          <cell r="AJ4813">
            <v>0</v>
          </cell>
          <cell r="AT4813">
            <v>400</v>
          </cell>
          <cell r="AW4813">
            <v>400</v>
          </cell>
        </row>
        <row r="4814">
          <cell r="B4814">
            <v>7948</v>
          </cell>
          <cell r="C4814" t="str">
            <v>LD_58_</v>
          </cell>
          <cell r="D4814" t="str">
            <v>Rancho Landero No. 58</v>
          </cell>
          <cell r="E4814" t="str">
            <v>Valero</v>
          </cell>
          <cell r="F4814">
            <v>300</v>
          </cell>
          <cell r="G4814">
            <v>5</v>
          </cell>
          <cell r="H4814">
            <v>20</v>
          </cell>
          <cell r="I4814">
            <v>41903</v>
          </cell>
          <cell r="J4814" t="str">
            <v>NO SUMA</v>
          </cell>
          <cell r="W4814">
            <v>0</v>
          </cell>
          <cell r="AJ4814">
            <v>0</v>
          </cell>
          <cell r="AW4814">
            <v>0</v>
          </cell>
        </row>
        <row r="4815">
          <cell r="B4815">
            <v>7948</v>
          </cell>
          <cell r="C4815" t="str">
            <v>LD_58_</v>
          </cell>
          <cell r="D4815" t="str">
            <v>Rancho Landero No. 58</v>
          </cell>
          <cell r="E4815" t="str">
            <v>Valero</v>
          </cell>
          <cell r="F4815">
            <v>300</v>
          </cell>
          <cell r="G4815">
            <v>5</v>
          </cell>
          <cell r="H4815">
            <v>20</v>
          </cell>
          <cell r="I4815">
            <v>41903</v>
          </cell>
          <cell r="J4815" t="str">
            <v>NO SUMA</v>
          </cell>
          <cell r="W4815">
            <v>0</v>
          </cell>
          <cell r="AJ4815">
            <v>0</v>
          </cell>
          <cell r="AW4815">
            <v>0</v>
          </cell>
        </row>
        <row r="4816">
          <cell r="B4816">
            <v>7948</v>
          </cell>
          <cell r="C4816" t="str">
            <v>LD_58_</v>
          </cell>
          <cell r="D4816" t="str">
            <v>Rancho Landero No. 58</v>
          </cell>
          <cell r="E4816" t="str">
            <v>Valero</v>
          </cell>
          <cell r="F4816">
            <v>300</v>
          </cell>
          <cell r="G4816">
            <v>5</v>
          </cell>
          <cell r="H4816">
            <v>20</v>
          </cell>
          <cell r="I4816">
            <v>41903</v>
          </cell>
          <cell r="J4816" t="str">
            <v>NO SUMA</v>
          </cell>
          <cell r="W4816">
            <v>0</v>
          </cell>
          <cell r="AJ4816">
            <v>0</v>
          </cell>
          <cell r="AW4816">
            <v>0</v>
          </cell>
        </row>
        <row r="4817">
          <cell r="B4817">
            <v>7949</v>
          </cell>
          <cell r="C4817" t="str">
            <v>UP_79_</v>
          </cell>
          <cell r="D4817" t="str">
            <v>Rancho Upácuaro No. 79</v>
          </cell>
          <cell r="E4817" t="str">
            <v>Macías</v>
          </cell>
          <cell r="F4817">
            <v>300</v>
          </cell>
          <cell r="G4817">
            <v>3</v>
          </cell>
          <cell r="H4817">
            <v>160</v>
          </cell>
          <cell r="I4817">
            <v>41903</v>
          </cell>
          <cell r="J4817" t="str">
            <v>NO SUMA</v>
          </cell>
          <cell r="W4817">
            <v>0</v>
          </cell>
          <cell r="AJ4817">
            <v>0</v>
          </cell>
          <cell r="AW4817">
            <v>0</v>
          </cell>
        </row>
        <row r="4818">
          <cell r="B4818">
            <v>7949</v>
          </cell>
          <cell r="C4818" t="str">
            <v>UP_79_</v>
          </cell>
          <cell r="D4818" t="str">
            <v>Rancho Upácuaro No. 79</v>
          </cell>
          <cell r="E4818" t="str">
            <v>Macías</v>
          </cell>
          <cell r="F4818">
            <v>300</v>
          </cell>
          <cell r="G4818">
            <v>5</v>
          </cell>
          <cell r="H4818">
            <v>20</v>
          </cell>
          <cell r="I4818">
            <v>41903</v>
          </cell>
          <cell r="J4818" t="str">
            <v>NO SUMA</v>
          </cell>
          <cell r="W4818">
            <v>0</v>
          </cell>
          <cell r="AJ4818">
            <v>0</v>
          </cell>
          <cell r="AW4818">
            <v>0</v>
          </cell>
        </row>
        <row r="4819">
          <cell r="B4819">
            <v>7949</v>
          </cell>
          <cell r="C4819" t="str">
            <v>UP_79_</v>
          </cell>
          <cell r="D4819" t="str">
            <v>Rancho Upácuaro No. 79</v>
          </cell>
          <cell r="E4819" t="str">
            <v>Macías</v>
          </cell>
          <cell r="F4819">
            <v>300</v>
          </cell>
          <cell r="G4819">
            <v>5</v>
          </cell>
          <cell r="H4819">
            <v>20</v>
          </cell>
          <cell r="I4819">
            <v>41903</v>
          </cell>
          <cell r="J4819" t="str">
            <v>NO SUMA</v>
          </cell>
          <cell r="W4819">
            <v>0</v>
          </cell>
          <cell r="AJ4819">
            <v>0</v>
          </cell>
          <cell r="AW4819">
            <v>0</v>
          </cell>
        </row>
        <row r="4820">
          <cell r="B4820">
            <v>7949</v>
          </cell>
          <cell r="C4820" t="str">
            <v>UP_79_</v>
          </cell>
          <cell r="D4820" t="str">
            <v>Rancho Upácuaro No. 79</v>
          </cell>
          <cell r="E4820" t="str">
            <v>Macías</v>
          </cell>
          <cell r="F4820">
            <v>300</v>
          </cell>
          <cell r="G4820">
            <v>5</v>
          </cell>
          <cell r="H4820">
            <v>20</v>
          </cell>
          <cell r="I4820">
            <v>41903</v>
          </cell>
          <cell r="J4820" t="str">
            <v>NO SUMA</v>
          </cell>
          <cell r="W4820">
            <v>0</v>
          </cell>
          <cell r="AJ4820">
            <v>0</v>
          </cell>
          <cell r="AW4820">
            <v>0</v>
          </cell>
        </row>
        <row r="4821">
          <cell r="B4821">
            <v>7949</v>
          </cell>
          <cell r="C4821" t="str">
            <v>UP_79_</v>
          </cell>
          <cell r="D4821" t="str">
            <v>Rancho Upácuaro No. 79</v>
          </cell>
          <cell r="E4821" t="str">
            <v>Macías</v>
          </cell>
          <cell r="F4821">
            <v>300</v>
          </cell>
          <cell r="G4821">
            <v>5</v>
          </cell>
          <cell r="H4821">
            <v>50</v>
          </cell>
          <cell r="I4821">
            <v>41903</v>
          </cell>
          <cell r="J4821" t="str">
            <v>NO SUMA</v>
          </cell>
          <cell r="W4821">
            <v>0</v>
          </cell>
          <cell r="AJ4821">
            <v>0</v>
          </cell>
          <cell r="AW4821">
            <v>0</v>
          </cell>
        </row>
        <row r="4822">
          <cell r="B4822">
            <v>7949</v>
          </cell>
          <cell r="C4822" t="str">
            <v>UP_79_</v>
          </cell>
          <cell r="D4822" t="str">
            <v>Rancho Upácuaro No. 79</v>
          </cell>
          <cell r="E4822" t="str">
            <v>Macías</v>
          </cell>
          <cell r="F4822">
            <v>300</v>
          </cell>
          <cell r="G4822">
            <v>5</v>
          </cell>
          <cell r="H4822">
            <v>50</v>
          </cell>
          <cell r="I4822">
            <v>41903</v>
          </cell>
          <cell r="J4822" t="str">
            <v>NO SUMA</v>
          </cell>
          <cell r="W4822">
            <v>0</v>
          </cell>
          <cell r="AJ4822">
            <v>0</v>
          </cell>
          <cell r="AW4822">
            <v>0</v>
          </cell>
        </row>
        <row r="4823">
          <cell r="B4823">
            <v>7950</v>
          </cell>
          <cell r="C4823" t="str">
            <v>LD_25_</v>
          </cell>
          <cell r="D4823" t="str">
            <v>Rancho Landero No. 25</v>
          </cell>
          <cell r="E4823" t="str">
            <v>Escamilla Martínez</v>
          </cell>
          <cell r="F4823">
            <v>300</v>
          </cell>
          <cell r="G4823">
            <v>1</v>
          </cell>
          <cell r="H4823">
            <v>400</v>
          </cell>
          <cell r="I4823">
            <v>41903</v>
          </cell>
          <cell r="J4823">
            <v>0</v>
          </cell>
          <cell r="W4823">
            <v>0</v>
          </cell>
          <cell r="AJ4823">
            <v>0</v>
          </cell>
          <cell r="AS4823">
            <v>400</v>
          </cell>
          <cell r="AW4823">
            <v>400</v>
          </cell>
        </row>
        <row r="4824">
          <cell r="B4824">
            <v>7950</v>
          </cell>
          <cell r="C4824" t="str">
            <v>LD_25_</v>
          </cell>
          <cell r="D4824" t="str">
            <v>Rancho Landero No. 25</v>
          </cell>
          <cell r="E4824" t="str">
            <v>Escamilla Martínez</v>
          </cell>
          <cell r="F4824">
            <v>300</v>
          </cell>
          <cell r="G4824">
            <v>5</v>
          </cell>
          <cell r="H4824">
            <v>20</v>
          </cell>
          <cell r="I4824">
            <v>41903</v>
          </cell>
          <cell r="J4824" t="str">
            <v>NO SUMA</v>
          </cell>
          <cell r="W4824">
            <v>0</v>
          </cell>
          <cell r="AJ4824">
            <v>0</v>
          </cell>
          <cell r="AW4824">
            <v>0</v>
          </cell>
        </row>
        <row r="4825">
          <cell r="B4825">
            <v>7950</v>
          </cell>
          <cell r="C4825" t="str">
            <v>LD_25_</v>
          </cell>
          <cell r="D4825" t="str">
            <v>Rancho Landero No. 25</v>
          </cell>
          <cell r="E4825" t="str">
            <v>Escamilla Martínez</v>
          </cell>
          <cell r="F4825">
            <v>300</v>
          </cell>
          <cell r="G4825">
            <v>5</v>
          </cell>
          <cell r="H4825">
            <v>20</v>
          </cell>
          <cell r="I4825">
            <v>41903</v>
          </cell>
          <cell r="J4825" t="str">
            <v>NO SUMA</v>
          </cell>
          <cell r="W4825">
            <v>0</v>
          </cell>
          <cell r="AJ4825">
            <v>0</v>
          </cell>
          <cell r="AW4825">
            <v>0</v>
          </cell>
        </row>
        <row r="4826">
          <cell r="B4826">
            <v>7950</v>
          </cell>
          <cell r="C4826" t="str">
            <v>LD_25_</v>
          </cell>
          <cell r="D4826" t="str">
            <v>Rancho Landero No. 25</v>
          </cell>
          <cell r="E4826" t="str">
            <v>Escamilla Martínez</v>
          </cell>
          <cell r="F4826">
            <v>300</v>
          </cell>
          <cell r="G4826">
            <v>5</v>
          </cell>
          <cell r="H4826">
            <v>20</v>
          </cell>
          <cell r="I4826">
            <v>41903</v>
          </cell>
          <cell r="J4826" t="str">
            <v>NO SUMA</v>
          </cell>
          <cell r="W4826">
            <v>0</v>
          </cell>
          <cell r="AJ4826">
            <v>0</v>
          </cell>
          <cell r="AW4826">
            <v>0</v>
          </cell>
        </row>
        <row r="4827">
          <cell r="B4827">
            <v>7950</v>
          </cell>
          <cell r="C4827" t="str">
            <v>LD_25_</v>
          </cell>
          <cell r="D4827" t="str">
            <v>Rancho Landero No. 25</v>
          </cell>
          <cell r="E4827" t="str">
            <v>Escamilla Martínez</v>
          </cell>
          <cell r="F4827">
            <v>300</v>
          </cell>
          <cell r="G4827">
            <v>5</v>
          </cell>
          <cell r="H4827">
            <v>50</v>
          </cell>
          <cell r="I4827">
            <v>41903</v>
          </cell>
          <cell r="J4827" t="str">
            <v>NO SUMA</v>
          </cell>
          <cell r="W4827">
            <v>0</v>
          </cell>
          <cell r="AJ4827">
            <v>0</v>
          </cell>
          <cell r="AW4827">
            <v>0</v>
          </cell>
        </row>
        <row r="4828">
          <cell r="B4828">
            <v>7950</v>
          </cell>
          <cell r="C4828" t="str">
            <v>LD_25_</v>
          </cell>
          <cell r="D4828" t="str">
            <v>Rancho Landero No. 25</v>
          </cell>
          <cell r="E4828" t="str">
            <v>Escamilla Martínez</v>
          </cell>
          <cell r="F4828">
            <v>300</v>
          </cell>
          <cell r="G4828">
            <v>5</v>
          </cell>
          <cell r="H4828">
            <v>50</v>
          </cell>
          <cell r="I4828">
            <v>41903</v>
          </cell>
          <cell r="J4828" t="str">
            <v>NO SUMA</v>
          </cell>
          <cell r="W4828">
            <v>0</v>
          </cell>
          <cell r="AJ4828">
            <v>0</v>
          </cell>
          <cell r="AW4828">
            <v>0</v>
          </cell>
        </row>
        <row r="4829">
          <cell r="B4829">
            <v>7951</v>
          </cell>
          <cell r="C4829" t="str">
            <v>UP_47_</v>
          </cell>
          <cell r="D4829" t="str">
            <v>Rancho Upácuaro No. 47</v>
          </cell>
          <cell r="E4829" t="str">
            <v>Flores Muñoz</v>
          </cell>
          <cell r="F4829">
            <v>300</v>
          </cell>
          <cell r="G4829">
            <v>5</v>
          </cell>
          <cell r="H4829">
            <v>20</v>
          </cell>
          <cell r="I4829">
            <v>41903</v>
          </cell>
          <cell r="J4829" t="str">
            <v>NO SUMA</v>
          </cell>
          <cell r="W4829">
            <v>0</v>
          </cell>
          <cell r="AJ4829">
            <v>0</v>
          </cell>
          <cell r="AW4829">
            <v>0</v>
          </cell>
        </row>
        <row r="4830">
          <cell r="B4830">
            <v>7951</v>
          </cell>
          <cell r="C4830" t="str">
            <v>UP_47_</v>
          </cell>
          <cell r="D4830" t="str">
            <v>Rancho Upácuaro No. 47</v>
          </cell>
          <cell r="E4830" t="str">
            <v>Flores Muñoz</v>
          </cell>
          <cell r="F4830">
            <v>300</v>
          </cell>
          <cell r="G4830">
            <v>5</v>
          </cell>
          <cell r="H4830">
            <v>20</v>
          </cell>
          <cell r="I4830">
            <v>41903</v>
          </cell>
          <cell r="J4830" t="str">
            <v>NO SUMA</v>
          </cell>
          <cell r="W4830">
            <v>0</v>
          </cell>
          <cell r="AJ4830">
            <v>0</v>
          </cell>
          <cell r="AW4830">
            <v>0</v>
          </cell>
        </row>
        <row r="4831">
          <cell r="B4831">
            <v>7951</v>
          </cell>
          <cell r="C4831" t="str">
            <v>UP_47_</v>
          </cell>
          <cell r="D4831" t="str">
            <v>Rancho Upácuaro No. 47</v>
          </cell>
          <cell r="E4831" t="str">
            <v>Flores Muñoz</v>
          </cell>
          <cell r="F4831">
            <v>300</v>
          </cell>
          <cell r="G4831">
            <v>5</v>
          </cell>
          <cell r="H4831">
            <v>20</v>
          </cell>
          <cell r="I4831">
            <v>41903</v>
          </cell>
          <cell r="J4831" t="str">
            <v>NO SUMA</v>
          </cell>
          <cell r="W4831">
            <v>0</v>
          </cell>
          <cell r="AJ4831">
            <v>0</v>
          </cell>
          <cell r="AW4831">
            <v>0</v>
          </cell>
        </row>
        <row r="4832">
          <cell r="B4832">
            <v>7951</v>
          </cell>
          <cell r="C4832" t="str">
            <v>UP_47_</v>
          </cell>
          <cell r="D4832" t="str">
            <v>Rancho Upácuaro No. 47</v>
          </cell>
          <cell r="E4832" t="str">
            <v>Flores Muñoz</v>
          </cell>
          <cell r="F4832">
            <v>300</v>
          </cell>
          <cell r="G4832">
            <v>5</v>
          </cell>
          <cell r="H4832">
            <v>50</v>
          </cell>
          <cell r="I4832">
            <v>41903</v>
          </cell>
          <cell r="J4832" t="str">
            <v>NO SUMA</v>
          </cell>
          <cell r="W4832">
            <v>0</v>
          </cell>
          <cell r="AJ4832">
            <v>0</v>
          </cell>
          <cell r="AW4832">
            <v>0</v>
          </cell>
        </row>
        <row r="4833">
          <cell r="B4833">
            <v>7951</v>
          </cell>
          <cell r="C4833" t="str">
            <v>UP_47_</v>
          </cell>
          <cell r="D4833" t="str">
            <v>Rancho Upácuaro No. 47</v>
          </cell>
          <cell r="E4833" t="str">
            <v>Flores Muñoz</v>
          </cell>
          <cell r="F4833">
            <v>300</v>
          </cell>
          <cell r="G4833">
            <v>5</v>
          </cell>
          <cell r="H4833">
            <v>50</v>
          </cell>
          <cell r="I4833">
            <v>41903</v>
          </cell>
          <cell r="J4833" t="str">
            <v>NO SUMA</v>
          </cell>
          <cell r="W4833">
            <v>0</v>
          </cell>
          <cell r="AJ4833">
            <v>0</v>
          </cell>
          <cell r="AW4833">
            <v>0</v>
          </cell>
        </row>
        <row r="4834">
          <cell r="B4834">
            <v>7951</v>
          </cell>
          <cell r="C4834" t="str">
            <v>UP_47_</v>
          </cell>
          <cell r="D4834" t="str">
            <v>Rancho Upácuaro No. 47</v>
          </cell>
          <cell r="E4834" t="str">
            <v>Flores Muñoz</v>
          </cell>
          <cell r="F4834">
            <v>300</v>
          </cell>
          <cell r="G4834">
            <v>5</v>
          </cell>
          <cell r="H4834">
            <v>50</v>
          </cell>
          <cell r="I4834">
            <v>41903</v>
          </cell>
          <cell r="J4834" t="str">
            <v>NO SUMA</v>
          </cell>
          <cell r="W4834">
            <v>0</v>
          </cell>
          <cell r="AJ4834">
            <v>0</v>
          </cell>
          <cell r="AW4834">
            <v>0</v>
          </cell>
        </row>
        <row r="4835">
          <cell r="B4835">
            <v>7952</v>
          </cell>
          <cell r="C4835" t="str">
            <v>UP_86_</v>
          </cell>
          <cell r="D4835" t="str">
            <v>Rancho Upácuaro No. 86</v>
          </cell>
          <cell r="E4835" t="str">
            <v>López Canseco</v>
          </cell>
          <cell r="F4835">
            <v>300</v>
          </cell>
          <cell r="G4835">
            <v>5</v>
          </cell>
          <cell r="H4835">
            <v>20</v>
          </cell>
          <cell r="I4835">
            <v>41903</v>
          </cell>
          <cell r="J4835" t="str">
            <v>NO SUMA</v>
          </cell>
          <cell r="W4835">
            <v>0</v>
          </cell>
          <cell r="AJ4835">
            <v>0</v>
          </cell>
          <cell r="AW4835">
            <v>0</v>
          </cell>
        </row>
        <row r="4836">
          <cell r="B4836">
            <v>7952</v>
          </cell>
          <cell r="C4836" t="str">
            <v>UP_86_</v>
          </cell>
          <cell r="D4836" t="str">
            <v>Rancho Upácuaro No. 86</v>
          </cell>
          <cell r="E4836" t="str">
            <v>López Canseco</v>
          </cell>
          <cell r="F4836">
            <v>300</v>
          </cell>
          <cell r="G4836">
            <v>5</v>
          </cell>
          <cell r="H4836">
            <v>20</v>
          </cell>
          <cell r="I4836">
            <v>41903</v>
          </cell>
          <cell r="J4836" t="str">
            <v>NO SUMA</v>
          </cell>
          <cell r="W4836">
            <v>0</v>
          </cell>
          <cell r="AJ4836">
            <v>0</v>
          </cell>
          <cell r="AW4836">
            <v>0</v>
          </cell>
        </row>
        <row r="4837">
          <cell r="B4837">
            <v>7952</v>
          </cell>
          <cell r="C4837" t="str">
            <v>UP_86_</v>
          </cell>
          <cell r="D4837" t="str">
            <v>Rancho Upácuaro No. 86</v>
          </cell>
          <cell r="E4837" t="str">
            <v>López Canseco</v>
          </cell>
          <cell r="F4837">
            <v>300</v>
          </cell>
          <cell r="G4837">
            <v>5</v>
          </cell>
          <cell r="H4837">
            <v>20</v>
          </cell>
          <cell r="I4837">
            <v>41903</v>
          </cell>
          <cell r="J4837" t="str">
            <v>NO SUMA</v>
          </cell>
          <cell r="W4837">
            <v>0</v>
          </cell>
          <cell r="AJ4837">
            <v>0</v>
          </cell>
          <cell r="AW4837">
            <v>0</v>
          </cell>
        </row>
        <row r="4838">
          <cell r="B4838">
            <v>7952</v>
          </cell>
          <cell r="C4838" t="str">
            <v>UP_86_</v>
          </cell>
          <cell r="D4838" t="str">
            <v>Rancho Upácuaro No. 86</v>
          </cell>
          <cell r="E4838" t="str">
            <v>López Canseco</v>
          </cell>
          <cell r="F4838">
            <v>300</v>
          </cell>
          <cell r="G4838">
            <v>5</v>
          </cell>
          <cell r="H4838">
            <v>50</v>
          </cell>
          <cell r="I4838">
            <v>41903</v>
          </cell>
          <cell r="J4838" t="str">
            <v>NO SUMA</v>
          </cell>
          <cell r="W4838">
            <v>0</v>
          </cell>
          <cell r="AJ4838">
            <v>0</v>
          </cell>
          <cell r="AW4838">
            <v>0</v>
          </cell>
        </row>
        <row r="4839">
          <cell r="B4839">
            <v>7953</v>
          </cell>
          <cell r="C4839" t="str">
            <v>UP_87_</v>
          </cell>
          <cell r="D4839" t="str">
            <v>Rancho Upácuaro No. 87</v>
          </cell>
          <cell r="E4839" t="str">
            <v>Rodríguez Parés</v>
          </cell>
          <cell r="F4839">
            <v>300</v>
          </cell>
          <cell r="G4839">
            <v>1</v>
          </cell>
          <cell r="H4839">
            <v>400</v>
          </cell>
          <cell r="I4839">
            <v>41903</v>
          </cell>
          <cell r="J4839">
            <v>0</v>
          </cell>
          <cell r="W4839">
            <v>0</v>
          </cell>
          <cell r="AJ4839">
            <v>0</v>
          </cell>
          <cell r="AS4839">
            <v>400</v>
          </cell>
          <cell r="AW4839">
            <v>400</v>
          </cell>
        </row>
        <row r="4840">
          <cell r="B4840">
            <v>7953</v>
          </cell>
          <cell r="C4840" t="str">
            <v>UP_87_</v>
          </cell>
          <cell r="D4840" t="str">
            <v>Rancho Upácuaro No. 87</v>
          </cell>
          <cell r="E4840" t="str">
            <v>Rodríguez Parés</v>
          </cell>
          <cell r="F4840">
            <v>300</v>
          </cell>
          <cell r="G4840">
            <v>5</v>
          </cell>
          <cell r="H4840">
            <v>20</v>
          </cell>
          <cell r="I4840">
            <v>41903</v>
          </cell>
          <cell r="J4840" t="str">
            <v>NO SUMA</v>
          </cell>
          <cell r="W4840">
            <v>0</v>
          </cell>
          <cell r="AJ4840">
            <v>0</v>
          </cell>
          <cell r="AW4840">
            <v>0</v>
          </cell>
        </row>
        <row r="4841">
          <cell r="B4841">
            <v>7953</v>
          </cell>
          <cell r="C4841" t="str">
            <v>UP_87_</v>
          </cell>
          <cell r="D4841" t="str">
            <v>Rancho Upácuaro No. 87</v>
          </cell>
          <cell r="E4841" t="str">
            <v>Rodríguez Parés</v>
          </cell>
          <cell r="F4841">
            <v>300</v>
          </cell>
          <cell r="G4841">
            <v>5</v>
          </cell>
          <cell r="H4841">
            <v>20</v>
          </cell>
          <cell r="I4841">
            <v>41903</v>
          </cell>
          <cell r="J4841" t="str">
            <v>NO SUMA</v>
          </cell>
          <cell r="W4841">
            <v>0</v>
          </cell>
          <cell r="AJ4841">
            <v>0</v>
          </cell>
          <cell r="AW4841">
            <v>0</v>
          </cell>
        </row>
        <row r="4842">
          <cell r="B4842">
            <v>7953</v>
          </cell>
          <cell r="C4842" t="str">
            <v>UP_87_</v>
          </cell>
          <cell r="D4842" t="str">
            <v>Rancho Upácuaro No. 87</v>
          </cell>
          <cell r="E4842" t="str">
            <v>Rodríguez Parés</v>
          </cell>
          <cell r="F4842">
            <v>300</v>
          </cell>
          <cell r="G4842">
            <v>5</v>
          </cell>
          <cell r="H4842">
            <v>20</v>
          </cell>
          <cell r="I4842">
            <v>41903</v>
          </cell>
          <cell r="J4842" t="str">
            <v>NO SUMA</v>
          </cell>
          <cell r="W4842">
            <v>0</v>
          </cell>
          <cell r="AJ4842">
            <v>0</v>
          </cell>
          <cell r="AW4842">
            <v>0</v>
          </cell>
        </row>
        <row r="4843">
          <cell r="B4843">
            <v>7954</v>
          </cell>
          <cell r="C4843" t="str">
            <v>LD_39_</v>
          </cell>
          <cell r="D4843" t="str">
            <v>Rancho Landero No. 39</v>
          </cell>
          <cell r="E4843" t="str">
            <v>Soto del Cueto</v>
          </cell>
          <cell r="F4843">
            <v>250</v>
          </cell>
          <cell r="G4843">
            <v>1</v>
          </cell>
          <cell r="H4843">
            <v>500</v>
          </cell>
          <cell r="I4843">
            <v>41903</v>
          </cell>
          <cell r="J4843">
            <v>0</v>
          </cell>
          <cell r="W4843">
            <v>0</v>
          </cell>
          <cell r="AJ4843">
            <v>0</v>
          </cell>
          <cell r="AP4843">
            <v>250</v>
          </cell>
          <cell r="AQ4843">
            <v>250</v>
          </cell>
          <cell r="AW4843">
            <v>500</v>
          </cell>
        </row>
        <row r="4844">
          <cell r="B4844">
            <v>7955</v>
          </cell>
          <cell r="C4844" t="str">
            <v>UP_130_</v>
          </cell>
          <cell r="D4844" t="str">
            <v>Rancho Upácuaro No. 130</v>
          </cell>
          <cell r="E4844" t="str">
            <v>Rodríguez Álvarez</v>
          </cell>
          <cell r="F4844">
            <v>150</v>
          </cell>
          <cell r="G4844">
            <v>1</v>
          </cell>
          <cell r="H4844">
            <v>400</v>
          </cell>
          <cell r="I4844">
            <v>41903</v>
          </cell>
          <cell r="J4844">
            <v>0</v>
          </cell>
          <cell r="W4844">
            <v>0</v>
          </cell>
          <cell r="AJ4844">
            <v>0</v>
          </cell>
          <cell r="AR4844">
            <v>200</v>
          </cell>
          <cell r="AS4844">
            <v>200</v>
          </cell>
          <cell r="AW4844">
            <v>400</v>
          </cell>
        </row>
        <row r="4845">
          <cell r="B4845">
            <v>7956</v>
          </cell>
          <cell r="C4845" t="str">
            <v>CL_61_</v>
          </cell>
          <cell r="D4845" t="str">
            <v>Rancho La Cuchilla No. 61</v>
          </cell>
          <cell r="E4845" t="str">
            <v>Rivera</v>
          </cell>
          <cell r="F4845">
            <v>300</v>
          </cell>
          <cell r="G4845">
            <v>5</v>
          </cell>
          <cell r="H4845">
            <v>20</v>
          </cell>
          <cell r="I4845">
            <v>41904</v>
          </cell>
          <cell r="J4845" t="str">
            <v>NO SUMA</v>
          </cell>
          <cell r="W4845">
            <v>0</v>
          </cell>
          <cell r="AJ4845">
            <v>0</v>
          </cell>
          <cell r="AW4845">
            <v>0</v>
          </cell>
        </row>
        <row r="4846">
          <cell r="B4846">
            <v>7956</v>
          </cell>
          <cell r="C4846" t="str">
            <v>CL_61_</v>
          </cell>
          <cell r="D4846" t="str">
            <v>Rancho La Cuchilla No. 61</v>
          </cell>
          <cell r="E4846" t="str">
            <v>Rivera</v>
          </cell>
          <cell r="F4846">
            <v>300</v>
          </cell>
          <cell r="G4846">
            <v>5</v>
          </cell>
          <cell r="H4846">
            <v>20</v>
          </cell>
          <cell r="I4846">
            <v>41904</v>
          </cell>
          <cell r="J4846" t="str">
            <v>NO SUMA</v>
          </cell>
          <cell r="W4846">
            <v>0</v>
          </cell>
          <cell r="AJ4846">
            <v>0</v>
          </cell>
          <cell r="AW4846">
            <v>0</v>
          </cell>
        </row>
        <row r="4847">
          <cell r="B4847">
            <v>7956</v>
          </cell>
          <cell r="C4847" t="str">
            <v>CL_61_</v>
          </cell>
          <cell r="D4847" t="str">
            <v>Rancho La Cuchilla No. 61</v>
          </cell>
          <cell r="E4847" t="str">
            <v>Rivera</v>
          </cell>
          <cell r="F4847">
            <v>300</v>
          </cell>
          <cell r="G4847">
            <v>5</v>
          </cell>
          <cell r="H4847">
            <v>20</v>
          </cell>
          <cell r="I4847">
            <v>41904</v>
          </cell>
          <cell r="J4847" t="str">
            <v>NO SUMA</v>
          </cell>
          <cell r="W4847">
            <v>0</v>
          </cell>
          <cell r="AJ4847">
            <v>0</v>
          </cell>
          <cell r="AW4847">
            <v>0</v>
          </cell>
        </row>
        <row r="4848">
          <cell r="B4848">
            <v>7957</v>
          </cell>
          <cell r="C4848" t="str">
            <v>CL_59_</v>
          </cell>
          <cell r="D4848" t="str">
            <v>Rancho La Cuchilla No. 59</v>
          </cell>
          <cell r="E4848" t="str">
            <v>Ortega Vega</v>
          </cell>
          <cell r="F4848">
            <v>300</v>
          </cell>
          <cell r="G4848">
            <v>1</v>
          </cell>
          <cell r="H4848">
            <v>600</v>
          </cell>
          <cell r="I4848">
            <v>41905</v>
          </cell>
          <cell r="J4848">
            <v>0</v>
          </cell>
          <cell r="W4848">
            <v>0</v>
          </cell>
          <cell r="AJ4848">
            <v>0</v>
          </cell>
          <cell r="AP4848">
            <v>150</v>
          </cell>
          <cell r="AQ4848">
            <v>150</v>
          </cell>
          <cell r="AR4848">
            <v>150</v>
          </cell>
          <cell r="AS4848">
            <v>150</v>
          </cell>
          <cell r="AW4848">
            <v>600</v>
          </cell>
        </row>
        <row r="4849">
          <cell r="B4849">
            <v>7958</v>
          </cell>
          <cell r="C4849" t="str">
            <v>CL_59_</v>
          </cell>
          <cell r="D4849" t="str">
            <v>Rancho La Cuchilla No. 59</v>
          </cell>
          <cell r="E4849" t="str">
            <v>Ortega Vega</v>
          </cell>
          <cell r="F4849">
            <v>300</v>
          </cell>
          <cell r="G4849">
            <v>5</v>
          </cell>
          <cell r="H4849">
            <v>20</v>
          </cell>
          <cell r="I4849">
            <v>41905</v>
          </cell>
          <cell r="J4849" t="str">
            <v>NO SUMA</v>
          </cell>
          <cell r="W4849">
            <v>0</v>
          </cell>
          <cell r="AJ4849">
            <v>0</v>
          </cell>
          <cell r="AW4849">
            <v>0</v>
          </cell>
        </row>
        <row r="4850">
          <cell r="B4850">
            <v>7958</v>
          </cell>
          <cell r="C4850" t="str">
            <v>CL_59_</v>
          </cell>
          <cell r="D4850" t="str">
            <v>Rancho La Cuchilla No. 59</v>
          </cell>
          <cell r="E4850" t="str">
            <v>Ortega Vega</v>
          </cell>
          <cell r="F4850">
            <v>300</v>
          </cell>
          <cell r="G4850">
            <v>5</v>
          </cell>
          <cell r="H4850">
            <v>20</v>
          </cell>
          <cell r="I4850">
            <v>41905</v>
          </cell>
          <cell r="J4850" t="str">
            <v>NO SUMA</v>
          </cell>
          <cell r="W4850">
            <v>0</v>
          </cell>
          <cell r="AJ4850">
            <v>0</v>
          </cell>
          <cell r="AW4850">
            <v>0</v>
          </cell>
        </row>
        <row r="4851">
          <cell r="B4851">
            <v>7958</v>
          </cell>
          <cell r="C4851" t="str">
            <v>CL_59_</v>
          </cell>
          <cell r="D4851" t="str">
            <v>Rancho La Cuchilla No. 59</v>
          </cell>
          <cell r="E4851" t="str">
            <v>Ortega Vega</v>
          </cell>
          <cell r="F4851">
            <v>300</v>
          </cell>
          <cell r="G4851">
            <v>5</v>
          </cell>
          <cell r="H4851">
            <v>20</v>
          </cell>
          <cell r="I4851">
            <v>41905</v>
          </cell>
          <cell r="J4851" t="str">
            <v>NO SUMA</v>
          </cell>
          <cell r="W4851">
            <v>0</v>
          </cell>
          <cell r="AJ4851">
            <v>0</v>
          </cell>
          <cell r="AW4851">
            <v>0</v>
          </cell>
        </row>
        <row r="4852">
          <cell r="B4852">
            <v>7958</v>
          </cell>
          <cell r="C4852" t="str">
            <v>CL_59_</v>
          </cell>
          <cell r="D4852" t="str">
            <v>Rancho La Cuchilla No. 59</v>
          </cell>
          <cell r="E4852" t="str">
            <v>Ortega Vega</v>
          </cell>
          <cell r="F4852">
            <v>300</v>
          </cell>
          <cell r="G4852">
            <v>5</v>
          </cell>
          <cell r="H4852">
            <v>50</v>
          </cell>
          <cell r="I4852">
            <v>41905</v>
          </cell>
          <cell r="J4852" t="str">
            <v>NO SUMA</v>
          </cell>
          <cell r="W4852">
            <v>0</v>
          </cell>
          <cell r="AJ4852">
            <v>0</v>
          </cell>
          <cell r="AW4852">
            <v>0</v>
          </cell>
        </row>
        <row r="4853">
          <cell r="B4853">
            <v>7958</v>
          </cell>
          <cell r="C4853" t="str">
            <v>CL_59_</v>
          </cell>
          <cell r="D4853" t="str">
            <v>Rancho La Cuchilla No. 59</v>
          </cell>
          <cell r="E4853" t="str">
            <v>Ortega Vega</v>
          </cell>
          <cell r="F4853">
            <v>300</v>
          </cell>
          <cell r="G4853">
            <v>5</v>
          </cell>
          <cell r="H4853">
            <v>50</v>
          </cell>
          <cell r="I4853">
            <v>41905</v>
          </cell>
          <cell r="J4853" t="str">
            <v>NO SUMA</v>
          </cell>
          <cell r="W4853">
            <v>0</v>
          </cell>
          <cell r="AJ4853">
            <v>0</v>
          </cell>
          <cell r="AW4853">
            <v>0</v>
          </cell>
        </row>
        <row r="4854">
          <cell r="B4854">
            <v>7958</v>
          </cell>
          <cell r="C4854" t="str">
            <v>CL_59_</v>
          </cell>
          <cell r="D4854" t="str">
            <v>Rancho La Cuchilla No. 59</v>
          </cell>
          <cell r="E4854" t="str">
            <v>Ortega Vega</v>
          </cell>
          <cell r="F4854">
            <v>300</v>
          </cell>
          <cell r="G4854">
            <v>5</v>
          </cell>
          <cell r="H4854">
            <v>50</v>
          </cell>
          <cell r="I4854">
            <v>41905</v>
          </cell>
          <cell r="J4854" t="str">
            <v>NO SUMA</v>
          </cell>
          <cell r="W4854">
            <v>0</v>
          </cell>
          <cell r="AJ4854">
            <v>0</v>
          </cell>
          <cell r="AW4854">
            <v>0</v>
          </cell>
        </row>
        <row r="4855">
          <cell r="B4855">
            <v>7958</v>
          </cell>
          <cell r="C4855" t="str">
            <v>CL_59_</v>
          </cell>
          <cell r="D4855" t="str">
            <v>Rancho La Cuchilla No. 59</v>
          </cell>
          <cell r="E4855" t="str">
            <v>Ortega Vega</v>
          </cell>
          <cell r="F4855">
            <v>300</v>
          </cell>
          <cell r="G4855">
            <v>5</v>
          </cell>
          <cell r="H4855">
            <v>50</v>
          </cell>
          <cell r="I4855">
            <v>41905</v>
          </cell>
          <cell r="J4855" t="str">
            <v>NO SUMA</v>
          </cell>
          <cell r="W4855">
            <v>0</v>
          </cell>
          <cell r="AJ4855">
            <v>0</v>
          </cell>
          <cell r="AW4855">
            <v>0</v>
          </cell>
        </row>
        <row r="4856">
          <cell r="B4856">
            <v>7959</v>
          </cell>
          <cell r="C4856" t="str">
            <v>EZ_61_</v>
          </cell>
          <cell r="D4856" t="str">
            <v>Rancho Estanzuela No. 61</v>
          </cell>
          <cell r="E4856" t="str">
            <v>González Almazán</v>
          </cell>
          <cell r="F4856">
            <v>300</v>
          </cell>
          <cell r="G4856">
            <v>1</v>
          </cell>
          <cell r="H4856">
            <v>600</v>
          </cell>
          <cell r="I4856">
            <v>41906</v>
          </cell>
          <cell r="J4856">
            <v>0</v>
          </cell>
          <cell r="W4856">
            <v>0</v>
          </cell>
          <cell r="AJ4856">
            <v>0</v>
          </cell>
          <cell r="AR4856">
            <v>300</v>
          </cell>
          <cell r="AS4856">
            <v>300</v>
          </cell>
          <cell r="AW4856">
            <v>600</v>
          </cell>
        </row>
        <row r="4857">
          <cell r="B4857">
            <v>7960</v>
          </cell>
          <cell r="C4857" t="str">
            <v>EZ_69_</v>
          </cell>
          <cell r="D4857" t="str">
            <v>Rancho Estanzuela No. 69</v>
          </cell>
          <cell r="E4857" t="str">
            <v>Apaez</v>
          </cell>
          <cell r="F4857">
            <v>300</v>
          </cell>
          <cell r="G4857">
            <v>5</v>
          </cell>
          <cell r="H4857">
            <v>20</v>
          </cell>
          <cell r="I4857">
            <v>41906</v>
          </cell>
          <cell r="J4857" t="str">
            <v>NO SUMA</v>
          </cell>
          <cell r="W4857">
            <v>0</v>
          </cell>
          <cell r="AJ4857">
            <v>0</v>
          </cell>
          <cell r="AW4857">
            <v>0</v>
          </cell>
        </row>
        <row r="4858">
          <cell r="B4858">
            <v>7960</v>
          </cell>
          <cell r="C4858" t="str">
            <v>EZ_69_</v>
          </cell>
          <cell r="D4858" t="str">
            <v>Rancho Estanzuela No. 69</v>
          </cell>
          <cell r="E4858" t="str">
            <v>Apaez</v>
          </cell>
          <cell r="F4858">
            <v>300</v>
          </cell>
          <cell r="G4858">
            <v>5</v>
          </cell>
          <cell r="H4858">
            <v>20</v>
          </cell>
          <cell r="I4858">
            <v>41906</v>
          </cell>
          <cell r="J4858" t="str">
            <v>NO SUMA</v>
          </cell>
          <cell r="W4858">
            <v>0</v>
          </cell>
          <cell r="AJ4858">
            <v>0</v>
          </cell>
          <cell r="AW4858">
            <v>0</v>
          </cell>
        </row>
        <row r="4859">
          <cell r="B4859">
            <v>7960</v>
          </cell>
          <cell r="C4859" t="str">
            <v>EZ_69_</v>
          </cell>
          <cell r="D4859" t="str">
            <v>Rancho Estanzuela No. 69</v>
          </cell>
          <cell r="E4859" t="str">
            <v>Apaez</v>
          </cell>
          <cell r="F4859">
            <v>300</v>
          </cell>
          <cell r="G4859">
            <v>5</v>
          </cell>
          <cell r="H4859">
            <v>20</v>
          </cell>
          <cell r="I4859">
            <v>41906</v>
          </cell>
          <cell r="J4859" t="str">
            <v>NO SUMA</v>
          </cell>
          <cell r="W4859">
            <v>0</v>
          </cell>
          <cell r="AJ4859">
            <v>0</v>
          </cell>
          <cell r="AW4859">
            <v>0</v>
          </cell>
        </row>
        <row r="4860">
          <cell r="B4860">
            <v>7960</v>
          </cell>
          <cell r="C4860" t="str">
            <v>EZ_69_</v>
          </cell>
          <cell r="D4860" t="str">
            <v>Rancho Estanzuela No. 69</v>
          </cell>
          <cell r="E4860" t="str">
            <v>Apaez</v>
          </cell>
          <cell r="F4860">
            <v>300</v>
          </cell>
          <cell r="G4860">
            <v>5</v>
          </cell>
          <cell r="H4860">
            <v>50</v>
          </cell>
          <cell r="I4860">
            <v>41906</v>
          </cell>
          <cell r="J4860" t="str">
            <v>NO SUMA</v>
          </cell>
          <cell r="W4860">
            <v>0</v>
          </cell>
          <cell r="AJ4860">
            <v>0</v>
          </cell>
          <cell r="AW4860">
            <v>0</v>
          </cell>
        </row>
        <row r="4861">
          <cell r="B4861">
            <v>7961</v>
          </cell>
          <cell r="C4861" t="str">
            <v>CM_130_A</v>
          </cell>
          <cell r="D4861" t="str">
            <v>Rancho Estanzuela No. 130, A</v>
          </cell>
          <cell r="E4861" t="str">
            <v>Colegio Carmel</v>
          </cell>
          <cell r="F4861">
            <v>10000</v>
          </cell>
          <cell r="G4861">
            <v>3</v>
          </cell>
          <cell r="H4861">
            <v>160</v>
          </cell>
          <cell r="I4861">
            <v>41907</v>
          </cell>
          <cell r="J4861" t="str">
            <v>NO SUMA</v>
          </cell>
          <cell r="W4861">
            <v>0</v>
          </cell>
          <cell r="AJ4861">
            <v>0</v>
          </cell>
          <cell r="AW4861">
            <v>0</v>
          </cell>
        </row>
        <row r="4862">
          <cell r="B4862">
            <v>7962</v>
          </cell>
          <cell r="C4862" t="str">
            <v>CL_80_</v>
          </cell>
          <cell r="D4862" t="str">
            <v>Rancho La Cuchilla No. 80</v>
          </cell>
          <cell r="E4862" t="str">
            <v>Aparicio</v>
          </cell>
          <cell r="F4862">
            <v>300</v>
          </cell>
          <cell r="G4862">
            <v>5</v>
          </cell>
          <cell r="H4862">
            <v>20</v>
          </cell>
          <cell r="I4862">
            <v>41910</v>
          </cell>
          <cell r="J4862" t="str">
            <v>NO SUMA</v>
          </cell>
          <cell r="W4862">
            <v>0</v>
          </cell>
          <cell r="AJ4862">
            <v>0</v>
          </cell>
          <cell r="AW4862">
            <v>0</v>
          </cell>
        </row>
        <row r="4863">
          <cell r="B4863">
            <v>7962</v>
          </cell>
          <cell r="C4863" t="str">
            <v>CL_80_</v>
          </cell>
          <cell r="D4863" t="str">
            <v>Rancho La Cuchilla No. 80</v>
          </cell>
          <cell r="E4863" t="str">
            <v>Aparicio</v>
          </cell>
          <cell r="F4863">
            <v>300</v>
          </cell>
          <cell r="G4863">
            <v>5</v>
          </cell>
          <cell r="H4863">
            <v>20</v>
          </cell>
          <cell r="I4863">
            <v>41910</v>
          </cell>
          <cell r="J4863" t="str">
            <v>NO SUMA</v>
          </cell>
          <cell r="W4863">
            <v>0</v>
          </cell>
          <cell r="AJ4863">
            <v>0</v>
          </cell>
          <cell r="AW4863">
            <v>0</v>
          </cell>
        </row>
        <row r="4864">
          <cell r="B4864">
            <v>7962</v>
          </cell>
          <cell r="C4864" t="str">
            <v>CL_89_</v>
          </cell>
          <cell r="D4864" t="str">
            <v>Rancho La Cuchilla No. 89</v>
          </cell>
          <cell r="E4864" t="str">
            <v>Gálvez</v>
          </cell>
          <cell r="F4864">
            <v>300</v>
          </cell>
          <cell r="G4864">
            <v>5</v>
          </cell>
          <cell r="H4864">
            <v>20</v>
          </cell>
          <cell r="I4864">
            <v>41910</v>
          </cell>
          <cell r="J4864" t="str">
            <v>NO SUMA</v>
          </cell>
          <cell r="W4864">
            <v>0</v>
          </cell>
          <cell r="AJ4864">
            <v>0</v>
          </cell>
          <cell r="AW4864">
            <v>0</v>
          </cell>
        </row>
        <row r="4865">
          <cell r="B4865">
            <v>7962</v>
          </cell>
          <cell r="C4865" t="str">
            <v>CL_89_</v>
          </cell>
          <cell r="D4865" t="str">
            <v>Rancho La Cuchilla No. 89</v>
          </cell>
          <cell r="E4865" t="str">
            <v>Gálvez</v>
          </cell>
          <cell r="F4865">
            <v>300</v>
          </cell>
          <cell r="G4865">
            <v>5</v>
          </cell>
          <cell r="H4865">
            <v>50</v>
          </cell>
          <cell r="I4865">
            <v>41911</v>
          </cell>
          <cell r="J4865" t="str">
            <v>NO SUMA</v>
          </cell>
          <cell r="W4865">
            <v>0</v>
          </cell>
          <cell r="AJ4865">
            <v>0</v>
          </cell>
          <cell r="AW4865">
            <v>0</v>
          </cell>
        </row>
        <row r="4866">
          <cell r="B4866">
            <v>7963</v>
          </cell>
          <cell r="C4866" t="str">
            <v>UP_96_</v>
          </cell>
          <cell r="D4866" t="str">
            <v>Rancho Upácuaro No. 96</v>
          </cell>
          <cell r="E4866" t="str">
            <v>Daza Gutiérrez</v>
          </cell>
          <cell r="F4866">
            <v>300</v>
          </cell>
          <cell r="G4866">
            <v>1</v>
          </cell>
          <cell r="H4866">
            <v>400</v>
          </cell>
          <cell r="I4866">
            <v>41910</v>
          </cell>
          <cell r="J4866">
            <v>0</v>
          </cell>
          <cell r="W4866">
            <v>0</v>
          </cell>
          <cell r="AJ4866">
            <v>0</v>
          </cell>
          <cell r="AR4866">
            <v>400</v>
          </cell>
          <cell r="AW4866">
            <v>400</v>
          </cell>
        </row>
        <row r="4867">
          <cell r="B4867">
            <v>7964</v>
          </cell>
          <cell r="C4867" t="str">
            <v>UP_99_</v>
          </cell>
          <cell r="D4867" t="str">
            <v>Rancho Upácuaro No. 99</v>
          </cell>
          <cell r="E4867" t="str">
            <v>Frías</v>
          </cell>
          <cell r="F4867">
            <v>300</v>
          </cell>
          <cell r="G4867">
            <v>1</v>
          </cell>
          <cell r="H4867">
            <v>400</v>
          </cell>
          <cell r="I4867">
            <v>41910</v>
          </cell>
          <cell r="J4867">
            <v>0</v>
          </cell>
          <cell r="W4867">
            <v>0</v>
          </cell>
          <cell r="AJ4867">
            <v>0</v>
          </cell>
          <cell r="AS4867">
            <v>200</v>
          </cell>
          <cell r="AT4867">
            <v>200</v>
          </cell>
          <cell r="AW4867">
            <v>400</v>
          </cell>
        </row>
        <row r="4868">
          <cell r="B4868">
            <v>7964</v>
          </cell>
          <cell r="C4868" t="str">
            <v>UP_99_</v>
          </cell>
          <cell r="D4868" t="str">
            <v>Rancho Upácuaro No. 99</v>
          </cell>
          <cell r="E4868" t="str">
            <v>Frías</v>
          </cell>
          <cell r="F4868">
            <v>300</v>
          </cell>
          <cell r="G4868">
            <v>5</v>
          </cell>
          <cell r="H4868">
            <v>20</v>
          </cell>
          <cell r="I4868">
            <v>41910</v>
          </cell>
          <cell r="J4868" t="str">
            <v>NO SUMA</v>
          </cell>
          <cell r="W4868">
            <v>0</v>
          </cell>
          <cell r="AJ4868">
            <v>0</v>
          </cell>
          <cell r="AW4868">
            <v>0</v>
          </cell>
        </row>
        <row r="4869">
          <cell r="B4869">
            <v>7965</v>
          </cell>
          <cell r="C4869" t="str">
            <v>LD_61_</v>
          </cell>
          <cell r="D4869" t="str">
            <v>Rancho Landero No. 61</v>
          </cell>
          <cell r="E4869" t="str">
            <v>Miramontes Pérez</v>
          </cell>
          <cell r="F4869">
            <v>300</v>
          </cell>
          <cell r="G4869">
            <v>1</v>
          </cell>
          <cell r="H4869">
            <v>400</v>
          </cell>
          <cell r="I4869">
            <v>41910</v>
          </cell>
          <cell r="J4869">
            <v>0</v>
          </cell>
          <cell r="W4869">
            <v>0</v>
          </cell>
          <cell r="AJ4869">
            <v>0</v>
          </cell>
          <cell r="AL4869">
            <v>400</v>
          </cell>
          <cell r="AW4869">
            <v>400</v>
          </cell>
        </row>
        <row r="4870">
          <cell r="B4870">
            <v>7966</v>
          </cell>
          <cell r="C4870" t="str">
            <v>CL_20_</v>
          </cell>
          <cell r="D4870" t="str">
            <v>Rancho La Cuchilla No. 20</v>
          </cell>
          <cell r="E4870" t="str">
            <v>Sánchez López</v>
          </cell>
          <cell r="F4870">
            <v>300</v>
          </cell>
          <cell r="G4870">
            <v>1</v>
          </cell>
          <cell r="H4870">
            <v>800</v>
          </cell>
          <cell r="I4870">
            <v>41910</v>
          </cell>
          <cell r="J4870">
            <v>0</v>
          </cell>
          <cell r="W4870">
            <v>0</v>
          </cell>
          <cell r="AJ4870">
            <v>0</v>
          </cell>
          <cell r="AU4870">
            <v>400</v>
          </cell>
          <cell r="AV4870">
            <v>400</v>
          </cell>
          <cell r="AW4870">
            <v>800</v>
          </cell>
        </row>
        <row r="4871">
          <cell r="B4871">
            <v>7967</v>
          </cell>
          <cell r="C4871" t="str">
            <v>CL_135_</v>
          </cell>
          <cell r="D4871" t="str">
            <v>Rancho La Cuchilla No. 135</v>
          </cell>
          <cell r="E4871" t="str">
            <v>Juárez Sánchez</v>
          </cell>
          <cell r="F4871">
            <v>300</v>
          </cell>
          <cell r="G4871">
            <v>1</v>
          </cell>
          <cell r="H4871">
            <v>800</v>
          </cell>
          <cell r="I4871">
            <v>41910</v>
          </cell>
          <cell r="J4871">
            <v>0</v>
          </cell>
          <cell r="W4871">
            <v>0</v>
          </cell>
          <cell r="AJ4871">
            <v>0</v>
          </cell>
          <cell r="AQ4871">
            <v>400</v>
          </cell>
          <cell r="AR4871">
            <v>400</v>
          </cell>
          <cell r="AW4871">
            <v>800</v>
          </cell>
        </row>
        <row r="4872">
          <cell r="B4872">
            <v>7968</v>
          </cell>
          <cell r="C4872" t="str">
            <v>EZ_103_B</v>
          </cell>
          <cell r="D4872" t="str">
            <v>Rancho Estanzuela No. 103, B</v>
          </cell>
          <cell r="E4872" t="str">
            <v>Olivares Flores</v>
          </cell>
          <cell r="F4872">
            <v>300</v>
          </cell>
          <cell r="G4872">
            <v>1</v>
          </cell>
          <cell r="H4872">
            <v>400</v>
          </cell>
          <cell r="I4872">
            <v>41910</v>
          </cell>
          <cell r="J4872">
            <v>0</v>
          </cell>
          <cell r="W4872">
            <v>0</v>
          </cell>
          <cell r="AJ4872">
            <v>0</v>
          </cell>
          <cell r="AU4872">
            <v>400</v>
          </cell>
          <cell r="AW4872">
            <v>400</v>
          </cell>
        </row>
        <row r="4873">
          <cell r="B4873">
            <v>7968</v>
          </cell>
          <cell r="C4873" t="str">
            <v>EZ_103_B</v>
          </cell>
          <cell r="D4873" t="str">
            <v>Rancho Estanzuela No. 103, B</v>
          </cell>
          <cell r="E4873" t="str">
            <v>Olivares Flores</v>
          </cell>
          <cell r="F4873">
            <v>300</v>
          </cell>
          <cell r="G4873">
            <v>5</v>
          </cell>
          <cell r="H4873">
            <v>20</v>
          </cell>
          <cell r="I4873">
            <v>41910</v>
          </cell>
          <cell r="J4873" t="str">
            <v>NO SUMA</v>
          </cell>
          <cell r="W4873">
            <v>0</v>
          </cell>
          <cell r="AJ4873">
            <v>0</v>
          </cell>
          <cell r="AW4873">
            <v>0</v>
          </cell>
        </row>
        <row r="4874">
          <cell r="B4874">
            <v>7968</v>
          </cell>
          <cell r="C4874" t="str">
            <v>EZ_103_B</v>
          </cell>
          <cell r="D4874" t="str">
            <v>Rancho Estanzuela No. 103, B</v>
          </cell>
          <cell r="E4874" t="str">
            <v>Olivares Flores</v>
          </cell>
          <cell r="F4874">
            <v>300</v>
          </cell>
          <cell r="G4874">
            <v>5</v>
          </cell>
          <cell r="H4874">
            <v>20</v>
          </cell>
          <cell r="I4874">
            <v>41910</v>
          </cell>
          <cell r="J4874" t="str">
            <v>NO SUMA</v>
          </cell>
          <cell r="W4874">
            <v>0</v>
          </cell>
          <cell r="AJ4874">
            <v>0</v>
          </cell>
          <cell r="AW4874">
            <v>0</v>
          </cell>
        </row>
        <row r="4875">
          <cell r="B4875">
            <v>7968</v>
          </cell>
          <cell r="C4875" t="str">
            <v>EZ_103_B</v>
          </cell>
          <cell r="D4875" t="str">
            <v>Rancho Estanzuela No. 103, B</v>
          </cell>
          <cell r="E4875" t="str">
            <v>Olivares Flores</v>
          </cell>
          <cell r="F4875">
            <v>300</v>
          </cell>
          <cell r="G4875">
            <v>5</v>
          </cell>
          <cell r="H4875">
            <v>20</v>
          </cell>
          <cell r="I4875">
            <v>41910</v>
          </cell>
          <cell r="J4875" t="str">
            <v>NO SUMA</v>
          </cell>
          <cell r="W4875">
            <v>0</v>
          </cell>
          <cell r="AJ4875">
            <v>0</v>
          </cell>
          <cell r="AW4875">
            <v>0</v>
          </cell>
        </row>
        <row r="4876">
          <cell r="B4876">
            <v>7968</v>
          </cell>
          <cell r="C4876" t="str">
            <v>EZ_103_B</v>
          </cell>
          <cell r="D4876" t="str">
            <v>Rancho Estanzuela No. 103, B</v>
          </cell>
          <cell r="E4876" t="str">
            <v>Olivares Flores</v>
          </cell>
          <cell r="F4876">
            <v>300</v>
          </cell>
          <cell r="G4876">
            <v>5</v>
          </cell>
          <cell r="H4876">
            <v>50</v>
          </cell>
          <cell r="I4876">
            <v>41910</v>
          </cell>
          <cell r="J4876" t="str">
            <v>NO SUMA</v>
          </cell>
          <cell r="W4876">
            <v>0</v>
          </cell>
          <cell r="AJ4876">
            <v>0</v>
          </cell>
          <cell r="AW4876">
            <v>0</v>
          </cell>
        </row>
        <row r="4877">
          <cell r="B4877">
            <v>7968</v>
          </cell>
          <cell r="C4877" t="str">
            <v>EZ_103_B</v>
          </cell>
          <cell r="D4877" t="str">
            <v>Rancho Estanzuela No. 103, B</v>
          </cell>
          <cell r="E4877" t="str">
            <v>Olivares Flores</v>
          </cell>
          <cell r="F4877">
            <v>300</v>
          </cell>
          <cell r="G4877">
            <v>5</v>
          </cell>
          <cell r="H4877">
            <v>50</v>
          </cell>
          <cell r="I4877">
            <v>41910</v>
          </cell>
          <cell r="J4877" t="str">
            <v>NO SUMA</v>
          </cell>
          <cell r="W4877">
            <v>0</v>
          </cell>
          <cell r="AJ4877">
            <v>0</v>
          </cell>
          <cell r="AW4877">
            <v>0</v>
          </cell>
        </row>
        <row r="4878">
          <cell r="B4878">
            <v>7969</v>
          </cell>
          <cell r="C4878" t="str">
            <v>CL_118_</v>
          </cell>
          <cell r="D4878" t="str">
            <v>Rancho La Cuchilla No. 118</v>
          </cell>
          <cell r="E4878" t="str">
            <v>Astorga Ruiz</v>
          </cell>
          <cell r="F4878">
            <v>300</v>
          </cell>
          <cell r="G4878">
            <v>1</v>
          </cell>
          <cell r="H4878">
            <v>400</v>
          </cell>
          <cell r="I4878">
            <v>41910</v>
          </cell>
          <cell r="J4878">
            <v>0</v>
          </cell>
          <cell r="W4878">
            <v>0</v>
          </cell>
          <cell r="AJ4878">
            <v>0</v>
          </cell>
          <cell r="AS4878">
            <v>400</v>
          </cell>
          <cell r="AW4878">
            <v>400</v>
          </cell>
        </row>
        <row r="4879">
          <cell r="B4879">
            <v>7969</v>
          </cell>
          <cell r="C4879" t="str">
            <v>CL_118_</v>
          </cell>
          <cell r="D4879" t="str">
            <v>Rancho La Cuchilla No. 118</v>
          </cell>
          <cell r="E4879" t="str">
            <v>Astorga Ruiz</v>
          </cell>
          <cell r="F4879">
            <v>300</v>
          </cell>
          <cell r="G4879">
            <v>5</v>
          </cell>
          <cell r="H4879">
            <v>20</v>
          </cell>
          <cell r="I4879">
            <v>41910</v>
          </cell>
          <cell r="J4879" t="str">
            <v>NO SUMA</v>
          </cell>
          <cell r="W4879">
            <v>0</v>
          </cell>
          <cell r="AJ4879">
            <v>0</v>
          </cell>
          <cell r="AW4879">
            <v>0</v>
          </cell>
        </row>
        <row r="4880">
          <cell r="B4880">
            <v>7969</v>
          </cell>
          <cell r="C4880" t="str">
            <v>CL_118_</v>
          </cell>
          <cell r="D4880" t="str">
            <v>Rancho La Cuchilla No. 118</v>
          </cell>
          <cell r="E4880" t="str">
            <v>Astorga Ruiz</v>
          </cell>
          <cell r="F4880">
            <v>300</v>
          </cell>
          <cell r="G4880">
            <v>5</v>
          </cell>
          <cell r="H4880">
            <v>20</v>
          </cell>
          <cell r="I4880">
            <v>41910</v>
          </cell>
          <cell r="J4880" t="str">
            <v>NO SUMA</v>
          </cell>
          <cell r="W4880">
            <v>0</v>
          </cell>
          <cell r="AJ4880">
            <v>0</v>
          </cell>
          <cell r="AW4880">
            <v>0</v>
          </cell>
        </row>
        <row r="4881">
          <cell r="B4881">
            <v>7969</v>
          </cell>
          <cell r="C4881" t="str">
            <v>CL_118_</v>
          </cell>
          <cell r="D4881" t="str">
            <v>Rancho La Cuchilla No. 118</v>
          </cell>
          <cell r="E4881" t="str">
            <v>Astorga Ruiz</v>
          </cell>
          <cell r="F4881">
            <v>300</v>
          </cell>
          <cell r="G4881">
            <v>5</v>
          </cell>
          <cell r="H4881">
            <v>20</v>
          </cell>
          <cell r="I4881">
            <v>41910</v>
          </cell>
          <cell r="J4881" t="str">
            <v>NO SUMA</v>
          </cell>
          <cell r="W4881">
            <v>0</v>
          </cell>
          <cell r="AJ4881">
            <v>0</v>
          </cell>
          <cell r="AW4881">
            <v>0</v>
          </cell>
        </row>
        <row r="4882">
          <cell r="B4882">
            <v>7970</v>
          </cell>
          <cell r="C4882" t="str">
            <v>LD_30_</v>
          </cell>
          <cell r="D4882" t="str">
            <v>Rancho Landero No. 30</v>
          </cell>
          <cell r="E4882" t="str">
            <v>Torres Guzmán</v>
          </cell>
          <cell r="F4882">
            <v>300</v>
          </cell>
          <cell r="G4882">
            <v>1</v>
          </cell>
          <cell r="H4882">
            <v>1200</v>
          </cell>
          <cell r="I4882">
            <v>41910</v>
          </cell>
          <cell r="J4882">
            <v>0</v>
          </cell>
          <cell r="W4882">
            <v>0</v>
          </cell>
          <cell r="AJ4882">
            <v>0</v>
          </cell>
          <cell r="AT4882">
            <v>400</v>
          </cell>
          <cell r="AU4882">
            <v>400</v>
          </cell>
          <cell r="AV4882">
            <v>400</v>
          </cell>
          <cell r="AW4882">
            <v>1200</v>
          </cell>
        </row>
        <row r="4883">
          <cell r="B4883">
            <v>7970</v>
          </cell>
          <cell r="C4883" t="str">
            <v>LD_30_</v>
          </cell>
          <cell r="D4883" t="str">
            <v>Rancho Landero No. 30</v>
          </cell>
          <cell r="E4883" t="str">
            <v>Torres Guzmán</v>
          </cell>
          <cell r="F4883">
            <v>300</v>
          </cell>
          <cell r="G4883">
            <v>5</v>
          </cell>
          <cell r="H4883">
            <v>20</v>
          </cell>
          <cell r="I4883">
            <v>41910</v>
          </cell>
          <cell r="J4883" t="str">
            <v>NO SUMA</v>
          </cell>
          <cell r="W4883">
            <v>0</v>
          </cell>
          <cell r="AJ4883">
            <v>0</v>
          </cell>
          <cell r="AW4883">
            <v>0</v>
          </cell>
        </row>
        <row r="4884">
          <cell r="B4884">
            <v>7970</v>
          </cell>
          <cell r="C4884" t="str">
            <v>LD_30_</v>
          </cell>
          <cell r="D4884" t="str">
            <v>Rancho Landero No. 30</v>
          </cell>
          <cell r="E4884" t="str">
            <v>Torres Guzmán</v>
          </cell>
          <cell r="F4884">
            <v>300</v>
          </cell>
          <cell r="G4884">
            <v>5</v>
          </cell>
          <cell r="H4884">
            <v>20</v>
          </cell>
          <cell r="I4884">
            <v>41910</v>
          </cell>
          <cell r="J4884" t="str">
            <v>NO SUMA</v>
          </cell>
          <cell r="W4884">
            <v>0</v>
          </cell>
          <cell r="AJ4884">
            <v>0</v>
          </cell>
          <cell r="AW4884">
            <v>0</v>
          </cell>
        </row>
        <row r="4885">
          <cell r="B4885">
            <v>7970</v>
          </cell>
          <cell r="C4885" t="str">
            <v>LD_30_</v>
          </cell>
          <cell r="D4885" t="str">
            <v>Rancho Landero No. 30</v>
          </cell>
          <cell r="E4885" t="str">
            <v>Torres Guzmán</v>
          </cell>
          <cell r="F4885">
            <v>300</v>
          </cell>
          <cell r="G4885">
            <v>5</v>
          </cell>
          <cell r="H4885">
            <v>20</v>
          </cell>
          <cell r="I4885">
            <v>41910</v>
          </cell>
          <cell r="J4885" t="str">
            <v>NO SUMA</v>
          </cell>
          <cell r="W4885">
            <v>0</v>
          </cell>
          <cell r="AJ4885">
            <v>0</v>
          </cell>
          <cell r="AW4885">
            <v>0</v>
          </cell>
        </row>
        <row r="4886">
          <cell r="B4886">
            <v>7971</v>
          </cell>
          <cell r="C4886" t="str">
            <v>CL_135_</v>
          </cell>
          <cell r="D4886" t="str">
            <v>Rancho La Cuchilla No. 135</v>
          </cell>
          <cell r="E4886" t="str">
            <v>Juárez Sánchez</v>
          </cell>
          <cell r="F4886">
            <v>300</v>
          </cell>
          <cell r="G4886">
            <v>4</v>
          </cell>
          <cell r="H4886">
            <v>160</v>
          </cell>
          <cell r="I4886">
            <v>41910</v>
          </cell>
          <cell r="J4886" t="str">
            <v>NO SUMA</v>
          </cell>
          <cell r="W4886">
            <v>0</v>
          </cell>
          <cell r="AJ4886">
            <v>0</v>
          </cell>
          <cell r="AW4886">
            <v>0</v>
          </cell>
        </row>
        <row r="4887">
          <cell r="B4887">
            <v>7971</v>
          </cell>
          <cell r="C4887" t="str">
            <v>CL_135_</v>
          </cell>
          <cell r="D4887" t="str">
            <v>Rancho La Cuchilla No. 135</v>
          </cell>
          <cell r="E4887" t="str">
            <v>Juárez Sánchez</v>
          </cell>
          <cell r="F4887">
            <v>300</v>
          </cell>
          <cell r="G4887">
            <v>5</v>
          </cell>
          <cell r="H4887">
            <v>20</v>
          </cell>
          <cell r="I4887">
            <v>41910</v>
          </cell>
          <cell r="J4887" t="str">
            <v>NO SUMA</v>
          </cell>
          <cell r="W4887">
            <v>0</v>
          </cell>
          <cell r="AJ4887">
            <v>0</v>
          </cell>
          <cell r="AW4887">
            <v>0</v>
          </cell>
        </row>
        <row r="4888">
          <cell r="B4888">
            <v>7971</v>
          </cell>
          <cell r="C4888" t="str">
            <v>CL_135_</v>
          </cell>
          <cell r="D4888" t="str">
            <v>Rancho La Cuchilla No. 135</v>
          </cell>
          <cell r="E4888" t="str">
            <v>Juárez Sánchez</v>
          </cell>
          <cell r="F4888">
            <v>300</v>
          </cell>
          <cell r="G4888">
            <v>5</v>
          </cell>
          <cell r="H4888">
            <v>20</v>
          </cell>
          <cell r="I4888">
            <v>41910</v>
          </cell>
          <cell r="J4888" t="str">
            <v>NO SUMA</v>
          </cell>
          <cell r="W4888">
            <v>0</v>
          </cell>
          <cell r="AJ4888">
            <v>0</v>
          </cell>
          <cell r="AW4888">
            <v>0</v>
          </cell>
        </row>
        <row r="4889">
          <cell r="B4889">
            <v>7971</v>
          </cell>
          <cell r="C4889" t="str">
            <v>CL_135_</v>
          </cell>
          <cell r="D4889" t="str">
            <v>Rancho La Cuchilla No. 135</v>
          </cell>
          <cell r="E4889" t="str">
            <v>Juárez Sánchez</v>
          </cell>
          <cell r="F4889">
            <v>300</v>
          </cell>
          <cell r="G4889">
            <v>5</v>
          </cell>
          <cell r="H4889">
            <v>20</v>
          </cell>
          <cell r="I4889">
            <v>41910</v>
          </cell>
          <cell r="J4889" t="str">
            <v>NO SUMA</v>
          </cell>
          <cell r="W4889">
            <v>0</v>
          </cell>
          <cell r="AJ4889">
            <v>0</v>
          </cell>
          <cell r="AW4889">
            <v>0</v>
          </cell>
        </row>
        <row r="4890">
          <cell r="B4890">
            <v>7972</v>
          </cell>
          <cell r="C4890" t="str">
            <v>UP_114_</v>
          </cell>
          <cell r="D4890" t="str">
            <v>Rancho Upácuaro No. 114</v>
          </cell>
          <cell r="E4890" t="str">
            <v>Hernández Cornejo</v>
          </cell>
          <cell r="F4890">
            <v>300</v>
          </cell>
          <cell r="G4890">
            <v>1</v>
          </cell>
          <cell r="H4890">
            <v>400</v>
          </cell>
          <cell r="I4890">
            <v>41910</v>
          </cell>
          <cell r="J4890">
            <v>0</v>
          </cell>
          <cell r="W4890">
            <v>0</v>
          </cell>
          <cell r="AJ4890">
            <v>0</v>
          </cell>
          <cell r="AS4890">
            <v>400</v>
          </cell>
          <cell r="AW4890">
            <v>400</v>
          </cell>
        </row>
        <row r="4891">
          <cell r="B4891">
            <v>7972</v>
          </cell>
          <cell r="C4891" t="str">
            <v>UP_114_</v>
          </cell>
          <cell r="D4891" t="str">
            <v>Rancho Upácuaro No. 114</v>
          </cell>
          <cell r="E4891" t="str">
            <v>Hernández Cornejo</v>
          </cell>
          <cell r="F4891">
            <v>300</v>
          </cell>
          <cell r="G4891">
            <v>5</v>
          </cell>
          <cell r="H4891">
            <v>20</v>
          </cell>
          <cell r="I4891">
            <v>41910</v>
          </cell>
          <cell r="J4891" t="str">
            <v>NO SUMA</v>
          </cell>
          <cell r="W4891">
            <v>0</v>
          </cell>
          <cell r="AJ4891">
            <v>0</v>
          </cell>
          <cell r="AW4891">
            <v>0</v>
          </cell>
        </row>
        <row r="4892">
          <cell r="B4892">
            <v>7972</v>
          </cell>
          <cell r="C4892" t="str">
            <v>UP_114_</v>
          </cell>
          <cell r="D4892" t="str">
            <v>Rancho Upácuaro No. 114</v>
          </cell>
          <cell r="E4892" t="str">
            <v>Hernández Cornejo</v>
          </cell>
          <cell r="F4892">
            <v>300</v>
          </cell>
          <cell r="G4892">
            <v>5</v>
          </cell>
          <cell r="H4892">
            <v>20</v>
          </cell>
          <cell r="I4892">
            <v>41910</v>
          </cell>
          <cell r="J4892" t="str">
            <v>NO SUMA</v>
          </cell>
          <cell r="W4892">
            <v>0</v>
          </cell>
          <cell r="AJ4892">
            <v>0</v>
          </cell>
          <cell r="AW4892">
            <v>0</v>
          </cell>
        </row>
        <row r="4893">
          <cell r="B4893">
            <v>7972</v>
          </cell>
          <cell r="C4893" t="str">
            <v>UP_114_</v>
          </cell>
          <cell r="D4893" t="str">
            <v>Rancho Upácuaro No. 114</v>
          </cell>
          <cell r="E4893" t="str">
            <v>Hernández Cornejo</v>
          </cell>
          <cell r="F4893">
            <v>300</v>
          </cell>
          <cell r="G4893">
            <v>5</v>
          </cell>
          <cell r="H4893">
            <v>20</v>
          </cell>
          <cell r="I4893">
            <v>41910</v>
          </cell>
          <cell r="J4893" t="str">
            <v>NO SUMA</v>
          </cell>
          <cell r="W4893">
            <v>0</v>
          </cell>
          <cell r="AJ4893">
            <v>0</v>
          </cell>
          <cell r="AW4893">
            <v>0</v>
          </cell>
        </row>
        <row r="4894">
          <cell r="B4894">
            <v>7972</v>
          </cell>
          <cell r="C4894" t="str">
            <v>UP_114_</v>
          </cell>
          <cell r="D4894" t="str">
            <v>Rancho Upácuaro No. 114</v>
          </cell>
          <cell r="E4894" t="str">
            <v>Hernández Cornejo</v>
          </cell>
          <cell r="F4894">
            <v>300</v>
          </cell>
          <cell r="G4894">
            <v>5</v>
          </cell>
          <cell r="H4894">
            <v>50</v>
          </cell>
          <cell r="I4894">
            <v>41910</v>
          </cell>
          <cell r="J4894" t="str">
            <v>NO SUMA</v>
          </cell>
          <cell r="W4894">
            <v>0</v>
          </cell>
          <cell r="AJ4894">
            <v>0</v>
          </cell>
          <cell r="AW4894">
            <v>0</v>
          </cell>
        </row>
        <row r="4895">
          <cell r="B4895">
            <v>7972</v>
          </cell>
          <cell r="C4895" t="str">
            <v>UP_114_</v>
          </cell>
          <cell r="D4895" t="str">
            <v>Rancho Upácuaro No. 114</v>
          </cell>
          <cell r="E4895" t="str">
            <v>Hernández Cornejo</v>
          </cell>
          <cell r="F4895">
            <v>300</v>
          </cell>
          <cell r="G4895">
            <v>5</v>
          </cell>
          <cell r="H4895">
            <v>50</v>
          </cell>
          <cell r="I4895">
            <v>41910</v>
          </cell>
          <cell r="J4895" t="str">
            <v>NO SUMA</v>
          </cell>
          <cell r="W4895">
            <v>0</v>
          </cell>
          <cell r="AJ4895">
            <v>0</v>
          </cell>
          <cell r="AW4895">
            <v>0</v>
          </cell>
        </row>
        <row r="4896">
          <cell r="B4896">
            <v>7973</v>
          </cell>
          <cell r="C4896" t="str">
            <v>UP_37_</v>
          </cell>
          <cell r="D4896" t="str">
            <v>Rancho Upácuaro No. 37</v>
          </cell>
          <cell r="E4896" t="str">
            <v>García Valdés</v>
          </cell>
          <cell r="F4896">
            <v>300</v>
          </cell>
          <cell r="G4896">
            <v>1</v>
          </cell>
          <cell r="H4896">
            <v>1200</v>
          </cell>
          <cell r="I4896">
            <v>41910</v>
          </cell>
          <cell r="J4896">
            <v>0</v>
          </cell>
          <cell r="W4896">
            <v>0</v>
          </cell>
          <cell r="AJ4896">
            <v>0</v>
          </cell>
          <cell r="AQ4896">
            <v>400</v>
          </cell>
          <cell r="AR4896">
            <v>400</v>
          </cell>
          <cell r="AS4896">
            <v>400</v>
          </cell>
          <cell r="AW4896">
            <v>1200</v>
          </cell>
        </row>
        <row r="4897">
          <cell r="B4897">
            <v>7974</v>
          </cell>
          <cell r="C4897" t="str">
            <v>UP_37_</v>
          </cell>
          <cell r="D4897" t="str">
            <v>Rancho Upácuaro No. 37</v>
          </cell>
          <cell r="E4897" t="str">
            <v>García Valdés</v>
          </cell>
          <cell r="F4897">
            <v>300</v>
          </cell>
          <cell r="G4897">
            <v>1</v>
          </cell>
          <cell r="H4897">
            <v>400</v>
          </cell>
          <cell r="I4897">
            <v>41910</v>
          </cell>
          <cell r="J4897">
            <v>0</v>
          </cell>
          <cell r="W4897">
            <v>0</v>
          </cell>
          <cell r="AJ4897">
            <v>0</v>
          </cell>
          <cell r="AT4897">
            <v>400</v>
          </cell>
          <cell r="AW4897">
            <v>400</v>
          </cell>
        </row>
        <row r="4898">
          <cell r="B4898">
            <v>7975</v>
          </cell>
          <cell r="C4898" t="str">
            <v>LD_18_</v>
          </cell>
          <cell r="D4898" t="str">
            <v>Rancho Landero No. 18</v>
          </cell>
          <cell r="E4898" t="str">
            <v>Rosado</v>
          </cell>
          <cell r="F4898">
            <v>250</v>
          </cell>
          <cell r="G4898">
            <v>1</v>
          </cell>
          <cell r="H4898">
            <v>300</v>
          </cell>
          <cell r="I4898">
            <v>41910</v>
          </cell>
          <cell r="J4898">
            <v>0</v>
          </cell>
          <cell r="W4898">
            <v>0</v>
          </cell>
          <cell r="AJ4898">
            <v>0</v>
          </cell>
          <cell r="AS4898">
            <v>300</v>
          </cell>
          <cell r="AW4898">
            <v>300</v>
          </cell>
        </row>
        <row r="4899">
          <cell r="B4899">
            <v>7976</v>
          </cell>
          <cell r="C4899" t="str">
            <v>LD_71_</v>
          </cell>
          <cell r="D4899" t="str">
            <v>Rancho Landero No. 71</v>
          </cell>
          <cell r="E4899" t="str">
            <v>Cabrera Balcázar</v>
          </cell>
          <cell r="F4899">
            <v>300</v>
          </cell>
          <cell r="G4899">
            <v>1</v>
          </cell>
          <cell r="H4899">
            <v>400</v>
          </cell>
          <cell r="I4899">
            <v>41910</v>
          </cell>
          <cell r="J4899">
            <v>0</v>
          </cell>
          <cell r="W4899">
            <v>0</v>
          </cell>
          <cell r="AJ4899">
            <v>0</v>
          </cell>
          <cell r="AS4899">
            <v>400</v>
          </cell>
          <cell r="AW4899">
            <v>400</v>
          </cell>
        </row>
        <row r="4900">
          <cell r="B4900">
            <v>7977</v>
          </cell>
          <cell r="C4900" t="str">
            <v>UP_54_</v>
          </cell>
          <cell r="D4900" t="str">
            <v>Rancho Upácuaro No. 54</v>
          </cell>
          <cell r="E4900" t="str">
            <v>García Rueda</v>
          </cell>
          <cell r="F4900">
            <v>200</v>
          </cell>
          <cell r="G4900">
            <v>5</v>
          </cell>
          <cell r="H4900">
            <v>20</v>
          </cell>
          <cell r="I4900">
            <v>41910</v>
          </cell>
          <cell r="J4900" t="str">
            <v>NO SUMA</v>
          </cell>
          <cell r="W4900">
            <v>0</v>
          </cell>
          <cell r="AJ4900">
            <v>0</v>
          </cell>
          <cell r="AW4900">
            <v>0</v>
          </cell>
        </row>
        <row r="4901">
          <cell r="B4901">
            <v>7977</v>
          </cell>
          <cell r="C4901" t="str">
            <v>UP_54_</v>
          </cell>
          <cell r="D4901" t="str">
            <v>Rancho Upácuaro No. 54</v>
          </cell>
          <cell r="E4901" t="str">
            <v>García Rueda</v>
          </cell>
          <cell r="F4901">
            <v>200</v>
          </cell>
          <cell r="G4901">
            <v>5</v>
          </cell>
          <cell r="H4901">
            <v>20</v>
          </cell>
          <cell r="I4901">
            <v>41910</v>
          </cell>
          <cell r="J4901" t="str">
            <v>NO SUMA</v>
          </cell>
          <cell r="W4901">
            <v>0</v>
          </cell>
          <cell r="AJ4901">
            <v>0</v>
          </cell>
          <cell r="AW4901">
            <v>0</v>
          </cell>
        </row>
        <row r="4902">
          <cell r="B4902">
            <v>7977</v>
          </cell>
          <cell r="C4902" t="str">
            <v>UP_54_</v>
          </cell>
          <cell r="D4902" t="str">
            <v>Rancho Upácuaro No. 54</v>
          </cell>
          <cell r="E4902" t="str">
            <v>García Rueda</v>
          </cell>
          <cell r="F4902">
            <v>200</v>
          </cell>
          <cell r="G4902">
            <v>5</v>
          </cell>
          <cell r="H4902">
            <v>20</v>
          </cell>
          <cell r="I4902">
            <v>41910</v>
          </cell>
          <cell r="J4902" t="str">
            <v>NO SUMA</v>
          </cell>
          <cell r="W4902">
            <v>0</v>
          </cell>
          <cell r="AJ4902">
            <v>0</v>
          </cell>
          <cell r="AW4902">
            <v>0</v>
          </cell>
        </row>
        <row r="4903">
          <cell r="B4903">
            <v>7978</v>
          </cell>
          <cell r="C4903" t="str">
            <v>ZB_80_</v>
          </cell>
          <cell r="D4903" t="str">
            <v>Rancho Zinamba No. 80</v>
          </cell>
          <cell r="E4903" t="str">
            <v>Vázquez</v>
          </cell>
          <cell r="F4903">
            <v>250</v>
          </cell>
          <cell r="G4903">
            <v>5</v>
          </cell>
          <cell r="H4903">
            <v>20</v>
          </cell>
          <cell r="I4903">
            <v>41910</v>
          </cell>
          <cell r="J4903" t="str">
            <v>NO SUMA</v>
          </cell>
          <cell r="W4903">
            <v>0</v>
          </cell>
          <cell r="AJ4903">
            <v>0</v>
          </cell>
          <cell r="AW4903">
            <v>0</v>
          </cell>
        </row>
        <row r="4904">
          <cell r="B4904">
            <v>7978</v>
          </cell>
          <cell r="C4904" t="str">
            <v>ZB_80_</v>
          </cell>
          <cell r="D4904" t="str">
            <v>Rancho Zinamba No. 80</v>
          </cell>
          <cell r="E4904" t="str">
            <v>Vázquez</v>
          </cell>
          <cell r="F4904">
            <v>250</v>
          </cell>
          <cell r="G4904">
            <v>5</v>
          </cell>
          <cell r="H4904">
            <v>20</v>
          </cell>
          <cell r="I4904">
            <v>41910</v>
          </cell>
          <cell r="J4904" t="str">
            <v>NO SUMA</v>
          </cell>
          <cell r="W4904">
            <v>0</v>
          </cell>
          <cell r="AJ4904">
            <v>0</v>
          </cell>
          <cell r="AW4904">
            <v>0</v>
          </cell>
        </row>
        <row r="4905">
          <cell r="B4905">
            <v>7978</v>
          </cell>
          <cell r="C4905" t="str">
            <v>ZB_80_</v>
          </cell>
          <cell r="D4905" t="str">
            <v>Rancho Zinamba No. 80</v>
          </cell>
          <cell r="E4905" t="str">
            <v>Vázquez</v>
          </cell>
          <cell r="F4905">
            <v>250</v>
          </cell>
          <cell r="G4905">
            <v>5</v>
          </cell>
          <cell r="H4905">
            <v>20</v>
          </cell>
          <cell r="I4905">
            <v>41910</v>
          </cell>
          <cell r="J4905" t="str">
            <v>NO SUMA</v>
          </cell>
          <cell r="W4905">
            <v>0</v>
          </cell>
          <cell r="AJ4905">
            <v>0</v>
          </cell>
          <cell r="AW4905">
            <v>0</v>
          </cell>
        </row>
        <row r="4906">
          <cell r="B4906">
            <v>7979</v>
          </cell>
          <cell r="C4906" t="str">
            <v>EZ_15_A</v>
          </cell>
          <cell r="D4906" t="str">
            <v>Rancho Estanzuela No. 15, A</v>
          </cell>
          <cell r="E4906" t="str">
            <v>González</v>
          </cell>
          <cell r="F4906">
            <v>150</v>
          </cell>
          <cell r="G4906">
            <v>1</v>
          </cell>
          <cell r="H4906">
            <v>600</v>
          </cell>
          <cell r="I4906">
            <v>41910</v>
          </cell>
          <cell r="J4906">
            <v>0</v>
          </cell>
          <cell r="W4906">
            <v>0</v>
          </cell>
          <cell r="AJ4906">
            <v>0</v>
          </cell>
          <cell r="AQ4906">
            <v>200</v>
          </cell>
          <cell r="AR4906">
            <v>200</v>
          </cell>
          <cell r="AS4906">
            <v>200</v>
          </cell>
          <cell r="AW4906">
            <v>600</v>
          </cell>
        </row>
        <row r="4907">
          <cell r="B4907">
            <v>7979</v>
          </cell>
          <cell r="C4907" t="str">
            <v>EZ_15_A</v>
          </cell>
          <cell r="D4907" t="str">
            <v>Rancho Estanzuela No. 15, A</v>
          </cell>
          <cell r="E4907" t="str">
            <v>González</v>
          </cell>
          <cell r="F4907">
            <v>150</v>
          </cell>
          <cell r="G4907">
            <v>5</v>
          </cell>
          <cell r="H4907">
            <v>20</v>
          </cell>
          <cell r="I4907">
            <v>41910</v>
          </cell>
          <cell r="J4907" t="str">
            <v>NO SUMA</v>
          </cell>
          <cell r="W4907">
            <v>0</v>
          </cell>
          <cell r="AJ4907">
            <v>0</v>
          </cell>
          <cell r="AW4907">
            <v>0</v>
          </cell>
        </row>
        <row r="4908">
          <cell r="B4908">
            <v>7979</v>
          </cell>
          <cell r="C4908" t="str">
            <v>EZ_15_A</v>
          </cell>
          <cell r="D4908" t="str">
            <v>Rancho Estanzuela No. 15, A</v>
          </cell>
          <cell r="E4908" t="str">
            <v>González</v>
          </cell>
          <cell r="F4908">
            <v>150</v>
          </cell>
          <cell r="G4908">
            <v>5</v>
          </cell>
          <cell r="H4908">
            <v>20</v>
          </cell>
          <cell r="I4908">
            <v>41910</v>
          </cell>
          <cell r="J4908" t="str">
            <v>NO SUMA</v>
          </cell>
          <cell r="W4908">
            <v>0</v>
          </cell>
          <cell r="AJ4908">
            <v>0</v>
          </cell>
          <cell r="AW4908">
            <v>0</v>
          </cell>
        </row>
        <row r="4909">
          <cell r="B4909">
            <v>7980</v>
          </cell>
          <cell r="C4909" t="str">
            <v>UP_138_</v>
          </cell>
          <cell r="D4909" t="str">
            <v>Rancho Upácuaro No. 138</v>
          </cell>
          <cell r="E4909" t="str">
            <v>Ramírez Valencia</v>
          </cell>
          <cell r="F4909">
            <v>300</v>
          </cell>
          <cell r="G4909">
            <v>1</v>
          </cell>
          <cell r="H4909">
            <v>1200</v>
          </cell>
          <cell r="I4909">
            <v>41910</v>
          </cell>
          <cell r="J4909">
            <v>0</v>
          </cell>
          <cell r="W4909">
            <v>0</v>
          </cell>
          <cell r="AJ4909">
            <v>0</v>
          </cell>
          <cell r="AR4909">
            <v>400</v>
          </cell>
          <cell r="AS4909">
            <v>400</v>
          </cell>
          <cell r="AT4909">
            <v>400</v>
          </cell>
          <cell r="AW4909">
            <v>1200</v>
          </cell>
        </row>
        <row r="4910">
          <cell r="B4910">
            <v>7980</v>
          </cell>
          <cell r="C4910" t="str">
            <v>UP_138_</v>
          </cell>
          <cell r="D4910" t="str">
            <v>Rancho Upácuaro No. 138</v>
          </cell>
          <cell r="E4910" t="str">
            <v>Ramírez Valencia</v>
          </cell>
          <cell r="F4910">
            <v>300</v>
          </cell>
          <cell r="G4910">
            <v>5</v>
          </cell>
          <cell r="H4910">
            <v>20</v>
          </cell>
          <cell r="I4910">
            <v>41910</v>
          </cell>
          <cell r="J4910" t="str">
            <v>NO SUMA</v>
          </cell>
          <cell r="W4910">
            <v>0</v>
          </cell>
          <cell r="AJ4910">
            <v>0</v>
          </cell>
          <cell r="AW4910">
            <v>0</v>
          </cell>
        </row>
        <row r="4911">
          <cell r="B4911">
            <v>7980</v>
          </cell>
          <cell r="C4911" t="str">
            <v>UP_138_</v>
          </cell>
          <cell r="D4911" t="str">
            <v>Rancho Upácuaro No. 138</v>
          </cell>
          <cell r="E4911" t="str">
            <v>Ramírez Valencia</v>
          </cell>
          <cell r="F4911">
            <v>300</v>
          </cell>
          <cell r="G4911">
            <v>5</v>
          </cell>
          <cell r="H4911">
            <v>20</v>
          </cell>
          <cell r="I4911">
            <v>41910</v>
          </cell>
          <cell r="J4911" t="str">
            <v>NO SUMA</v>
          </cell>
          <cell r="W4911">
            <v>0</v>
          </cell>
          <cell r="AJ4911">
            <v>0</v>
          </cell>
          <cell r="AW4911">
            <v>0</v>
          </cell>
        </row>
        <row r="4912">
          <cell r="B4912">
            <v>7980</v>
          </cell>
          <cell r="C4912" t="str">
            <v>UP_138_</v>
          </cell>
          <cell r="D4912" t="str">
            <v>Rancho Upácuaro No. 138</v>
          </cell>
          <cell r="E4912" t="str">
            <v>Ramírez Valencia</v>
          </cell>
          <cell r="F4912">
            <v>300</v>
          </cell>
          <cell r="G4912">
            <v>5</v>
          </cell>
          <cell r="H4912">
            <v>20</v>
          </cell>
          <cell r="I4912">
            <v>41910</v>
          </cell>
          <cell r="J4912" t="str">
            <v>NO SUMA</v>
          </cell>
          <cell r="W4912">
            <v>0</v>
          </cell>
          <cell r="AJ4912">
            <v>0</v>
          </cell>
          <cell r="AW4912">
            <v>0</v>
          </cell>
        </row>
        <row r="4913">
          <cell r="B4913">
            <v>7981</v>
          </cell>
          <cell r="C4913" t="str">
            <v>EZ_65_</v>
          </cell>
          <cell r="D4913" t="str">
            <v>Rancho Estanzuela No. 65</v>
          </cell>
          <cell r="E4913" t="str">
            <v>López Becerril</v>
          </cell>
          <cell r="F4913">
            <v>300</v>
          </cell>
          <cell r="G4913">
            <v>1</v>
          </cell>
          <cell r="H4913">
            <v>400</v>
          </cell>
          <cell r="I4913">
            <v>41910</v>
          </cell>
          <cell r="J4913">
            <v>0</v>
          </cell>
          <cell r="W4913">
            <v>0</v>
          </cell>
          <cell r="AJ4913">
            <v>0</v>
          </cell>
          <cell r="AT4913">
            <v>400</v>
          </cell>
          <cell r="AW4913">
            <v>400</v>
          </cell>
        </row>
        <row r="4914">
          <cell r="B4914">
            <v>7982</v>
          </cell>
          <cell r="C4914" t="str">
            <v>CL_145_</v>
          </cell>
          <cell r="D4914" t="str">
            <v>Rancho La Cuchilla No. 145</v>
          </cell>
          <cell r="E4914" t="str">
            <v>Arámburu C.</v>
          </cell>
          <cell r="F4914">
            <v>300</v>
          </cell>
          <cell r="G4914">
            <v>5</v>
          </cell>
          <cell r="H4914">
            <v>20</v>
          </cell>
          <cell r="I4914">
            <v>41910</v>
          </cell>
          <cell r="J4914" t="str">
            <v>NO SUMA</v>
          </cell>
          <cell r="W4914">
            <v>0</v>
          </cell>
          <cell r="AJ4914">
            <v>0</v>
          </cell>
          <cell r="AW4914">
            <v>0</v>
          </cell>
        </row>
        <row r="4915">
          <cell r="B4915">
            <v>7982</v>
          </cell>
          <cell r="C4915" t="str">
            <v>CL_145_</v>
          </cell>
          <cell r="D4915" t="str">
            <v>Rancho La Cuchilla No. 145</v>
          </cell>
          <cell r="E4915" t="str">
            <v>Arámburu C.</v>
          </cell>
          <cell r="F4915">
            <v>300</v>
          </cell>
          <cell r="G4915">
            <v>5</v>
          </cell>
          <cell r="H4915">
            <v>20</v>
          </cell>
          <cell r="I4915">
            <v>41910</v>
          </cell>
          <cell r="J4915" t="str">
            <v>NO SUMA</v>
          </cell>
          <cell r="W4915">
            <v>0</v>
          </cell>
          <cell r="AJ4915">
            <v>0</v>
          </cell>
          <cell r="AW4915">
            <v>0</v>
          </cell>
        </row>
        <row r="4916">
          <cell r="B4916">
            <v>7982</v>
          </cell>
          <cell r="C4916" t="str">
            <v>CL_145_</v>
          </cell>
          <cell r="D4916" t="str">
            <v>Rancho La Cuchilla No. 145</v>
          </cell>
          <cell r="E4916" t="str">
            <v>Arámburu C.</v>
          </cell>
          <cell r="F4916">
            <v>300</v>
          </cell>
          <cell r="G4916">
            <v>5</v>
          </cell>
          <cell r="H4916">
            <v>20</v>
          </cell>
          <cell r="I4916">
            <v>41910</v>
          </cell>
          <cell r="J4916" t="str">
            <v>NO SUMA</v>
          </cell>
          <cell r="W4916">
            <v>0</v>
          </cell>
          <cell r="AJ4916">
            <v>0</v>
          </cell>
          <cell r="AW4916">
            <v>0</v>
          </cell>
        </row>
        <row r="4917">
          <cell r="B4917">
            <v>7983</v>
          </cell>
          <cell r="C4917" t="str">
            <v>EZ_65_</v>
          </cell>
          <cell r="D4917" t="str">
            <v>Rancho Estanzuela No. 65</v>
          </cell>
          <cell r="E4917" t="str">
            <v>López Becerril</v>
          </cell>
          <cell r="F4917">
            <v>300</v>
          </cell>
          <cell r="G4917">
            <v>5</v>
          </cell>
          <cell r="H4917">
            <v>20</v>
          </cell>
          <cell r="I4917">
            <v>41910</v>
          </cell>
          <cell r="J4917" t="str">
            <v>NO SUMA</v>
          </cell>
          <cell r="W4917">
            <v>0</v>
          </cell>
          <cell r="AJ4917">
            <v>0</v>
          </cell>
          <cell r="AW4917">
            <v>0</v>
          </cell>
        </row>
        <row r="4918">
          <cell r="B4918">
            <v>7984</v>
          </cell>
          <cell r="C4918" t="str">
            <v>LD_90_</v>
          </cell>
          <cell r="D4918" t="str">
            <v>Rancho Landero No. 90</v>
          </cell>
          <cell r="E4918" t="str">
            <v>Córdova Reséndiz</v>
          </cell>
          <cell r="F4918">
            <v>300</v>
          </cell>
          <cell r="G4918">
            <v>5</v>
          </cell>
          <cell r="H4918">
            <v>20</v>
          </cell>
          <cell r="I4918">
            <v>41910</v>
          </cell>
          <cell r="J4918" t="str">
            <v>NO SUMA</v>
          </cell>
          <cell r="W4918">
            <v>0</v>
          </cell>
          <cell r="AJ4918">
            <v>0</v>
          </cell>
          <cell r="AW4918">
            <v>0</v>
          </cell>
        </row>
        <row r="4919">
          <cell r="B4919">
            <v>7984</v>
          </cell>
          <cell r="C4919" t="str">
            <v>LD_90_</v>
          </cell>
          <cell r="D4919" t="str">
            <v>Rancho Landero No. 90</v>
          </cell>
          <cell r="E4919" t="str">
            <v>Córdova Reséndiz</v>
          </cell>
          <cell r="F4919">
            <v>300</v>
          </cell>
          <cell r="G4919">
            <v>5</v>
          </cell>
          <cell r="H4919">
            <v>20</v>
          </cell>
          <cell r="I4919">
            <v>41910</v>
          </cell>
          <cell r="J4919" t="str">
            <v>NO SUMA</v>
          </cell>
          <cell r="W4919">
            <v>0</v>
          </cell>
          <cell r="AJ4919">
            <v>0</v>
          </cell>
          <cell r="AW4919">
            <v>0</v>
          </cell>
        </row>
        <row r="4920">
          <cell r="B4920">
            <v>7985</v>
          </cell>
          <cell r="C4920" t="str">
            <v>EZ_61_</v>
          </cell>
          <cell r="D4920" t="str">
            <v>Rancho Estanzuela No. 61</v>
          </cell>
          <cell r="E4920" t="str">
            <v>González Almazán</v>
          </cell>
          <cell r="F4920">
            <v>300</v>
          </cell>
          <cell r="G4920">
            <v>5</v>
          </cell>
          <cell r="H4920">
            <v>20</v>
          </cell>
          <cell r="I4920">
            <v>41910</v>
          </cell>
          <cell r="J4920" t="str">
            <v>NO SUMA</v>
          </cell>
          <cell r="W4920">
            <v>0</v>
          </cell>
          <cell r="AJ4920">
            <v>0</v>
          </cell>
          <cell r="AW4920">
            <v>0</v>
          </cell>
        </row>
        <row r="4921">
          <cell r="B4921">
            <v>7985</v>
          </cell>
          <cell r="C4921" t="str">
            <v>EZ_61_</v>
          </cell>
          <cell r="D4921" t="str">
            <v>Rancho Estanzuela No. 61</v>
          </cell>
          <cell r="E4921" t="str">
            <v>González Almazán</v>
          </cell>
          <cell r="F4921">
            <v>300</v>
          </cell>
          <cell r="G4921">
            <v>5</v>
          </cell>
          <cell r="H4921">
            <v>20</v>
          </cell>
          <cell r="I4921">
            <v>41910</v>
          </cell>
          <cell r="J4921" t="str">
            <v>NO SUMA</v>
          </cell>
          <cell r="W4921">
            <v>0</v>
          </cell>
          <cell r="AJ4921">
            <v>0</v>
          </cell>
          <cell r="AW4921">
            <v>0</v>
          </cell>
        </row>
        <row r="4922">
          <cell r="B4922">
            <v>7985</v>
          </cell>
          <cell r="C4922" t="str">
            <v>EZ_61_</v>
          </cell>
          <cell r="D4922" t="str">
            <v>Rancho Estanzuela No. 61</v>
          </cell>
          <cell r="E4922" t="str">
            <v>González Almazán</v>
          </cell>
          <cell r="F4922">
            <v>300</v>
          </cell>
          <cell r="G4922">
            <v>5</v>
          </cell>
          <cell r="H4922">
            <v>20</v>
          </cell>
          <cell r="I4922">
            <v>41910</v>
          </cell>
          <cell r="J4922" t="str">
            <v>NO SUMA</v>
          </cell>
          <cell r="W4922">
            <v>0</v>
          </cell>
          <cell r="AJ4922">
            <v>0</v>
          </cell>
          <cell r="AW4922">
            <v>0</v>
          </cell>
        </row>
        <row r="4923">
          <cell r="B4923">
            <v>7986</v>
          </cell>
          <cell r="C4923" t="str">
            <v>UP_134_</v>
          </cell>
          <cell r="D4923" t="str">
            <v>Rancho Upácuaro No. 134</v>
          </cell>
          <cell r="E4923" t="str">
            <v>Flores Pérez</v>
          </cell>
          <cell r="F4923">
            <v>300</v>
          </cell>
          <cell r="G4923">
            <v>4</v>
          </cell>
          <cell r="H4923">
            <v>160</v>
          </cell>
          <cell r="I4923">
            <v>41910</v>
          </cell>
          <cell r="J4923" t="str">
            <v>NO SUMA</v>
          </cell>
          <cell r="W4923">
            <v>0</v>
          </cell>
          <cell r="AJ4923">
            <v>0</v>
          </cell>
          <cell r="AW4923">
            <v>0</v>
          </cell>
        </row>
        <row r="4924">
          <cell r="B4924">
            <v>7987</v>
          </cell>
          <cell r="C4924" t="str">
            <v>UP_124_</v>
          </cell>
          <cell r="D4924" t="str">
            <v>Rancho Upácuaro No. 124</v>
          </cell>
          <cell r="E4924" t="str">
            <v>Reyes Nicandro</v>
          </cell>
          <cell r="F4924">
            <v>300</v>
          </cell>
          <cell r="G4924">
            <v>5</v>
          </cell>
          <cell r="H4924">
            <v>20</v>
          </cell>
          <cell r="I4924">
            <v>41910</v>
          </cell>
          <cell r="J4924" t="str">
            <v>NO SUMA</v>
          </cell>
          <cell r="W4924">
            <v>0</v>
          </cell>
          <cell r="AJ4924">
            <v>0</v>
          </cell>
          <cell r="AW4924">
            <v>0</v>
          </cell>
        </row>
        <row r="4925">
          <cell r="B4925">
            <v>7988</v>
          </cell>
          <cell r="C4925" t="str">
            <v>UP_90_</v>
          </cell>
          <cell r="D4925" t="str">
            <v>Rancho Upácuaro No. 90</v>
          </cell>
          <cell r="E4925" t="str">
            <v>Moreno Calderón</v>
          </cell>
          <cell r="F4925">
            <v>150</v>
          </cell>
          <cell r="G4925">
            <v>1</v>
          </cell>
          <cell r="H4925">
            <v>200</v>
          </cell>
          <cell r="I4925">
            <v>41910</v>
          </cell>
          <cell r="J4925">
            <v>0</v>
          </cell>
          <cell r="W4925">
            <v>0</v>
          </cell>
          <cell r="AJ4925">
            <v>0</v>
          </cell>
          <cell r="AS4925">
            <v>200</v>
          </cell>
          <cell r="AW4925">
            <v>200</v>
          </cell>
        </row>
        <row r="4926">
          <cell r="B4926">
            <v>7988</v>
          </cell>
          <cell r="C4926" t="str">
            <v>UP_90_</v>
          </cell>
          <cell r="D4926" t="str">
            <v>Rancho Upácuaro No. 90</v>
          </cell>
          <cell r="E4926" t="str">
            <v>Moreno Calderón</v>
          </cell>
          <cell r="F4926">
            <v>150</v>
          </cell>
          <cell r="G4926">
            <v>5</v>
          </cell>
          <cell r="H4926">
            <v>20</v>
          </cell>
          <cell r="I4926">
            <v>41910</v>
          </cell>
          <cell r="J4926" t="str">
            <v>NO SUMA</v>
          </cell>
          <cell r="W4926">
            <v>0</v>
          </cell>
          <cell r="AJ4926">
            <v>0</v>
          </cell>
          <cell r="AW4926">
            <v>0</v>
          </cell>
        </row>
        <row r="4927">
          <cell r="B4927">
            <v>7989</v>
          </cell>
          <cell r="C4927" t="str">
            <v>CL_139_</v>
          </cell>
          <cell r="D4927" t="str">
            <v>Rancho La Cuchilla No. 139</v>
          </cell>
          <cell r="E4927" t="str">
            <v>Garcia</v>
          </cell>
          <cell r="F4927">
            <v>200</v>
          </cell>
          <cell r="G4927">
            <v>5</v>
          </cell>
          <cell r="H4927">
            <v>20</v>
          </cell>
          <cell r="I4927">
            <v>41910</v>
          </cell>
          <cell r="J4927" t="str">
            <v>NO SUMA</v>
          </cell>
          <cell r="W4927">
            <v>0</v>
          </cell>
          <cell r="AJ4927">
            <v>0</v>
          </cell>
          <cell r="AW4927">
            <v>0</v>
          </cell>
        </row>
        <row r="4928">
          <cell r="B4928">
            <v>7989</v>
          </cell>
          <cell r="C4928" t="str">
            <v>CL_139_</v>
          </cell>
          <cell r="D4928" t="str">
            <v>Rancho La Cuchilla No. 139</v>
          </cell>
          <cell r="E4928" t="str">
            <v>Garcia</v>
          </cell>
          <cell r="F4928">
            <v>200</v>
          </cell>
          <cell r="G4928">
            <v>5</v>
          </cell>
          <cell r="H4928">
            <v>50</v>
          </cell>
          <cell r="I4928">
            <v>41910</v>
          </cell>
          <cell r="J4928" t="str">
            <v>NO SUMA</v>
          </cell>
          <cell r="W4928">
            <v>0</v>
          </cell>
          <cell r="AJ4928">
            <v>0</v>
          </cell>
          <cell r="AW4928">
            <v>0</v>
          </cell>
        </row>
        <row r="4929">
          <cell r="B4929">
            <v>7990</v>
          </cell>
          <cell r="C4929" t="str">
            <v>UP_134_</v>
          </cell>
          <cell r="D4929" t="str">
            <v>Rancho Upácuaro No. 134</v>
          </cell>
          <cell r="E4929" t="str">
            <v>Flores Pérez</v>
          </cell>
          <cell r="F4929">
            <v>300</v>
          </cell>
          <cell r="G4929">
            <v>5</v>
          </cell>
          <cell r="H4929">
            <v>20</v>
          </cell>
          <cell r="I4929">
            <v>41910</v>
          </cell>
          <cell r="J4929" t="str">
            <v>NO SUMA</v>
          </cell>
          <cell r="W4929">
            <v>0</v>
          </cell>
          <cell r="AJ4929">
            <v>0</v>
          </cell>
          <cell r="AW4929">
            <v>0</v>
          </cell>
        </row>
        <row r="4930">
          <cell r="B4930">
            <v>7990</v>
          </cell>
          <cell r="C4930" t="str">
            <v>UP_134_</v>
          </cell>
          <cell r="D4930" t="str">
            <v>Rancho Upácuaro No. 134</v>
          </cell>
          <cell r="E4930" t="str">
            <v>Flores Pérez</v>
          </cell>
          <cell r="F4930">
            <v>300</v>
          </cell>
          <cell r="G4930">
            <v>5</v>
          </cell>
          <cell r="H4930">
            <v>20</v>
          </cell>
          <cell r="I4930">
            <v>41911</v>
          </cell>
          <cell r="J4930" t="str">
            <v>NO SUMA</v>
          </cell>
          <cell r="W4930">
            <v>0</v>
          </cell>
          <cell r="AJ4930">
            <v>0</v>
          </cell>
          <cell r="AW4930">
            <v>0</v>
          </cell>
        </row>
        <row r="4931">
          <cell r="B4931">
            <v>7990</v>
          </cell>
          <cell r="C4931" t="str">
            <v>UP_134_</v>
          </cell>
          <cell r="D4931" t="str">
            <v>Rancho Upácuaro No. 134</v>
          </cell>
          <cell r="E4931" t="str">
            <v>Flores Pérez</v>
          </cell>
          <cell r="F4931">
            <v>300</v>
          </cell>
          <cell r="G4931">
            <v>5</v>
          </cell>
          <cell r="H4931">
            <v>20</v>
          </cell>
          <cell r="I4931">
            <v>41910</v>
          </cell>
          <cell r="J4931" t="str">
            <v>NO SUMA</v>
          </cell>
          <cell r="W4931">
            <v>0</v>
          </cell>
          <cell r="AJ4931">
            <v>0</v>
          </cell>
          <cell r="AW4931">
            <v>0</v>
          </cell>
        </row>
        <row r="4932">
          <cell r="B4932">
            <v>7991</v>
          </cell>
          <cell r="C4932" t="str">
            <v>CL_43_A</v>
          </cell>
          <cell r="D4932" t="str">
            <v>Rancho La Cuchilla No. 43, A</v>
          </cell>
          <cell r="E4932" t="str">
            <v>De la Rosa</v>
          </cell>
          <cell r="F4932">
            <v>200</v>
          </cell>
          <cell r="G4932">
            <v>1</v>
          </cell>
          <cell r="H4932">
            <v>800</v>
          </cell>
          <cell r="I4932">
            <v>41910</v>
          </cell>
          <cell r="J4932">
            <v>0</v>
          </cell>
          <cell r="W4932">
            <v>0</v>
          </cell>
          <cell r="AJ4932">
            <v>0</v>
          </cell>
          <cell r="AR4932">
            <v>400</v>
          </cell>
          <cell r="AS4932">
            <v>400</v>
          </cell>
          <cell r="AW4932">
            <v>800</v>
          </cell>
        </row>
        <row r="4933">
          <cell r="B4933">
            <v>7991</v>
          </cell>
          <cell r="C4933" t="str">
            <v>CL_43_A</v>
          </cell>
          <cell r="D4933" t="str">
            <v>Rancho La Cuchilla No. 43, A</v>
          </cell>
          <cell r="E4933" t="str">
            <v>De la Rosa</v>
          </cell>
          <cell r="F4933">
            <v>200</v>
          </cell>
          <cell r="G4933">
            <v>5</v>
          </cell>
          <cell r="H4933">
            <v>20</v>
          </cell>
          <cell r="I4933">
            <v>41910</v>
          </cell>
          <cell r="J4933" t="str">
            <v>NO SUMA</v>
          </cell>
          <cell r="W4933">
            <v>0</v>
          </cell>
          <cell r="AJ4933">
            <v>0</v>
          </cell>
          <cell r="AW4933">
            <v>0</v>
          </cell>
        </row>
        <row r="4934">
          <cell r="B4934">
            <v>7991</v>
          </cell>
          <cell r="C4934" t="str">
            <v>CL_43_A</v>
          </cell>
          <cell r="D4934" t="str">
            <v>Rancho La Cuchilla No. 43, A</v>
          </cell>
          <cell r="E4934" t="str">
            <v>De la Rosa</v>
          </cell>
          <cell r="F4934">
            <v>200</v>
          </cell>
          <cell r="G4934">
            <v>5</v>
          </cell>
          <cell r="H4934">
            <v>20</v>
          </cell>
          <cell r="I4934">
            <v>41910</v>
          </cell>
          <cell r="J4934" t="str">
            <v>NO SUMA</v>
          </cell>
          <cell r="W4934">
            <v>0</v>
          </cell>
          <cell r="AJ4934">
            <v>0</v>
          </cell>
          <cell r="AW4934">
            <v>0</v>
          </cell>
        </row>
        <row r="4935">
          <cell r="B4935">
            <v>7991</v>
          </cell>
          <cell r="C4935" t="str">
            <v>CL_43_A</v>
          </cell>
          <cell r="D4935" t="str">
            <v>Rancho La Cuchilla No. 43, A</v>
          </cell>
          <cell r="E4935" t="str">
            <v>De la Rosa</v>
          </cell>
          <cell r="F4935">
            <v>200</v>
          </cell>
          <cell r="G4935">
            <v>5</v>
          </cell>
          <cell r="H4935">
            <v>20</v>
          </cell>
          <cell r="I4935">
            <v>41910</v>
          </cell>
          <cell r="J4935" t="str">
            <v>NO SUMA</v>
          </cell>
          <cell r="W4935">
            <v>0</v>
          </cell>
          <cell r="AJ4935">
            <v>0</v>
          </cell>
          <cell r="AW4935">
            <v>0</v>
          </cell>
        </row>
        <row r="4936">
          <cell r="B4936">
            <v>7992</v>
          </cell>
          <cell r="C4936" t="str">
            <v>CL_117_</v>
          </cell>
          <cell r="D4936" t="str">
            <v>Rancho La Cuchilla No. 117</v>
          </cell>
          <cell r="E4936" t="str">
            <v>Gómez</v>
          </cell>
          <cell r="F4936">
            <v>300</v>
          </cell>
          <cell r="G4936">
            <v>1</v>
          </cell>
          <cell r="H4936">
            <v>1200</v>
          </cell>
          <cell r="I4936">
            <v>41910</v>
          </cell>
          <cell r="J4936">
            <v>0</v>
          </cell>
          <cell r="W4936">
            <v>0</v>
          </cell>
          <cell r="AJ4936">
            <v>0</v>
          </cell>
          <cell r="AQ4936">
            <v>400</v>
          </cell>
          <cell r="AR4936">
            <v>400</v>
          </cell>
          <cell r="AS4936">
            <v>400</v>
          </cell>
          <cell r="AW4936">
            <v>1200</v>
          </cell>
        </row>
        <row r="4937">
          <cell r="B4937">
            <v>7992</v>
          </cell>
          <cell r="C4937" t="str">
            <v>CL_117_</v>
          </cell>
          <cell r="D4937" t="str">
            <v>Rancho La Cuchilla No. 117</v>
          </cell>
          <cell r="E4937" t="str">
            <v>Gómez</v>
          </cell>
          <cell r="F4937">
            <v>300</v>
          </cell>
          <cell r="G4937">
            <v>5</v>
          </cell>
          <cell r="H4937">
            <v>20</v>
          </cell>
          <cell r="I4937">
            <v>41910</v>
          </cell>
          <cell r="J4937" t="str">
            <v>NO SUMA</v>
          </cell>
          <cell r="W4937">
            <v>0</v>
          </cell>
          <cell r="AJ4937">
            <v>0</v>
          </cell>
          <cell r="AW4937">
            <v>0</v>
          </cell>
        </row>
        <row r="4938">
          <cell r="B4938">
            <v>7993</v>
          </cell>
          <cell r="C4938" t="str">
            <v>CL_18_</v>
          </cell>
          <cell r="D4938" t="str">
            <v>Rancho La Cuchilla No. 18</v>
          </cell>
          <cell r="E4938" t="str">
            <v>Aldana Sánchez</v>
          </cell>
          <cell r="F4938">
            <v>300</v>
          </cell>
          <cell r="G4938">
            <v>1</v>
          </cell>
          <cell r="H4938">
            <v>400</v>
          </cell>
          <cell r="I4938">
            <v>41910</v>
          </cell>
          <cell r="J4938">
            <v>0</v>
          </cell>
          <cell r="W4938">
            <v>0</v>
          </cell>
          <cell r="AJ4938">
            <v>0</v>
          </cell>
          <cell r="AS4938">
            <v>400</v>
          </cell>
          <cell r="AW4938">
            <v>400</v>
          </cell>
        </row>
        <row r="4939">
          <cell r="B4939">
            <v>7993</v>
          </cell>
          <cell r="C4939" t="str">
            <v>CL_18_</v>
          </cell>
          <cell r="D4939" t="str">
            <v>Rancho La Cuchilla No. 18</v>
          </cell>
          <cell r="E4939" t="str">
            <v>Aldana Sánchez</v>
          </cell>
          <cell r="F4939">
            <v>300</v>
          </cell>
          <cell r="G4939">
            <v>5</v>
          </cell>
          <cell r="H4939">
            <v>20</v>
          </cell>
          <cell r="I4939">
            <v>41910</v>
          </cell>
          <cell r="J4939" t="str">
            <v>NO SUMA</v>
          </cell>
          <cell r="W4939">
            <v>0</v>
          </cell>
          <cell r="AJ4939">
            <v>0</v>
          </cell>
          <cell r="AW4939">
            <v>0</v>
          </cell>
        </row>
        <row r="4940">
          <cell r="B4940">
            <v>7993</v>
          </cell>
          <cell r="C4940" t="str">
            <v>CL_18_</v>
          </cell>
          <cell r="D4940" t="str">
            <v>Rancho La Cuchilla No. 18</v>
          </cell>
          <cell r="E4940" t="str">
            <v>Aldana Sánchez</v>
          </cell>
          <cell r="F4940">
            <v>300</v>
          </cell>
          <cell r="G4940">
            <v>5</v>
          </cell>
          <cell r="H4940">
            <v>20</v>
          </cell>
          <cell r="I4940">
            <v>41910</v>
          </cell>
          <cell r="J4940" t="str">
            <v>NO SUMA</v>
          </cell>
          <cell r="W4940">
            <v>0</v>
          </cell>
          <cell r="AJ4940">
            <v>0</v>
          </cell>
          <cell r="AW4940">
            <v>0</v>
          </cell>
        </row>
        <row r="4941">
          <cell r="B4941">
            <v>7994</v>
          </cell>
          <cell r="C4941" t="str">
            <v>CL_117_</v>
          </cell>
          <cell r="D4941" t="str">
            <v>Rancho La Cuchilla No. 117</v>
          </cell>
          <cell r="E4941" t="str">
            <v>Gómez</v>
          </cell>
          <cell r="F4941">
            <v>300</v>
          </cell>
          <cell r="G4941">
            <v>5</v>
          </cell>
          <cell r="H4941">
            <v>20</v>
          </cell>
          <cell r="I4941">
            <v>41910</v>
          </cell>
          <cell r="J4941" t="str">
            <v>NO SUMA</v>
          </cell>
          <cell r="W4941">
            <v>0</v>
          </cell>
          <cell r="AJ4941">
            <v>0</v>
          </cell>
          <cell r="AW4941">
            <v>0</v>
          </cell>
        </row>
        <row r="4942">
          <cell r="B4942">
            <v>7995</v>
          </cell>
          <cell r="C4942" t="str">
            <v>UP_31_</v>
          </cell>
          <cell r="D4942" t="str">
            <v>Rancho Upácuaro No. 31</v>
          </cell>
          <cell r="E4942" t="str">
            <v>Gallardo Ávila</v>
          </cell>
          <cell r="F4942">
            <v>300</v>
          </cell>
          <cell r="G4942">
            <v>1</v>
          </cell>
          <cell r="H4942">
            <v>600</v>
          </cell>
          <cell r="I4942">
            <v>41910</v>
          </cell>
          <cell r="J4942">
            <v>0</v>
          </cell>
          <cell r="W4942">
            <v>0</v>
          </cell>
          <cell r="AJ4942">
            <v>0</v>
          </cell>
          <cell r="AK4942">
            <v>300</v>
          </cell>
          <cell r="AL4942">
            <v>300</v>
          </cell>
          <cell r="AW4942">
            <v>600</v>
          </cell>
        </row>
        <row r="4943">
          <cell r="B4943">
            <v>7995</v>
          </cell>
          <cell r="C4943" t="str">
            <v>UP_31_</v>
          </cell>
          <cell r="D4943" t="str">
            <v>Rancho Upácuaro No. 31</v>
          </cell>
          <cell r="E4943" t="str">
            <v>Gallardo Ávila</v>
          </cell>
          <cell r="F4943">
            <v>300</v>
          </cell>
          <cell r="G4943">
            <v>5</v>
          </cell>
          <cell r="H4943">
            <v>20</v>
          </cell>
          <cell r="I4943">
            <v>41910</v>
          </cell>
          <cell r="J4943" t="str">
            <v>NO SUMA</v>
          </cell>
          <cell r="W4943">
            <v>0</v>
          </cell>
          <cell r="AJ4943">
            <v>0</v>
          </cell>
          <cell r="AW4943">
            <v>0</v>
          </cell>
        </row>
        <row r="4944">
          <cell r="B4944">
            <v>7995</v>
          </cell>
          <cell r="C4944" t="str">
            <v>UP_31_</v>
          </cell>
          <cell r="D4944" t="str">
            <v>Rancho Upácuaro No. 31</v>
          </cell>
          <cell r="E4944" t="str">
            <v>Gallardo Ávila</v>
          </cell>
          <cell r="F4944">
            <v>300</v>
          </cell>
          <cell r="G4944">
            <v>5</v>
          </cell>
          <cell r="H4944">
            <v>20</v>
          </cell>
          <cell r="I4944">
            <v>41910</v>
          </cell>
          <cell r="J4944" t="str">
            <v>NO SUMA</v>
          </cell>
          <cell r="W4944">
            <v>0</v>
          </cell>
          <cell r="AJ4944">
            <v>0</v>
          </cell>
          <cell r="AW4944">
            <v>0</v>
          </cell>
        </row>
        <row r="4945">
          <cell r="B4945">
            <v>7995</v>
          </cell>
          <cell r="C4945" t="str">
            <v>UP_31_</v>
          </cell>
          <cell r="D4945" t="str">
            <v>Rancho Upácuaro No. 31</v>
          </cell>
          <cell r="E4945" t="str">
            <v>Gallardo Ávila</v>
          </cell>
          <cell r="F4945">
            <v>300</v>
          </cell>
          <cell r="G4945">
            <v>5</v>
          </cell>
          <cell r="H4945">
            <v>20</v>
          </cell>
          <cell r="I4945">
            <v>41910</v>
          </cell>
          <cell r="J4945" t="str">
            <v>NO SUMA</v>
          </cell>
          <cell r="W4945">
            <v>0</v>
          </cell>
          <cell r="AJ4945">
            <v>0</v>
          </cell>
          <cell r="AW4945">
            <v>0</v>
          </cell>
        </row>
        <row r="4946">
          <cell r="B4946">
            <v>7995</v>
          </cell>
          <cell r="C4946" t="str">
            <v>UP_31_</v>
          </cell>
          <cell r="D4946" t="str">
            <v>Rancho Upácuaro No. 31</v>
          </cell>
          <cell r="E4946" t="str">
            <v>Gallardo Ávila</v>
          </cell>
          <cell r="F4946">
            <v>300</v>
          </cell>
          <cell r="G4946">
            <v>5</v>
          </cell>
          <cell r="H4946">
            <v>50</v>
          </cell>
          <cell r="I4946">
            <v>41910</v>
          </cell>
          <cell r="J4946" t="str">
            <v>NO SUMA</v>
          </cell>
          <cell r="W4946">
            <v>0</v>
          </cell>
          <cell r="AJ4946">
            <v>0</v>
          </cell>
          <cell r="AW4946">
            <v>0</v>
          </cell>
        </row>
        <row r="4947">
          <cell r="B4947">
            <v>7996</v>
          </cell>
          <cell r="C4947" t="str">
            <v>ZB_34_</v>
          </cell>
          <cell r="D4947" t="str">
            <v>Rancho Zinamba No. 34</v>
          </cell>
          <cell r="E4947" t="str">
            <v>Torres Zavala</v>
          </cell>
          <cell r="F4947">
            <v>300</v>
          </cell>
          <cell r="G4947">
            <v>1</v>
          </cell>
          <cell r="H4947">
            <v>400</v>
          </cell>
          <cell r="I4947">
            <v>41910</v>
          </cell>
          <cell r="J4947">
            <v>0</v>
          </cell>
          <cell r="W4947">
            <v>0</v>
          </cell>
          <cell r="AJ4947">
            <v>0</v>
          </cell>
          <cell r="AS4947">
            <v>400</v>
          </cell>
          <cell r="AW4947">
            <v>400</v>
          </cell>
        </row>
        <row r="4948">
          <cell r="B4948">
            <v>7997</v>
          </cell>
          <cell r="C4948" t="str">
            <v>EP_22_A</v>
          </cell>
          <cell r="D4948" t="str">
            <v>Rancho Estopila No. 22, A</v>
          </cell>
          <cell r="E4948" t="str">
            <v>Ayala Carranza</v>
          </cell>
          <cell r="F4948">
            <v>150</v>
          </cell>
          <cell r="G4948">
            <v>5</v>
          </cell>
          <cell r="H4948">
            <v>20</v>
          </cell>
          <cell r="I4948">
            <v>41910</v>
          </cell>
          <cell r="J4948" t="str">
            <v>NO SUMA</v>
          </cell>
          <cell r="W4948">
            <v>0</v>
          </cell>
          <cell r="AJ4948">
            <v>0</v>
          </cell>
          <cell r="AW4948">
            <v>0</v>
          </cell>
        </row>
        <row r="4949">
          <cell r="B4949">
            <v>7998</v>
          </cell>
          <cell r="C4949" t="str">
            <v>LD_65_</v>
          </cell>
          <cell r="D4949" t="str">
            <v>Rancho Landero No. 65</v>
          </cell>
          <cell r="E4949" t="str">
            <v>Alpizar</v>
          </cell>
          <cell r="F4949">
            <v>300</v>
          </cell>
          <cell r="G4949">
            <v>1</v>
          </cell>
          <cell r="H4949">
            <v>1600</v>
          </cell>
          <cell r="I4949">
            <v>41910</v>
          </cell>
          <cell r="J4949">
            <v>0</v>
          </cell>
          <cell r="W4949">
            <v>0</v>
          </cell>
          <cell r="AJ4949">
            <v>0</v>
          </cell>
          <cell r="AQ4949">
            <v>400</v>
          </cell>
          <cell r="AR4949">
            <v>400</v>
          </cell>
          <cell r="AS4949">
            <v>400</v>
          </cell>
          <cell r="AT4949">
            <v>400</v>
          </cell>
          <cell r="AW4949">
            <v>1600</v>
          </cell>
        </row>
        <row r="4950">
          <cell r="B4950">
            <v>7998</v>
          </cell>
          <cell r="C4950" t="str">
            <v>LD_65_</v>
          </cell>
          <cell r="D4950" t="str">
            <v>Rancho Landero No. 65</v>
          </cell>
          <cell r="E4950" t="str">
            <v>Alpizar</v>
          </cell>
          <cell r="F4950">
            <v>300</v>
          </cell>
          <cell r="G4950">
            <v>5</v>
          </cell>
          <cell r="H4950">
            <v>20</v>
          </cell>
          <cell r="I4950">
            <v>41910</v>
          </cell>
          <cell r="J4950" t="str">
            <v>NO SUMA</v>
          </cell>
          <cell r="W4950">
            <v>0</v>
          </cell>
          <cell r="AJ4950">
            <v>0</v>
          </cell>
          <cell r="AW4950">
            <v>0</v>
          </cell>
        </row>
        <row r="4951">
          <cell r="B4951">
            <v>7998</v>
          </cell>
          <cell r="C4951" t="str">
            <v>LD_65_</v>
          </cell>
          <cell r="D4951" t="str">
            <v>Rancho Landero No. 65</v>
          </cell>
          <cell r="E4951" t="str">
            <v>Alpizar</v>
          </cell>
          <cell r="F4951">
            <v>300</v>
          </cell>
          <cell r="G4951">
            <v>5</v>
          </cell>
          <cell r="H4951">
            <v>20</v>
          </cell>
          <cell r="I4951">
            <v>41910</v>
          </cell>
          <cell r="J4951" t="str">
            <v>NO SUMA</v>
          </cell>
          <cell r="W4951">
            <v>0</v>
          </cell>
          <cell r="AJ4951">
            <v>0</v>
          </cell>
          <cell r="AW4951">
            <v>0</v>
          </cell>
        </row>
        <row r="4952">
          <cell r="B4952">
            <v>7998</v>
          </cell>
          <cell r="C4952" t="str">
            <v>LD_65_</v>
          </cell>
          <cell r="D4952" t="str">
            <v>Rancho Landero No. 65</v>
          </cell>
          <cell r="E4952" t="str">
            <v>Alpizar</v>
          </cell>
          <cell r="F4952">
            <v>300</v>
          </cell>
          <cell r="G4952">
            <v>5</v>
          </cell>
          <cell r="H4952">
            <v>20</v>
          </cell>
          <cell r="I4952">
            <v>41910</v>
          </cell>
          <cell r="J4952" t="str">
            <v>NO SUMA</v>
          </cell>
          <cell r="W4952">
            <v>0</v>
          </cell>
          <cell r="AJ4952">
            <v>0</v>
          </cell>
          <cell r="AW4952">
            <v>0</v>
          </cell>
        </row>
        <row r="4953">
          <cell r="B4953">
            <v>7998</v>
          </cell>
          <cell r="C4953" t="str">
            <v>LD_65_</v>
          </cell>
          <cell r="D4953" t="str">
            <v>Rancho Landero No. 65</v>
          </cell>
          <cell r="E4953" t="str">
            <v>Alpizar</v>
          </cell>
          <cell r="F4953">
            <v>300</v>
          </cell>
          <cell r="G4953">
            <v>5</v>
          </cell>
          <cell r="H4953">
            <v>50</v>
          </cell>
          <cell r="I4953">
            <v>41910</v>
          </cell>
          <cell r="J4953" t="str">
            <v>NO SUMA</v>
          </cell>
          <cell r="W4953">
            <v>0</v>
          </cell>
          <cell r="AJ4953">
            <v>0</v>
          </cell>
          <cell r="AW4953">
            <v>0</v>
          </cell>
        </row>
        <row r="4954">
          <cell r="B4954">
            <v>7999</v>
          </cell>
          <cell r="C4954" t="str">
            <v>CL_45_</v>
          </cell>
          <cell r="D4954" t="str">
            <v>Rancho La Cuchilla No. 45</v>
          </cell>
          <cell r="E4954" t="str">
            <v>Estévez Hernández</v>
          </cell>
          <cell r="F4954">
            <v>300</v>
          </cell>
          <cell r="G4954">
            <v>1</v>
          </cell>
          <cell r="H4954">
            <v>400</v>
          </cell>
          <cell r="I4954">
            <v>41910</v>
          </cell>
          <cell r="J4954">
            <v>0</v>
          </cell>
          <cell r="W4954">
            <v>0</v>
          </cell>
          <cell r="AJ4954">
            <v>0</v>
          </cell>
          <cell r="AS4954">
            <v>400</v>
          </cell>
          <cell r="AW4954">
            <v>400</v>
          </cell>
        </row>
        <row r="4955">
          <cell r="B4955">
            <v>8000</v>
          </cell>
          <cell r="C4955" t="str">
            <v>ZB_50_</v>
          </cell>
          <cell r="D4955" t="str">
            <v>Rancho Zinamba No. 50</v>
          </cell>
          <cell r="E4955" t="str">
            <v>Del Castillo</v>
          </cell>
          <cell r="F4955">
            <v>300</v>
          </cell>
          <cell r="G4955">
            <v>1</v>
          </cell>
          <cell r="H4955">
            <v>400</v>
          </cell>
          <cell r="I4955">
            <v>41910</v>
          </cell>
          <cell r="J4955">
            <v>0</v>
          </cell>
          <cell r="W4955">
            <v>0</v>
          </cell>
          <cell r="AJ4955">
            <v>0</v>
          </cell>
          <cell r="AR4955">
            <v>400</v>
          </cell>
          <cell r="AW4955">
            <v>400</v>
          </cell>
        </row>
        <row r="4956">
          <cell r="B4956">
            <v>8000</v>
          </cell>
          <cell r="C4956" t="str">
            <v>ZB_50_</v>
          </cell>
          <cell r="D4956" t="str">
            <v>Rancho Zinamba No. 50</v>
          </cell>
          <cell r="E4956" t="str">
            <v>Del Castillo</v>
          </cell>
          <cell r="F4956">
            <v>300</v>
          </cell>
          <cell r="G4956">
            <v>5</v>
          </cell>
          <cell r="H4956">
            <v>20</v>
          </cell>
          <cell r="I4956">
            <v>41910</v>
          </cell>
          <cell r="J4956" t="str">
            <v>NO SUMA</v>
          </cell>
          <cell r="W4956">
            <v>0</v>
          </cell>
          <cell r="AJ4956">
            <v>0</v>
          </cell>
          <cell r="AW4956">
            <v>0</v>
          </cell>
        </row>
        <row r="4957">
          <cell r="B4957">
            <v>8000</v>
          </cell>
          <cell r="C4957" t="str">
            <v>ZB_50_</v>
          </cell>
          <cell r="D4957" t="str">
            <v>Rancho Zinamba No. 50</v>
          </cell>
          <cell r="E4957" t="str">
            <v>Del Castillo</v>
          </cell>
          <cell r="F4957">
            <v>300</v>
          </cell>
          <cell r="G4957">
            <v>5</v>
          </cell>
          <cell r="H4957">
            <v>20</v>
          </cell>
          <cell r="I4957">
            <v>41910</v>
          </cell>
          <cell r="J4957" t="str">
            <v>NO SUMA</v>
          </cell>
          <cell r="W4957">
            <v>0</v>
          </cell>
          <cell r="AJ4957">
            <v>0</v>
          </cell>
          <cell r="AW4957">
            <v>0</v>
          </cell>
        </row>
        <row r="4958">
          <cell r="B4958">
            <v>8001</v>
          </cell>
          <cell r="C4958" t="str">
            <v>LD_101_</v>
          </cell>
          <cell r="D4958" t="str">
            <v>Rancho Landero No. 101</v>
          </cell>
          <cell r="E4958" t="str">
            <v>Ramírez</v>
          </cell>
          <cell r="F4958">
            <v>300</v>
          </cell>
          <cell r="G4958">
            <v>1</v>
          </cell>
          <cell r="H4958">
            <v>800</v>
          </cell>
          <cell r="I4958">
            <v>41910</v>
          </cell>
          <cell r="J4958">
            <v>0</v>
          </cell>
          <cell r="W4958">
            <v>0</v>
          </cell>
          <cell r="AJ4958">
            <v>0</v>
          </cell>
          <cell r="AS4958">
            <v>400</v>
          </cell>
          <cell r="AT4958">
            <v>400</v>
          </cell>
          <cell r="AW4958">
            <v>800</v>
          </cell>
        </row>
        <row r="4959">
          <cell r="B4959">
            <v>8001</v>
          </cell>
          <cell r="C4959" t="str">
            <v>LD_101_</v>
          </cell>
          <cell r="D4959" t="str">
            <v>Rancho Landero No. 101</v>
          </cell>
          <cell r="E4959" t="str">
            <v>Ramírez</v>
          </cell>
          <cell r="F4959">
            <v>300</v>
          </cell>
          <cell r="G4959">
            <v>5</v>
          </cell>
          <cell r="H4959">
            <v>20</v>
          </cell>
          <cell r="I4959">
            <v>41910</v>
          </cell>
          <cell r="J4959" t="str">
            <v>NO SUMA</v>
          </cell>
          <cell r="W4959">
            <v>0</v>
          </cell>
          <cell r="AJ4959">
            <v>0</v>
          </cell>
          <cell r="AW4959">
            <v>0</v>
          </cell>
        </row>
        <row r="4960">
          <cell r="B4960">
            <v>8001</v>
          </cell>
          <cell r="C4960" t="str">
            <v>LD_101_</v>
          </cell>
          <cell r="D4960" t="str">
            <v>Rancho Landero No. 101</v>
          </cell>
          <cell r="E4960" t="str">
            <v>Ramírez</v>
          </cell>
          <cell r="F4960">
            <v>300</v>
          </cell>
          <cell r="G4960">
            <v>5</v>
          </cell>
          <cell r="H4960">
            <v>20</v>
          </cell>
          <cell r="I4960">
            <v>41910</v>
          </cell>
          <cell r="J4960" t="str">
            <v>NO SUMA</v>
          </cell>
          <cell r="W4960">
            <v>0</v>
          </cell>
          <cell r="AJ4960">
            <v>0</v>
          </cell>
          <cell r="AW4960">
            <v>0</v>
          </cell>
        </row>
        <row r="4961">
          <cell r="B4961">
            <v>8001</v>
          </cell>
          <cell r="C4961" t="str">
            <v>LD_101_</v>
          </cell>
          <cell r="D4961" t="str">
            <v>Rancho Landero No. 101</v>
          </cell>
          <cell r="E4961" t="str">
            <v>Ramírez</v>
          </cell>
          <cell r="F4961">
            <v>300</v>
          </cell>
          <cell r="G4961">
            <v>5</v>
          </cell>
          <cell r="H4961">
            <v>20</v>
          </cell>
          <cell r="I4961">
            <v>41910</v>
          </cell>
          <cell r="J4961" t="str">
            <v>NO SUMA</v>
          </cell>
          <cell r="W4961">
            <v>0</v>
          </cell>
          <cell r="AJ4961">
            <v>0</v>
          </cell>
          <cell r="AW4961">
            <v>0</v>
          </cell>
        </row>
        <row r="4962">
          <cell r="B4962">
            <v>8002</v>
          </cell>
          <cell r="C4962" t="str">
            <v>LD_35_</v>
          </cell>
          <cell r="D4962" t="str">
            <v>Rancho Landero No. 35</v>
          </cell>
          <cell r="E4962" t="str">
            <v>Loperena</v>
          </cell>
          <cell r="F4962">
            <v>300</v>
          </cell>
          <cell r="G4962">
            <v>1</v>
          </cell>
          <cell r="H4962">
            <v>400</v>
          </cell>
          <cell r="I4962">
            <v>41910</v>
          </cell>
          <cell r="J4962">
            <v>0</v>
          </cell>
          <cell r="W4962">
            <v>0</v>
          </cell>
          <cell r="AJ4962">
            <v>0</v>
          </cell>
          <cell r="AR4962">
            <v>400</v>
          </cell>
          <cell r="AW4962">
            <v>400</v>
          </cell>
        </row>
        <row r="4963">
          <cell r="B4963">
            <v>8002</v>
          </cell>
          <cell r="C4963" t="str">
            <v>LD_35_</v>
          </cell>
          <cell r="D4963" t="str">
            <v>Rancho Landero No. 35</v>
          </cell>
          <cell r="E4963" t="str">
            <v>Loperena</v>
          </cell>
          <cell r="F4963">
            <v>300</v>
          </cell>
          <cell r="G4963">
            <v>5</v>
          </cell>
          <cell r="H4963">
            <v>20</v>
          </cell>
          <cell r="I4963">
            <v>41910</v>
          </cell>
          <cell r="J4963" t="str">
            <v>NO SUMA</v>
          </cell>
          <cell r="W4963">
            <v>0</v>
          </cell>
          <cell r="AJ4963">
            <v>0</v>
          </cell>
          <cell r="AW4963">
            <v>0</v>
          </cell>
        </row>
        <row r="4964">
          <cell r="B4964">
            <v>8002</v>
          </cell>
          <cell r="C4964" t="str">
            <v>LD_35_</v>
          </cell>
          <cell r="D4964" t="str">
            <v>Rancho Landero No. 35</v>
          </cell>
          <cell r="E4964" t="str">
            <v>Loperena</v>
          </cell>
          <cell r="F4964">
            <v>300</v>
          </cell>
          <cell r="G4964">
            <v>5</v>
          </cell>
          <cell r="H4964">
            <v>20</v>
          </cell>
          <cell r="I4964">
            <v>41910</v>
          </cell>
          <cell r="J4964" t="str">
            <v>NO SUMA</v>
          </cell>
          <cell r="W4964">
            <v>0</v>
          </cell>
          <cell r="AJ4964">
            <v>0</v>
          </cell>
          <cell r="AW4964">
            <v>0</v>
          </cell>
        </row>
        <row r="4965">
          <cell r="B4965">
            <v>8003</v>
          </cell>
          <cell r="C4965" t="str">
            <v>ZB_88_</v>
          </cell>
          <cell r="D4965" t="str">
            <v>Rancho Zinamba No. 88</v>
          </cell>
          <cell r="E4965" t="str">
            <v>Martínez</v>
          </cell>
          <cell r="F4965">
            <v>250</v>
          </cell>
          <cell r="G4965">
            <v>1</v>
          </cell>
          <cell r="H4965">
            <v>350</v>
          </cell>
          <cell r="I4965">
            <v>41910</v>
          </cell>
          <cell r="J4965">
            <v>0</v>
          </cell>
          <cell r="W4965">
            <v>0</v>
          </cell>
          <cell r="AJ4965">
            <v>0</v>
          </cell>
          <cell r="AS4965">
            <v>350</v>
          </cell>
          <cell r="AW4965">
            <v>350</v>
          </cell>
        </row>
        <row r="4966">
          <cell r="B4966">
            <v>8003</v>
          </cell>
          <cell r="C4966" t="str">
            <v>ZB_88_</v>
          </cell>
          <cell r="D4966" t="str">
            <v>Rancho Zinamba No. 88</v>
          </cell>
          <cell r="E4966" t="str">
            <v>Martínez</v>
          </cell>
          <cell r="F4966">
            <v>250</v>
          </cell>
          <cell r="G4966">
            <v>5</v>
          </cell>
          <cell r="H4966">
            <v>20</v>
          </cell>
          <cell r="I4966">
            <v>41910</v>
          </cell>
          <cell r="J4966" t="str">
            <v>NO SUMA</v>
          </cell>
          <cell r="W4966">
            <v>0</v>
          </cell>
          <cell r="AJ4966">
            <v>0</v>
          </cell>
          <cell r="AW4966">
            <v>0</v>
          </cell>
        </row>
        <row r="4967">
          <cell r="B4967">
            <v>8004</v>
          </cell>
          <cell r="C4967" t="str">
            <v>LD_80_</v>
          </cell>
          <cell r="D4967" t="str">
            <v>Rancho Landero No. 80</v>
          </cell>
          <cell r="E4967" t="str">
            <v>Villaseñor Sánchez</v>
          </cell>
          <cell r="F4967">
            <v>300</v>
          </cell>
          <cell r="G4967">
            <v>1</v>
          </cell>
          <cell r="H4967">
            <v>400</v>
          </cell>
          <cell r="I4967">
            <v>41910</v>
          </cell>
          <cell r="J4967">
            <v>0</v>
          </cell>
          <cell r="W4967">
            <v>0</v>
          </cell>
          <cell r="AJ4967">
            <v>0</v>
          </cell>
          <cell r="AT4967">
            <v>400</v>
          </cell>
          <cell r="AW4967">
            <v>400</v>
          </cell>
        </row>
        <row r="4968">
          <cell r="B4968">
            <v>8004</v>
          </cell>
          <cell r="C4968" t="str">
            <v>LD_80_</v>
          </cell>
          <cell r="D4968" t="str">
            <v>Rancho Landero No. 80</v>
          </cell>
          <cell r="E4968" t="str">
            <v>Villaseñor Sánchez</v>
          </cell>
          <cell r="F4968">
            <v>300</v>
          </cell>
          <cell r="G4968">
            <v>5</v>
          </cell>
          <cell r="H4968">
            <v>20</v>
          </cell>
          <cell r="I4968">
            <v>41910</v>
          </cell>
          <cell r="J4968" t="str">
            <v>NO SUMA</v>
          </cell>
          <cell r="W4968">
            <v>0</v>
          </cell>
          <cell r="AJ4968">
            <v>0</v>
          </cell>
          <cell r="AW4968">
            <v>0</v>
          </cell>
        </row>
        <row r="4969">
          <cell r="B4969">
            <v>8004</v>
          </cell>
          <cell r="C4969" t="str">
            <v>LD_80_</v>
          </cell>
          <cell r="D4969" t="str">
            <v>Rancho Landero No. 80</v>
          </cell>
          <cell r="E4969" t="str">
            <v>Villaseñor Sánchez</v>
          </cell>
          <cell r="F4969">
            <v>300</v>
          </cell>
          <cell r="G4969">
            <v>5</v>
          </cell>
          <cell r="H4969">
            <v>20</v>
          </cell>
          <cell r="I4969">
            <v>41910</v>
          </cell>
          <cell r="J4969" t="str">
            <v>NO SUMA</v>
          </cell>
          <cell r="W4969">
            <v>0</v>
          </cell>
          <cell r="AJ4969">
            <v>0</v>
          </cell>
          <cell r="AW4969">
            <v>0</v>
          </cell>
        </row>
        <row r="4970">
          <cell r="B4970">
            <v>8004</v>
          </cell>
          <cell r="C4970" t="str">
            <v>LD_80_</v>
          </cell>
          <cell r="D4970" t="str">
            <v>Rancho Landero No. 80</v>
          </cell>
          <cell r="E4970" t="str">
            <v>Villaseñor Sánchez</v>
          </cell>
          <cell r="F4970">
            <v>300</v>
          </cell>
          <cell r="G4970">
            <v>5</v>
          </cell>
          <cell r="H4970">
            <v>20</v>
          </cell>
          <cell r="I4970">
            <v>41910</v>
          </cell>
          <cell r="J4970" t="str">
            <v>NO SUMA</v>
          </cell>
          <cell r="W4970">
            <v>0</v>
          </cell>
          <cell r="AJ4970">
            <v>0</v>
          </cell>
          <cell r="AW4970">
            <v>0</v>
          </cell>
        </row>
        <row r="4971">
          <cell r="B4971">
            <v>8004</v>
          </cell>
          <cell r="C4971" t="str">
            <v>LD_80_</v>
          </cell>
          <cell r="D4971" t="str">
            <v>Rancho Landero No. 80</v>
          </cell>
          <cell r="E4971" t="str">
            <v>Villaseñor Sánchez</v>
          </cell>
          <cell r="F4971">
            <v>300</v>
          </cell>
          <cell r="G4971">
            <v>5</v>
          </cell>
          <cell r="H4971">
            <v>50</v>
          </cell>
          <cell r="I4971">
            <v>41910</v>
          </cell>
          <cell r="J4971" t="str">
            <v>NO SUMA</v>
          </cell>
          <cell r="W4971">
            <v>0</v>
          </cell>
          <cell r="AJ4971">
            <v>0</v>
          </cell>
          <cell r="AW4971">
            <v>0</v>
          </cell>
        </row>
        <row r="4972">
          <cell r="B4972">
            <v>8005</v>
          </cell>
          <cell r="C4972" t="str">
            <v>LD_53_</v>
          </cell>
          <cell r="D4972" t="str">
            <v>Rancho Landero No. 53</v>
          </cell>
          <cell r="E4972" t="str">
            <v>Gutierrez Castillo</v>
          </cell>
          <cell r="F4972">
            <v>300</v>
          </cell>
          <cell r="G4972">
            <v>1</v>
          </cell>
          <cell r="H4972">
            <v>400</v>
          </cell>
          <cell r="I4972">
            <v>41910</v>
          </cell>
          <cell r="J4972">
            <v>0</v>
          </cell>
          <cell r="W4972">
            <v>0</v>
          </cell>
          <cell r="AJ4972">
            <v>0</v>
          </cell>
          <cell r="AT4972">
            <v>400</v>
          </cell>
          <cell r="AW4972">
            <v>400</v>
          </cell>
        </row>
        <row r="4973">
          <cell r="B4973">
            <v>8005</v>
          </cell>
          <cell r="C4973" t="str">
            <v>LD_53_</v>
          </cell>
          <cell r="D4973" t="str">
            <v>Rancho Landero No. 53</v>
          </cell>
          <cell r="E4973" t="str">
            <v>Gutierrez Castillo</v>
          </cell>
          <cell r="F4973">
            <v>300</v>
          </cell>
          <cell r="G4973">
            <v>4</v>
          </cell>
          <cell r="H4973">
            <v>160</v>
          </cell>
          <cell r="I4973">
            <v>41910</v>
          </cell>
          <cell r="J4973" t="str">
            <v>NO SUMA</v>
          </cell>
          <cell r="W4973">
            <v>0</v>
          </cell>
          <cell r="AJ4973">
            <v>0</v>
          </cell>
          <cell r="AW4973">
            <v>0</v>
          </cell>
        </row>
        <row r="4974">
          <cell r="B4974">
            <v>8005</v>
          </cell>
          <cell r="C4974" t="str">
            <v>LD_53_</v>
          </cell>
          <cell r="D4974" t="str">
            <v>Rancho Landero No. 53</v>
          </cell>
          <cell r="E4974" t="str">
            <v>Gutierrez Castillo</v>
          </cell>
          <cell r="F4974">
            <v>300</v>
          </cell>
          <cell r="G4974">
            <v>4</v>
          </cell>
          <cell r="H4974">
            <v>160</v>
          </cell>
          <cell r="I4974">
            <v>41910</v>
          </cell>
          <cell r="J4974" t="str">
            <v>NO SUMA</v>
          </cell>
          <cell r="W4974">
            <v>0</v>
          </cell>
          <cell r="AJ4974">
            <v>0</v>
          </cell>
          <cell r="AW4974">
            <v>0</v>
          </cell>
        </row>
        <row r="4975">
          <cell r="B4975">
            <v>8005</v>
          </cell>
          <cell r="C4975" t="str">
            <v>LD_53_</v>
          </cell>
          <cell r="D4975" t="str">
            <v>Rancho Landero No. 53</v>
          </cell>
          <cell r="E4975" t="str">
            <v>Gutierrez Castillo</v>
          </cell>
          <cell r="F4975">
            <v>300</v>
          </cell>
          <cell r="G4975">
            <v>5</v>
          </cell>
          <cell r="H4975">
            <v>20</v>
          </cell>
          <cell r="I4975">
            <v>41910</v>
          </cell>
          <cell r="J4975" t="str">
            <v>NO SUMA</v>
          </cell>
          <cell r="W4975">
            <v>0</v>
          </cell>
          <cell r="AJ4975">
            <v>0</v>
          </cell>
          <cell r="AW4975">
            <v>0</v>
          </cell>
        </row>
        <row r="4976">
          <cell r="B4976">
            <v>8005</v>
          </cell>
          <cell r="C4976" t="str">
            <v>LD_53_</v>
          </cell>
          <cell r="D4976" t="str">
            <v>Rancho Landero No. 53</v>
          </cell>
          <cell r="E4976" t="str">
            <v>Gutierrez Castillo</v>
          </cell>
          <cell r="F4976">
            <v>300</v>
          </cell>
          <cell r="G4976">
            <v>5</v>
          </cell>
          <cell r="H4976">
            <v>20</v>
          </cell>
          <cell r="I4976">
            <v>41910</v>
          </cell>
          <cell r="J4976" t="str">
            <v>NO SUMA</v>
          </cell>
          <cell r="W4976">
            <v>0</v>
          </cell>
          <cell r="AJ4976">
            <v>0</v>
          </cell>
          <cell r="AW4976">
            <v>0</v>
          </cell>
        </row>
        <row r="4977">
          <cell r="B4977">
            <v>8005</v>
          </cell>
          <cell r="C4977" t="str">
            <v>LD_53_</v>
          </cell>
          <cell r="D4977" t="str">
            <v>Rancho Landero No. 53</v>
          </cell>
          <cell r="E4977" t="str">
            <v>Gutierrez Castillo</v>
          </cell>
          <cell r="F4977">
            <v>300</v>
          </cell>
          <cell r="G4977">
            <v>5</v>
          </cell>
          <cell r="H4977">
            <v>20</v>
          </cell>
          <cell r="I4977">
            <v>41910</v>
          </cell>
          <cell r="J4977" t="str">
            <v>NO SUMA</v>
          </cell>
          <cell r="W4977">
            <v>0</v>
          </cell>
          <cell r="AJ4977">
            <v>0</v>
          </cell>
          <cell r="AW4977">
            <v>0</v>
          </cell>
        </row>
        <row r="4978">
          <cell r="B4978">
            <v>8006</v>
          </cell>
          <cell r="C4978" t="str">
            <v>LD_71_</v>
          </cell>
          <cell r="D4978" t="str">
            <v>Rancho Landero No. 71</v>
          </cell>
          <cell r="E4978" t="str">
            <v>Cabrera Balcázar</v>
          </cell>
          <cell r="F4978">
            <v>300</v>
          </cell>
          <cell r="G4978">
            <v>5</v>
          </cell>
          <cell r="H4978">
            <v>20</v>
          </cell>
          <cell r="I4978">
            <v>41910</v>
          </cell>
          <cell r="J4978" t="str">
            <v>NO SUMA</v>
          </cell>
          <cell r="W4978">
            <v>0</v>
          </cell>
          <cell r="AJ4978">
            <v>0</v>
          </cell>
          <cell r="AW4978">
            <v>0</v>
          </cell>
        </row>
        <row r="4979">
          <cell r="B4979">
            <v>8006</v>
          </cell>
          <cell r="C4979" t="str">
            <v>LD_71_</v>
          </cell>
          <cell r="D4979" t="str">
            <v>Rancho Landero No. 71</v>
          </cell>
          <cell r="E4979" t="str">
            <v>Cabrera Balcázar</v>
          </cell>
          <cell r="F4979">
            <v>300</v>
          </cell>
          <cell r="G4979">
            <v>5</v>
          </cell>
          <cell r="H4979">
            <v>20</v>
          </cell>
          <cell r="I4979">
            <v>41910</v>
          </cell>
          <cell r="J4979" t="str">
            <v>NO SUMA</v>
          </cell>
          <cell r="W4979">
            <v>0</v>
          </cell>
          <cell r="AJ4979">
            <v>0</v>
          </cell>
          <cell r="AW4979">
            <v>0</v>
          </cell>
        </row>
        <row r="4980">
          <cell r="B4980">
            <v>8007</v>
          </cell>
          <cell r="C4980" t="str">
            <v>EZ_119_1</v>
          </cell>
          <cell r="D4980" t="str">
            <v>Rancho Estanzuela No. 119, 1</v>
          </cell>
          <cell r="E4980" t="str">
            <v>López Tovar</v>
          </cell>
          <cell r="F4980">
            <v>300</v>
          </cell>
          <cell r="G4980">
            <v>1</v>
          </cell>
          <cell r="H4980">
            <v>400</v>
          </cell>
          <cell r="I4980">
            <v>41910</v>
          </cell>
          <cell r="J4980">
            <v>0</v>
          </cell>
          <cell r="W4980">
            <v>0</v>
          </cell>
          <cell r="AJ4980">
            <v>0</v>
          </cell>
          <cell r="AS4980">
            <v>400</v>
          </cell>
          <cell r="AW4980">
            <v>400</v>
          </cell>
        </row>
        <row r="4981">
          <cell r="B4981">
            <v>8007</v>
          </cell>
          <cell r="C4981" t="str">
            <v>EZ_119_1</v>
          </cell>
          <cell r="D4981" t="str">
            <v>Rancho Estanzuela No. 119, 1</v>
          </cell>
          <cell r="E4981" t="str">
            <v>López Tovar</v>
          </cell>
          <cell r="F4981">
            <v>300</v>
          </cell>
          <cell r="G4981">
            <v>3</v>
          </cell>
          <cell r="H4981">
            <v>160</v>
          </cell>
          <cell r="I4981">
            <v>41910</v>
          </cell>
          <cell r="J4981" t="str">
            <v>NO SUMA</v>
          </cell>
          <cell r="W4981">
            <v>0</v>
          </cell>
          <cell r="AJ4981">
            <v>0</v>
          </cell>
          <cell r="AW4981">
            <v>0</v>
          </cell>
        </row>
        <row r="4982">
          <cell r="B4982">
            <v>8008</v>
          </cell>
          <cell r="C4982" t="str">
            <v>EZ_143_B</v>
          </cell>
          <cell r="D4982" t="str">
            <v>Rancho Estanzuela No. 143, B</v>
          </cell>
          <cell r="E4982" t="str">
            <v>López</v>
          </cell>
          <cell r="F4982">
            <v>300</v>
          </cell>
          <cell r="G4982">
            <v>1</v>
          </cell>
          <cell r="H4982">
            <v>400</v>
          </cell>
          <cell r="I4982">
            <v>41910</v>
          </cell>
          <cell r="J4982">
            <v>0</v>
          </cell>
          <cell r="W4982">
            <v>0</v>
          </cell>
          <cell r="AJ4982">
            <v>0</v>
          </cell>
          <cell r="AS4982">
            <v>400</v>
          </cell>
          <cell r="AW4982">
            <v>400</v>
          </cell>
        </row>
        <row r="4983">
          <cell r="B4983">
            <v>8009</v>
          </cell>
          <cell r="C4983" t="str">
            <v>LD_33_</v>
          </cell>
          <cell r="D4983" t="str">
            <v>Rancho Landero No. 33</v>
          </cell>
          <cell r="E4983" t="str">
            <v>González Uribe</v>
          </cell>
          <cell r="F4983">
            <v>300</v>
          </cell>
          <cell r="G4983">
            <v>1</v>
          </cell>
          <cell r="H4983">
            <v>800</v>
          </cell>
          <cell r="I4983">
            <v>41910</v>
          </cell>
          <cell r="J4983">
            <v>0</v>
          </cell>
          <cell r="W4983">
            <v>0</v>
          </cell>
          <cell r="AJ4983">
            <v>0</v>
          </cell>
          <cell r="AR4983">
            <v>400</v>
          </cell>
          <cell r="AS4983">
            <v>400</v>
          </cell>
          <cell r="AW4983">
            <v>800</v>
          </cell>
        </row>
        <row r="4984">
          <cell r="B4984">
            <v>8009</v>
          </cell>
          <cell r="C4984" t="str">
            <v>LD_33_</v>
          </cell>
          <cell r="D4984" t="str">
            <v>Rancho Landero No. 33</v>
          </cell>
          <cell r="E4984" t="str">
            <v>González Uribe</v>
          </cell>
          <cell r="F4984">
            <v>300</v>
          </cell>
          <cell r="G4984">
            <v>5</v>
          </cell>
          <cell r="H4984">
            <v>20</v>
          </cell>
          <cell r="I4984">
            <v>41910</v>
          </cell>
          <cell r="J4984" t="str">
            <v>NO SUMA</v>
          </cell>
          <cell r="W4984">
            <v>0</v>
          </cell>
          <cell r="AJ4984">
            <v>0</v>
          </cell>
          <cell r="AW4984">
            <v>0</v>
          </cell>
        </row>
        <row r="4985">
          <cell r="B4985">
            <v>8009</v>
          </cell>
          <cell r="C4985" t="str">
            <v>LD_33_</v>
          </cell>
          <cell r="D4985" t="str">
            <v>Rancho Landero No. 33</v>
          </cell>
          <cell r="E4985" t="str">
            <v>González Uribe</v>
          </cell>
          <cell r="F4985">
            <v>300</v>
          </cell>
          <cell r="G4985">
            <v>5</v>
          </cell>
          <cell r="H4985">
            <v>20</v>
          </cell>
          <cell r="I4985">
            <v>41910</v>
          </cell>
          <cell r="J4985" t="str">
            <v>NO SUMA</v>
          </cell>
          <cell r="W4985">
            <v>0</v>
          </cell>
          <cell r="AJ4985">
            <v>0</v>
          </cell>
          <cell r="AW4985">
            <v>0</v>
          </cell>
        </row>
        <row r="4986">
          <cell r="B4986">
            <v>8009</v>
          </cell>
          <cell r="C4986" t="str">
            <v>LD_33_</v>
          </cell>
          <cell r="D4986" t="str">
            <v>Rancho Landero No. 33</v>
          </cell>
          <cell r="E4986" t="str">
            <v>González Uribe</v>
          </cell>
          <cell r="F4986">
            <v>300</v>
          </cell>
          <cell r="G4986">
            <v>5</v>
          </cell>
          <cell r="H4986">
            <v>20</v>
          </cell>
          <cell r="I4986">
            <v>41910</v>
          </cell>
          <cell r="J4986" t="str">
            <v>NO SUMA</v>
          </cell>
          <cell r="W4986">
            <v>0</v>
          </cell>
          <cell r="AJ4986">
            <v>0</v>
          </cell>
          <cell r="AW4986">
            <v>0</v>
          </cell>
        </row>
        <row r="4987">
          <cell r="B4987">
            <v>8009</v>
          </cell>
          <cell r="C4987" t="str">
            <v>LD_33_</v>
          </cell>
          <cell r="D4987" t="str">
            <v>Rancho Landero No. 33</v>
          </cell>
          <cell r="E4987" t="str">
            <v>González Uribe</v>
          </cell>
          <cell r="F4987">
            <v>300</v>
          </cell>
          <cell r="G4987">
            <v>5</v>
          </cell>
          <cell r="H4987">
            <v>50</v>
          </cell>
          <cell r="I4987">
            <v>41910</v>
          </cell>
          <cell r="J4987" t="str">
            <v>NO SUMA</v>
          </cell>
          <cell r="W4987">
            <v>0</v>
          </cell>
          <cell r="AJ4987">
            <v>0</v>
          </cell>
          <cell r="AW4987">
            <v>0</v>
          </cell>
        </row>
        <row r="4988">
          <cell r="B4988">
            <v>8010</v>
          </cell>
          <cell r="C4988" t="str">
            <v>CL_55_</v>
          </cell>
          <cell r="D4988" t="str">
            <v>Rancho La Cuchilla No. 55</v>
          </cell>
          <cell r="E4988" t="str">
            <v>López Velázquez</v>
          </cell>
          <cell r="F4988">
            <v>300</v>
          </cell>
          <cell r="G4988">
            <v>1</v>
          </cell>
          <cell r="H4988">
            <v>400</v>
          </cell>
          <cell r="I4988">
            <v>41910</v>
          </cell>
          <cell r="J4988">
            <v>0</v>
          </cell>
          <cell r="W4988">
            <v>0</v>
          </cell>
          <cell r="AJ4988">
            <v>0</v>
          </cell>
          <cell r="AS4988">
            <v>400</v>
          </cell>
          <cell r="AW4988">
            <v>400</v>
          </cell>
        </row>
        <row r="4989">
          <cell r="B4989">
            <v>8010</v>
          </cell>
          <cell r="C4989" t="str">
            <v>CL_55_</v>
          </cell>
          <cell r="D4989" t="str">
            <v>Rancho La Cuchilla No. 55</v>
          </cell>
          <cell r="E4989" t="str">
            <v>López Velázquez</v>
          </cell>
          <cell r="F4989">
            <v>300</v>
          </cell>
          <cell r="G4989">
            <v>5</v>
          </cell>
          <cell r="H4989">
            <v>20</v>
          </cell>
          <cell r="I4989">
            <v>41910</v>
          </cell>
          <cell r="J4989" t="str">
            <v>NO SUMA</v>
          </cell>
          <cell r="W4989">
            <v>0</v>
          </cell>
          <cell r="AJ4989">
            <v>0</v>
          </cell>
          <cell r="AW4989">
            <v>0</v>
          </cell>
        </row>
        <row r="4990">
          <cell r="B4990">
            <v>8010</v>
          </cell>
          <cell r="C4990" t="str">
            <v>CL_55_</v>
          </cell>
          <cell r="D4990" t="str">
            <v>Rancho La Cuchilla No. 55</v>
          </cell>
          <cell r="E4990" t="str">
            <v>López Velázquez</v>
          </cell>
          <cell r="F4990">
            <v>300</v>
          </cell>
          <cell r="G4990">
            <v>5</v>
          </cell>
          <cell r="H4990">
            <v>20</v>
          </cell>
          <cell r="I4990">
            <v>41910</v>
          </cell>
          <cell r="J4990" t="str">
            <v>NO SUMA</v>
          </cell>
          <cell r="W4990">
            <v>0</v>
          </cell>
          <cell r="AJ4990">
            <v>0</v>
          </cell>
          <cell r="AW4990">
            <v>0</v>
          </cell>
        </row>
        <row r="4991">
          <cell r="B4991">
            <v>8010</v>
          </cell>
          <cell r="C4991" t="str">
            <v>CL_55_</v>
          </cell>
          <cell r="D4991" t="str">
            <v>Rancho La Cuchilla No. 55</v>
          </cell>
          <cell r="E4991" t="str">
            <v>López Velázquez</v>
          </cell>
          <cell r="F4991">
            <v>300</v>
          </cell>
          <cell r="G4991">
            <v>5</v>
          </cell>
          <cell r="H4991">
            <v>20</v>
          </cell>
          <cell r="I4991">
            <v>41910</v>
          </cell>
          <cell r="J4991" t="str">
            <v>NO SUMA</v>
          </cell>
          <cell r="W4991">
            <v>0</v>
          </cell>
          <cell r="AJ4991">
            <v>0</v>
          </cell>
          <cell r="AW4991">
            <v>0</v>
          </cell>
        </row>
        <row r="4992">
          <cell r="B4992">
            <v>8011</v>
          </cell>
          <cell r="C4992" t="str">
            <v>UP_130_</v>
          </cell>
          <cell r="D4992" t="str">
            <v>Rancho Upácuaro No. 130</v>
          </cell>
          <cell r="E4992" t="str">
            <v>Rodríguez Álvarez</v>
          </cell>
          <cell r="F4992">
            <v>150</v>
          </cell>
          <cell r="G4992">
            <v>3</v>
          </cell>
          <cell r="H4992">
            <v>160</v>
          </cell>
          <cell r="I4992">
            <v>41910</v>
          </cell>
          <cell r="J4992" t="str">
            <v>NO SUMA</v>
          </cell>
          <cell r="W4992">
            <v>0</v>
          </cell>
          <cell r="AJ4992">
            <v>0</v>
          </cell>
          <cell r="AW4992">
            <v>0</v>
          </cell>
        </row>
        <row r="4993">
          <cell r="B4993">
            <v>8012</v>
          </cell>
          <cell r="C4993" t="str">
            <v>CL_32_</v>
          </cell>
          <cell r="D4993" t="str">
            <v>Rancho La Cuchilla No. 32</v>
          </cell>
          <cell r="E4993" t="str">
            <v>Hernández</v>
          </cell>
          <cell r="F4993">
            <v>300</v>
          </cell>
          <cell r="G4993">
            <v>1</v>
          </cell>
          <cell r="H4993">
            <v>800</v>
          </cell>
          <cell r="I4993">
            <v>41910</v>
          </cell>
          <cell r="J4993">
            <v>0</v>
          </cell>
          <cell r="W4993">
            <v>0</v>
          </cell>
          <cell r="AJ4993">
            <v>0</v>
          </cell>
          <cell r="AR4993">
            <v>400</v>
          </cell>
          <cell r="AS4993">
            <v>400</v>
          </cell>
          <cell r="AW4993">
            <v>800</v>
          </cell>
        </row>
        <row r="4994">
          <cell r="B4994">
            <v>8013</v>
          </cell>
          <cell r="C4994" t="str">
            <v>CL_94_</v>
          </cell>
          <cell r="D4994" t="str">
            <v>Rancho La Cuchilla No. 94</v>
          </cell>
          <cell r="E4994" t="str">
            <v>Sánchez Márquez</v>
          </cell>
          <cell r="F4994">
            <v>300</v>
          </cell>
          <cell r="G4994">
            <v>1</v>
          </cell>
          <cell r="H4994">
            <v>400</v>
          </cell>
          <cell r="I4994">
            <v>41910</v>
          </cell>
          <cell r="J4994">
            <v>0</v>
          </cell>
          <cell r="W4994">
            <v>0</v>
          </cell>
          <cell r="AJ4994">
            <v>0</v>
          </cell>
          <cell r="AS4994">
            <v>400</v>
          </cell>
          <cell r="AW4994">
            <v>400</v>
          </cell>
        </row>
        <row r="4995">
          <cell r="B4995">
            <v>8014</v>
          </cell>
          <cell r="C4995" t="str">
            <v>UP_49_</v>
          </cell>
          <cell r="D4995" t="str">
            <v>Rancho Upácuaro No. 49</v>
          </cell>
          <cell r="E4995" t="str">
            <v>Sánchez Romano</v>
          </cell>
          <cell r="F4995">
            <v>300</v>
          </cell>
          <cell r="G4995">
            <v>1</v>
          </cell>
          <cell r="H4995">
            <v>800</v>
          </cell>
          <cell r="I4995">
            <v>41910</v>
          </cell>
          <cell r="J4995">
            <v>0</v>
          </cell>
          <cell r="W4995">
            <v>0</v>
          </cell>
          <cell r="AJ4995">
            <v>0</v>
          </cell>
          <cell r="AO4995">
            <v>400</v>
          </cell>
          <cell r="AP4995">
            <v>400</v>
          </cell>
          <cell r="AW4995">
            <v>800</v>
          </cell>
        </row>
        <row r="4996">
          <cell r="B4996">
            <v>8014</v>
          </cell>
          <cell r="C4996" t="str">
            <v>UP_49_</v>
          </cell>
          <cell r="D4996" t="str">
            <v>Rancho Upácuaro No. 49</v>
          </cell>
          <cell r="E4996" t="str">
            <v>Sánchez Romano</v>
          </cell>
          <cell r="F4996">
            <v>300</v>
          </cell>
          <cell r="G4996">
            <v>5</v>
          </cell>
          <cell r="H4996">
            <v>20</v>
          </cell>
          <cell r="I4996">
            <v>41910</v>
          </cell>
          <cell r="J4996" t="str">
            <v>NO SUMA</v>
          </cell>
          <cell r="W4996">
            <v>0</v>
          </cell>
          <cell r="AJ4996">
            <v>0</v>
          </cell>
          <cell r="AW4996">
            <v>0</v>
          </cell>
        </row>
        <row r="4997">
          <cell r="B4997">
            <v>8014</v>
          </cell>
          <cell r="C4997" t="str">
            <v>UP_49_</v>
          </cell>
          <cell r="D4997" t="str">
            <v>Rancho Upácuaro No. 49</v>
          </cell>
          <cell r="E4997" t="str">
            <v>Sánchez Romano</v>
          </cell>
          <cell r="F4997">
            <v>300</v>
          </cell>
          <cell r="G4997">
            <v>5</v>
          </cell>
          <cell r="H4997">
            <v>20</v>
          </cell>
          <cell r="I4997">
            <v>41910</v>
          </cell>
          <cell r="J4997" t="str">
            <v>NO SUMA</v>
          </cell>
          <cell r="W4997">
            <v>0</v>
          </cell>
          <cell r="AJ4997">
            <v>0</v>
          </cell>
          <cell r="AW4997">
            <v>0</v>
          </cell>
        </row>
        <row r="4998">
          <cell r="B4998">
            <v>8141</v>
          </cell>
          <cell r="C4998" t="str">
            <v>CL_29_</v>
          </cell>
          <cell r="D4998" t="str">
            <v>Rancho La Cuchilla No. 29</v>
          </cell>
          <cell r="E4998" t="str">
            <v>Vega Sánchez C.</v>
          </cell>
          <cell r="F4998">
            <v>300</v>
          </cell>
          <cell r="G4998">
            <v>1</v>
          </cell>
          <cell r="H4998">
            <v>2400</v>
          </cell>
          <cell r="I4998">
            <v>41883</v>
          </cell>
          <cell r="J4998">
            <v>0</v>
          </cell>
          <cell r="W4998">
            <v>0</v>
          </cell>
          <cell r="AJ4998">
            <v>0</v>
          </cell>
          <cell r="AL4998">
            <v>300</v>
          </cell>
          <cell r="AM4998">
            <v>300</v>
          </cell>
          <cell r="AN4998">
            <v>300</v>
          </cell>
          <cell r="AO4998">
            <v>300</v>
          </cell>
          <cell r="AP4998">
            <v>300</v>
          </cell>
          <cell r="AQ4998">
            <v>300</v>
          </cell>
          <cell r="AR4998">
            <v>300</v>
          </cell>
          <cell r="AS4998">
            <v>300</v>
          </cell>
          <cell r="AW4998">
            <v>2400</v>
          </cell>
        </row>
        <row r="4999">
          <cell r="C4999" t="str">
            <v>CM_130_A</v>
          </cell>
          <cell r="D4999" t="str">
            <v>Rancho Estanzuela No. 130, A</v>
          </cell>
          <cell r="E4999" t="str">
            <v>Colegio Carmel</v>
          </cell>
          <cell r="F4999">
            <v>10000</v>
          </cell>
          <cell r="G4999">
            <v>1</v>
          </cell>
          <cell r="H4999">
            <v>10000</v>
          </cell>
          <cell r="I4999">
            <v>41884</v>
          </cell>
          <cell r="J4999">
            <v>0</v>
          </cell>
          <cell r="W4999">
            <v>0</v>
          </cell>
          <cell r="AJ4999">
            <v>0</v>
          </cell>
          <cell r="AR4999">
            <v>10000</v>
          </cell>
          <cell r="AW4999">
            <v>10000</v>
          </cell>
        </row>
        <row r="5000">
          <cell r="B5000">
            <v>8138</v>
          </cell>
          <cell r="C5000" t="str">
            <v>UP_46_</v>
          </cell>
          <cell r="D5000" t="str">
            <v>Rancho Upácuaro No. 46</v>
          </cell>
          <cell r="E5000" t="str">
            <v>Fuentes</v>
          </cell>
          <cell r="F5000">
            <v>300</v>
          </cell>
          <cell r="G5000">
            <v>1</v>
          </cell>
          <cell r="H5000">
            <v>300</v>
          </cell>
          <cell r="I5000">
            <v>41891</v>
          </cell>
          <cell r="J5000">
            <v>0</v>
          </cell>
          <cell r="W5000">
            <v>0</v>
          </cell>
          <cell r="AJ5000">
            <v>0</v>
          </cell>
          <cell r="AS5000">
            <v>300</v>
          </cell>
          <cell r="AW5000">
            <v>300</v>
          </cell>
        </row>
        <row r="5001">
          <cell r="C5001" t="str">
            <v>CM_130_A</v>
          </cell>
          <cell r="D5001" t="str">
            <v>Rancho Estanzuela No. 130, A</v>
          </cell>
          <cell r="E5001" t="str">
            <v>Colegio Carmel</v>
          </cell>
          <cell r="F5001">
            <v>10000</v>
          </cell>
          <cell r="G5001">
            <v>1</v>
          </cell>
          <cell r="H5001">
            <v>10000</v>
          </cell>
          <cell r="I5001">
            <v>41912</v>
          </cell>
          <cell r="J5001">
            <v>0</v>
          </cell>
          <cell r="W5001">
            <v>0</v>
          </cell>
          <cell r="AJ5001">
            <v>0</v>
          </cell>
          <cell r="AS5001">
            <v>10000</v>
          </cell>
          <cell r="AW5001">
            <v>10000</v>
          </cell>
        </row>
        <row r="5002">
          <cell r="B5002" t="str">
            <v>NÚMERO</v>
          </cell>
          <cell r="C5002" t="str">
            <v>CASA</v>
          </cell>
          <cell r="D5002" t="str">
            <v>DOMICILIO</v>
          </cell>
          <cell r="E5002" t="str">
            <v>FAMILIA</v>
          </cell>
          <cell r="F5002" t="str">
            <v>CUOTA</v>
          </cell>
          <cell r="G5002" t="str">
            <v>C_ING</v>
          </cell>
          <cell r="H5002" t="str">
            <v>IMPORTE</v>
          </cell>
          <cell r="I5002" t="str">
            <v>FECHA</v>
          </cell>
          <cell r="J5002" t="str">
            <v>CHK</v>
          </cell>
          <cell r="K5002" t="str">
            <v>ENE
2012</v>
          </cell>
          <cell r="L5002" t="str">
            <v>FEB
2012</v>
          </cell>
          <cell r="M5002" t="str">
            <v>MAR
2012</v>
          </cell>
          <cell r="N5002" t="str">
            <v>ABR
2012</v>
          </cell>
          <cell r="O5002" t="str">
            <v>MAY
2012</v>
          </cell>
          <cell r="P5002" t="str">
            <v>JUN
2012</v>
          </cell>
          <cell r="Q5002" t="str">
            <v>JUL
2012</v>
          </cell>
          <cell r="R5002" t="str">
            <v>AGO
2012</v>
          </cell>
          <cell r="S5002" t="str">
            <v>SEP
2012</v>
          </cell>
          <cell r="T5002" t="str">
            <v>OCT
2012</v>
          </cell>
          <cell r="U5002" t="str">
            <v>NOV
2012</v>
          </cell>
          <cell r="V5002" t="str">
            <v>DIC
2012</v>
          </cell>
          <cell r="W5002" t="str">
            <v>SUMA
2012</v>
          </cell>
          <cell r="X5002" t="str">
            <v>ENE
2013</v>
          </cell>
          <cell r="Y5002" t="str">
            <v>FEB
2013</v>
          </cell>
          <cell r="Z5002" t="str">
            <v>MAR
2013</v>
          </cell>
          <cell r="AA5002" t="str">
            <v>ABR
2013</v>
          </cell>
          <cell r="AB5002" t="str">
            <v>MAY
2013</v>
          </cell>
          <cell r="AC5002" t="str">
            <v>JUN
2013</v>
          </cell>
          <cell r="AD5002" t="str">
            <v>JUL
2013</v>
          </cell>
          <cell r="AE5002" t="str">
            <v>AGO
2013</v>
          </cell>
          <cell r="AF5002" t="str">
            <v>SEP
2013</v>
          </cell>
          <cell r="AG5002" t="str">
            <v>OCT
2013</v>
          </cell>
          <cell r="AH5002" t="str">
            <v>NOV
2013</v>
          </cell>
          <cell r="AI5002" t="str">
            <v>DIC
2013</v>
          </cell>
          <cell r="AJ5002" t="str">
            <v>SUMA
2013</v>
          </cell>
          <cell r="AK5002" t="str">
            <v>ENE
2014</v>
          </cell>
          <cell r="AL5002" t="str">
            <v>FEB
2014</v>
          </cell>
          <cell r="AM5002" t="str">
            <v>MAR
2014</v>
          </cell>
          <cell r="AN5002" t="str">
            <v>ABR
2014</v>
          </cell>
          <cell r="AO5002" t="str">
            <v>MAY
2014</v>
          </cell>
          <cell r="AP5002" t="str">
            <v>JUN
2014</v>
          </cell>
          <cell r="AQ5002" t="str">
            <v>JUL
2014</v>
          </cell>
          <cell r="AR5002" t="str">
            <v>AGO
2014</v>
          </cell>
          <cell r="AS5002" t="str">
            <v>SEP
2014</v>
          </cell>
          <cell r="AT5002" t="str">
            <v>OCT
2014</v>
          </cell>
          <cell r="AU5002" t="str">
            <v>NOV
2014</v>
          </cell>
          <cell r="AV5002" t="str">
            <v>DIC
2014</v>
          </cell>
          <cell r="AW5002" t="str">
            <v>SUMA
2014</v>
          </cell>
        </row>
        <row r="5003">
          <cell r="B5003">
            <v>8015</v>
          </cell>
          <cell r="C5003" t="str">
            <v>LD_87_</v>
          </cell>
          <cell r="D5003" t="str">
            <v>Rancho Landero No. 87</v>
          </cell>
          <cell r="E5003" t="str">
            <v>Fey Lafferla</v>
          </cell>
          <cell r="F5003">
            <v>300</v>
          </cell>
          <cell r="G5003">
            <v>1</v>
          </cell>
          <cell r="H5003">
            <v>1800</v>
          </cell>
          <cell r="I5003">
            <v>41911</v>
          </cell>
          <cell r="J5003">
            <v>0</v>
          </cell>
          <cell r="W5003">
            <v>0</v>
          </cell>
          <cell r="AJ5003">
            <v>0</v>
          </cell>
          <cell r="AQ5003">
            <v>300</v>
          </cell>
          <cell r="AR5003">
            <v>300</v>
          </cell>
          <cell r="AS5003">
            <v>300</v>
          </cell>
          <cell r="AT5003">
            <v>300</v>
          </cell>
          <cell r="AU5003">
            <v>300</v>
          </cell>
          <cell r="AV5003">
            <v>300</v>
          </cell>
          <cell r="AW5003">
            <v>1800</v>
          </cell>
        </row>
        <row r="5004">
          <cell r="B5004">
            <v>8015</v>
          </cell>
          <cell r="C5004" t="str">
            <v>LD_87_</v>
          </cell>
          <cell r="D5004" t="str">
            <v>Rancho Landero No. 87</v>
          </cell>
          <cell r="E5004" t="str">
            <v>Fey Lafferla</v>
          </cell>
          <cell r="F5004">
            <v>300</v>
          </cell>
          <cell r="G5004">
            <v>5</v>
          </cell>
          <cell r="H5004">
            <v>20</v>
          </cell>
          <cell r="I5004">
            <v>41911</v>
          </cell>
          <cell r="J5004" t="str">
            <v>NO SUMA</v>
          </cell>
          <cell r="W5004">
            <v>0</v>
          </cell>
          <cell r="AJ5004">
            <v>0</v>
          </cell>
          <cell r="AW5004">
            <v>0</v>
          </cell>
        </row>
        <row r="5005">
          <cell r="B5005">
            <v>8015</v>
          </cell>
          <cell r="C5005" t="str">
            <v>LD_87_</v>
          </cell>
          <cell r="D5005" t="str">
            <v>Rancho Landero No. 87</v>
          </cell>
          <cell r="E5005" t="str">
            <v>Fey Lafferla</v>
          </cell>
          <cell r="F5005">
            <v>300</v>
          </cell>
          <cell r="G5005">
            <v>5</v>
          </cell>
          <cell r="H5005">
            <v>20</v>
          </cell>
          <cell r="I5005">
            <v>41911</v>
          </cell>
          <cell r="J5005" t="str">
            <v>NO SUMA</v>
          </cell>
          <cell r="W5005">
            <v>0</v>
          </cell>
          <cell r="AJ5005">
            <v>0</v>
          </cell>
          <cell r="AW5005">
            <v>0</v>
          </cell>
        </row>
        <row r="5006">
          <cell r="B5006">
            <v>8015</v>
          </cell>
          <cell r="C5006" t="str">
            <v>LD_87_</v>
          </cell>
          <cell r="D5006" t="str">
            <v>Rancho Landero No. 87</v>
          </cell>
          <cell r="E5006" t="str">
            <v>Fey Lafferla</v>
          </cell>
          <cell r="F5006">
            <v>300</v>
          </cell>
          <cell r="G5006">
            <v>5</v>
          </cell>
          <cell r="H5006">
            <v>20</v>
          </cell>
          <cell r="I5006">
            <v>41911</v>
          </cell>
          <cell r="J5006" t="str">
            <v>NO SUMA</v>
          </cell>
          <cell r="W5006">
            <v>0</v>
          </cell>
          <cell r="AJ5006">
            <v>0</v>
          </cell>
          <cell r="AW5006">
            <v>0</v>
          </cell>
        </row>
        <row r="5007">
          <cell r="B5007">
            <v>8016</v>
          </cell>
          <cell r="C5007" t="str">
            <v>LD_88_</v>
          </cell>
          <cell r="D5007" t="str">
            <v>Rancho Landero No. 88</v>
          </cell>
          <cell r="E5007" t="str">
            <v>Torres Raúl</v>
          </cell>
          <cell r="F5007">
            <v>300</v>
          </cell>
          <cell r="G5007">
            <v>1</v>
          </cell>
          <cell r="H5007">
            <v>1500</v>
          </cell>
          <cell r="I5007">
            <v>41912</v>
          </cell>
          <cell r="J5007">
            <v>0</v>
          </cell>
          <cell r="W5007">
            <v>0</v>
          </cell>
          <cell r="AJ5007">
            <v>0</v>
          </cell>
          <cell r="AK5007">
            <v>300</v>
          </cell>
          <cell r="AL5007">
            <v>300</v>
          </cell>
          <cell r="AM5007">
            <v>300</v>
          </cell>
          <cell r="AN5007">
            <v>300</v>
          </cell>
          <cell r="AO5007">
            <v>300</v>
          </cell>
          <cell r="AW5007">
            <v>1500</v>
          </cell>
        </row>
        <row r="5008">
          <cell r="B5008">
            <v>8017</v>
          </cell>
          <cell r="C5008" t="str">
            <v>UP_62_</v>
          </cell>
          <cell r="D5008" t="str">
            <v>Rancho Upácuaro No. 62</v>
          </cell>
          <cell r="E5008" t="str">
            <v>Jiménez Escutia</v>
          </cell>
          <cell r="F5008">
            <v>300</v>
          </cell>
          <cell r="G5008">
            <v>1</v>
          </cell>
          <cell r="H5008">
            <v>800</v>
          </cell>
          <cell r="I5008">
            <v>41913</v>
          </cell>
          <cell r="J5008">
            <v>0</v>
          </cell>
          <cell r="W5008">
            <v>0</v>
          </cell>
          <cell r="AJ5008">
            <v>0</v>
          </cell>
          <cell r="AR5008">
            <v>400</v>
          </cell>
          <cell r="AS5008">
            <v>400</v>
          </cell>
          <cell r="AW5008">
            <v>800</v>
          </cell>
        </row>
        <row r="5009">
          <cell r="B5009">
            <v>8017</v>
          </cell>
          <cell r="C5009" t="str">
            <v>UP_62_</v>
          </cell>
          <cell r="D5009" t="str">
            <v>Rancho Upácuaro No. 62</v>
          </cell>
          <cell r="E5009" t="str">
            <v>Jiménez Escutia</v>
          </cell>
          <cell r="F5009">
            <v>300</v>
          </cell>
          <cell r="G5009">
            <v>5</v>
          </cell>
          <cell r="H5009">
            <v>20</v>
          </cell>
          <cell r="I5009">
            <v>41913</v>
          </cell>
          <cell r="J5009" t="str">
            <v>NO SUMA</v>
          </cell>
          <cell r="W5009">
            <v>0</v>
          </cell>
          <cell r="AJ5009">
            <v>0</v>
          </cell>
          <cell r="AW5009">
            <v>0</v>
          </cell>
        </row>
        <row r="5010">
          <cell r="B5010">
            <v>8017</v>
          </cell>
          <cell r="C5010" t="str">
            <v>UP_62_</v>
          </cell>
          <cell r="D5010" t="str">
            <v>Rancho Upácuaro No. 62</v>
          </cell>
          <cell r="E5010" t="str">
            <v>Jiménez Escutia</v>
          </cell>
          <cell r="F5010">
            <v>300</v>
          </cell>
          <cell r="G5010">
            <v>5</v>
          </cell>
          <cell r="H5010">
            <v>20</v>
          </cell>
          <cell r="I5010">
            <v>41913</v>
          </cell>
          <cell r="J5010" t="str">
            <v>NO SUMA</v>
          </cell>
          <cell r="W5010">
            <v>0</v>
          </cell>
          <cell r="AJ5010">
            <v>0</v>
          </cell>
          <cell r="AW5010">
            <v>0</v>
          </cell>
        </row>
        <row r="5011">
          <cell r="B5011">
            <v>8018</v>
          </cell>
          <cell r="C5011" t="str">
            <v>EZ_143_B</v>
          </cell>
          <cell r="D5011" t="str">
            <v>Rancho Estanzuela No. 143, B</v>
          </cell>
          <cell r="E5011" t="str">
            <v>López</v>
          </cell>
          <cell r="F5011">
            <v>300</v>
          </cell>
          <cell r="G5011">
            <v>3</v>
          </cell>
          <cell r="H5011">
            <v>160</v>
          </cell>
          <cell r="I5011">
            <v>41913</v>
          </cell>
          <cell r="J5011" t="str">
            <v>NO SUMA</v>
          </cell>
          <cell r="W5011">
            <v>0</v>
          </cell>
          <cell r="AJ5011">
            <v>0</v>
          </cell>
          <cell r="AW5011">
            <v>0</v>
          </cell>
        </row>
        <row r="5012">
          <cell r="B5012">
            <v>8018</v>
          </cell>
          <cell r="C5012" t="str">
            <v>EZ_143_B</v>
          </cell>
          <cell r="D5012" t="str">
            <v>Rancho Estanzuela No. 143, B</v>
          </cell>
          <cell r="E5012" t="str">
            <v>López</v>
          </cell>
          <cell r="F5012">
            <v>300</v>
          </cell>
          <cell r="G5012">
            <v>4</v>
          </cell>
          <cell r="H5012">
            <v>160</v>
          </cell>
          <cell r="I5012">
            <v>41913</v>
          </cell>
          <cell r="J5012" t="str">
            <v>NO SUMA</v>
          </cell>
          <cell r="W5012">
            <v>0</v>
          </cell>
          <cell r="AJ5012">
            <v>0</v>
          </cell>
          <cell r="AW5012">
            <v>0</v>
          </cell>
        </row>
        <row r="5013">
          <cell r="B5013">
            <v>8019</v>
          </cell>
          <cell r="C5013" t="str">
            <v>LD_88_</v>
          </cell>
          <cell r="D5013" t="str">
            <v>Rancho Landero No. 88</v>
          </cell>
          <cell r="E5013" t="str">
            <v>Torres Raúl</v>
          </cell>
          <cell r="F5013">
            <v>300</v>
          </cell>
          <cell r="G5013">
            <v>4</v>
          </cell>
          <cell r="H5013">
            <v>160</v>
          </cell>
          <cell r="I5013">
            <v>41913</v>
          </cell>
          <cell r="J5013" t="str">
            <v>NO SUMA</v>
          </cell>
          <cell r="W5013">
            <v>0</v>
          </cell>
          <cell r="AJ5013">
            <v>0</v>
          </cell>
          <cell r="AW5013">
            <v>0</v>
          </cell>
        </row>
        <row r="5014">
          <cell r="B5014">
            <v>8020</v>
          </cell>
          <cell r="C5014" t="str">
            <v>UP_118_</v>
          </cell>
          <cell r="D5014" t="str">
            <v>Rancho Upácuaro No. 118</v>
          </cell>
          <cell r="E5014" t="str">
            <v>Siegrist</v>
          </cell>
          <cell r="F5014">
            <v>300</v>
          </cell>
          <cell r="G5014">
            <v>1</v>
          </cell>
          <cell r="H5014">
            <v>800</v>
          </cell>
          <cell r="I5014">
            <v>41913</v>
          </cell>
          <cell r="J5014">
            <v>0</v>
          </cell>
          <cell r="W5014">
            <v>0</v>
          </cell>
          <cell r="AJ5014">
            <v>0</v>
          </cell>
          <cell r="AR5014">
            <v>400</v>
          </cell>
          <cell r="AS5014">
            <v>400</v>
          </cell>
          <cell r="AW5014">
            <v>800</v>
          </cell>
        </row>
        <row r="5015">
          <cell r="B5015">
            <v>8021</v>
          </cell>
          <cell r="C5015" t="str">
            <v>UP_31_</v>
          </cell>
          <cell r="D5015" t="str">
            <v>Rancho Upácuaro No. 31</v>
          </cell>
          <cell r="E5015" t="str">
            <v>Gallardo Ávila</v>
          </cell>
          <cell r="F5015">
            <v>300</v>
          </cell>
          <cell r="G5015">
            <v>1</v>
          </cell>
          <cell r="H5015">
            <v>600</v>
          </cell>
          <cell r="I5015">
            <v>41913</v>
          </cell>
          <cell r="J5015">
            <v>0</v>
          </cell>
          <cell r="W5015">
            <v>0</v>
          </cell>
          <cell r="AJ5015">
            <v>0</v>
          </cell>
          <cell r="AM5015">
            <v>300</v>
          </cell>
          <cell r="AN5015">
            <v>300</v>
          </cell>
          <cell r="AW5015">
            <v>600</v>
          </cell>
        </row>
        <row r="5016">
          <cell r="B5016">
            <v>8021</v>
          </cell>
          <cell r="C5016" t="str">
            <v>UP_31_</v>
          </cell>
          <cell r="D5016" t="str">
            <v>Rancho Upácuaro No. 31</v>
          </cell>
          <cell r="E5016" t="str">
            <v>Gallardo Ávila</v>
          </cell>
          <cell r="F5016">
            <v>300</v>
          </cell>
          <cell r="G5016">
            <v>4</v>
          </cell>
          <cell r="H5016">
            <v>160</v>
          </cell>
          <cell r="I5016">
            <v>41913</v>
          </cell>
          <cell r="J5016" t="str">
            <v>NO SUMA</v>
          </cell>
          <cell r="W5016">
            <v>0</v>
          </cell>
          <cell r="AJ5016">
            <v>0</v>
          </cell>
          <cell r="AW5016">
            <v>0</v>
          </cell>
        </row>
        <row r="5017">
          <cell r="B5017">
            <v>8022</v>
          </cell>
          <cell r="C5017" t="str">
            <v>EZ_149_</v>
          </cell>
          <cell r="D5017" t="str">
            <v>Rancho Estanzuela No. 149</v>
          </cell>
          <cell r="E5017" t="str">
            <v>Sala</v>
          </cell>
          <cell r="F5017">
            <v>300</v>
          </cell>
          <cell r="G5017">
            <v>3</v>
          </cell>
          <cell r="H5017">
            <v>160</v>
          </cell>
          <cell r="I5017">
            <v>41915</v>
          </cell>
          <cell r="J5017" t="str">
            <v>NO SUMA</v>
          </cell>
          <cell r="W5017">
            <v>0</v>
          </cell>
          <cell r="AJ5017">
            <v>0</v>
          </cell>
          <cell r="AW5017">
            <v>0</v>
          </cell>
        </row>
        <row r="5018">
          <cell r="B5018">
            <v>8023</v>
          </cell>
          <cell r="C5018" t="str">
            <v>CL_139_</v>
          </cell>
          <cell r="D5018" t="str">
            <v>Rancho La Cuchilla No. 139</v>
          </cell>
          <cell r="E5018" t="str">
            <v>Garcia</v>
          </cell>
          <cell r="F5018">
            <v>200</v>
          </cell>
          <cell r="G5018">
            <v>1</v>
          </cell>
          <cell r="H5018">
            <v>200</v>
          </cell>
          <cell r="I5018">
            <v>41917</v>
          </cell>
          <cell r="J5018">
            <v>0</v>
          </cell>
          <cell r="W5018">
            <v>0</v>
          </cell>
          <cell r="AJ5018">
            <v>0</v>
          </cell>
          <cell r="AT5018">
            <v>200</v>
          </cell>
          <cell r="AW5018">
            <v>200</v>
          </cell>
        </row>
        <row r="5019">
          <cell r="B5019">
            <v>8024</v>
          </cell>
          <cell r="C5019" t="str">
            <v>CL_80_</v>
          </cell>
          <cell r="D5019" t="str">
            <v>Rancho La Cuchilla No. 80</v>
          </cell>
          <cell r="E5019" t="str">
            <v>Aparicio</v>
          </cell>
          <cell r="F5019">
            <v>300</v>
          </cell>
          <cell r="G5019">
            <v>5</v>
          </cell>
          <cell r="H5019">
            <v>50</v>
          </cell>
          <cell r="I5019">
            <v>41917</v>
          </cell>
          <cell r="J5019" t="str">
            <v>NO SUMA</v>
          </cell>
          <cell r="W5019">
            <v>0</v>
          </cell>
          <cell r="AJ5019">
            <v>0</v>
          </cell>
          <cell r="AW5019">
            <v>0</v>
          </cell>
        </row>
        <row r="5020">
          <cell r="B5020">
            <v>8025</v>
          </cell>
          <cell r="C5020" t="str">
            <v>UP_32_</v>
          </cell>
          <cell r="D5020" t="str">
            <v>Rancho Upácuaro No. 32</v>
          </cell>
          <cell r="E5020" t="str">
            <v>Sairafi Carmen</v>
          </cell>
          <cell r="F5020">
            <v>300</v>
          </cell>
          <cell r="G5020">
            <v>1</v>
          </cell>
          <cell r="H5020">
            <v>400</v>
          </cell>
          <cell r="I5020">
            <v>41917</v>
          </cell>
          <cell r="J5020">
            <v>0</v>
          </cell>
          <cell r="W5020">
            <v>0</v>
          </cell>
          <cell r="AJ5020">
            <v>0</v>
          </cell>
          <cell r="AT5020">
            <v>400</v>
          </cell>
          <cell r="AW5020">
            <v>400</v>
          </cell>
        </row>
        <row r="5021">
          <cell r="B5021">
            <v>8026</v>
          </cell>
          <cell r="C5021" t="str">
            <v>UP_116_</v>
          </cell>
          <cell r="D5021" t="str">
            <v>Rancho Upácuaro No. 116</v>
          </cell>
          <cell r="E5021" t="str">
            <v>García Zamudio</v>
          </cell>
          <cell r="F5021">
            <v>300</v>
          </cell>
          <cell r="G5021">
            <v>1</v>
          </cell>
          <cell r="H5021">
            <v>400</v>
          </cell>
          <cell r="I5021">
            <v>41917</v>
          </cell>
          <cell r="J5021">
            <v>0</v>
          </cell>
          <cell r="W5021">
            <v>0</v>
          </cell>
          <cell r="AJ5021">
            <v>0</v>
          </cell>
          <cell r="AS5021">
            <v>400</v>
          </cell>
          <cell r="AW5021">
            <v>400</v>
          </cell>
        </row>
        <row r="5022">
          <cell r="B5022">
            <v>8026</v>
          </cell>
          <cell r="C5022" t="str">
            <v>UP_116_</v>
          </cell>
          <cell r="D5022" t="str">
            <v>Rancho Upácuaro No. 116</v>
          </cell>
          <cell r="E5022" t="str">
            <v>García Zamudio</v>
          </cell>
          <cell r="F5022">
            <v>300</v>
          </cell>
          <cell r="G5022">
            <v>4</v>
          </cell>
          <cell r="H5022">
            <v>160</v>
          </cell>
          <cell r="I5022">
            <v>41917</v>
          </cell>
          <cell r="J5022" t="str">
            <v>NO SUMA</v>
          </cell>
          <cell r="W5022">
            <v>0</v>
          </cell>
          <cell r="AJ5022">
            <v>0</v>
          </cell>
          <cell r="AW5022">
            <v>0</v>
          </cell>
        </row>
        <row r="5023">
          <cell r="B5023">
            <v>8027</v>
          </cell>
          <cell r="C5023" t="str">
            <v>CL_47_</v>
          </cell>
          <cell r="D5023" t="str">
            <v>Rancho La Cuchilla No. 47</v>
          </cell>
          <cell r="E5023" t="str">
            <v>López</v>
          </cell>
          <cell r="F5023">
            <v>300</v>
          </cell>
          <cell r="G5023">
            <v>1</v>
          </cell>
          <cell r="H5023">
            <v>2400</v>
          </cell>
          <cell r="I5023">
            <v>41917</v>
          </cell>
          <cell r="J5023">
            <v>0</v>
          </cell>
          <cell r="W5023">
            <v>0</v>
          </cell>
          <cell r="AJ5023">
            <v>0</v>
          </cell>
          <cell r="AO5023">
            <v>400</v>
          </cell>
          <cell r="AP5023">
            <v>400</v>
          </cell>
          <cell r="AQ5023">
            <v>400</v>
          </cell>
          <cell r="AR5023">
            <v>400</v>
          </cell>
          <cell r="AS5023">
            <v>400</v>
          </cell>
          <cell r="AT5023">
            <v>400</v>
          </cell>
          <cell r="AW5023">
            <v>2400</v>
          </cell>
        </row>
        <row r="5024">
          <cell r="B5024">
            <v>8027</v>
          </cell>
          <cell r="C5024" t="str">
            <v>CL_47_</v>
          </cell>
          <cell r="D5024" t="str">
            <v>Rancho La Cuchilla No. 47</v>
          </cell>
          <cell r="E5024" t="str">
            <v>López</v>
          </cell>
          <cell r="F5024">
            <v>300</v>
          </cell>
          <cell r="G5024">
            <v>5</v>
          </cell>
          <cell r="H5024">
            <v>20</v>
          </cell>
          <cell r="I5024">
            <v>41917</v>
          </cell>
          <cell r="J5024" t="str">
            <v>NO SUMA</v>
          </cell>
          <cell r="W5024">
            <v>0</v>
          </cell>
          <cell r="AJ5024">
            <v>0</v>
          </cell>
          <cell r="AW5024">
            <v>0</v>
          </cell>
        </row>
        <row r="5025">
          <cell r="B5025">
            <v>8027</v>
          </cell>
          <cell r="C5025" t="str">
            <v>CL_47_</v>
          </cell>
          <cell r="D5025" t="str">
            <v>Rancho La Cuchilla No. 47</v>
          </cell>
          <cell r="E5025" t="str">
            <v>López</v>
          </cell>
          <cell r="F5025">
            <v>300</v>
          </cell>
          <cell r="G5025">
            <v>5</v>
          </cell>
          <cell r="H5025">
            <v>20</v>
          </cell>
          <cell r="I5025">
            <v>41917</v>
          </cell>
          <cell r="J5025" t="str">
            <v>NO SUMA</v>
          </cell>
          <cell r="W5025">
            <v>0</v>
          </cell>
          <cell r="AJ5025">
            <v>0</v>
          </cell>
          <cell r="AW5025">
            <v>0</v>
          </cell>
        </row>
        <row r="5026">
          <cell r="B5026">
            <v>8027</v>
          </cell>
          <cell r="C5026" t="str">
            <v>CL_47_</v>
          </cell>
          <cell r="D5026" t="str">
            <v>Rancho La Cuchilla No. 47</v>
          </cell>
          <cell r="E5026" t="str">
            <v>López</v>
          </cell>
          <cell r="F5026">
            <v>300</v>
          </cell>
          <cell r="G5026">
            <v>5</v>
          </cell>
          <cell r="H5026">
            <v>20</v>
          </cell>
          <cell r="I5026">
            <v>41917</v>
          </cell>
          <cell r="J5026" t="str">
            <v>NO SUMA</v>
          </cell>
          <cell r="W5026">
            <v>0</v>
          </cell>
          <cell r="AJ5026">
            <v>0</v>
          </cell>
          <cell r="AW5026">
            <v>0</v>
          </cell>
        </row>
        <row r="5027">
          <cell r="B5027">
            <v>8028</v>
          </cell>
          <cell r="C5027" t="str">
            <v>EZ_7_A</v>
          </cell>
          <cell r="D5027" t="str">
            <v>Rancho Estanzuela No. 7, A</v>
          </cell>
          <cell r="E5027" t="str">
            <v>Herrera Izquierdo</v>
          </cell>
          <cell r="F5027">
            <v>150</v>
          </cell>
          <cell r="G5027">
            <v>1</v>
          </cell>
          <cell r="H5027">
            <v>400</v>
          </cell>
          <cell r="I5027">
            <v>41917</v>
          </cell>
          <cell r="J5027">
            <v>0</v>
          </cell>
          <cell r="W5027">
            <v>0</v>
          </cell>
          <cell r="AJ5027">
            <v>0</v>
          </cell>
          <cell r="AS5027">
            <v>200</v>
          </cell>
          <cell r="AT5027">
            <v>200</v>
          </cell>
          <cell r="AW5027">
            <v>400</v>
          </cell>
        </row>
        <row r="5028">
          <cell r="B5028">
            <v>8028</v>
          </cell>
          <cell r="C5028" t="str">
            <v>EZ_7_A</v>
          </cell>
          <cell r="D5028" t="str">
            <v>Rancho Estanzuela No. 7, A</v>
          </cell>
          <cell r="E5028" t="str">
            <v>Herrera Izquierdo</v>
          </cell>
          <cell r="F5028">
            <v>150</v>
          </cell>
          <cell r="G5028">
            <v>5</v>
          </cell>
          <cell r="H5028">
            <v>20</v>
          </cell>
          <cell r="I5028">
            <v>41917</v>
          </cell>
          <cell r="J5028" t="str">
            <v>NO SUMA</v>
          </cell>
          <cell r="W5028">
            <v>0</v>
          </cell>
          <cell r="AJ5028">
            <v>0</v>
          </cell>
          <cell r="AW5028">
            <v>0</v>
          </cell>
        </row>
        <row r="5029">
          <cell r="B5029">
            <v>8028</v>
          </cell>
          <cell r="C5029" t="str">
            <v>EZ_7_A</v>
          </cell>
          <cell r="D5029" t="str">
            <v>Rancho Estanzuela No. 7, A</v>
          </cell>
          <cell r="E5029" t="str">
            <v>Herrera Izquierdo</v>
          </cell>
          <cell r="F5029">
            <v>150</v>
          </cell>
          <cell r="G5029">
            <v>5</v>
          </cell>
          <cell r="H5029">
            <v>20</v>
          </cell>
          <cell r="I5029">
            <v>41917</v>
          </cell>
          <cell r="J5029" t="str">
            <v>NO SUMA</v>
          </cell>
          <cell r="W5029">
            <v>0</v>
          </cell>
          <cell r="AJ5029">
            <v>0</v>
          </cell>
          <cell r="AW5029">
            <v>0</v>
          </cell>
        </row>
        <row r="5030">
          <cell r="B5030">
            <v>8029</v>
          </cell>
          <cell r="C5030" t="str">
            <v>EZ_159_</v>
          </cell>
          <cell r="D5030" t="str">
            <v>Rancho Estanzuela No. 159</v>
          </cell>
          <cell r="E5030" t="str">
            <v>Silva</v>
          </cell>
          <cell r="F5030">
            <v>250</v>
          </cell>
          <cell r="G5030">
            <v>5</v>
          </cell>
          <cell r="H5030">
            <v>20</v>
          </cell>
          <cell r="I5030">
            <v>41917</v>
          </cell>
          <cell r="J5030" t="str">
            <v>NO SUMA</v>
          </cell>
          <cell r="W5030">
            <v>0</v>
          </cell>
          <cell r="AJ5030">
            <v>0</v>
          </cell>
          <cell r="AW5030">
            <v>0</v>
          </cell>
        </row>
        <row r="5031">
          <cell r="B5031">
            <v>8029</v>
          </cell>
          <cell r="C5031" t="str">
            <v>EZ_159_</v>
          </cell>
          <cell r="D5031" t="str">
            <v>Rancho Estanzuela No. 159</v>
          </cell>
          <cell r="E5031" t="str">
            <v>Silva</v>
          </cell>
          <cell r="F5031">
            <v>250</v>
          </cell>
          <cell r="G5031">
            <v>5</v>
          </cell>
          <cell r="H5031">
            <v>20</v>
          </cell>
          <cell r="I5031">
            <v>41917</v>
          </cell>
          <cell r="J5031" t="str">
            <v>NO SUMA</v>
          </cell>
          <cell r="W5031">
            <v>0</v>
          </cell>
          <cell r="AJ5031">
            <v>0</v>
          </cell>
          <cell r="AW5031">
            <v>0</v>
          </cell>
        </row>
        <row r="5032">
          <cell r="B5032">
            <v>8029</v>
          </cell>
          <cell r="C5032" t="str">
            <v>EZ_159_</v>
          </cell>
          <cell r="D5032" t="str">
            <v>Rancho Estanzuela No. 159</v>
          </cell>
          <cell r="E5032" t="str">
            <v>Silva</v>
          </cell>
          <cell r="F5032">
            <v>250</v>
          </cell>
          <cell r="G5032">
            <v>5</v>
          </cell>
          <cell r="H5032">
            <v>20</v>
          </cell>
          <cell r="I5032">
            <v>41917</v>
          </cell>
          <cell r="J5032" t="str">
            <v>NO SUMA</v>
          </cell>
          <cell r="W5032">
            <v>0</v>
          </cell>
          <cell r="AJ5032">
            <v>0</v>
          </cell>
          <cell r="AW5032">
            <v>0</v>
          </cell>
        </row>
        <row r="5033">
          <cell r="B5033">
            <v>8029</v>
          </cell>
          <cell r="C5033" t="str">
            <v>EZ_159_</v>
          </cell>
          <cell r="D5033" t="str">
            <v>Rancho Estanzuela No. 159</v>
          </cell>
          <cell r="E5033" t="str">
            <v>Silva</v>
          </cell>
          <cell r="F5033">
            <v>250</v>
          </cell>
          <cell r="G5033">
            <v>5</v>
          </cell>
          <cell r="H5033">
            <v>50</v>
          </cell>
          <cell r="I5033">
            <v>41917</v>
          </cell>
          <cell r="J5033" t="str">
            <v>NO SUMA</v>
          </cell>
          <cell r="W5033">
            <v>0</v>
          </cell>
          <cell r="AJ5033">
            <v>0</v>
          </cell>
          <cell r="AW5033">
            <v>0</v>
          </cell>
        </row>
        <row r="5034">
          <cell r="B5034">
            <v>8029</v>
          </cell>
          <cell r="C5034" t="str">
            <v>EZ_159_</v>
          </cell>
          <cell r="D5034" t="str">
            <v>Rancho Estanzuela No. 159</v>
          </cell>
          <cell r="E5034" t="str">
            <v>Silva</v>
          </cell>
          <cell r="F5034">
            <v>250</v>
          </cell>
          <cell r="G5034">
            <v>5</v>
          </cell>
          <cell r="H5034">
            <v>50</v>
          </cell>
          <cell r="I5034">
            <v>41917</v>
          </cell>
          <cell r="J5034" t="str">
            <v>NO SUMA</v>
          </cell>
          <cell r="W5034">
            <v>0</v>
          </cell>
          <cell r="AJ5034">
            <v>0</v>
          </cell>
          <cell r="AW5034">
            <v>0</v>
          </cell>
        </row>
        <row r="5035">
          <cell r="B5035">
            <v>8030</v>
          </cell>
          <cell r="C5035" t="str">
            <v>EZ_33_</v>
          </cell>
          <cell r="D5035" t="str">
            <v>Rancho Estanzuela No. 33</v>
          </cell>
          <cell r="E5035" t="str">
            <v>Arauz</v>
          </cell>
          <cell r="F5035">
            <v>300</v>
          </cell>
          <cell r="G5035">
            <v>3</v>
          </cell>
          <cell r="H5035">
            <v>160</v>
          </cell>
          <cell r="I5035">
            <v>41917</v>
          </cell>
          <cell r="J5035" t="str">
            <v>NO SUMA</v>
          </cell>
          <cell r="W5035">
            <v>0</v>
          </cell>
          <cell r="AJ5035">
            <v>0</v>
          </cell>
          <cell r="AW5035">
            <v>0</v>
          </cell>
        </row>
        <row r="5036">
          <cell r="B5036">
            <v>8030</v>
          </cell>
          <cell r="C5036" t="str">
            <v>EZ_33_</v>
          </cell>
          <cell r="D5036" t="str">
            <v>Rancho Estanzuela No. 33</v>
          </cell>
          <cell r="E5036" t="str">
            <v>Arauz</v>
          </cell>
          <cell r="F5036">
            <v>300</v>
          </cell>
          <cell r="G5036">
            <v>5</v>
          </cell>
          <cell r="H5036">
            <v>20</v>
          </cell>
          <cell r="I5036">
            <v>41917</v>
          </cell>
          <cell r="J5036" t="str">
            <v>NO SUMA</v>
          </cell>
          <cell r="W5036">
            <v>0</v>
          </cell>
          <cell r="AJ5036">
            <v>0</v>
          </cell>
          <cell r="AW5036">
            <v>0</v>
          </cell>
        </row>
        <row r="5037">
          <cell r="B5037">
            <v>8031</v>
          </cell>
          <cell r="C5037" t="str">
            <v>UP_85_</v>
          </cell>
          <cell r="D5037" t="str">
            <v>Rancho Upácuaro No. 85</v>
          </cell>
          <cell r="E5037" t="str">
            <v>Del Toro Huerta</v>
          </cell>
          <cell r="F5037">
            <v>300</v>
          </cell>
          <cell r="G5037">
            <v>1</v>
          </cell>
          <cell r="H5037">
            <v>400</v>
          </cell>
          <cell r="I5037">
            <v>41917</v>
          </cell>
          <cell r="J5037">
            <v>0</v>
          </cell>
          <cell r="W5037">
            <v>0</v>
          </cell>
          <cell r="AJ5037">
            <v>0</v>
          </cell>
          <cell r="AT5037">
            <v>400</v>
          </cell>
          <cell r="AW5037">
            <v>400</v>
          </cell>
        </row>
        <row r="5038">
          <cell r="B5038">
            <v>8032</v>
          </cell>
          <cell r="C5038" t="str">
            <v>EZ_133_</v>
          </cell>
          <cell r="D5038" t="str">
            <v>Rancho Estanzuela No. 133</v>
          </cell>
          <cell r="E5038" t="str">
            <v>Hernández Salazar</v>
          </cell>
          <cell r="F5038">
            <v>250</v>
          </cell>
          <cell r="G5038">
            <v>1</v>
          </cell>
          <cell r="H5038">
            <v>600</v>
          </cell>
          <cell r="I5038">
            <v>41917</v>
          </cell>
          <cell r="J5038">
            <v>0</v>
          </cell>
          <cell r="W5038">
            <v>0</v>
          </cell>
          <cell r="AJ5038">
            <v>0</v>
          </cell>
          <cell r="AQ5038">
            <v>300</v>
          </cell>
          <cell r="AR5038">
            <v>300</v>
          </cell>
          <cell r="AW5038">
            <v>600</v>
          </cell>
        </row>
        <row r="5039">
          <cell r="B5039">
            <v>8033</v>
          </cell>
          <cell r="C5039" t="str">
            <v>LD_42_</v>
          </cell>
          <cell r="D5039" t="str">
            <v>Rancho Landero No. 42</v>
          </cell>
          <cell r="E5039" t="str">
            <v>Ávila Fidel</v>
          </cell>
          <cell r="F5039">
            <v>300</v>
          </cell>
          <cell r="G5039">
            <v>1</v>
          </cell>
          <cell r="H5039">
            <v>400</v>
          </cell>
          <cell r="I5039">
            <v>41917</v>
          </cell>
          <cell r="J5039">
            <v>0</v>
          </cell>
          <cell r="W5039">
            <v>0</v>
          </cell>
          <cell r="AJ5039">
            <v>0</v>
          </cell>
          <cell r="AT5039">
            <v>400</v>
          </cell>
          <cell r="AW5039">
            <v>400</v>
          </cell>
        </row>
        <row r="5040">
          <cell r="B5040">
            <v>8034</v>
          </cell>
          <cell r="C5040" t="str">
            <v>EP_18_</v>
          </cell>
          <cell r="D5040" t="str">
            <v>Rancho Estopila No. 18</v>
          </cell>
          <cell r="E5040" t="str">
            <v>Aguilar Zarmeño</v>
          </cell>
          <cell r="F5040">
            <v>300</v>
          </cell>
          <cell r="G5040">
            <v>1</v>
          </cell>
          <cell r="H5040">
            <v>1200</v>
          </cell>
          <cell r="I5040">
            <v>41917</v>
          </cell>
          <cell r="J5040">
            <v>0</v>
          </cell>
          <cell r="W5040">
            <v>0</v>
          </cell>
          <cell r="AJ5040">
            <v>0</v>
          </cell>
          <cell r="AS5040">
            <v>400</v>
          </cell>
          <cell r="AT5040">
            <v>400</v>
          </cell>
          <cell r="AU5040">
            <v>400</v>
          </cell>
          <cell r="AW5040">
            <v>1200</v>
          </cell>
        </row>
        <row r="5041">
          <cell r="B5041">
            <v>8035</v>
          </cell>
          <cell r="C5041" t="str">
            <v>UP_76_</v>
          </cell>
          <cell r="D5041" t="str">
            <v>Rancho Upácuaro No. 76</v>
          </cell>
          <cell r="E5041" t="str">
            <v>Ruiz de San Pedro</v>
          </cell>
          <cell r="F5041">
            <v>300</v>
          </cell>
          <cell r="G5041">
            <v>1</v>
          </cell>
          <cell r="H5041">
            <v>400</v>
          </cell>
          <cell r="I5041">
            <v>41917</v>
          </cell>
          <cell r="J5041">
            <v>0</v>
          </cell>
          <cell r="W5041">
            <v>0</v>
          </cell>
          <cell r="AJ5041">
            <v>0</v>
          </cell>
          <cell r="AT5041">
            <v>400</v>
          </cell>
          <cell r="AW5041">
            <v>400</v>
          </cell>
        </row>
        <row r="5042">
          <cell r="B5042">
            <v>8036</v>
          </cell>
          <cell r="C5042" t="str">
            <v>EP_18_</v>
          </cell>
          <cell r="D5042" t="str">
            <v>Rancho Estopila No. 18</v>
          </cell>
          <cell r="E5042" t="str">
            <v>Aguilar Zarmeño</v>
          </cell>
          <cell r="F5042">
            <v>300</v>
          </cell>
          <cell r="G5042">
            <v>5</v>
          </cell>
          <cell r="H5042">
            <v>20</v>
          </cell>
          <cell r="I5042">
            <v>41917</v>
          </cell>
          <cell r="J5042" t="str">
            <v>NO SUMA</v>
          </cell>
          <cell r="W5042">
            <v>0</v>
          </cell>
          <cell r="AJ5042">
            <v>0</v>
          </cell>
          <cell r="AW5042">
            <v>0</v>
          </cell>
        </row>
        <row r="5043">
          <cell r="B5043">
            <v>8036</v>
          </cell>
          <cell r="C5043" t="str">
            <v>EP_18_</v>
          </cell>
          <cell r="D5043" t="str">
            <v>Rancho Estopila No. 18</v>
          </cell>
          <cell r="E5043" t="str">
            <v>Aguilar Zarmeño</v>
          </cell>
          <cell r="F5043">
            <v>300</v>
          </cell>
          <cell r="G5043">
            <v>5</v>
          </cell>
          <cell r="H5043">
            <v>20</v>
          </cell>
          <cell r="I5043">
            <v>41917</v>
          </cell>
          <cell r="J5043" t="str">
            <v>NO SUMA</v>
          </cell>
          <cell r="W5043">
            <v>0</v>
          </cell>
          <cell r="AJ5043">
            <v>0</v>
          </cell>
          <cell r="AW5043">
            <v>0</v>
          </cell>
        </row>
        <row r="5044">
          <cell r="B5044">
            <v>8037</v>
          </cell>
          <cell r="C5044" t="str">
            <v>CL_21_</v>
          </cell>
          <cell r="D5044" t="str">
            <v>Rancho La Cuchilla No. 21</v>
          </cell>
          <cell r="E5044" t="str">
            <v>Solórzano Calderón</v>
          </cell>
          <cell r="F5044">
            <v>300</v>
          </cell>
          <cell r="G5044">
            <v>5</v>
          </cell>
          <cell r="H5044">
            <v>20</v>
          </cell>
          <cell r="I5044">
            <v>41917</v>
          </cell>
          <cell r="J5044" t="str">
            <v>NO SUMA</v>
          </cell>
          <cell r="W5044">
            <v>0</v>
          </cell>
          <cell r="AJ5044">
            <v>0</v>
          </cell>
          <cell r="AW5044">
            <v>0</v>
          </cell>
        </row>
        <row r="5045">
          <cell r="B5045">
            <v>8037</v>
          </cell>
          <cell r="C5045" t="str">
            <v>CL_21_</v>
          </cell>
          <cell r="D5045" t="str">
            <v>Rancho La Cuchilla No. 21</v>
          </cell>
          <cell r="E5045" t="str">
            <v>Solórzano Calderón</v>
          </cell>
          <cell r="F5045">
            <v>300</v>
          </cell>
          <cell r="G5045">
            <v>5</v>
          </cell>
          <cell r="H5045">
            <v>20</v>
          </cell>
          <cell r="I5045">
            <v>41917</v>
          </cell>
          <cell r="J5045" t="str">
            <v>NO SUMA</v>
          </cell>
          <cell r="W5045">
            <v>0</v>
          </cell>
          <cell r="AJ5045">
            <v>0</v>
          </cell>
          <cell r="AW5045">
            <v>0</v>
          </cell>
        </row>
        <row r="5046">
          <cell r="B5046">
            <v>8037</v>
          </cell>
          <cell r="C5046" t="str">
            <v>CL_21_</v>
          </cell>
          <cell r="D5046" t="str">
            <v>Rancho La Cuchilla No. 21</v>
          </cell>
          <cell r="E5046" t="str">
            <v>Solórzano Calderón</v>
          </cell>
          <cell r="F5046">
            <v>300</v>
          </cell>
          <cell r="G5046">
            <v>5</v>
          </cell>
          <cell r="H5046">
            <v>20</v>
          </cell>
          <cell r="I5046">
            <v>41917</v>
          </cell>
          <cell r="J5046" t="str">
            <v>NO SUMA</v>
          </cell>
          <cell r="W5046">
            <v>0</v>
          </cell>
          <cell r="AJ5046">
            <v>0</v>
          </cell>
          <cell r="AW5046">
            <v>0</v>
          </cell>
        </row>
        <row r="5047">
          <cell r="B5047">
            <v>8037</v>
          </cell>
          <cell r="C5047" t="str">
            <v>CL_21_</v>
          </cell>
          <cell r="D5047" t="str">
            <v>Rancho La Cuchilla No. 21</v>
          </cell>
          <cell r="E5047" t="str">
            <v>Solórzano Calderón</v>
          </cell>
          <cell r="F5047">
            <v>300</v>
          </cell>
          <cell r="G5047">
            <v>5</v>
          </cell>
          <cell r="H5047">
            <v>50</v>
          </cell>
          <cell r="I5047">
            <v>41917</v>
          </cell>
          <cell r="J5047" t="str">
            <v>NO SUMA</v>
          </cell>
          <cell r="W5047">
            <v>0</v>
          </cell>
          <cell r="AJ5047">
            <v>0</v>
          </cell>
          <cell r="AW5047">
            <v>0</v>
          </cell>
        </row>
        <row r="5048">
          <cell r="B5048">
            <v>8037</v>
          </cell>
          <cell r="C5048" t="str">
            <v>CL_21_</v>
          </cell>
          <cell r="D5048" t="str">
            <v>Rancho La Cuchilla No. 21</v>
          </cell>
          <cell r="E5048" t="str">
            <v>Solórzano Calderón</v>
          </cell>
          <cell r="F5048">
            <v>300</v>
          </cell>
          <cell r="G5048">
            <v>5</v>
          </cell>
          <cell r="H5048">
            <v>50</v>
          </cell>
          <cell r="I5048">
            <v>41917</v>
          </cell>
          <cell r="J5048" t="str">
            <v>NO SUMA</v>
          </cell>
          <cell r="W5048">
            <v>0</v>
          </cell>
          <cell r="AJ5048">
            <v>0</v>
          </cell>
          <cell r="AW5048">
            <v>0</v>
          </cell>
        </row>
        <row r="5049">
          <cell r="B5049">
            <v>8037</v>
          </cell>
          <cell r="C5049" t="str">
            <v>CL_21_</v>
          </cell>
          <cell r="D5049" t="str">
            <v>Rancho La Cuchilla No. 21</v>
          </cell>
          <cell r="E5049" t="str">
            <v>Solórzano Calderón</v>
          </cell>
          <cell r="F5049">
            <v>300</v>
          </cell>
          <cell r="G5049">
            <v>5</v>
          </cell>
          <cell r="H5049">
            <v>50</v>
          </cell>
          <cell r="I5049">
            <v>41917</v>
          </cell>
          <cell r="J5049" t="str">
            <v>NO SUMA</v>
          </cell>
          <cell r="W5049">
            <v>0</v>
          </cell>
          <cell r="AJ5049">
            <v>0</v>
          </cell>
          <cell r="AW5049">
            <v>0</v>
          </cell>
        </row>
        <row r="5050">
          <cell r="B5050">
            <v>8037</v>
          </cell>
          <cell r="C5050" t="str">
            <v>CL_21_</v>
          </cell>
          <cell r="D5050" t="str">
            <v>Rancho La Cuchilla No. 21</v>
          </cell>
          <cell r="E5050" t="str">
            <v>Solórzano Calderón</v>
          </cell>
          <cell r="F5050">
            <v>300</v>
          </cell>
          <cell r="G5050">
            <v>5</v>
          </cell>
          <cell r="H5050">
            <v>50</v>
          </cell>
          <cell r="I5050">
            <v>41917</v>
          </cell>
          <cell r="J5050" t="str">
            <v>NO SUMA</v>
          </cell>
          <cell r="W5050">
            <v>0</v>
          </cell>
          <cell r="AJ5050">
            <v>0</v>
          </cell>
          <cell r="AW5050">
            <v>0</v>
          </cell>
        </row>
        <row r="5051">
          <cell r="B5051">
            <v>8038</v>
          </cell>
          <cell r="C5051" t="str">
            <v>EZ_139_</v>
          </cell>
          <cell r="D5051" t="str">
            <v>Rancho Estanzuela No. 139</v>
          </cell>
          <cell r="E5051" t="str">
            <v xml:space="preserve">Ortiz   </v>
          </cell>
          <cell r="F5051">
            <v>300</v>
          </cell>
          <cell r="G5051">
            <v>1</v>
          </cell>
          <cell r="H5051">
            <v>400</v>
          </cell>
          <cell r="I5051">
            <v>41917</v>
          </cell>
          <cell r="J5051">
            <v>0</v>
          </cell>
          <cell r="W5051">
            <v>0</v>
          </cell>
          <cell r="AJ5051">
            <v>0</v>
          </cell>
          <cell r="AR5051">
            <v>400</v>
          </cell>
          <cell r="AW5051">
            <v>400</v>
          </cell>
        </row>
        <row r="5052">
          <cell r="B5052">
            <v>8038</v>
          </cell>
          <cell r="C5052" t="str">
            <v>EZ_139_</v>
          </cell>
          <cell r="D5052" t="str">
            <v>Rancho Estanzuela No. 139</v>
          </cell>
          <cell r="E5052" t="str">
            <v xml:space="preserve">Ortiz   </v>
          </cell>
          <cell r="F5052">
            <v>300</v>
          </cell>
          <cell r="G5052">
            <v>5</v>
          </cell>
          <cell r="H5052">
            <v>20</v>
          </cell>
          <cell r="I5052">
            <v>41917</v>
          </cell>
          <cell r="J5052" t="str">
            <v>NO SUMA</v>
          </cell>
          <cell r="W5052">
            <v>0</v>
          </cell>
          <cell r="AJ5052">
            <v>0</v>
          </cell>
          <cell r="AW5052">
            <v>0</v>
          </cell>
        </row>
        <row r="5053">
          <cell r="B5053">
            <v>8039</v>
          </cell>
          <cell r="C5053" t="str">
            <v>EZ_31_</v>
          </cell>
          <cell r="D5053" t="str">
            <v>Rancho Estanzuela No. 31</v>
          </cell>
          <cell r="E5053" t="str">
            <v>Chávez Valdés</v>
          </cell>
          <cell r="F5053">
            <v>300</v>
          </cell>
          <cell r="G5053">
            <v>1</v>
          </cell>
          <cell r="H5053">
            <v>400</v>
          </cell>
          <cell r="I5053">
            <v>41917</v>
          </cell>
          <cell r="J5053">
            <v>0</v>
          </cell>
          <cell r="W5053">
            <v>0</v>
          </cell>
          <cell r="AJ5053">
            <v>0</v>
          </cell>
          <cell r="AS5053">
            <v>400</v>
          </cell>
          <cell r="AW5053">
            <v>400</v>
          </cell>
        </row>
        <row r="5054">
          <cell r="B5054">
            <v>8039</v>
          </cell>
          <cell r="C5054" t="str">
            <v>EZ_31_</v>
          </cell>
          <cell r="D5054" t="str">
            <v>Rancho Estanzuela No. 31</v>
          </cell>
          <cell r="E5054" t="str">
            <v>Chávez Valdés</v>
          </cell>
          <cell r="F5054">
            <v>300</v>
          </cell>
          <cell r="G5054">
            <v>5</v>
          </cell>
          <cell r="H5054">
            <v>50</v>
          </cell>
          <cell r="I5054">
            <v>41917</v>
          </cell>
          <cell r="J5054" t="str">
            <v>NO SUMA</v>
          </cell>
          <cell r="W5054">
            <v>0</v>
          </cell>
          <cell r="AJ5054">
            <v>0</v>
          </cell>
          <cell r="AW5054">
            <v>0</v>
          </cell>
        </row>
        <row r="5055">
          <cell r="B5055">
            <v>8040</v>
          </cell>
          <cell r="C5055" t="str">
            <v>CL_43_B</v>
          </cell>
          <cell r="D5055" t="str">
            <v>Rancho La Cuchilla No. 43, B</v>
          </cell>
          <cell r="E5055" t="str">
            <v>Luna Albertano</v>
          </cell>
          <cell r="F5055">
            <v>125</v>
          </cell>
          <cell r="G5055">
            <v>1</v>
          </cell>
          <cell r="H5055">
            <v>125</v>
          </cell>
          <cell r="I5055">
            <v>41917</v>
          </cell>
          <cell r="J5055">
            <v>0</v>
          </cell>
          <cell r="W5055">
            <v>0</v>
          </cell>
          <cell r="AJ5055">
            <v>0</v>
          </cell>
          <cell r="AT5055">
            <v>125</v>
          </cell>
          <cell r="AW5055">
            <v>125</v>
          </cell>
        </row>
        <row r="5056">
          <cell r="B5056">
            <v>8041</v>
          </cell>
          <cell r="C5056" t="str">
            <v>UP_120_</v>
          </cell>
          <cell r="D5056" t="str">
            <v>Rancho Upácuaro No. 120</v>
          </cell>
          <cell r="E5056" t="str">
            <v>Rayas Rivera</v>
          </cell>
          <cell r="F5056">
            <v>300</v>
          </cell>
          <cell r="G5056">
            <v>1</v>
          </cell>
          <cell r="H5056">
            <v>400</v>
          </cell>
          <cell r="I5056">
            <v>41917</v>
          </cell>
          <cell r="J5056">
            <v>0</v>
          </cell>
          <cell r="W5056">
            <v>0</v>
          </cell>
          <cell r="AJ5056">
            <v>0</v>
          </cell>
          <cell r="AT5056">
            <v>400</v>
          </cell>
          <cell r="AW5056">
            <v>400</v>
          </cell>
        </row>
        <row r="5057">
          <cell r="B5057">
            <v>8042</v>
          </cell>
          <cell r="C5057" t="str">
            <v>CL_81_A</v>
          </cell>
          <cell r="D5057" t="str">
            <v>Rancho La Cuchilla No. 81, A</v>
          </cell>
          <cell r="E5057" t="str">
            <v>Barrientos López</v>
          </cell>
          <cell r="F5057">
            <v>300</v>
          </cell>
          <cell r="G5057">
            <v>1</v>
          </cell>
          <cell r="H5057">
            <v>400</v>
          </cell>
          <cell r="I5057">
            <v>41917</v>
          </cell>
          <cell r="J5057">
            <v>0</v>
          </cell>
          <cell r="W5057">
            <v>0</v>
          </cell>
          <cell r="AJ5057">
            <v>0</v>
          </cell>
          <cell r="AT5057">
            <v>400</v>
          </cell>
          <cell r="AW5057">
            <v>400</v>
          </cell>
        </row>
        <row r="5058">
          <cell r="B5058">
            <v>8043</v>
          </cell>
          <cell r="C5058" t="str">
            <v>CL_14_</v>
          </cell>
          <cell r="D5058" t="str">
            <v>Rancho La Cuchilla No. 14</v>
          </cell>
          <cell r="E5058" t="str">
            <v>Chávez Lara</v>
          </cell>
          <cell r="F5058">
            <v>300</v>
          </cell>
          <cell r="G5058">
            <v>1</v>
          </cell>
          <cell r="H5058">
            <v>800</v>
          </cell>
          <cell r="I5058">
            <v>41917</v>
          </cell>
          <cell r="J5058">
            <v>0</v>
          </cell>
          <cell r="W5058">
            <v>0</v>
          </cell>
          <cell r="AJ5058">
            <v>0</v>
          </cell>
          <cell r="AU5058">
            <v>400</v>
          </cell>
          <cell r="AV5058">
            <v>400</v>
          </cell>
          <cell r="AW5058">
            <v>800</v>
          </cell>
        </row>
        <row r="5059">
          <cell r="B5059">
            <v>8044</v>
          </cell>
          <cell r="C5059" t="str">
            <v>CL_19_</v>
          </cell>
          <cell r="D5059" t="str">
            <v>Rancho La Cuchilla No. 19</v>
          </cell>
          <cell r="E5059" t="str">
            <v>Tapia Vázquez</v>
          </cell>
          <cell r="F5059">
            <v>300</v>
          </cell>
          <cell r="G5059">
            <v>1</v>
          </cell>
          <cell r="H5059">
            <v>300</v>
          </cell>
          <cell r="I5059">
            <v>41917</v>
          </cell>
          <cell r="J5059">
            <v>0</v>
          </cell>
          <cell r="W5059">
            <v>0</v>
          </cell>
          <cell r="AJ5059">
            <v>0</v>
          </cell>
          <cell r="AT5059">
            <v>300</v>
          </cell>
          <cell r="AW5059">
            <v>300</v>
          </cell>
        </row>
        <row r="5060">
          <cell r="B5060">
            <v>8045</v>
          </cell>
          <cell r="C5060" t="str">
            <v>LD_71_</v>
          </cell>
          <cell r="D5060" t="str">
            <v>Rancho Landero No. 71</v>
          </cell>
          <cell r="E5060" t="str">
            <v>Cabrera Balcázar</v>
          </cell>
          <cell r="F5060">
            <v>300</v>
          </cell>
          <cell r="G5060">
            <v>5</v>
          </cell>
          <cell r="H5060">
            <v>20</v>
          </cell>
          <cell r="I5060">
            <v>41917</v>
          </cell>
          <cell r="J5060" t="str">
            <v>NO SUMA</v>
          </cell>
          <cell r="W5060">
            <v>0</v>
          </cell>
          <cell r="AJ5060">
            <v>0</v>
          </cell>
          <cell r="AW5060">
            <v>0</v>
          </cell>
        </row>
        <row r="5061">
          <cell r="B5061">
            <v>8046</v>
          </cell>
          <cell r="C5061" t="str">
            <v>EP_18_</v>
          </cell>
          <cell r="D5061" t="str">
            <v>Rancho Estopila No. 18</v>
          </cell>
          <cell r="E5061" t="str">
            <v>Aguilar Zarmeño</v>
          </cell>
          <cell r="F5061">
            <v>300</v>
          </cell>
          <cell r="G5061">
            <v>5</v>
          </cell>
          <cell r="H5061">
            <v>20</v>
          </cell>
          <cell r="I5061">
            <v>41917</v>
          </cell>
          <cell r="J5061" t="str">
            <v>NO SUMA</v>
          </cell>
          <cell r="W5061">
            <v>0</v>
          </cell>
          <cell r="AJ5061">
            <v>0</v>
          </cell>
          <cell r="AW5061">
            <v>0</v>
          </cell>
        </row>
        <row r="5062">
          <cell r="B5062">
            <v>8046</v>
          </cell>
          <cell r="C5062" t="str">
            <v>EP_18_</v>
          </cell>
          <cell r="D5062" t="str">
            <v>Rancho Estopila No. 18</v>
          </cell>
          <cell r="E5062" t="str">
            <v>Aguilar Zarmeño</v>
          </cell>
          <cell r="F5062">
            <v>300</v>
          </cell>
          <cell r="G5062">
            <v>5</v>
          </cell>
          <cell r="H5062">
            <v>50</v>
          </cell>
          <cell r="I5062">
            <v>41917</v>
          </cell>
          <cell r="J5062" t="str">
            <v>NO SUMA</v>
          </cell>
          <cell r="W5062">
            <v>0</v>
          </cell>
          <cell r="AJ5062">
            <v>0</v>
          </cell>
          <cell r="AW5062">
            <v>0</v>
          </cell>
        </row>
        <row r="5063">
          <cell r="B5063">
            <v>8046</v>
          </cell>
          <cell r="C5063" t="str">
            <v>EP_18_</v>
          </cell>
          <cell r="D5063" t="str">
            <v>Rancho Estopila No. 18</v>
          </cell>
          <cell r="E5063" t="str">
            <v>Aguilar Zarmeño</v>
          </cell>
          <cell r="F5063">
            <v>300</v>
          </cell>
          <cell r="G5063">
            <v>5</v>
          </cell>
          <cell r="H5063">
            <v>50</v>
          </cell>
          <cell r="I5063">
            <v>41917</v>
          </cell>
          <cell r="J5063" t="str">
            <v>NO SUMA</v>
          </cell>
          <cell r="W5063">
            <v>0</v>
          </cell>
          <cell r="AJ5063">
            <v>0</v>
          </cell>
          <cell r="AW5063">
            <v>0</v>
          </cell>
        </row>
        <row r="5064">
          <cell r="B5064">
            <v>8047</v>
          </cell>
          <cell r="C5064" t="str">
            <v>RM_17_</v>
          </cell>
          <cell r="D5064" t="str">
            <v>Rancho Romeral No. 17</v>
          </cell>
          <cell r="E5064" t="str">
            <v>Aguilar Lomelí</v>
          </cell>
          <cell r="F5064">
            <v>300</v>
          </cell>
          <cell r="G5064">
            <v>1</v>
          </cell>
          <cell r="H5064">
            <v>400</v>
          </cell>
          <cell r="I5064">
            <v>41917</v>
          </cell>
          <cell r="J5064">
            <v>0</v>
          </cell>
          <cell r="W5064">
            <v>0</v>
          </cell>
          <cell r="AJ5064">
            <v>0</v>
          </cell>
          <cell r="AT5064">
            <v>400</v>
          </cell>
          <cell r="AW5064">
            <v>400</v>
          </cell>
        </row>
        <row r="5065">
          <cell r="B5065">
            <v>8048</v>
          </cell>
          <cell r="C5065" t="str">
            <v>RV_193_</v>
          </cell>
          <cell r="D5065" t="str">
            <v>Rancho Recoveco No. 193</v>
          </cell>
          <cell r="E5065" t="str">
            <v>Salazar Pérez</v>
          </cell>
          <cell r="F5065">
            <v>300</v>
          </cell>
          <cell r="G5065">
            <v>1</v>
          </cell>
          <cell r="H5065">
            <v>800</v>
          </cell>
          <cell r="I5065">
            <v>41917</v>
          </cell>
          <cell r="J5065">
            <v>0</v>
          </cell>
          <cell r="W5065">
            <v>0</v>
          </cell>
          <cell r="AJ5065">
            <v>0</v>
          </cell>
          <cell r="AS5065">
            <v>400</v>
          </cell>
          <cell r="AT5065">
            <v>400</v>
          </cell>
          <cell r="AW5065">
            <v>800</v>
          </cell>
        </row>
        <row r="5066">
          <cell r="B5066">
            <v>8049</v>
          </cell>
          <cell r="C5066" t="str">
            <v>RV_179_</v>
          </cell>
          <cell r="D5066" t="str">
            <v>Rancho Recoveco No. 179</v>
          </cell>
          <cell r="E5066" t="str">
            <v>Flores Delgado</v>
          </cell>
          <cell r="F5066">
            <v>300</v>
          </cell>
          <cell r="G5066">
            <v>1</v>
          </cell>
          <cell r="H5066">
            <v>400</v>
          </cell>
          <cell r="I5066">
            <v>41917</v>
          </cell>
          <cell r="J5066">
            <v>0</v>
          </cell>
          <cell r="W5066">
            <v>0</v>
          </cell>
          <cell r="AJ5066">
            <v>0</v>
          </cell>
          <cell r="AT5066">
            <v>400</v>
          </cell>
          <cell r="AW5066">
            <v>400</v>
          </cell>
        </row>
        <row r="5067">
          <cell r="B5067">
            <v>8050</v>
          </cell>
          <cell r="C5067" t="str">
            <v>UP_70_</v>
          </cell>
          <cell r="D5067" t="str">
            <v>Rancho Upácuaro No. 70</v>
          </cell>
          <cell r="E5067" t="str">
            <v>Ramírez Tejeda</v>
          </cell>
          <cell r="F5067">
            <v>300</v>
          </cell>
          <cell r="G5067">
            <v>1</v>
          </cell>
          <cell r="H5067">
            <v>300</v>
          </cell>
          <cell r="I5067">
            <v>41917</v>
          </cell>
          <cell r="J5067">
            <v>0</v>
          </cell>
          <cell r="W5067">
            <v>0</v>
          </cell>
          <cell r="AJ5067">
            <v>0</v>
          </cell>
          <cell r="AT5067">
            <v>300</v>
          </cell>
          <cell r="AW5067">
            <v>300</v>
          </cell>
        </row>
        <row r="5068">
          <cell r="B5068">
            <v>8051</v>
          </cell>
          <cell r="C5068" t="str">
            <v>CL_41_</v>
          </cell>
          <cell r="D5068" t="str">
            <v>Rancho La Cuchilla No. 41</v>
          </cell>
          <cell r="E5068" t="str">
            <v>Arriaga Lemus</v>
          </cell>
          <cell r="F5068">
            <v>250</v>
          </cell>
          <cell r="G5068">
            <v>1</v>
          </cell>
          <cell r="H5068">
            <v>400</v>
          </cell>
          <cell r="I5068">
            <v>41917</v>
          </cell>
          <cell r="J5068">
            <v>0</v>
          </cell>
          <cell r="W5068">
            <v>0</v>
          </cell>
          <cell r="AJ5068">
            <v>0</v>
          </cell>
          <cell r="AT5068">
            <v>400</v>
          </cell>
          <cell r="AW5068">
            <v>400</v>
          </cell>
        </row>
        <row r="5069">
          <cell r="B5069">
            <v>8051</v>
          </cell>
          <cell r="C5069" t="str">
            <v>CL_41_</v>
          </cell>
          <cell r="D5069" t="str">
            <v>Rancho La Cuchilla No. 41</v>
          </cell>
          <cell r="E5069" t="str">
            <v>Arriaga Lemus</v>
          </cell>
          <cell r="F5069">
            <v>250</v>
          </cell>
          <cell r="G5069">
            <v>5</v>
          </cell>
          <cell r="H5069">
            <v>20</v>
          </cell>
          <cell r="I5069">
            <v>41917</v>
          </cell>
          <cell r="J5069" t="str">
            <v>NO SUMA</v>
          </cell>
          <cell r="W5069">
            <v>0</v>
          </cell>
          <cell r="AJ5069">
            <v>0</v>
          </cell>
          <cell r="AW5069">
            <v>0</v>
          </cell>
        </row>
        <row r="5070">
          <cell r="B5070">
            <v>8051</v>
          </cell>
          <cell r="C5070" t="str">
            <v>CL_41_</v>
          </cell>
          <cell r="D5070" t="str">
            <v>Rancho La Cuchilla No. 41</v>
          </cell>
          <cell r="E5070" t="str">
            <v>Arriaga Lemus</v>
          </cell>
          <cell r="F5070">
            <v>250</v>
          </cell>
          <cell r="G5070">
            <v>5</v>
          </cell>
          <cell r="H5070">
            <v>20</v>
          </cell>
          <cell r="I5070">
            <v>41917</v>
          </cell>
          <cell r="J5070" t="str">
            <v>NO SUMA</v>
          </cell>
          <cell r="W5070">
            <v>0</v>
          </cell>
          <cell r="AJ5070">
            <v>0</v>
          </cell>
          <cell r="AW5070">
            <v>0</v>
          </cell>
        </row>
        <row r="5071">
          <cell r="B5071">
            <v>8051</v>
          </cell>
          <cell r="C5071" t="str">
            <v>CL_41_</v>
          </cell>
          <cell r="D5071" t="str">
            <v>Rancho La Cuchilla No. 41</v>
          </cell>
          <cell r="E5071" t="str">
            <v>Arriaga Lemus</v>
          </cell>
          <cell r="F5071">
            <v>250</v>
          </cell>
          <cell r="G5071">
            <v>5</v>
          </cell>
          <cell r="H5071">
            <v>20</v>
          </cell>
          <cell r="I5071">
            <v>41917</v>
          </cell>
          <cell r="J5071" t="str">
            <v>NO SUMA</v>
          </cell>
          <cell r="W5071">
            <v>0</v>
          </cell>
          <cell r="AJ5071">
            <v>0</v>
          </cell>
          <cell r="AW5071">
            <v>0</v>
          </cell>
        </row>
        <row r="5072">
          <cell r="B5072">
            <v>8052</v>
          </cell>
          <cell r="C5072" t="str">
            <v>LD_76_</v>
          </cell>
          <cell r="D5072" t="str">
            <v>Rancho Landero No. 76</v>
          </cell>
          <cell r="E5072" t="str">
            <v>Ugarte</v>
          </cell>
          <cell r="F5072">
            <v>300</v>
          </cell>
          <cell r="G5072">
            <v>1</v>
          </cell>
          <cell r="H5072">
            <v>400</v>
          </cell>
          <cell r="I5072">
            <v>41917</v>
          </cell>
          <cell r="J5072">
            <v>0</v>
          </cell>
          <cell r="W5072">
            <v>0</v>
          </cell>
          <cell r="AJ5072">
            <v>0</v>
          </cell>
          <cell r="AT5072">
            <v>400</v>
          </cell>
          <cell r="AW5072">
            <v>400</v>
          </cell>
        </row>
        <row r="5073">
          <cell r="B5073">
            <v>8052</v>
          </cell>
          <cell r="C5073" t="str">
            <v>LD_76_</v>
          </cell>
          <cell r="D5073" t="str">
            <v>Rancho Landero No. 76</v>
          </cell>
          <cell r="E5073" t="str">
            <v>Ugarte</v>
          </cell>
          <cell r="F5073">
            <v>300</v>
          </cell>
          <cell r="G5073">
            <v>5</v>
          </cell>
          <cell r="H5073">
            <v>20</v>
          </cell>
          <cell r="I5073">
            <v>41917</v>
          </cell>
          <cell r="J5073" t="str">
            <v>NO SUMA</v>
          </cell>
          <cell r="W5073">
            <v>0</v>
          </cell>
          <cell r="AJ5073">
            <v>0</v>
          </cell>
          <cell r="AW5073">
            <v>0</v>
          </cell>
        </row>
        <row r="5074">
          <cell r="B5074">
            <v>8052</v>
          </cell>
          <cell r="C5074" t="str">
            <v>LD_76_</v>
          </cell>
          <cell r="D5074" t="str">
            <v>Rancho Landero No. 76</v>
          </cell>
          <cell r="E5074" t="str">
            <v>Ugarte</v>
          </cell>
          <cell r="F5074">
            <v>300</v>
          </cell>
          <cell r="G5074">
            <v>5</v>
          </cell>
          <cell r="H5074">
            <v>20</v>
          </cell>
          <cell r="I5074">
            <v>41917</v>
          </cell>
          <cell r="J5074" t="str">
            <v>NO SUMA</v>
          </cell>
          <cell r="W5074">
            <v>0</v>
          </cell>
          <cell r="AJ5074">
            <v>0</v>
          </cell>
          <cell r="AW5074">
            <v>0</v>
          </cell>
        </row>
        <row r="5075">
          <cell r="B5075">
            <v>8052</v>
          </cell>
          <cell r="C5075" t="str">
            <v>LD_76_</v>
          </cell>
          <cell r="D5075" t="str">
            <v>Rancho Landero No. 76</v>
          </cell>
          <cell r="E5075" t="str">
            <v>Ugarte</v>
          </cell>
          <cell r="F5075">
            <v>300</v>
          </cell>
          <cell r="G5075">
            <v>5</v>
          </cell>
          <cell r="H5075">
            <v>20</v>
          </cell>
          <cell r="I5075">
            <v>41917</v>
          </cell>
          <cell r="J5075" t="str">
            <v>NO SUMA</v>
          </cell>
          <cell r="W5075">
            <v>0</v>
          </cell>
          <cell r="AJ5075">
            <v>0</v>
          </cell>
          <cell r="AW5075">
            <v>0</v>
          </cell>
        </row>
        <row r="5076">
          <cell r="B5076">
            <v>8053</v>
          </cell>
          <cell r="C5076" t="str">
            <v>EZ_47_</v>
          </cell>
          <cell r="D5076" t="str">
            <v>Rancho Estanzuela No. 47</v>
          </cell>
          <cell r="E5076" t="str">
            <v>Bussey García</v>
          </cell>
          <cell r="F5076">
            <v>300</v>
          </cell>
          <cell r="G5076">
            <v>1</v>
          </cell>
          <cell r="H5076">
            <v>400</v>
          </cell>
          <cell r="I5076">
            <v>41917</v>
          </cell>
          <cell r="J5076">
            <v>0</v>
          </cell>
          <cell r="W5076">
            <v>0</v>
          </cell>
          <cell r="AJ5076">
            <v>0</v>
          </cell>
          <cell r="AT5076">
            <v>400</v>
          </cell>
          <cell r="AW5076">
            <v>400</v>
          </cell>
        </row>
        <row r="5077">
          <cell r="B5077">
            <v>8054</v>
          </cell>
          <cell r="C5077" t="str">
            <v>LD_51_</v>
          </cell>
          <cell r="D5077" t="str">
            <v>Rancho Landero No. 51</v>
          </cell>
          <cell r="E5077" t="str">
            <v>H. Robles Tamayo</v>
          </cell>
          <cell r="F5077">
            <v>300</v>
          </cell>
          <cell r="G5077">
            <v>1</v>
          </cell>
          <cell r="H5077">
            <v>800</v>
          </cell>
          <cell r="I5077">
            <v>41917</v>
          </cell>
          <cell r="J5077">
            <v>0</v>
          </cell>
          <cell r="W5077">
            <v>0</v>
          </cell>
          <cell r="AJ5077">
            <v>0</v>
          </cell>
          <cell r="AR5077">
            <v>400</v>
          </cell>
          <cell r="AS5077">
            <v>400</v>
          </cell>
          <cell r="AW5077">
            <v>800</v>
          </cell>
        </row>
        <row r="5078">
          <cell r="B5078">
            <v>8055</v>
          </cell>
          <cell r="C5078" t="str">
            <v>LD_81_</v>
          </cell>
          <cell r="D5078" t="str">
            <v>Rancho Landero No. 81</v>
          </cell>
          <cell r="E5078" t="str">
            <v>Cebrían Saldaña</v>
          </cell>
          <cell r="F5078">
            <v>300</v>
          </cell>
          <cell r="G5078">
            <v>1</v>
          </cell>
          <cell r="H5078">
            <v>200</v>
          </cell>
          <cell r="I5078">
            <v>41917</v>
          </cell>
          <cell r="J5078">
            <v>0</v>
          </cell>
          <cell r="W5078">
            <v>0</v>
          </cell>
          <cell r="AJ5078">
            <v>0</v>
          </cell>
          <cell r="AT5078">
            <v>200</v>
          </cell>
          <cell r="AW5078">
            <v>200</v>
          </cell>
        </row>
        <row r="5079">
          <cell r="B5079">
            <v>8056</v>
          </cell>
          <cell r="C5079" t="str">
            <v>ZB_44_</v>
          </cell>
          <cell r="D5079" t="str">
            <v>Rancho Zinamba No. 44</v>
          </cell>
          <cell r="E5079" t="str">
            <v>Canales</v>
          </cell>
          <cell r="F5079">
            <v>300</v>
          </cell>
          <cell r="G5079">
            <v>1</v>
          </cell>
          <cell r="H5079">
            <v>400</v>
          </cell>
          <cell r="I5079">
            <v>41917</v>
          </cell>
          <cell r="J5079">
            <v>0</v>
          </cell>
          <cell r="W5079">
            <v>0</v>
          </cell>
          <cell r="AJ5079">
            <v>0</v>
          </cell>
          <cell r="AT5079">
            <v>400</v>
          </cell>
          <cell r="AW5079">
            <v>400</v>
          </cell>
        </row>
        <row r="5080">
          <cell r="B5080">
            <v>8057</v>
          </cell>
          <cell r="C5080" t="str">
            <v>CL_82_</v>
          </cell>
          <cell r="D5080" t="str">
            <v>Rancho La Cuchilla No. 82</v>
          </cell>
          <cell r="E5080" t="str">
            <v>Cruz</v>
          </cell>
          <cell r="F5080">
            <v>300</v>
          </cell>
          <cell r="G5080">
            <v>1</v>
          </cell>
          <cell r="H5080">
            <v>1200</v>
          </cell>
          <cell r="I5080">
            <v>41917</v>
          </cell>
          <cell r="J5080">
            <v>0</v>
          </cell>
          <cell r="W5080">
            <v>0</v>
          </cell>
          <cell r="AJ5080">
            <v>0</v>
          </cell>
          <cell r="AR5080">
            <v>400</v>
          </cell>
          <cell r="AS5080">
            <v>400</v>
          </cell>
          <cell r="AT5080">
            <v>400</v>
          </cell>
          <cell r="AW5080">
            <v>1200</v>
          </cell>
        </row>
        <row r="5081">
          <cell r="B5081">
            <v>8058</v>
          </cell>
          <cell r="C5081" t="str">
            <v>CL_82_</v>
          </cell>
          <cell r="D5081" t="str">
            <v>Rancho La Cuchilla No. 82</v>
          </cell>
          <cell r="E5081" t="str">
            <v>Cruz</v>
          </cell>
          <cell r="F5081">
            <v>300</v>
          </cell>
          <cell r="G5081">
            <v>5</v>
          </cell>
          <cell r="H5081">
            <v>20</v>
          </cell>
          <cell r="I5081">
            <v>41917</v>
          </cell>
          <cell r="J5081" t="str">
            <v>NO SUMA</v>
          </cell>
          <cell r="W5081">
            <v>0</v>
          </cell>
          <cell r="AJ5081">
            <v>0</v>
          </cell>
          <cell r="AW5081">
            <v>0</v>
          </cell>
        </row>
        <row r="5082">
          <cell r="B5082">
            <v>8058</v>
          </cell>
          <cell r="C5082" t="str">
            <v>CL_82_</v>
          </cell>
          <cell r="D5082" t="str">
            <v>Rancho La Cuchilla No. 82</v>
          </cell>
          <cell r="E5082" t="str">
            <v>Cruz</v>
          </cell>
          <cell r="F5082">
            <v>300</v>
          </cell>
          <cell r="G5082">
            <v>5</v>
          </cell>
          <cell r="H5082">
            <v>20</v>
          </cell>
          <cell r="I5082">
            <v>41917</v>
          </cell>
          <cell r="J5082" t="str">
            <v>NO SUMA</v>
          </cell>
          <cell r="W5082">
            <v>0</v>
          </cell>
          <cell r="AJ5082">
            <v>0</v>
          </cell>
          <cell r="AW5082">
            <v>0</v>
          </cell>
        </row>
        <row r="5083">
          <cell r="B5083">
            <v>8058</v>
          </cell>
          <cell r="C5083" t="str">
            <v>CL_82_</v>
          </cell>
          <cell r="D5083" t="str">
            <v>Rancho La Cuchilla No. 82</v>
          </cell>
          <cell r="E5083" t="str">
            <v>Cruz</v>
          </cell>
          <cell r="F5083">
            <v>300</v>
          </cell>
          <cell r="G5083">
            <v>5</v>
          </cell>
          <cell r="H5083">
            <v>20</v>
          </cell>
          <cell r="I5083">
            <v>41917</v>
          </cell>
          <cell r="J5083" t="str">
            <v>NO SUMA</v>
          </cell>
          <cell r="W5083">
            <v>0</v>
          </cell>
          <cell r="AJ5083">
            <v>0</v>
          </cell>
          <cell r="AW5083">
            <v>0</v>
          </cell>
        </row>
        <row r="5084">
          <cell r="B5084">
            <v>8059</v>
          </cell>
          <cell r="C5084" t="str">
            <v>EZ_47_</v>
          </cell>
          <cell r="D5084" t="str">
            <v>Rancho Estanzuela No. 47</v>
          </cell>
          <cell r="E5084" t="str">
            <v>Bussey García</v>
          </cell>
          <cell r="F5084">
            <v>300</v>
          </cell>
          <cell r="G5084">
            <v>5</v>
          </cell>
          <cell r="H5084">
            <v>20</v>
          </cell>
          <cell r="I5084">
            <v>41917</v>
          </cell>
          <cell r="J5084" t="str">
            <v>NO SUMA</v>
          </cell>
          <cell r="W5084">
            <v>0</v>
          </cell>
          <cell r="AJ5084">
            <v>0</v>
          </cell>
          <cell r="AW5084">
            <v>0</v>
          </cell>
        </row>
        <row r="5085">
          <cell r="B5085">
            <v>8059</v>
          </cell>
          <cell r="C5085" t="str">
            <v>EZ_47_</v>
          </cell>
          <cell r="D5085" t="str">
            <v>Rancho Estanzuela No. 47</v>
          </cell>
          <cell r="E5085" t="str">
            <v>Bussey García</v>
          </cell>
          <cell r="F5085">
            <v>300</v>
          </cell>
          <cell r="G5085">
            <v>5</v>
          </cell>
          <cell r="H5085">
            <v>20</v>
          </cell>
          <cell r="I5085">
            <v>41917</v>
          </cell>
          <cell r="J5085" t="str">
            <v>NO SUMA</v>
          </cell>
          <cell r="W5085">
            <v>0</v>
          </cell>
          <cell r="AJ5085">
            <v>0</v>
          </cell>
          <cell r="AW5085">
            <v>0</v>
          </cell>
        </row>
        <row r="5086">
          <cell r="B5086">
            <v>8059</v>
          </cell>
          <cell r="C5086" t="str">
            <v>EZ_47_</v>
          </cell>
          <cell r="D5086" t="str">
            <v>Rancho Estanzuela No. 47</v>
          </cell>
          <cell r="E5086" t="str">
            <v>Bussey García</v>
          </cell>
          <cell r="F5086">
            <v>300</v>
          </cell>
          <cell r="G5086">
            <v>5</v>
          </cell>
          <cell r="H5086">
            <v>20</v>
          </cell>
          <cell r="I5086">
            <v>41917</v>
          </cell>
          <cell r="J5086" t="str">
            <v>NO SUMA</v>
          </cell>
          <cell r="W5086">
            <v>0</v>
          </cell>
          <cell r="AJ5086">
            <v>0</v>
          </cell>
          <cell r="AW5086">
            <v>0</v>
          </cell>
        </row>
        <row r="5087">
          <cell r="B5087">
            <v>8059</v>
          </cell>
          <cell r="C5087" t="str">
            <v>EZ_47_</v>
          </cell>
          <cell r="D5087" t="str">
            <v>Rancho Estanzuela No. 47</v>
          </cell>
          <cell r="E5087" t="str">
            <v>Bussey García</v>
          </cell>
          <cell r="F5087">
            <v>300</v>
          </cell>
          <cell r="G5087">
            <v>5</v>
          </cell>
          <cell r="H5087">
            <v>50</v>
          </cell>
          <cell r="I5087">
            <v>41917</v>
          </cell>
          <cell r="J5087" t="str">
            <v>NO SUMA</v>
          </cell>
          <cell r="W5087">
            <v>0</v>
          </cell>
          <cell r="AJ5087">
            <v>0</v>
          </cell>
          <cell r="AW5087">
            <v>0</v>
          </cell>
        </row>
        <row r="5088">
          <cell r="B5088">
            <v>8060</v>
          </cell>
          <cell r="C5088" t="str">
            <v>RV_175_B</v>
          </cell>
          <cell r="D5088" t="str">
            <v>Rancho Recoveco No. 175, B</v>
          </cell>
          <cell r="E5088" t="str">
            <v>García Calderón</v>
          </cell>
          <cell r="F5088">
            <v>150</v>
          </cell>
          <cell r="G5088">
            <v>1</v>
          </cell>
          <cell r="H5088">
            <v>200</v>
          </cell>
          <cell r="I5088">
            <v>41917</v>
          </cell>
          <cell r="J5088">
            <v>0</v>
          </cell>
          <cell r="W5088">
            <v>0</v>
          </cell>
          <cell r="AJ5088">
            <v>0</v>
          </cell>
          <cell r="AT5088">
            <v>200</v>
          </cell>
          <cell r="AW5088">
            <v>200</v>
          </cell>
        </row>
        <row r="5089">
          <cell r="B5089">
            <v>8061</v>
          </cell>
          <cell r="C5089" t="str">
            <v>CL_33_</v>
          </cell>
          <cell r="D5089" t="str">
            <v>Rancho La Cuchilla No. 33</v>
          </cell>
          <cell r="E5089" t="str">
            <v>Tanús</v>
          </cell>
          <cell r="F5089">
            <v>300</v>
          </cell>
          <cell r="G5089">
            <v>1</v>
          </cell>
          <cell r="H5089">
            <v>400</v>
          </cell>
          <cell r="I5089">
            <v>41917</v>
          </cell>
          <cell r="J5089">
            <v>0</v>
          </cell>
          <cell r="W5089">
            <v>0</v>
          </cell>
          <cell r="AJ5089">
            <v>0</v>
          </cell>
          <cell r="AT5089">
            <v>400</v>
          </cell>
          <cell r="AW5089">
            <v>400</v>
          </cell>
        </row>
        <row r="5090">
          <cell r="B5090">
            <v>8062</v>
          </cell>
          <cell r="C5090" t="str">
            <v>UP_100_</v>
          </cell>
          <cell r="D5090" t="str">
            <v>Rancho Upácuaro No. 100</v>
          </cell>
          <cell r="E5090" t="str">
            <v>Mancera Rodríguez</v>
          </cell>
          <cell r="F5090">
            <v>300</v>
          </cell>
          <cell r="G5090">
            <v>1</v>
          </cell>
          <cell r="H5090">
            <v>400</v>
          </cell>
          <cell r="I5090">
            <v>41917</v>
          </cell>
          <cell r="J5090">
            <v>0</v>
          </cell>
          <cell r="W5090">
            <v>0</v>
          </cell>
          <cell r="AJ5090">
            <v>0</v>
          </cell>
          <cell r="AT5090">
            <v>400</v>
          </cell>
          <cell r="AW5090">
            <v>400</v>
          </cell>
        </row>
        <row r="5091">
          <cell r="B5091">
            <v>8063</v>
          </cell>
          <cell r="C5091" t="str">
            <v>ZB_6_</v>
          </cell>
          <cell r="D5091" t="str">
            <v>Rancho Zinamba No. 6</v>
          </cell>
          <cell r="E5091" t="str">
            <v>Villafaña</v>
          </cell>
          <cell r="F5091">
            <v>300</v>
          </cell>
          <cell r="G5091">
            <v>5</v>
          </cell>
          <cell r="H5091">
            <v>20</v>
          </cell>
          <cell r="I5091">
            <v>41917</v>
          </cell>
          <cell r="J5091" t="str">
            <v>NO SUMA</v>
          </cell>
          <cell r="W5091">
            <v>0</v>
          </cell>
          <cell r="AJ5091">
            <v>0</v>
          </cell>
          <cell r="AW5091">
            <v>0</v>
          </cell>
        </row>
        <row r="5092">
          <cell r="B5092">
            <v>8063</v>
          </cell>
          <cell r="C5092" t="str">
            <v>ZB_6_</v>
          </cell>
          <cell r="D5092" t="str">
            <v>Rancho Zinamba No. 6</v>
          </cell>
          <cell r="E5092" t="str">
            <v>Villafaña</v>
          </cell>
          <cell r="F5092">
            <v>300</v>
          </cell>
          <cell r="G5092">
            <v>5</v>
          </cell>
          <cell r="H5092">
            <v>20</v>
          </cell>
          <cell r="I5092">
            <v>41917</v>
          </cell>
          <cell r="J5092" t="str">
            <v>NO SUMA</v>
          </cell>
          <cell r="W5092">
            <v>0</v>
          </cell>
          <cell r="AJ5092">
            <v>0</v>
          </cell>
          <cell r="AW5092">
            <v>0</v>
          </cell>
        </row>
        <row r="5093">
          <cell r="B5093">
            <v>8064</v>
          </cell>
          <cell r="C5093" t="str">
            <v>CL_89_</v>
          </cell>
          <cell r="D5093" t="str">
            <v>Rancho La Cuchilla No. 89</v>
          </cell>
          <cell r="E5093" t="str">
            <v>Gálvez</v>
          </cell>
          <cell r="F5093">
            <v>300</v>
          </cell>
          <cell r="G5093">
            <v>1</v>
          </cell>
          <cell r="H5093">
            <v>400</v>
          </cell>
          <cell r="I5093">
            <v>41917</v>
          </cell>
          <cell r="J5093">
            <v>0</v>
          </cell>
          <cell r="W5093">
            <v>0</v>
          </cell>
          <cell r="AJ5093">
            <v>0</v>
          </cell>
          <cell r="AT5093">
            <v>400</v>
          </cell>
          <cell r="AW5093">
            <v>400</v>
          </cell>
        </row>
        <row r="5094">
          <cell r="B5094">
            <v>8065</v>
          </cell>
          <cell r="C5094" t="str">
            <v>CL_71_</v>
          </cell>
          <cell r="D5094" t="str">
            <v>Rancho La Cuchilla No. 71</v>
          </cell>
          <cell r="E5094" t="str">
            <v>Pulido</v>
          </cell>
          <cell r="F5094">
            <v>300</v>
          </cell>
          <cell r="G5094">
            <v>1</v>
          </cell>
          <cell r="H5094">
            <v>350</v>
          </cell>
          <cell r="I5094">
            <v>41917</v>
          </cell>
          <cell r="J5094">
            <v>0</v>
          </cell>
          <cell r="W5094">
            <v>0</v>
          </cell>
          <cell r="AJ5094">
            <v>0</v>
          </cell>
          <cell r="AT5094">
            <v>350</v>
          </cell>
          <cell r="AW5094">
            <v>350</v>
          </cell>
        </row>
        <row r="5095">
          <cell r="B5095">
            <v>8065</v>
          </cell>
          <cell r="C5095" t="str">
            <v>CL_71_</v>
          </cell>
          <cell r="D5095" t="str">
            <v>Rancho La Cuchilla No. 71</v>
          </cell>
          <cell r="E5095" t="str">
            <v>Pulido</v>
          </cell>
          <cell r="F5095">
            <v>300</v>
          </cell>
          <cell r="G5095">
            <v>5</v>
          </cell>
          <cell r="H5095">
            <v>20</v>
          </cell>
          <cell r="I5095">
            <v>41917</v>
          </cell>
          <cell r="J5095" t="str">
            <v>NO SUMA</v>
          </cell>
          <cell r="W5095">
            <v>0</v>
          </cell>
          <cell r="AJ5095">
            <v>0</v>
          </cell>
          <cell r="AW5095">
            <v>0</v>
          </cell>
        </row>
        <row r="5096">
          <cell r="B5096">
            <v>8065</v>
          </cell>
          <cell r="C5096" t="str">
            <v>CL_71_</v>
          </cell>
          <cell r="D5096" t="str">
            <v>Rancho La Cuchilla No. 71</v>
          </cell>
          <cell r="E5096" t="str">
            <v>Pulido</v>
          </cell>
          <cell r="F5096">
            <v>300</v>
          </cell>
          <cell r="G5096">
            <v>5</v>
          </cell>
          <cell r="H5096">
            <v>20</v>
          </cell>
          <cell r="I5096">
            <v>41917</v>
          </cell>
          <cell r="J5096" t="str">
            <v>NO SUMA</v>
          </cell>
          <cell r="W5096">
            <v>0</v>
          </cell>
          <cell r="AJ5096">
            <v>0</v>
          </cell>
          <cell r="AW5096">
            <v>0</v>
          </cell>
        </row>
        <row r="5097">
          <cell r="B5097">
            <v>8066</v>
          </cell>
          <cell r="C5097" t="str">
            <v>ZB_56_</v>
          </cell>
          <cell r="D5097" t="str">
            <v>Rancho Zinamba No. 56</v>
          </cell>
          <cell r="E5097" t="str">
            <v>Aguado</v>
          </cell>
          <cell r="F5097">
            <v>250</v>
          </cell>
          <cell r="G5097">
            <v>1</v>
          </cell>
          <cell r="H5097">
            <v>350</v>
          </cell>
          <cell r="I5097">
            <v>41917</v>
          </cell>
          <cell r="J5097">
            <v>0</v>
          </cell>
          <cell r="W5097">
            <v>0</v>
          </cell>
          <cell r="AJ5097">
            <v>0</v>
          </cell>
          <cell r="AT5097">
            <v>350</v>
          </cell>
          <cell r="AW5097">
            <v>350</v>
          </cell>
        </row>
        <row r="5098">
          <cell r="B5098">
            <v>8067</v>
          </cell>
          <cell r="C5098" t="str">
            <v>EZ_55_</v>
          </cell>
          <cell r="D5098" t="str">
            <v>Rancho Estanzuela No. 55</v>
          </cell>
          <cell r="E5098" t="str">
            <v>Rodríguez Acevedo</v>
          </cell>
          <cell r="F5098">
            <v>300</v>
          </cell>
          <cell r="G5098">
            <v>1</v>
          </cell>
          <cell r="H5098">
            <v>400</v>
          </cell>
          <cell r="I5098">
            <v>41917</v>
          </cell>
          <cell r="J5098">
            <v>0</v>
          </cell>
          <cell r="W5098">
            <v>0</v>
          </cell>
          <cell r="AJ5098">
            <v>0</v>
          </cell>
          <cell r="AS5098">
            <v>400</v>
          </cell>
          <cell r="AW5098">
            <v>400</v>
          </cell>
        </row>
        <row r="5099">
          <cell r="B5099">
            <v>8067</v>
          </cell>
          <cell r="C5099" t="str">
            <v>EZ_55_</v>
          </cell>
          <cell r="D5099" t="str">
            <v>Rancho Estanzuela No. 55</v>
          </cell>
          <cell r="E5099" t="str">
            <v>Rodríguez Acevedo</v>
          </cell>
          <cell r="F5099">
            <v>300</v>
          </cell>
          <cell r="G5099">
            <v>5</v>
          </cell>
          <cell r="H5099">
            <v>20</v>
          </cell>
          <cell r="I5099">
            <v>41917</v>
          </cell>
          <cell r="J5099" t="str">
            <v>NO SUMA</v>
          </cell>
          <cell r="W5099">
            <v>0</v>
          </cell>
          <cell r="AJ5099">
            <v>0</v>
          </cell>
          <cell r="AW5099">
            <v>0</v>
          </cell>
        </row>
        <row r="5100">
          <cell r="B5100">
            <v>8067</v>
          </cell>
          <cell r="C5100" t="str">
            <v>EZ_55_</v>
          </cell>
          <cell r="D5100" t="str">
            <v>Rancho Estanzuela No. 55</v>
          </cell>
          <cell r="E5100" t="str">
            <v>Rodríguez Acevedo</v>
          </cell>
          <cell r="F5100">
            <v>300</v>
          </cell>
          <cell r="G5100">
            <v>5</v>
          </cell>
          <cell r="H5100">
            <v>20</v>
          </cell>
          <cell r="I5100">
            <v>41917</v>
          </cell>
          <cell r="J5100" t="str">
            <v>NO SUMA</v>
          </cell>
          <cell r="W5100">
            <v>0</v>
          </cell>
          <cell r="AJ5100">
            <v>0</v>
          </cell>
          <cell r="AW5100">
            <v>0</v>
          </cell>
        </row>
        <row r="5101">
          <cell r="B5101">
            <v>8068</v>
          </cell>
          <cell r="C5101" t="str">
            <v>CL_93_</v>
          </cell>
          <cell r="D5101" t="str">
            <v>Rancho La Cuchilla No. 93</v>
          </cell>
          <cell r="E5101" t="str">
            <v>Alcántara Silva</v>
          </cell>
          <cell r="F5101">
            <v>300</v>
          </cell>
          <cell r="G5101">
            <v>1</v>
          </cell>
          <cell r="H5101">
            <v>400</v>
          </cell>
          <cell r="I5101">
            <v>41917</v>
          </cell>
          <cell r="J5101">
            <v>0</v>
          </cell>
          <cell r="W5101">
            <v>0</v>
          </cell>
          <cell r="AJ5101">
            <v>0</v>
          </cell>
          <cell r="AP5101">
            <v>400</v>
          </cell>
          <cell r="AW5101">
            <v>400</v>
          </cell>
        </row>
        <row r="5102">
          <cell r="B5102">
            <v>8068</v>
          </cell>
          <cell r="C5102" t="str">
            <v>CL_93_</v>
          </cell>
          <cell r="D5102" t="str">
            <v>Rancho La Cuchilla No. 93</v>
          </cell>
          <cell r="E5102" t="str">
            <v>Alcántara Silva</v>
          </cell>
          <cell r="F5102">
            <v>300</v>
          </cell>
          <cell r="G5102">
            <v>5</v>
          </cell>
          <cell r="H5102">
            <v>20</v>
          </cell>
          <cell r="I5102">
            <v>41917</v>
          </cell>
          <cell r="J5102" t="str">
            <v>NO SUMA</v>
          </cell>
          <cell r="W5102">
            <v>0</v>
          </cell>
          <cell r="AJ5102">
            <v>0</v>
          </cell>
          <cell r="AW5102">
            <v>0</v>
          </cell>
        </row>
        <row r="5103">
          <cell r="B5103">
            <v>8068</v>
          </cell>
          <cell r="C5103" t="str">
            <v>CL_93_</v>
          </cell>
          <cell r="D5103" t="str">
            <v>Rancho La Cuchilla No. 93</v>
          </cell>
          <cell r="E5103" t="str">
            <v>Alcántara Silva</v>
          </cell>
          <cell r="F5103">
            <v>300</v>
          </cell>
          <cell r="G5103">
            <v>5</v>
          </cell>
          <cell r="H5103">
            <v>20</v>
          </cell>
          <cell r="I5103">
            <v>41917</v>
          </cell>
          <cell r="J5103" t="str">
            <v>NO SUMA</v>
          </cell>
          <cell r="W5103">
            <v>0</v>
          </cell>
          <cell r="AJ5103">
            <v>0</v>
          </cell>
          <cell r="AW5103">
            <v>0</v>
          </cell>
        </row>
        <row r="5104">
          <cell r="B5104">
            <v>8069</v>
          </cell>
          <cell r="C5104" t="str">
            <v>LD_73_</v>
          </cell>
          <cell r="D5104" t="str">
            <v>Rancho Landero No. 73</v>
          </cell>
          <cell r="E5104" t="str">
            <v>Islas Palacios</v>
          </cell>
          <cell r="F5104">
            <v>300</v>
          </cell>
          <cell r="G5104">
            <v>1</v>
          </cell>
          <cell r="H5104">
            <v>1200</v>
          </cell>
          <cell r="I5104">
            <v>41917</v>
          </cell>
          <cell r="J5104">
            <v>0</v>
          </cell>
          <cell r="W5104">
            <v>0</v>
          </cell>
          <cell r="AJ5104">
            <v>0</v>
          </cell>
          <cell r="AR5104">
            <v>400</v>
          </cell>
          <cell r="AS5104">
            <v>400</v>
          </cell>
          <cell r="AT5104">
            <v>400</v>
          </cell>
          <cell r="AW5104">
            <v>1200</v>
          </cell>
        </row>
        <row r="5105">
          <cell r="B5105">
            <v>8070</v>
          </cell>
          <cell r="C5105" t="str">
            <v>LD_99_</v>
          </cell>
          <cell r="D5105" t="str">
            <v>Rancho Landero No. 99</v>
          </cell>
          <cell r="E5105" t="str">
            <v>Rangel</v>
          </cell>
          <cell r="F5105">
            <v>300</v>
          </cell>
          <cell r="G5105">
            <v>1</v>
          </cell>
          <cell r="H5105">
            <v>300</v>
          </cell>
          <cell r="I5105">
            <v>41917</v>
          </cell>
          <cell r="J5105">
            <v>0</v>
          </cell>
          <cell r="W5105">
            <v>0</v>
          </cell>
          <cell r="AJ5105">
            <v>0</v>
          </cell>
          <cell r="AR5105">
            <v>300</v>
          </cell>
          <cell r="AW5105">
            <v>300</v>
          </cell>
        </row>
        <row r="5106">
          <cell r="B5106">
            <v>8071</v>
          </cell>
          <cell r="C5106" t="str">
            <v>CL_87_</v>
          </cell>
          <cell r="D5106" t="str">
            <v>Rancho La Cuchilla No. 87</v>
          </cell>
          <cell r="E5106" t="str">
            <v>Villanueva S.</v>
          </cell>
          <cell r="F5106">
            <v>300</v>
          </cell>
          <cell r="G5106">
            <v>1</v>
          </cell>
          <cell r="H5106">
            <v>400</v>
          </cell>
          <cell r="I5106">
            <v>41917</v>
          </cell>
          <cell r="J5106">
            <v>0</v>
          </cell>
          <cell r="W5106">
            <v>0</v>
          </cell>
          <cell r="AJ5106">
            <v>0</v>
          </cell>
          <cell r="AT5106">
            <v>400</v>
          </cell>
          <cell r="AW5106">
            <v>400</v>
          </cell>
        </row>
        <row r="5107">
          <cell r="B5107">
            <v>8072</v>
          </cell>
          <cell r="C5107" t="str">
            <v>EZ_89_</v>
          </cell>
          <cell r="D5107" t="str">
            <v>Rancho Estanzuela No. 89</v>
          </cell>
          <cell r="E5107" t="str">
            <v>Romero Ortiz</v>
          </cell>
          <cell r="F5107">
            <v>300</v>
          </cell>
          <cell r="G5107">
            <v>1</v>
          </cell>
          <cell r="H5107">
            <v>400</v>
          </cell>
          <cell r="I5107">
            <v>41917</v>
          </cell>
          <cell r="J5107">
            <v>0</v>
          </cell>
          <cell r="W5107">
            <v>0</v>
          </cell>
          <cell r="AJ5107">
            <v>0</v>
          </cell>
          <cell r="AT5107">
            <v>400</v>
          </cell>
          <cell r="AW5107">
            <v>400</v>
          </cell>
        </row>
        <row r="5108">
          <cell r="B5108">
            <v>8072</v>
          </cell>
          <cell r="C5108" t="str">
            <v>EZ_89_</v>
          </cell>
          <cell r="D5108" t="str">
            <v>Rancho Estanzuela No. 89</v>
          </cell>
          <cell r="E5108" t="str">
            <v>Romero Ortiz</v>
          </cell>
          <cell r="F5108">
            <v>300</v>
          </cell>
          <cell r="G5108">
            <v>5</v>
          </cell>
          <cell r="H5108">
            <v>20</v>
          </cell>
          <cell r="I5108">
            <v>41917</v>
          </cell>
          <cell r="J5108" t="str">
            <v>NO SUMA</v>
          </cell>
          <cell r="W5108">
            <v>0</v>
          </cell>
          <cell r="AJ5108">
            <v>0</v>
          </cell>
          <cell r="AW5108">
            <v>0</v>
          </cell>
        </row>
        <row r="5109">
          <cell r="B5109">
            <v>8072</v>
          </cell>
          <cell r="C5109" t="str">
            <v>EZ_89_</v>
          </cell>
          <cell r="D5109" t="str">
            <v>Rancho Estanzuela No. 89</v>
          </cell>
          <cell r="E5109" t="str">
            <v>Romero Ortiz</v>
          </cell>
          <cell r="F5109">
            <v>300</v>
          </cell>
          <cell r="G5109">
            <v>5</v>
          </cell>
          <cell r="H5109">
            <v>20</v>
          </cell>
          <cell r="I5109">
            <v>41917</v>
          </cell>
          <cell r="J5109" t="str">
            <v>NO SUMA</v>
          </cell>
          <cell r="W5109">
            <v>0</v>
          </cell>
          <cell r="AJ5109">
            <v>0</v>
          </cell>
          <cell r="AW5109">
            <v>0</v>
          </cell>
        </row>
        <row r="5110">
          <cell r="B5110">
            <v>8073</v>
          </cell>
          <cell r="C5110" t="str">
            <v>UP_23_</v>
          </cell>
          <cell r="D5110" t="str">
            <v>Rancho Upácuaro No. 23</v>
          </cell>
          <cell r="E5110" t="str">
            <v>Arredondo</v>
          </cell>
          <cell r="F5110">
            <v>300</v>
          </cell>
          <cell r="G5110">
            <v>1</v>
          </cell>
          <cell r="H5110">
            <v>350</v>
          </cell>
          <cell r="I5110">
            <v>41917</v>
          </cell>
          <cell r="J5110">
            <v>0</v>
          </cell>
          <cell r="W5110">
            <v>0</v>
          </cell>
          <cell r="AJ5110">
            <v>0</v>
          </cell>
          <cell r="AT5110">
            <v>350</v>
          </cell>
          <cell r="AW5110">
            <v>350</v>
          </cell>
        </row>
        <row r="5111">
          <cell r="B5111">
            <v>8074</v>
          </cell>
          <cell r="C5111" t="str">
            <v>EZ_61_</v>
          </cell>
          <cell r="D5111" t="str">
            <v>Rancho Estanzuela No. 61</v>
          </cell>
          <cell r="E5111" t="str">
            <v>González Almazán</v>
          </cell>
          <cell r="F5111">
            <v>300</v>
          </cell>
          <cell r="G5111">
            <v>4</v>
          </cell>
          <cell r="H5111">
            <v>160</v>
          </cell>
          <cell r="I5111">
            <v>41917</v>
          </cell>
          <cell r="J5111" t="str">
            <v>NO SUMA</v>
          </cell>
          <cell r="W5111">
            <v>0</v>
          </cell>
          <cell r="AJ5111">
            <v>0</v>
          </cell>
          <cell r="AW5111">
            <v>0</v>
          </cell>
        </row>
        <row r="5112">
          <cell r="B5112">
            <v>8074</v>
          </cell>
          <cell r="C5112" t="str">
            <v>EZ_61_</v>
          </cell>
          <cell r="D5112" t="str">
            <v>Rancho Estanzuela No. 61</v>
          </cell>
          <cell r="E5112" t="str">
            <v>González Almazán</v>
          </cell>
          <cell r="F5112">
            <v>300</v>
          </cell>
          <cell r="G5112">
            <v>5</v>
          </cell>
          <cell r="H5112">
            <v>20</v>
          </cell>
          <cell r="I5112">
            <v>41917</v>
          </cell>
          <cell r="J5112" t="str">
            <v>NO SUMA</v>
          </cell>
          <cell r="W5112">
            <v>0</v>
          </cell>
          <cell r="AJ5112">
            <v>0</v>
          </cell>
          <cell r="AW5112">
            <v>0</v>
          </cell>
        </row>
        <row r="5113">
          <cell r="B5113">
            <v>8074</v>
          </cell>
          <cell r="C5113" t="str">
            <v>EZ_61_</v>
          </cell>
          <cell r="D5113" t="str">
            <v>Rancho Estanzuela No. 61</v>
          </cell>
          <cell r="E5113" t="str">
            <v>González Almazán</v>
          </cell>
          <cell r="F5113">
            <v>300</v>
          </cell>
          <cell r="G5113">
            <v>5</v>
          </cell>
          <cell r="H5113">
            <v>20</v>
          </cell>
          <cell r="I5113">
            <v>41917</v>
          </cell>
          <cell r="J5113" t="str">
            <v>NO SUMA</v>
          </cell>
          <cell r="W5113">
            <v>0</v>
          </cell>
          <cell r="AJ5113">
            <v>0</v>
          </cell>
          <cell r="AW5113">
            <v>0</v>
          </cell>
        </row>
        <row r="5114">
          <cell r="B5114">
            <v>8074</v>
          </cell>
          <cell r="C5114" t="str">
            <v>EZ_61_</v>
          </cell>
          <cell r="D5114" t="str">
            <v>Rancho Estanzuela No. 61</v>
          </cell>
          <cell r="E5114" t="str">
            <v>González Almazán</v>
          </cell>
          <cell r="F5114">
            <v>300</v>
          </cell>
          <cell r="G5114">
            <v>5</v>
          </cell>
          <cell r="H5114">
            <v>20</v>
          </cell>
          <cell r="I5114">
            <v>41917</v>
          </cell>
          <cell r="J5114" t="str">
            <v>NO SUMA</v>
          </cell>
          <cell r="W5114">
            <v>0</v>
          </cell>
          <cell r="AJ5114">
            <v>0</v>
          </cell>
          <cell r="AW5114">
            <v>0</v>
          </cell>
        </row>
        <row r="5115">
          <cell r="B5115">
            <v>8074</v>
          </cell>
          <cell r="C5115" t="str">
            <v>EZ_61_</v>
          </cell>
          <cell r="D5115" t="str">
            <v>Rancho Estanzuela No. 61</v>
          </cell>
          <cell r="E5115" t="str">
            <v>González Almazán</v>
          </cell>
          <cell r="F5115">
            <v>300</v>
          </cell>
          <cell r="G5115">
            <v>5</v>
          </cell>
          <cell r="H5115">
            <v>20</v>
          </cell>
          <cell r="I5115">
            <v>41917</v>
          </cell>
          <cell r="J5115" t="str">
            <v>NO SUMA</v>
          </cell>
          <cell r="W5115">
            <v>0</v>
          </cell>
          <cell r="AJ5115">
            <v>0</v>
          </cell>
          <cell r="AW5115">
            <v>0</v>
          </cell>
        </row>
        <row r="5116">
          <cell r="B5116">
            <v>8074</v>
          </cell>
          <cell r="C5116" t="str">
            <v>EZ_61_</v>
          </cell>
          <cell r="D5116" t="str">
            <v>Rancho Estanzuela No. 61</v>
          </cell>
          <cell r="E5116" t="str">
            <v>González Almazán</v>
          </cell>
          <cell r="F5116">
            <v>300</v>
          </cell>
          <cell r="G5116">
            <v>5</v>
          </cell>
          <cell r="H5116">
            <v>20</v>
          </cell>
          <cell r="I5116">
            <v>41917</v>
          </cell>
          <cell r="J5116" t="str">
            <v>NO SUMA</v>
          </cell>
          <cell r="W5116">
            <v>0</v>
          </cell>
          <cell r="AJ5116">
            <v>0</v>
          </cell>
          <cell r="AW5116">
            <v>0</v>
          </cell>
        </row>
        <row r="5117">
          <cell r="B5117">
            <v>8075</v>
          </cell>
          <cell r="C5117" t="str">
            <v>UP_106_</v>
          </cell>
          <cell r="D5117" t="str">
            <v>Rancho Upácuaro No. 106</v>
          </cell>
          <cell r="E5117" t="str">
            <v>Hernández Sánchez</v>
          </cell>
          <cell r="F5117">
            <v>300</v>
          </cell>
          <cell r="G5117">
            <v>1</v>
          </cell>
          <cell r="H5117">
            <v>400</v>
          </cell>
          <cell r="I5117">
            <v>41917</v>
          </cell>
          <cell r="J5117">
            <v>0</v>
          </cell>
          <cell r="W5117">
            <v>0</v>
          </cell>
          <cell r="AJ5117">
            <v>0</v>
          </cell>
          <cell r="AR5117">
            <v>400</v>
          </cell>
          <cell r="AW5117">
            <v>400</v>
          </cell>
        </row>
        <row r="5118">
          <cell r="B5118">
            <v>8075</v>
          </cell>
          <cell r="C5118" t="str">
            <v>UP_106_</v>
          </cell>
          <cell r="D5118" t="str">
            <v>Rancho Upácuaro No. 106</v>
          </cell>
          <cell r="E5118" t="str">
            <v>Hernández Sánchez</v>
          </cell>
          <cell r="F5118">
            <v>300</v>
          </cell>
          <cell r="G5118">
            <v>5</v>
          </cell>
          <cell r="H5118">
            <v>20</v>
          </cell>
          <cell r="I5118">
            <v>41917</v>
          </cell>
          <cell r="J5118" t="str">
            <v>NO SUMA</v>
          </cell>
          <cell r="W5118">
            <v>0</v>
          </cell>
          <cell r="AJ5118">
            <v>0</v>
          </cell>
          <cell r="AW5118">
            <v>0</v>
          </cell>
        </row>
        <row r="5119">
          <cell r="B5119">
            <v>8075</v>
          </cell>
          <cell r="C5119" t="str">
            <v>UP_106_</v>
          </cell>
          <cell r="D5119" t="str">
            <v>Rancho Upácuaro No. 106</v>
          </cell>
          <cell r="E5119" t="str">
            <v>Hernández Sánchez</v>
          </cell>
          <cell r="F5119">
            <v>300</v>
          </cell>
          <cell r="G5119">
            <v>5</v>
          </cell>
          <cell r="H5119">
            <v>20</v>
          </cell>
          <cell r="I5119">
            <v>41917</v>
          </cell>
          <cell r="J5119" t="str">
            <v>NO SUMA</v>
          </cell>
          <cell r="W5119">
            <v>0</v>
          </cell>
          <cell r="AJ5119">
            <v>0</v>
          </cell>
          <cell r="AW5119">
            <v>0</v>
          </cell>
        </row>
        <row r="5120">
          <cell r="B5120">
            <v>8075</v>
          </cell>
          <cell r="C5120" t="str">
            <v>UP_106_</v>
          </cell>
          <cell r="D5120" t="str">
            <v>Rancho Upácuaro No. 106</v>
          </cell>
          <cell r="E5120" t="str">
            <v>Hernández Sánchez</v>
          </cell>
          <cell r="F5120">
            <v>300</v>
          </cell>
          <cell r="G5120">
            <v>5</v>
          </cell>
          <cell r="H5120">
            <v>20</v>
          </cell>
          <cell r="I5120">
            <v>41917</v>
          </cell>
          <cell r="J5120" t="str">
            <v>NO SUMA</v>
          </cell>
          <cell r="W5120">
            <v>0</v>
          </cell>
          <cell r="AJ5120">
            <v>0</v>
          </cell>
          <cell r="AW5120">
            <v>0</v>
          </cell>
        </row>
        <row r="5121">
          <cell r="B5121">
            <v>8075</v>
          </cell>
          <cell r="C5121" t="str">
            <v>UP_106_</v>
          </cell>
          <cell r="D5121" t="str">
            <v>Rancho Upácuaro No. 106</v>
          </cell>
          <cell r="E5121" t="str">
            <v>Hernández Sánchez</v>
          </cell>
          <cell r="F5121">
            <v>300</v>
          </cell>
          <cell r="G5121">
            <v>5</v>
          </cell>
          <cell r="H5121">
            <v>50</v>
          </cell>
          <cell r="I5121">
            <v>41917</v>
          </cell>
          <cell r="J5121" t="str">
            <v>NO SUMA</v>
          </cell>
          <cell r="W5121">
            <v>0</v>
          </cell>
          <cell r="AJ5121">
            <v>0</v>
          </cell>
          <cell r="AW5121">
            <v>0</v>
          </cell>
        </row>
        <row r="5122">
          <cell r="B5122">
            <v>8075</v>
          </cell>
          <cell r="C5122" t="str">
            <v>UP_106_</v>
          </cell>
          <cell r="D5122" t="str">
            <v>Rancho Upácuaro No. 106</v>
          </cell>
          <cell r="E5122" t="str">
            <v>Hernández Sánchez</v>
          </cell>
          <cell r="F5122">
            <v>300</v>
          </cell>
          <cell r="G5122">
            <v>5</v>
          </cell>
          <cell r="H5122">
            <v>50</v>
          </cell>
          <cell r="I5122">
            <v>41917</v>
          </cell>
          <cell r="J5122" t="str">
            <v>NO SUMA</v>
          </cell>
          <cell r="W5122">
            <v>0</v>
          </cell>
          <cell r="AJ5122">
            <v>0</v>
          </cell>
          <cell r="AW5122">
            <v>0</v>
          </cell>
        </row>
        <row r="5123">
          <cell r="B5123">
            <v>8075</v>
          </cell>
          <cell r="C5123" t="str">
            <v>UP_106_</v>
          </cell>
          <cell r="D5123" t="str">
            <v>Rancho Upácuaro No. 106</v>
          </cell>
          <cell r="E5123" t="str">
            <v>Hernández Sánchez</v>
          </cell>
          <cell r="F5123">
            <v>300</v>
          </cell>
          <cell r="G5123">
            <v>5</v>
          </cell>
          <cell r="H5123">
            <v>50</v>
          </cell>
          <cell r="I5123">
            <v>41917</v>
          </cell>
          <cell r="J5123" t="str">
            <v>NO SUMA</v>
          </cell>
          <cell r="W5123">
            <v>0</v>
          </cell>
          <cell r="AJ5123">
            <v>0</v>
          </cell>
          <cell r="AW5123">
            <v>0</v>
          </cell>
        </row>
        <row r="5124">
          <cell r="B5124">
            <v>8076</v>
          </cell>
          <cell r="C5124" t="str">
            <v>CL_14_</v>
          </cell>
          <cell r="D5124" t="str">
            <v>Rancho La Cuchilla No. 14</v>
          </cell>
          <cell r="E5124" t="str">
            <v>Chávez Lara</v>
          </cell>
          <cell r="F5124">
            <v>300</v>
          </cell>
          <cell r="G5124">
            <v>5</v>
          </cell>
          <cell r="H5124">
            <v>20</v>
          </cell>
          <cell r="I5124">
            <v>41917</v>
          </cell>
          <cell r="J5124" t="str">
            <v>NO SUMA</v>
          </cell>
          <cell r="W5124">
            <v>0</v>
          </cell>
          <cell r="AJ5124">
            <v>0</v>
          </cell>
          <cell r="AW5124">
            <v>0</v>
          </cell>
        </row>
        <row r="5125">
          <cell r="B5125">
            <v>8076</v>
          </cell>
          <cell r="C5125" t="str">
            <v>CL_14_</v>
          </cell>
          <cell r="D5125" t="str">
            <v>Rancho La Cuchilla No. 14</v>
          </cell>
          <cell r="E5125" t="str">
            <v>Chávez Lara</v>
          </cell>
          <cell r="F5125">
            <v>300</v>
          </cell>
          <cell r="G5125">
            <v>5</v>
          </cell>
          <cell r="H5125">
            <v>20</v>
          </cell>
          <cell r="I5125">
            <v>41917</v>
          </cell>
          <cell r="J5125" t="str">
            <v>NO SUMA</v>
          </cell>
          <cell r="W5125">
            <v>0</v>
          </cell>
          <cell r="AJ5125">
            <v>0</v>
          </cell>
          <cell r="AW5125">
            <v>0</v>
          </cell>
        </row>
        <row r="5126">
          <cell r="B5126">
            <v>8076</v>
          </cell>
          <cell r="C5126" t="str">
            <v>CL_14_</v>
          </cell>
          <cell r="D5126" t="str">
            <v>Rancho La Cuchilla No. 14</v>
          </cell>
          <cell r="E5126" t="str">
            <v>Chávez Lara</v>
          </cell>
          <cell r="F5126">
            <v>300</v>
          </cell>
          <cell r="G5126">
            <v>5</v>
          </cell>
          <cell r="H5126">
            <v>20</v>
          </cell>
          <cell r="I5126">
            <v>41917</v>
          </cell>
          <cell r="J5126" t="str">
            <v>NO SUMA</v>
          </cell>
          <cell r="W5126">
            <v>0</v>
          </cell>
          <cell r="AJ5126">
            <v>0</v>
          </cell>
          <cell r="AW5126">
            <v>0</v>
          </cell>
        </row>
        <row r="5127">
          <cell r="B5127">
            <v>8076</v>
          </cell>
          <cell r="C5127" t="str">
            <v>CL_14_</v>
          </cell>
          <cell r="D5127" t="str">
            <v>Rancho La Cuchilla No. 14</v>
          </cell>
          <cell r="E5127" t="str">
            <v>Chávez Lara</v>
          </cell>
          <cell r="F5127">
            <v>300</v>
          </cell>
          <cell r="G5127">
            <v>5</v>
          </cell>
          <cell r="H5127">
            <v>50</v>
          </cell>
          <cell r="I5127">
            <v>41917</v>
          </cell>
          <cell r="J5127" t="str">
            <v>NO SUMA</v>
          </cell>
          <cell r="W5127">
            <v>0</v>
          </cell>
          <cell r="AJ5127">
            <v>0</v>
          </cell>
          <cell r="AW5127">
            <v>0</v>
          </cell>
        </row>
        <row r="5128">
          <cell r="B5128">
            <v>8077</v>
          </cell>
          <cell r="C5128" t="str">
            <v>LD_8_</v>
          </cell>
          <cell r="D5128" t="str">
            <v>Rancho Landero No. 8</v>
          </cell>
          <cell r="E5128" t="str">
            <v>Peña Torres</v>
          </cell>
          <cell r="F5128">
            <v>250</v>
          </cell>
          <cell r="G5128">
            <v>5</v>
          </cell>
          <cell r="H5128">
            <v>20</v>
          </cell>
          <cell r="I5128">
            <v>41917</v>
          </cell>
          <cell r="J5128" t="str">
            <v>NO SUMA</v>
          </cell>
          <cell r="W5128">
            <v>0</v>
          </cell>
          <cell r="AJ5128">
            <v>0</v>
          </cell>
          <cell r="AW5128">
            <v>0</v>
          </cell>
        </row>
        <row r="5129">
          <cell r="B5129">
            <v>8077</v>
          </cell>
          <cell r="C5129" t="str">
            <v>LD_8_</v>
          </cell>
          <cell r="D5129" t="str">
            <v>Rancho Landero No. 8</v>
          </cell>
          <cell r="E5129" t="str">
            <v>Peña Torres</v>
          </cell>
          <cell r="F5129">
            <v>250</v>
          </cell>
          <cell r="G5129">
            <v>5</v>
          </cell>
          <cell r="H5129">
            <v>20</v>
          </cell>
          <cell r="I5129">
            <v>41917</v>
          </cell>
          <cell r="J5129" t="str">
            <v>NO SUMA</v>
          </cell>
          <cell r="W5129">
            <v>0</v>
          </cell>
          <cell r="AJ5129">
            <v>0</v>
          </cell>
          <cell r="AW5129">
            <v>0</v>
          </cell>
        </row>
        <row r="5130">
          <cell r="B5130">
            <v>8077</v>
          </cell>
          <cell r="C5130" t="str">
            <v>LD_8_</v>
          </cell>
          <cell r="D5130" t="str">
            <v>Rancho Landero No. 8</v>
          </cell>
          <cell r="E5130" t="str">
            <v>Peña Torres</v>
          </cell>
          <cell r="F5130">
            <v>250</v>
          </cell>
          <cell r="G5130">
            <v>5</v>
          </cell>
          <cell r="H5130">
            <v>20</v>
          </cell>
          <cell r="I5130">
            <v>41917</v>
          </cell>
          <cell r="J5130" t="str">
            <v>NO SUMA</v>
          </cell>
          <cell r="W5130">
            <v>0</v>
          </cell>
          <cell r="AJ5130">
            <v>0</v>
          </cell>
          <cell r="AW5130">
            <v>0</v>
          </cell>
        </row>
        <row r="5131">
          <cell r="B5131">
            <v>8077</v>
          </cell>
          <cell r="C5131" t="str">
            <v>LD_8_</v>
          </cell>
          <cell r="D5131" t="str">
            <v>Rancho Landero No. 8</v>
          </cell>
          <cell r="E5131" t="str">
            <v>Peña Torres</v>
          </cell>
          <cell r="F5131">
            <v>250</v>
          </cell>
          <cell r="G5131">
            <v>5</v>
          </cell>
          <cell r="H5131">
            <v>50</v>
          </cell>
          <cell r="I5131">
            <v>41917</v>
          </cell>
          <cell r="J5131" t="str">
            <v>NO SUMA</v>
          </cell>
          <cell r="W5131">
            <v>0</v>
          </cell>
          <cell r="AJ5131">
            <v>0</v>
          </cell>
          <cell r="AW5131">
            <v>0</v>
          </cell>
        </row>
        <row r="5132">
          <cell r="B5132">
            <v>8078</v>
          </cell>
          <cell r="C5132" t="str">
            <v>CL_19_</v>
          </cell>
          <cell r="D5132" t="str">
            <v>Rancho La Cuchilla No. 19</v>
          </cell>
          <cell r="E5132" t="str">
            <v>Tapia Vázquez</v>
          </cell>
          <cell r="F5132">
            <v>300</v>
          </cell>
          <cell r="G5132">
            <v>5</v>
          </cell>
          <cell r="H5132">
            <v>20</v>
          </cell>
          <cell r="I5132">
            <v>41917</v>
          </cell>
          <cell r="J5132" t="str">
            <v>NO SUMA</v>
          </cell>
          <cell r="W5132">
            <v>0</v>
          </cell>
          <cell r="AJ5132">
            <v>0</v>
          </cell>
          <cell r="AW5132">
            <v>0</v>
          </cell>
        </row>
        <row r="5133">
          <cell r="B5133">
            <v>8078</v>
          </cell>
          <cell r="C5133" t="str">
            <v>CL_19_</v>
          </cell>
          <cell r="D5133" t="str">
            <v>Rancho La Cuchilla No. 19</v>
          </cell>
          <cell r="E5133" t="str">
            <v>Tapia Vázquez</v>
          </cell>
          <cell r="F5133">
            <v>300</v>
          </cell>
          <cell r="G5133">
            <v>5</v>
          </cell>
          <cell r="H5133">
            <v>20</v>
          </cell>
          <cell r="I5133">
            <v>41917</v>
          </cell>
          <cell r="J5133" t="str">
            <v>NO SUMA</v>
          </cell>
          <cell r="W5133">
            <v>0</v>
          </cell>
          <cell r="AJ5133">
            <v>0</v>
          </cell>
          <cell r="AW5133">
            <v>0</v>
          </cell>
        </row>
        <row r="5134">
          <cell r="B5134">
            <v>8078</v>
          </cell>
          <cell r="C5134" t="str">
            <v>CL_19_</v>
          </cell>
          <cell r="D5134" t="str">
            <v>Rancho La Cuchilla No. 19</v>
          </cell>
          <cell r="E5134" t="str">
            <v>Tapia Vázquez</v>
          </cell>
          <cell r="F5134">
            <v>300</v>
          </cell>
          <cell r="G5134">
            <v>5</v>
          </cell>
          <cell r="H5134">
            <v>20</v>
          </cell>
          <cell r="I5134">
            <v>41917</v>
          </cell>
          <cell r="J5134" t="str">
            <v>NO SUMA</v>
          </cell>
          <cell r="W5134">
            <v>0</v>
          </cell>
          <cell r="AJ5134">
            <v>0</v>
          </cell>
          <cell r="AW5134">
            <v>0</v>
          </cell>
        </row>
        <row r="5135">
          <cell r="B5135">
            <v>8079</v>
          </cell>
          <cell r="C5135" t="str">
            <v>LD_73_</v>
          </cell>
          <cell r="D5135" t="str">
            <v>Rancho Landero No. 73</v>
          </cell>
          <cell r="E5135" t="str">
            <v>Islas Palacios</v>
          </cell>
          <cell r="F5135">
            <v>300</v>
          </cell>
          <cell r="G5135">
            <v>5</v>
          </cell>
          <cell r="H5135">
            <v>20</v>
          </cell>
          <cell r="I5135">
            <v>41917</v>
          </cell>
          <cell r="J5135" t="str">
            <v>NO SUMA</v>
          </cell>
          <cell r="W5135">
            <v>0</v>
          </cell>
          <cell r="AJ5135">
            <v>0</v>
          </cell>
          <cell r="AW5135">
            <v>0</v>
          </cell>
        </row>
        <row r="5136">
          <cell r="B5136">
            <v>8079</v>
          </cell>
          <cell r="C5136" t="str">
            <v>LD_73_</v>
          </cell>
          <cell r="D5136" t="str">
            <v>Rancho Landero No. 73</v>
          </cell>
          <cell r="E5136" t="str">
            <v>Islas Palacios</v>
          </cell>
          <cell r="F5136">
            <v>300</v>
          </cell>
          <cell r="G5136">
            <v>5</v>
          </cell>
          <cell r="H5136">
            <v>20</v>
          </cell>
          <cell r="I5136">
            <v>41917</v>
          </cell>
          <cell r="J5136" t="str">
            <v>NO SUMA</v>
          </cell>
          <cell r="W5136">
            <v>0</v>
          </cell>
          <cell r="AJ5136">
            <v>0</v>
          </cell>
          <cell r="AW5136">
            <v>0</v>
          </cell>
        </row>
        <row r="5137">
          <cell r="B5137">
            <v>8079</v>
          </cell>
          <cell r="C5137" t="str">
            <v>LD_73_</v>
          </cell>
          <cell r="D5137" t="str">
            <v>Rancho Landero No. 73</v>
          </cell>
          <cell r="E5137" t="str">
            <v>Islas Palacios</v>
          </cell>
          <cell r="F5137">
            <v>300</v>
          </cell>
          <cell r="G5137">
            <v>5</v>
          </cell>
          <cell r="H5137">
            <v>20</v>
          </cell>
          <cell r="I5137">
            <v>41917</v>
          </cell>
          <cell r="J5137" t="str">
            <v>NO SUMA</v>
          </cell>
          <cell r="W5137">
            <v>0</v>
          </cell>
          <cell r="AJ5137">
            <v>0</v>
          </cell>
          <cell r="AW5137">
            <v>0</v>
          </cell>
        </row>
        <row r="5138">
          <cell r="B5138">
            <v>8080</v>
          </cell>
          <cell r="C5138" t="str">
            <v>EZ_161_1</v>
          </cell>
          <cell r="D5138" t="str">
            <v>Rancho Estanzuela No. 161, 1</v>
          </cell>
          <cell r="E5138" t="str">
            <v>Guevara</v>
          </cell>
          <cell r="F5138">
            <v>150</v>
          </cell>
          <cell r="G5138">
            <v>1</v>
          </cell>
          <cell r="H5138">
            <v>400</v>
          </cell>
          <cell r="I5138">
            <v>41917</v>
          </cell>
          <cell r="J5138">
            <v>0</v>
          </cell>
          <cell r="W5138">
            <v>0</v>
          </cell>
          <cell r="AJ5138">
            <v>0</v>
          </cell>
          <cell r="AR5138">
            <v>200</v>
          </cell>
          <cell r="AS5138">
            <v>200</v>
          </cell>
          <cell r="AW5138">
            <v>400</v>
          </cell>
        </row>
        <row r="5139">
          <cell r="B5139">
            <v>8080</v>
          </cell>
          <cell r="C5139" t="str">
            <v>EZ_161_1</v>
          </cell>
          <cell r="D5139" t="str">
            <v>Rancho Estanzuela No. 161, 1</v>
          </cell>
          <cell r="E5139" t="str">
            <v>Guevara</v>
          </cell>
          <cell r="F5139">
            <v>150</v>
          </cell>
          <cell r="G5139">
            <v>5</v>
          </cell>
          <cell r="H5139">
            <v>20</v>
          </cell>
          <cell r="I5139">
            <v>41917</v>
          </cell>
          <cell r="J5139" t="str">
            <v>NO SUMA</v>
          </cell>
          <cell r="W5139">
            <v>0</v>
          </cell>
          <cell r="AJ5139">
            <v>0</v>
          </cell>
          <cell r="AW5139">
            <v>0</v>
          </cell>
        </row>
        <row r="5140">
          <cell r="B5140">
            <v>8081</v>
          </cell>
          <cell r="C5140" t="str">
            <v>LD_51_</v>
          </cell>
          <cell r="D5140" t="str">
            <v>Rancho Landero No. 51</v>
          </cell>
          <cell r="E5140" t="str">
            <v>H. Robles Tamayo</v>
          </cell>
          <cell r="F5140">
            <v>300</v>
          </cell>
          <cell r="G5140">
            <v>5</v>
          </cell>
          <cell r="H5140">
            <v>20</v>
          </cell>
          <cell r="I5140">
            <v>41917</v>
          </cell>
          <cell r="J5140" t="str">
            <v>NO SUMA</v>
          </cell>
          <cell r="W5140">
            <v>0</v>
          </cell>
          <cell r="AJ5140">
            <v>0</v>
          </cell>
          <cell r="AW5140">
            <v>0</v>
          </cell>
        </row>
        <row r="5141">
          <cell r="B5141">
            <v>8081</v>
          </cell>
          <cell r="C5141" t="str">
            <v>LD_51_</v>
          </cell>
          <cell r="D5141" t="str">
            <v>Rancho Landero No. 51</v>
          </cell>
          <cell r="E5141" t="str">
            <v>H. Robles Tamayo</v>
          </cell>
          <cell r="F5141">
            <v>300</v>
          </cell>
          <cell r="G5141">
            <v>5</v>
          </cell>
          <cell r="H5141">
            <v>20</v>
          </cell>
          <cell r="I5141">
            <v>41917</v>
          </cell>
          <cell r="J5141" t="str">
            <v>NO SUMA</v>
          </cell>
          <cell r="W5141">
            <v>0</v>
          </cell>
          <cell r="AJ5141">
            <v>0</v>
          </cell>
          <cell r="AW5141">
            <v>0</v>
          </cell>
        </row>
        <row r="5142">
          <cell r="B5142">
            <v>8081</v>
          </cell>
          <cell r="C5142" t="str">
            <v>LD_51_</v>
          </cell>
          <cell r="D5142" t="str">
            <v>Rancho Landero No. 51</v>
          </cell>
          <cell r="E5142" t="str">
            <v>H. Robles Tamayo</v>
          </cell>
          <cell r="F5142">
            <v>300</v>
          </cell>
          <cell r="G5142">
            <v>5</v>
          </cell>
          <cell r="H5142">
            <v>20</v>
          </cell>
          <cell r="I5142">
            <v>41917</v>
          </cell>
          <cell r="J5142" t="str">
            <v>NO SUMA</v>
          </cell>
          <cell r="W5142">
            <v>0</v>
          </cell>
          <cell r="AJ5142">
            <v>0</v>
          </cell>
          <cell r="AW5142">
            <v>0</v>
          </cell>
        </row>
        <row r="5143">
          <cell r="B5143">
            <v>8082</v>
          </cell>
          <cell r="C5143" t="str">
            <v>CL_112_PB</v>
          </cell>
          <cell r="D5143" t="str">
            <v>Rancho La Cuchilla No. 112, PB</v>
          </cell>
          <cell r="E5143" t="str">
            <v>Soreque</v>
          </cell>
          <cell r="F5143">
            <v>150</v>
          </cell>
          <cell r="G5143">
            <v>1</v>
          </cell>
          <cell r="H5143">
            <v>200</v>
          </cell>
          <cell r="I5143">
            <v>41917</v>
          </cell>
          <cell r="J5143">
            <v>0</v>
          </cell>
          <cell r="W5143">
            <v>0</v>
          </cell>
          <cell r="AJ5143">
            <v>0</v>
          </cell>
          <cell r="AT5143">
            <v>200</v>
          </cell>
          <cell r="AW5143">
            <v>200</v>
          </cell>
        </row>
        <row r="5144">
          <cell r="B5144">
            <v>8083</v>
          </cell>
          <cell r="C5144" t="str">
            <v>UP_140_</v>
          </cell>
          <cell r="D5144" t="str">
            <v>Rancho Upácuaro No. 140</v>
          </cell>
          <cell r="E5144" t="str">
            <v>Gozain</v>
          </cell>
          <cell r="F5144">
            <v>300</v>
          </cell>
          <cell r="G5144">
            <v>1</v>
          </cell>
          <cell r="H5144">
            <v>400</v>
          </cell>
          <cell r="I5144">
            <v>41917</v>
          </cell>
          <cell r="J5144">
            <v>0</v>
          </cell>
          <cell r="W5144">
            <v>0</v>
          </cell>
          <cell r="AJ5144">
            <v>0</v>
          </cell>
          <cell r="AT5144">
            <v>400</v>
          </cell>
          <cell r="AW5144">
            <v>400</v>
          </cell>
        </row>
        <row r="5145">
          <cell r="B5145">
            <v>8084</v>
          </cell>
          <cell r="C5145" t="str">
            <v>RV_3_</v>
          </cell>
          <cell r="D5145" t="str">
            <v>Rancho Recoveco No. 3</v>
          </cell>
          <cell r="E5145" t="str">
            <v>Garduño</v>
          </cell>
          <cell r="F5145">
            <v>300</v>
          </cell>
          <cell r="G5145">
            <v>1</v>
          </cell>
          <cell r="H5145">
            <v>300</v>
          </cell>
          <cell r="I5145">
            <v>41918</v>
          </cell>
          <cell r="J5145">
            <v>0</v>
          </cell>
          <cell r="W5145">
            <v>0</v>
          </cell>
          <cell r="AJ5145">
            <v>0</v>
          </cell>
          <cell r="AS5145">
            <v>300</v>
          </cell>
          <cell r="AW5145">
            <v>300</v>
          </cell>
        </row>
        <row r="5146">
          <cell r="B5146">
            <v>8085</v>
          </cell>
          <cell r="C5146" t="str">
            <v>UP_75_</v>
          </cell>
          <cell r="D5146" t="str">
            <v>Rancho Upácuaro No. 75</v>
          </cell>
          <cell r="E5146" t="str">
            <v>Montaño Zetina</v>
          </cell>
          <cell r="F5146">
            <v>250</v>
          </cell>
          <cell r="G5146">
            <v>5</v>
          </cell>
          <cell r="H5146">
            <v>110</v>
          </cell>
          <cell r="I5146">
            <v>41918</v>
          </cell>
          <cell r="J5146" t="str">
            <v>NO SUMA</v>
          </cell>
          <cell r="W5146">
            <v>0</v>
          </cell>
          <cell r="AJ5146">
            <v>0</v>
          </cell>
          <cell r="AW5146">
            <v>0</v>
          </cell>
        </row>
        <row r="5147">
          <cell r="B5147">
            <v>8086</v>
          </cell>
          <cell r="C5147" t="str">
            <v>RV_173_</v>
          </cell>
          <cell r="D5147" t="str">
            <v>Rancho Recoveco No. 173</v>
          </cell>
          <cell r="E5147" t="str">
            <v>Velarde</v>
          </cell>
          <cell r="F5147">
            <v>300</v>
          </cell>
          <cell r="G5147">
            <v>1</v>
          </cell>
          <cell r="H5147">
            <v>600</v>
          </cell>
          <cell r="I5147">
            <v>41918</v>
          </cell>
          <cell r="J5147">
            <v>0</v>
          </cell>
          <cell r="W5147">
            <v>0</v>
          </cell>
          <cell r="AJ5147">
            <v>0</v>
          </cell>
          <cell r="AS5147">
            <v>300</v>
          </cell>
          <cell r="AT5147">
            <v>300</v>
          </cell>
          <cell r="AW5147">
            <v>600</v>
          </cell>
        </row>
        <row r="5148">
          <cell r="B5148">
            <v>8087</v>
          </cell>
          <cell r="C5148" t="str">
            <v>CL_107_</v>
          </cell>
          <cell r="D5148" t="str">
            <v>Rancho La Cuchilla No. 107</v>
          </cell>
          <cell r="E5148" t="str">
            <v>Olivares Rivera</v>
          </cell>
          <cell r="F5148">
            <v>300</v>
          </cell>
          <cell r="G5148">
            <v>1</v>
          </cell>
          <cell r="H5148">
            <v>400</v>
          </cell>
          <cell r="I5148">
            <v>41919</v>
          </cell>
          <cell r="J5148">
            <v>0</v>
          </cell>
          <cell r="W5148">
            <v>0</v>
          </cell>
          <cell r="AJ5148">
            <v>0</v>
          </cell>
          <cell r="AS5148">
            <v>400</v>
          </cell>
          <cell r="AW5148">
            <v>400</v>
          </cell>
        </row>
        <row r="5149">
          <cell r="B5149">
            <v>8088</v>
          </cell>
          <cell r="C5149" t="str">
            <v>LD_1_A</v>
          </cell>
          <cell r="D5149" t="str">
            <v>Rancho Landero No. 1, A</v>
          </cell>
          <cell r="E5149" t="str">
            <v>Ebysos</v>
          </cell>
          <cell r="F5149">
            <v>300</v>
          </cell>
          <cell r="G5149">
            <v>1</v>
          </cell>
          <cell r="H5149">
            <v>400</v>
          </cell>
          <cell r="I5149">
            <v>41920</v>
          </cell>
          <cell r="J5149">
            <v>0</v>
          </cell>
          <cell r="W5149">
            <v>0</v>
          </cell>
          <cell r="AJ5149">
            <v>0</v>
          </cell>
          <cell r="AT5149">
            <v>400</v>
          </cell>
          <cell r="AW5149">
            <v>400</v>
          </cell>
        </row>
        <row r="5150">
          <cell r="B5150">
            <v>8089</v>
          </cell>
          <cell r="C5150" t="str">
            <v>UP_12_</v>
          </cell>
          <cell r="D5150" t="str">
            <v>Rancho Upácuaro No. 12</v>
          </cell>
          <cell r="E5150" t="str">
            <v>Moreno Chávez</v>
          </cell>
          <cell r="F5150">
            <v>300</v>
          </cell>
          <cell r="G5150">
            <v>1</v>
          </cell>
          <cell r="H5150">
            <v>800</v>
          </cell>
          <cell r="I5150">
            <v>41920</v>
          </cell>
          <cell r="J5150">
            <v>0</v>
          </cell>
          <cell r="W5150">
            <v>0</v>
          </cell>
          <cell r="AJ5150">
            <v>0</v>
          </cell>
          <cell r="AQ5150">
            <v>400</v>
          </cell>
          <cell r="AR5150">
            <v>400</v>
          </cell>
          <cell r="AW5150">
            <v>800</v>
          </cell>
        </row>
        <row r="5151">
          <cell r="B5151">
            <v>8090</v>
          </cell>
          <cell r="C5151" t="str">
            <v>ZB_8_</v>
          </cell>
          <cell r="D5151" t="str">
            <v>Rancho Zinamba No. 8</v>
          </cell>
          <cell r="E5151" t="str">
            <v>Florido</v>
          </cell>
          <cell r="F5151">
            <v>300</v>
          </cell>
          <cell r="G5151">
            <v>5</v>
          </cell>
          <cell r="H5151">
            <v>40</v>
          </cell>
          <cell r="I5151">
            <v>41921</v>
          </cell>
          <cell r="J5151" t="str">
            <v>NO SUMA</v>
          </cell>
          <cell r="W5151">
            <v>0</v>
          </cell>
          <cell r="AJ5151">
            <v>0</v>
          </cell>
          <cell r="AW5151">
            <v>0</v>
          </cell>
        </row>
        <row r="5152">
          <cell r="B5152">
            <v>8091</v>
          </cell>
          <cell r="C5152" t="str">
            <v>EZ_79_</v>
          </cell>
          <cell r="D5152" t="str">
            <v>Rancho Estanzuela No. 79</v>
          </cell>
          <cell r="E5152" t="str">
            <v>Mendoza</v>
          </cell>
          <cell r="F5152">
            <v>300</v>
          </cell>
          <cell r="G5152">
            <v>4</v>
          </cell>
          <cell r="H5152">
            <v>160</v>
          </cell>
          <cell r="I5152">
            <v>41921</v>
          </cell>
          <cell r="J5152" t="str">
            <v>NO SUMA</v>
          </cell>
          <cell r="W5152">
            <v>0</v>
          </cell>
          <cell r="AJ5152">
            <v>0</v>
          </cell>
          <cell r="AW5152">
            <v>0</v>
          </cell>
        </row>
        <row r="5153">
          <cell r="B5153">
            <v>8091</v>
          </cell>
          <cell r="C5153" t="str">
            <v>EZ_79_</v>
          </cell>
          <cell r="D5153" t="str">
            <v>Rancho Estanzuela No. 79</v>
          </cell>
          <cell r="E5153" t="str">
            <v>Mendoza</v>
          </cell>
          <cell r="F5153">
            <v>300</v>
          </cell>
          <cell r="G5153">
            <v>5</v>
          </cell>
          <cell r="H5153">
            <v>10</v>
          </cell>
          <cell r="I5153">
            <v>41921</v>
          </cell>
          <cell r="J5153" t="str">
            <v>NO SUMA</v>
          </cell>
          <cell r="W5153">
            <v>0</v>
          </cell>
          <cell r="AJ5153">
            <v>0</v>
          </cell>
          <cell r="AW5153">
            <v>0</v>
          </cell>
        </row>
        <row r="5154">
          <cell r="B5154">
            <v>8092</v>
          </cell>
          <cell r="C5154" t="str">
            <v>ZB_20_</v>
          </cell>
          <cell r="D5154" t="str">
            <v>Rancho Zinamba No. 20</v>
          </cell>
          <cell r="E5154" t="str">
            <v>Alegre Retana</v>
          </cell>
          <cell r="F5154">
            <v>300</v>
          </cell>
          <cell r="G5154">
            <v>5</v>
          </cell>
          <cell r="H5154">
            <v>20</v>
          </cell>
          <cell r="I5154">
            <v>41921</v>
          </cell>
          <cell r="J5154" t="str">
            <v>NO SUMA</v>
          </cell>
          <cell r="W5154">
            <v>0</v>
          </cell>
          <cell r="AJ5154">
            <v>0</v>
          </cell>
          <cell r="AW5154">
            <v>0</v>
          </cell>
        </row>
        <row r="5155">
          <cell r="B5155">
            <v>8093</v>
          </cell>
          <cell r="C5155" t="str">
            <v>LD_85_</v>
          </cell>
          <cell r="D5155" t="str">
            <v>Rancho Landero No. 85</v>
          </cell>
          <cell r="E5155" t="str">
            <v>Martínez Olague</v>
          </cell>
          <cell r="F5155">
            <v>300</v>
          </cell>
          <cell r="G5155">
            <v>1</v>
          </cell>
          <cell r="H5155">
            <v>400</v>
          </cell>
          <cell r="I5155">
            <v>41922</v>
          </cell>
          <cell r="J5155">
            <v>0</v>
          </cell>
          <cell r="W5155">
            <v>0</v>
          </cell>
          <cell r="AJ5155">
            <v>0</v>
          </cell>
          <cell r="AT5155">
            <v>400</v>
          </cell>
          <cell r="AW5155">
            <v>400</v>
          </cell>
        </row>
        <row r="5156">
          <cell r="B5156">
            <v>8094</v>
          </cell>
          <cell r="C5156" t="str">
            <v>UP_110_</v>
          </cell>
          <cell r="D5156" t="str">
            <v>Rancho Upácuaro No. 110</v>
          </cell>
          <cell r="E5156" t="str">
            <v>Ruiz Mijangos</v>
          </cell>
          <cell r="F5156">
            <v>300</v>
          </cell>
          <cell r="G5156">
            <v>5</v>
          </cell>
          <cell r="H5156">
            <v>60</v>
          </cell>
          <cell r="I5156">
            <v>41922</v>
          </cell>
          <cell r="J5156" t="str">
            <v>NO SUMA</v>
          </cell>
          <cell r="W5156">
            <v>0</v>
          </cell>
          <cell r="AJ5156">
            <v>0</v>
          </cell>
          <cell r="AW5156">
            <v>0</v>
          </cell>
        </row>
        <row r="5157">
          <cell r="B5157">
            <v>8095</v>
          </cell>
          <cell r="C5157" t="str">
            <v>ZB_12_</v>
          </cell>
          <cell r="D5157" t="str">
            <v>Rancho Zinamba No. 12</v>
          </cell>
          <cell r="E5157" t="str">
            <v>S.P.Endoscopic</v>
          </cell>
          <cell r="F5157">
            <v>400</v>
          </cell>
          <cell r="G5157">
            <v>5</v>
          </cell>
          <cell r="H5157">
            <v>50</v>
          </cell>
          <cell r="I5157">
            <v>41922</v>
          </cell>
          <cell r="J5157" t="str">
            <v>NO SUMA</v>
          </cell>
          <cell r="W5157">
            <v>0</v>
          </cell>
          <cell r="AJ5157">
            <v>0</v>
          </cell>
          <cell r="AW5157">
            <v>0</v>
          </cell>
        </row>
        <row r="5158">
          <cell r="B5158">
            <v>8096</v>
          </cell>
          <cell r="C5158" t="str">
            <v>ZB_12_</v>
          </cell>
          <cell r="D5158" t="str">
            <v>Rancho Zinamba No. 12</v>
          </cell>
          <cell r="E5158" t="str">
            <v>S.P.Endoscopic</v>
          </cell>
          <cell r="F5158">
            <v>400</v>
          </cell>
          <cell r="G5158">
            <v>5</v>
          </cell>
          <cell r="H5158">
            <v>160</v>
          </cell>
          <cell r="I5158">
            <v>41922</v>
          </cell>
          <cell r="J5158" t="str">
            <v>NO SUMA</v>
          </cell>
          <cell r="W5158">
            <v>0</v>
          </cell>
          <cell r="AJ5158">
            <v>0</v>
          </cell>
          <cell r="AW5158">
            <v>0</v>
          </cell>
        </row>
        <row r="5159">
          <cell r="B5159">
            <v>8097</v>
          </cell>
          <cell r="C5159" t="str">
            <v>LD_83_</v>
          </cell>
          <cell r="D5159" t="str">
            <v>Rancho Landero No. 83</v>
          </cell>
          <cell r="E5159" t="str">
            <v>Aguilar</v>
          </cell>
          <cell r="F5159">
            <v>300</v>
          </cell>
          <cell r="G5159">
            <v>1</v>
          </cell>
          <cell r="H5159">
            <v>350</v>
          </cell>
          <cell r="I5159">
            <v>41922</v>
          </cell>
          <cell r="J5159">
            <v>0</v>
          </cell>
          <cell r="W5159">
            <v>0</v>
          </cell>
          <cell r="AJ5159">
            <v>0</v>
          </cell>
          <cell r="AT5159">
            <v>350</v>
          </cell>
          <cell r="AW5159">
            <v>350</v>
          </cell>
        </row>
        <row r="5160">
          <cell r="B5160">
            <v>8098</v>
          </cell>
          <cell r="C5160" t="str">
            <v>CL_40_</v>
          </cell>
          <cell r="D5160" t="str">
            <v>Rancho La Cuchilla No. 40</v>
          </cell>
          <cell r="E5160" t="str">
            <v>López Pico</v>
          </cell>
          <cell r="F5160">
            <v>300</v>
          </cell>
          <cell r="G5160">
            <v>1</v>
          </cell>
          <cell r="H5160">
            <v>400</v>
          </cell>
          <cell r="I5160">
            <v>41924</v>
          </cell>
          <cell r="J5160">
            <v>0</v>
          </cell>
          <cell r="W5160">
            <v>0</v>
          </cell>
          <cell r="AJ5160">
            <v>0</v>
          </cell>
          <cell r="AT5160">
            <v>400</v>
          </cell>
          <cell r="AW5160">
            <v>400</v>
          </cell>
        </row>
        <row r="5161">
          <cell r="B5161">
            <v>8099</v>
          </cell>
          <cell r="C5161" t="str">
            <v>EZ_91_</v>
          </cell>
          <cell r="D5161" t="str">
            <v>Rancho Estanzuela No. 91</v>
          </cell>
          <cell r="E5161" t="str">
            <v>Lobato Torres</v>
          </cell>
          <cell r="F5161">
            <v>300</v>
          </cell>
          <cell r="G5161">
            <v>1</v>
          </cell>
          <cell r="H5161">
            <v>400</v>
          </cell>
          <cell r="I5161">
            <v>41924</v>
          </cell>
          <cell r="J5161">
            <v>0</v>
          </cell>
          <cell r="W5161">
            <v>0</v>
          </cell>
          <cell r="AJ5161">
            <v>0</v>
          </cell>
          <cell r="AT5161">
            <v>400</v>
          </cell>
          <cell r="AW5161">
            <v>400</v>
          </cell>
        </row>
        <row r="5162">
          <cell r="B5162">
            <v>8100</v>
          </cell>
          <cell r="C5162" t="str">
            <v>CL_91_</v>
          </cell>
          <cell r="D5162" t="str">
            <v>Rancho La Cuchilla No. 91</v>
          </cell>
          <cell r="E5162" t="str">
            <v>Roldán Flores</v>
          </cell>
          <cell r="F5162">
            <v>300</v>
          </cell>
          <cell r="G5162">
            <v>5</v>
          </cell>
          <cell r="H5162">
            <v>110</v>
          </cell>
          <cell r="I5162">
            <v>41924</v>
          </cell>
          <cell r="J5162" t="str">
            <v>NO SUMA</v>
          </cell>
          <cell r="W5162">
            <v>0</v>
          </cell>
          <cell r="AJ5162">
            <v>0</v>
          </cell>
          <cell r="AW5162">
            <v>0</v>
          </cell>
        </row>
        <row r="5163">
          <cell r="B5163">
            <v>8101</v>
          </cell>
          <cell r="C5163" t="str">
            <v>LD_17_</v>
          </cell>
          <cell r="D5163" t="str">
            <v>Rancho Landero No. 17</v>
          </cell>
          <cell r="E5163" t="str">
            <v>González</v>
          </cell>
          <cell r="F5163">
            <v>300</v>
          </cell>
          <cell r="G5163">
            <v>3</v>
          </cell>
          <cell r="H5163">
            <v>160</v>
          </cell>
          <cell r="I5163">
            <v>41924</v>
          </cell>
          <cell r="J5163" t="str">
            <v>NO SUMA</v>
          </cell>
          <cell r="W5163">
            <v>0</v>
          </cell>
          <cell r="AJ5163">
            <v>0</v>
          </cell>
          <cell r="AW5163">
            <v>0</v>
          </cell>
        </row>
        <row r="5164">
          <cell r="B5164">
            <v>8102</v>
          </cell>
          <cell r="C5164" t="str">
            <v>LD_53_</v>
          </cell>
          <cell r="D5164" t="str">
            <v>Rancho Landero No. 53</v>
          </cell>
          <cell r="E5164" t="str">
            <v>Gutierrez Castillo</v>
          </cell>
          <cell r="F5164">
            <v>300</v>
          </cell>
          <cell r="G5164">
            <v>3</v>
          </cell>
          <cell r="H5164">
            <v>160</v>
          </cell>
          <cell r="I5164">
            <v>41924</v>
          </cell>
          <cell r="J5164" t="str">
            <v>NO SUMA</v>
          </cell>
          <cell r="W5164">
            <v>0</v>
          </cell>
          <cell r="AJ5164">
            <v>0</v>
          </cell>
          <cell r="AW5164">
            <v>0</v>
          </cell>
        </row>
        <row r="5165">
          <cell r="B5165">
            <v>8103</v>
          </cell>
          <cell r="C5165" t="str">
            <v>CL_29_</v>
          </cell>
          <cell r="D5165" t="str">
            <v>Rancho La Cuchilla No. 29</v>
          </cell>
          <cell r="E5165" t="str">
            <v>Vega Sánchez C.</v>
          </cell>
          <cell r="F5165">
            <v>300</v>
          </cell>
          <cell r="G5165">
            <v>5</v>
          </cell>
          <cell r="H5165">
            <v>160</v>
          </cell>
          <cell r="I5165">
            <v>41924</v>
          </cell>
          <cell r="J5165" t="str">
            <v>NO SUMA</v>
          </cell>
          <cell r="W5165">
            <v>0</v>
          </cell>
          <cell r="AJ5165">
            <v>0</v>
          </cell>
          <cell r="AW5165">
            <v>0</v>
          </cell>
        </row>
        <row r="5166">
          <cell r="B5166">
            <v>8104</v>
          </cell>
          <cell r="C5166" t="str">
            <v>CL_92_</v>
          </cell>
          <cell r="D5166" t="str">
            <v>Rancho La Cuchilla No. 92</v>
          </cell>
          <cell r="E5166" t="str">
            <v>Cabrera</v>
          </cell>
          <cell r="F5166">
            <v>300</v>
          </cell>
          <cell r="G5166">
            <v>1</v>
          </cell>
          <cell r="H5166">
            <v>400</v>
          </cell>
          <cell r="I5166">
            <v>41924</v>
          </cell>
          <cell r="J5166">
            <v>0</v>
          </cell>
          <cell r="W5166">
            <v>0</v>
          </cell>
          <cell r="AJ5166">
            <v>0</v>
          </cell>
          <cell r="AT5166">
            <v>400</v>
          </cell>
          <cell r="AW5166">
            <v>400</v>
          </cell>
        </row>
        <row r="5167">
          <cell r="B5167">
            <v>8105</v>
          </cell>
          <cell r="C5167" t="str">
            <v>EZ_143_B</v>
          </cell>
          <cell r="D5167" t="str">
            <v>Rancho Estanzuela No. 143, B</v>
          </cell>
          <cell r="E5167" t="str">
            <v>López</v>
          </cell>
          <cell r="F5167">
            <v>300</v>
          </cell>
          <cell r="G5167">
            <v>1</v>
          </cell>
          <cell r="H5167">
            <v>400</v>
          </cell>
          <cell r="I5167">
            <v>41924</v>
          </cell>
          <cell r="J5167">
            <v>0</v>
          </cell>
          <cell r="W5167">
            <v>0</v>
          </cell>
          <cell r="AJ5167">
            <v>0</v>
          </cell>
          <cell r="AT5167">
            <v>400</v>
          </cell>
          <cell r="AW5167">
            <v>400</v>
          </cell>
        </row>
        <row r="5168">
          <cell r="B5168">
            <v>8105</v>
          </cell>
          <cell r="C5168" t="str">
            <v>EZ_143_B</v>
          </cell>
          <cell r="D5168" t="str">
            <v>Rancho Estanzuela No. 143, B</v>
          </cell>
          <cell r="E5168" t="str">
            <v>López</v>
          </cell>
          <cell r="F5168">
            <v>300</v>
          </cell>
          <cell r="G5168">
            <v>3</v>
          </cell>
          <cell r="H5168">
            <v>160</v>
          </cell>
          <cell r="I5168">
            <v>41924</v>
          </cell>
          <cell r="J5168" t="str">
            <v>NO SUMA</v>
          </cell>
          <cell r="W5168">
            <v>0</v>
          </cell>
          <cell r="AJ5168">
            <v>0</v>
          </cell>
          <cell r="AW5168">
            <v>0</v>
          </cell>
        </row>
        <row r="5169">
          <cell r="B5169">
            <v>8105</v>
          </cell>
          <cell r="C5169" t="str">
            <v>EZ_143_B</v>
          </cell>
          <cell r="D5169" t="str">
            <v>Rancho Estanzuela No. 143, B</v>
          </cell>
          <cell r="E5169" t="str">
            <v>López</v>
          </cell>
          <cell r="F5169">
            <v>300</v>
          </cell>
          <cell r="G5169">
            <v>4</v>
          </cell>
          <cell r="H5169">
            <v>320</v>
          </cell>
          <cell r="I5169">
            <v>41924</v>
          </cell>
          <cell r="J5169" t="str">
            <v>NO SUMA</v>
          </cell>
          <cell r="W5169">
            <v>0</v>
          </cell>
          <cell r="AJ5169">
            <v>0</v>
          </cell>
          <cell r="AW5169">
            <v>0</v>
          </cell>
        </row>
        <row r="5170">
          <cell r="B5170">
            <v>8105</v>
          </cell>
          <cell r="C5170" t="str">
            <v>EZ_143_B</v>
          </cell>
          <cell r="D5170" t="str">
            <v>Rancho Estanzuela No. 143, B</v>
          </cell>
          <cell r="E5170" t="str">
            <v>López</v>
          </cell>
          <cell r="F5170">
            <v>300</v>
          </cell>
          <cell r="G5170">
            <v>5</v>
          </cell>
          <cell r="H5170">
            <v>360</v>
          </cell>
          <cell r="I5170">
            <v>41924</v>
          </cell>
          <cell r="J5170" t="str">
            <v>NO SUMA</v>
          </cell>
          <cell r="W5170">
            <v>0</v>
          </cell>
          <cell r="AJ5170">
            <v>0</v>
          </cell>
          <cell r="AW5170">
            <v>0</v>
          </cell>
        </row>
        <row r="5171">
          <cell r="B5171">
            <v>8106</v>
          </cell>
          <cell r="C5171" t="str">
            <v>EZ_11_A</v>
          </cell>
          <cell r="D5171" t="str">
            <v>Rancho Estanzuela No. 11, A</v>
          </cell>
          <cell r="E5171" t="str">
            <v>Evans González</v>
          </cell>
          <cell r="F5171">
            <v>300</v>
          </cell>
          <cell r="G5171">
            <v>1</v>
          </cell>
          <cell r="H5171">
            <v>300</v>
          </cell>
          <cell r="I5171">
            <v>41924</v>
          </cell>
          <cell r="J5171">
            <v>0</v>
          </cell>
          <cell r="W5171">
            <v>0</v>
          </cell>
          <cell r="AJ5171">
            <v>0</v>
          </cell>
          <cell r="AS5171">
            <v>300</v>
          </cell>
          <cell r="AW5171">
            <v>300</v>
          </cell>
        </row>
        <row r="5172">
          <cell r="B5172">
            <v>8106</v>
          </cell>
          <cell r="C5172" t="str">
            <v>EZ_11_A</v>
          </cell>
          <cell r="D5172" t="str">
            <v>Rancho Estanzuela No. 11, A</v>
          </cell>
          <cell r="E5172" t="str">
            <v>Evans González</v>
          </cell>
          <cell r="F5172">
            <v>300</v>
          </cell>
          <cell r="G5172">
            <v>5</v>
          </cell>
          <cell r="H5172">
            <v>40</v>
          </cell>
          <cell r="I5172">
            <v>41924</v>
          </cell>
          <cell r="J5172" t="str">
            <v>NO SUMA</v>
          </cell>
          <cell r="W5172">
            <v>0</v>
          </cell>
          <cell r="AJ5172">
            <v>0</v>
          </cell>
          <cell r="AW5172">
            <v>0</v>
          </cell>
        </row>
        <row r="5173">
          <cell r="B5173">
            <v>8107</v>
          </cell>
          <cell r="C5173" t="str">
            <v>ZB_68_</v>
          </cell>
          <cell r="D5173" t="str">
            <v>Rancho Zinamba No. 68</v>
          </cell>
          <cell r="E5173" t="str">
            <v>Rivera Villicaña</v>
          </cell>
          <cell r="F5173">
            <v>300</v>
          </cell>
          <cell r="G5173">
            <v>1</v>
          </cell>
          <cell r="H5173">
            <v>300</v>
          </cell>
          <cell r="I5173">
            <v>41924</v>
          </cell>
          <cell r="J5173">
            <v>0</v>
          </cell>
          <cell r="W5173">
            <v>0</v>
          </cell>
          <cell r="AJ5173">
            <v>0</v>
          </cell>
          <cell r="AT5173">
            <v>300</v>
          </cell>
          <cell r="AW5173">
            <v>300</v>
          </cell>
        </row>
        <row r="5174">
          <cell r="B5174">
            <v>8108</v>
          </cell>
          <cell r="C5174" t="str">
            <v>EZ_151_</v>
          </cell>
          <cell r="D5174" t="str">
            <v>Rancho Estanzuela No. 151</v>
          </cell>
          <cell r="E5174" t="str">
            <v>Pérez Salazar</v>
          </cell>
          <cell r="F5174">
            <v>300</v>
          </cell>
          <cell r="G5174">
            <v>1</v>
          </cell>
          <cell r="H5174">
            <v>400</v>
          </cell>
          <cell r="I5174">
            <v>41924</v>
          </cell>
          <cell r="J5174">
            <v>0</v>
          </cell>
          <cell r="W5174">
            <v>0</v>
          </cell>
          <cell r="AJ5174">
            <v>0</v>
          </cell>
          <cell r="AT5174">
            <v>400</v>
          </cell>
          <cell r="AW5174">
            <v>400</v>
          </cell>
        </row>
        <row r="5175">
          <cell r="B5175">
            <v>8109</v>
          </cell>
          <cell r="C5175" t="str">
            <v>UP_33_</v>
          </cell>
          <cell r="D5175" t="str">
            <v>Rancho Upácuaro No. 33</v>
          </cell>
          <cell r="E5175" t="str">
            <v>Ulloa Miranda</v>
          </cell>
          <cell r="F5175">
            <v>300</v>
          </cell>
          <cell r="G5175">
            <v>1</v>
          </cell>
          <cell r="H5175">
            <v>400</v>
          </cell>
          <cell r="I5175">
            <v>41924</v>
          </cell>
          <cell r="J5175">
            <v>0</v>
          </cell>
          <cell r="W5175">
            <v>0</v>
          </cell>
          <cell r="AJ5175">
            <v>0</v>
          </cell>
          <cell r="AT5175">
            <v>400</v>
          </cell>
          <cell r="AW5175">
            <v>400</v>
          </cell>
        </row>
        <row r="5176">
          <cell r="B5176">
            <v>8109</v>
          </cell>
          <cell r="C5176" t="str">
            <v>UP_33_</v>
          </cell>
          <cell r="D5176" t="str">
            <v>Rancho Upácuaro No. 33</v>
          </cell>
          <cell r="E5176" t="str">
            <v>Ulloa Miranda</v>
          </cell>
          <cell r="F5176">
            <v>300</v>
          </cell>
          <cell r="G5176">
            <v>5</v>
          </cell>
          <cell r="H5176">
            <v>20</v>
          </cell>
          <cell r="I5176">
            <v>41924</v>
          </cell>
          <cell r="J5176" t="str">
            <v>NO SUMA</v>
          </cell>
          <cell r="W5176">
            <v>0</v>
          </cell>
          <cell r="AJ5176">
            <v>0</v>
          </cell>
          <cell r="AW5176">
            <v>0</v>
          </cell>
        </row>
        <row r="5177">
          <cell r="B5177">
            <v>8110</v>
          </cell>
          <cell r="C5177" t="str">
            <v>CL_81_B</v>
          </cell>
          <cell r="D5177" t="str">
            <v>Rancho La Cuchilla No. 81, B</v>
          </cell>
          <cell r="E5177" t="str">
            <v>Suárez</v>
          </cell>
          <cell r="F5177">
            <v>300</v>
          </cell>
          <cell r="G5177">
            <v>1</v>
          </cell>
          <cell r="H5177">
            <v>400</v>
          </cell>
          <cell r="I5177">
            <v>41924</v>
          </cell>
          <cell r="J5177">
            <v>0</v>
          </cell>
          <cell r="W5177">
            <v>0</v>
          </cell>
          <cell r="AJ5177">
            <v>0</v>
          </cell>
          <cell r="AT5177">
            <v>400</v>
          </cell>
          <cell r="AW5177">
            <v>400</v>
          </cell>
        </row>
        <row r="5178">
          <cell r="B5178">
            <v>8111</v>
          </cell>
          <cell r="C5178" t="str">
            <v>CL_129_</v>
          </cell>
          <cell r="D5178" t="str">
            <v>Rancho La Cuchilla No. 129</v>
          </cell>
          <cell r="E5178" t="str">
            <v>Gamboa Rueda</v>
          </cell>
          <cell r="F5178">
            <v>200</v>
          </cell>
          <cell r="G5178">
            <v>1</v>
          </cell>
          <cell r="H5178">
            <v>300</v>
          </cell>
          <cell r="I5178">
            <v>41924</v>
          </cell>
          <cell r="J5178">
            <v>0</v>
          </cell>
          <cell r="W5178">
            <v>0</v>
          </cell>
          <cell r="AJ5178">
            <v>0</v>
          </cell>
          <cell r="AT5178">
            <v>300</v>
          </cell>
          <cell r="AW5178">
            <v>300</v>
          </cell>
        </row>
        <row r="5179">
          <cell r="B5179">
            <v>8111</v>
          </cell>
          <cell r="C5179" t="str">
            <v>CL_129_</v>
          </cell>
          <cell r="D5179" t="str">
            <v>Rancho La Cuchilla No. 129</v>
          </cell>
          <cell r="E5179" t="str">
            <v>Gamboa Rueda</v>
          </cell>
          <cell r="F5179">
            <v>200</v>
          </cell>
          <cell r="G5179">
            <v>5</v>
          </cell>
          <cell r="H5179">
            <v>60</v>
          </cell>
          <cell r="I5179">
            <v>41924</v>
          </cell>
          <cell r="J5179" t="str">
            <v>NO SUMA</v>
          </cell>
          <cell r="W5179">
            <v>0</v>
          </cell>
          <cell r="AJ5179">
            <v>0</v>
          </cell>
          <cell r="AW5179">
            <v>0</v>
          </cell>
        </row>
        <row r="5180">
          <cell r="B5180">
            <v>8112</v>
          </cell>
          <cell r="C5180" t="str">
            <v>UP_47_</v>
          </cell>
          <cell r="D5180" t="str">
            <v>Rancho Upácuaro No. 47</v>
          </cell>
          <cell r="E5180" t="str">
            <v>Flores Muñoz</v>
          </cell>
          <cell r="F5180">
            <v>300</v>
          </cell>
          <cell r="G5180">
            <v>1</v>
          </cell>
          <cell r="H5180">
            <v>400</v>
          </cell>
          <cell r="I5180">
            <v>41924</v>
          </cell>
          <cell r="J5180">
            <v>0</v>
          </cell>
          <cell r="W5180">
            <v>0</v>
          </cell>
          <cell r="AJ5180">
            <v>0</v>
          </cell>
          <cell r="AT5180">
            <v>400</v>
          </cell>
          <cell r="AW5180">
            <v>400</v>
          </cell>
        </row>
        <row r="5181">
          <cell r="B5181">
            <v>8113</v>
          </cell>
          <cell r="C5181" t="str">
            <v>EZ_79_</v>
          </cell>
          <cell r="D5181" t="str">
            <v>Rancho Estanzuela No. 79</v>
          </cell>
          <cell r="E5181" t="str">
            <v>Mendoza</v>
          </cell>
          <cell r="F5181">
            <v>300</v>
          </cell>
          <cell r="G5181">
            <v>5</v>
          </cell>
          <cell r="H5181">
            <v>20</v>
          </cell>
          <cell r="I5181">
            <v>41924</v>
          </cell>
          <cell r="J5181" t="str">
            <v>NO SUMA</v>
          </cell>
          <cell r="W5181">
            <v>0</v>
          </cell>
          <cell r="AJ5181">
            <v>0</v>
          </cell>
          <cell r="AW5181">
            <v>0</v>
          </cell>
        </row>
        <row r="5182">
          <cell r="B5182">
            <v>8114</v>
          </cell>
          <cell r="C5182" t="str">
            <v>UP_37_</v>
          </cell>
          <cell r="D5182" t="str">
            <v>Rancho Upácuaro No. 37</v>
          </cell>
          <cell r="E5182" t="str">
            <v>García Valdés</v>
          </cell>
          <cell r="F5182">
            <v>300</v>
          </cell>
          <cell r="G5182">
            <v>5</v>
          </cell>
          <cell r="H5182">
            <v>110</v>
          </cell>
          <cell r="I5182">
            <v>41924</v>
          </cell>
          <cell r="J5182" t="str">
            <v>NO SUMA</v>
          </cell>
          <cell r="W5182">
            <v>0</v>
          </cell>
          <cell r="AJ5182">
            <v>0</v>
          </cell>
          <cell r="AW5182">
            <v>0</v>
          </cell>
        </row>
        <row r="5183">
          <cell r="B5183">
            <v>8115</v>
          </cell>
          <cell r="C5183" t="str">
            <v>LD_91_</v>
          </cell>
          <cell r="D5183" t="str">
            <v>Rancho Landero No. 91</v>
          </cell>
          <cell r="E5183" t="str">
            <v>Llaca</v>
          </cell>
          <cell r="F5183">
            <v>300</v>
          </cell>
          <cell r="G5183">
            <v>1</v>
          </cell>
          <cell r="H5183">
            <v>400</v>
          </cell>
          <cell r="I5183">
            <v>41924</v>
          </cell>
          <cell r="J5183">
            <v>0</v>
          </cell>
          <cell r="W5183">
            <v>0</v>
          </cell>
          <cell r="AJ5183">
            <v>0</v>
          </cell>
          <cell r="AT5183">
            <v>400</v>
          </cell>
          <cell r="AW5183">
            <v>400</v>
          </cell>
        </row>
        <row r="5184">
          <cell r="B5184">
            <v>8116</v>
          </cell>
          <cell r="C5184" t="str">
            <v>RV_193_</v>
          </cell>
          <cell r="D5184" t="str">
            <v>Rancho Recoveco No. 193</v>
          </cell>
          <cell r="E5184" t="str">
            <v>Salazar Pérez</v>
          </cell>
          <cell r="F5184">
            <v>300</v>
          </cell>
          <cell r="G5184">
            <v>5</v>
          </cell>
          <cell r="H5184">
            <v>210</v>
          </cell>
          <cell r="I5184">
            <v>41924</v>
          </cell>
          <cell r="J5184" t="str">
            <v>NO SUMA</v>
          </cell>
          <cell r="W5184">
            <v>0</v>
          </cell>
          <cell r="AJ5184">
            <v>0</v>
          </cell>
          <cell r="AW5184">
            <v>0</v>
          </cell>
        </row>
        <row r="5185">
          <cell r="B5185">
            <v>8117</v>
          </cell>
          <cell r="C5185" t="str">
            <v>ZB_68_</v>
          </cell>
          <cell r="D5185" t="str">
            <v>Rancho Zinamba No. 68</v>
          </cell>
          <cell r="E5185" t="str">
            <v>Rivera Villicaña</v>
          </cell>
          <cell r="F5185">
            <v>300</v>
          </cell>
          <cell r="G5185">
            <v>3</v>
          </cell>
          <cell r="H5185">
            <v>160</v>
          </cell>
          <cell r="I5185">
            <v>41924</v>
          </cell>
          <cell r="J5185" t="str">
            <v>NO SUMA</v>
          </cell>
          <cell r="W5185">
            <v>0</v>
          </cell>
          <cell r="AJ5185">
            <v>0</v>
          </cell>
          <cell r="AW5185">
            <v>0</v>
          </cell>
        </row>
        <row r="5186">
          <cell r="B5186">
            <v>8118</v>
          </cell>
          <cell r="C5186" t="str">
            <v>CL_120_</v>
          </cell>
          <cell r="D5186" t="str">
            <v>Rancho La Cuchilla No. 120</v>
          </cell>
          <cell r="E5186" t="str">
            <v>Pozos Vilchis</v>
          </cell>
          <cell r="F5186">
            <v>300</v>
          </cell>
          <cell r="G5186">
            <v>1</v>
          </cell>
          <cell r="H5186">
            <v>400</v>
          </cell>
          <cell r="I5186">
            <v>41924</v>
          </cell>
          <cell r="J5186">
            <v>0</v>
          </cell>
          <cell r="W5186">
            <v>0</v>
          </cell>
          <cell r="AJ5186">
            <v>0</v>
          </cell>
          <cell r="AT5186">
            <v>400</v>
          </cell>
          <cell r="AW5186">
            <v>400</v>
          </cell>
        </row>
        <row r="5187">
          <cell r="B5187">
            <v>8119</v>
          </cell>
          <cell r="C5187" t="str">
            <v>UP_71_</v>
          </cell>
          <cell r="D5187" t="str">
            <v>Rancho Upácuaro No. 71</v>
          </cell>
          <cell r="E5187" t="str">
            <v>Trejo Méndez</v>
          </cell>
          <cell r="F5187">
            <v>300</v>
          </cell>
          <cell r="G5187">
            <v>1</v>
          </cell>
          <cell r="H5187">
            <v>400</v>
          </cell>
          <cell r="I5187">
            <v>41924</v>
          </cell>
          <cell r="J5187">
            <v>0</v>
          </cell>
          <cell r="W5187">
            <v>0</v>
          </cell>
          <cell r="AJ5187">
            <v>0</v>
          </cell>
          <cell r="AT5187">
            <v>400</v>
          </cell>
          <cell r="AW5187">
            <v>400</v>
          </cell>
        </row>
        <row r="5188">
          <cell r="B5188">
            <v>8119</v>
          </cell>
          <cell r="C5188" t="str">
            <v>UP_71_</v>
          </cell>
          <cell r="D5188" t="str">
            <v>Rancho Upácuaro No. 71</v>
          </cell>
          <cell r="E5188" t="str">
            <v>Trejo Méndez</v>
          </cell>
          <cell r="F5188">
            <v>300</v>
          </cell>
          <cell r="G5188">
            <v>4</v>
          </cell>
          <cell r="H5188">
            <v>160</v>
          </cell>
          <cell r="I5188">
            <v>41924</v>
          </cell>
          <cell r="J5188" t="str">
            <v>NO SUMA</v>
          </cell>
          <cell r="W5188">
            <v>0</v>
          </cell>
          <cell r="AJ5188">
            <v>0</v>
          </cell>
          <cell r="AW5188">
            <v>0</v>
          </cell>
        </row>
        <row r="5189">
          <cell r="B5189">
            <v>8120</v>
          </cell>
          <cell r="C5189" t="str">
            <v>LD_90_</v>
          </cell>
          <cell r="D5189" t="str">
            <v>Rancho Landero No. 90</v>
          </cell>
          <cell r="E5189" t="str">
            <v>Córdova Reséndiz</v>
          </cell>
          <cell r="F5189">
            <v>300</v>
          </cell>
          <cell r="G5189">
            <v>1</v>
          </cell>
          <cell r="H5189">
            <v>300</v>
          </cell>
          <cell r="I5189">
            <v>41924</v>
          </cell>
          <cell r="J5189">
            <v>0</v>
          </cell>
          <cell r="W5189">
            <v>0</v>
          </cell>
          <cell r="AJ5189">
            <v>0</v>
          </cell>
          <cell r="AT5189">
            <v>300</v>
          </cell>
          <cell r="AW5189">
            <v>300</v>
          </cell>
        </row>
        <row r="5190">
          <cell r="B5190">
            <v>8121</v>
          </cell>
          <cell r="C5190" t="str">
            <v>RV_197_</v>
          </cell>
          <cell r="D5190" t="str">
            <v>Rancho Recoveco No. 197</v>
          </cell>
          <cell r="E5190" t="str">
            <v>Colín González</v>
          </cell>
          <cell r="F5190">
            <v>300</v>
          </cell>
          <cell r="G5190">
            <v>1</v>
          </cell>
          <cell r="H5190">
            <v>400</v>
          </cell>
          <cell r="I5190">
            <v>41924</v>
          </cell>
          <cell r="J5190">
            <v>0</v>
          </cell>
          <cell r="W5190">
            <v>0</v>
          </cell>
          <cell r="AJ5190">
            <v>0</v>
          </cell>
          <cell r="AT5190">
            <v>400</v>
          </cell>
          <cell r="AW5190">
            <v>400</v>
          </cell>
        </row>
        <row r="5191">
          <cell r="B5191">
            <v>8122</v>
          </cell>
          <cell r="C5191" t="str">
            <v>CL_149_</v>
          </cell>
          <cell r="D5191" t="str">
            <v>Rancho La Cuchilla No. 149</v>
          </cell>
          <cell r="E5191" t="str">
            <v>Montes Irineos</v>
          </cell>
          <cell r="F5191">
            <v>300</v>
          </cell>
          <cell r="G5191">
            <v>5</v>
          </cell>
          <cell r="H5191">
            <v>40</v>
          </cell>
          <cell r="I5191">
            <v>41924</v>
          </cell>
          <cell r="J5191" t="str">
            <v>NO SUMA</v>
          </cell>
          <cell r="W5191">
            <v>0</v>
          </cell>
          <cell r="AJ5191">
            <v>0</v>
          </cell>
          <cell r="AW5191">
            <v>0</v>
          </cell>
        </row>
        <row r="5192">
          <cell r="B5192">
            <v>8123</v>
          </cell>
          <cell r="C5192" t="str">
            <v>LD_73_</v>
          </cell>
          <cell r="D5192" t="str">
            <v>Rancho Landero No. 73</v>
          </cell>
          <cell r="E5192" t="str">
            <v>Islas Palacios</v>
          </cell>
          <cell r="F5192">
            <v>300</v>
          </cell>
          <cell r="G5192">
            <v>5</v>
          </cell>
          <cell r="H5192">
            <v>50</v>
          </cell>
          <cell r="I5192">
            <v>41924</v>
          </cell>
          <cell r="J5192" t="str">
            <v>NO SUMA</v>
          </cell>
          <cell r="W5192">
            <v>0</v>
          </cell>
          <cell r="AJ5192">
            <v>0</v>
          </cell>
          <cell r="AW5192">
            <v>0</v>
          </cell>
        </row>
        <row r="5193">
          <cell r="B5193">
            <v>8124</v>
          </cell>
          <cell r="C5193" t="str">
            <v>CL_130_</v>
          </cell>
          <cell r="D5193" t="str">
            <v>Rancho La Cuchilla No. 130</v>
          </cell>
          <cell r="E5193" t="str">
            <v>Gonzalez</v>
          </cell>
          <cell r="F5193">
            <v>300</v>
          </cell>
          <cell r="G5193">
            <v>1</v>
          </cell>
          <cell r="H5193">
            <v>400</v>
          </cell>
          <cell r="I5193">
            <v>41924</v>
          </cell>
          <cell r="J5193">
            <v>0</v>
          </cell>
          <cell r="W5193">
            <v>0</v>
          </cell>
          <cell r="AJ5193">
            <v>0</v>
          </cell>
          <cell r="AT5193">
            <v>400</v>
          </cell>
          <cell r="AW5193">
            <v>400</v>
          </cell>
        </row>
        <row r="5194">
          <cell r="B5194">
            <v>8125</v>
          </cell>
          <cell r="C5194" t="str">
            <v>CL_141_</v>
          </cell>
          <cell r="D5194" t="str">
            <v>Rancho La Cuchilla No. 141</v>
          </cell>
          <cell r="E5194" t="str">
            <v>Salazar Torres</v>
          </cell>
          <cell r="F5194">
            <v>300</v>
          </cell>
          <cell r="G5194">
            <v>5</v>
          </cell>
          <cell r="H5194">
            <v>60</v>
          </cell>
          <cell r="I5194">
            <v>41924</v>
          </cell>
          <cell r="J5194" t="str">
            <v>NO SUMA</v>
          </cell>
          <cell r="W5194">
            <v>0</v>
          </cell>
          <cell r="AJ5194">
            <v>0</v>
          </cell>
          <cell r="AW5194">
            <v>0</v>
          </cell>
        </row>
        <row r="5195">
          <cell r="B5195">
            <v>8126</v>
          </cell>
          <cell r="C5195" t="str">
            <v>CL_7_102</v>
          </cell>
          <cell r="D5195" t="str">
            <v>Rancho La Cuchilla No. 7, 102</v>
          </cell>
          <cell r="E5195" t="str">
            <v>García Moreno</v>
          </cell>
          <cell r="F5195">
            <v>100</v>
          </cell>
          <cell r="G5195">
            <v>1</v>
          </cell>
          <cell r="H5195">
            <v>300</v>
          </cell>
          <cell r="I5195">
            <v>41924</v>
          </cell>
          <cell r="J5195">
            <v>0</v>
          </cell>
          <cell r="W5195">
            <v>0</v>
          </cell>
          <cell r="AJ5195">
            <v>0</v>
          </cell>
          <cell r="AQ5195">
            <v>100</v>
          </cell>
          <cell r="AR5195">
            <v>100</v>
          </cell>
          <cell r="AS5195">
            <v>100</v>
          </cell>
          <cell r="AW5195">
            <v>300</v>
          </cell>
        </row>
        <row r="5196">
          <cell r="B5196">
            <v>8126</v>
          </cell>
          <cell r="C5196" t="str">
            <v>CL_7_102</v>
          </cell>
          <cell r="D5196" t="str">
            <v>Rancho La Cuchilla No. 7, 102</v>
          </cell>
          <cell r="E5196" t="str">
            <v>García Moreno</v>
          </cell>
          <cell r="F5196">
            <v>100</v>
          </cell>
          <cell r="G5196">
            <v>5</v>
          </cell>
          <cell r="H5196">
            <v>40</v>
          </cell>
          <cell r="I5196">
            <v>41924</v>
          </cell>
          <cell r="J5196" t="str">
            <v>NO SUMA</v>
          </cell>
          <cell r="W5196">
            <v>0</v>
          </cell>
          <cell r="AJ5196">
            <v>0</v>
          </cell>
          <cell r="AW5196">
            <v>0</v>
          </cell>
        </row>
        <row r="5197">
          <cell r="B5197">
            <v>8127</v>
          </cell>
          <cell r="C5197" t="str">
            <v>CL_82_</v>
          </cell>
          <cell r="D5197" t="str">
            <v>Rancho La Cuchilla No. 82</v>
          </cell>
          <cell r="E5197" t="str">
            <v>Cruz</v>
          </cell>
          <cell r="F5197">
            <v>300</v>
          </cell>
          <cell r="G5197">
            <v>3</v>
          </cell>
          <cell r="H5197">
            <v>160</v>
          </cell>
          <cell r="I5197">
            <v>41924</v>
          </cell>
          <cell r="J5197" t="str">
            <v>NO SUMA</v>
          </cell>
          <cell r="W5197">
            <v>0</v>
          </cell>
          <cell r="AJ5197">
            <v>0</v>
          </cell>
          <cell r="AW5197">
            <v>0</v>
          </cell>
        </row>
        <row r="5198">
          <cell r="B5198">
            <v>8127</v>
          </cell>
          <cell r="C5198" t="str">
            <v>CL_82_</v>
          </cell>
          <cell r="D5198" t="str">
            <v>Rancho La Cuchilla No. 82</v>
          </cell>
          <cell r="E5198" t="str">
            <v>Cruz</v>
          </cell>
          <cell r="F5198">
            <v>300</v>
          </cell>
          <cell r="G5198">
            <v>5</v>
          </cell>
          <cell r="H5198">
            <v>100</v>
          </cell>
          <cell r="I5198">
            <v>41924</v>
          </cell>
          <cell r="J5198" t="str">
            <v>NO SUMA</v>
          </cell>
          <cell r="W5198">
            <v>0</v>
          </cell>
          <cell r="AJ5198">
            <v>0</v>
          </cell>
          <cell r="AW5198">
            <v>0</v>
          </cell>
        </row>
        <row r="5199">
          <cell r="B5199">
            <v>8128</v>
          </cell>
          <cell r="C5199" t="str">
            <v>UP_142_</v>
          </cell>
          <cell r="D5199" t="str">
            <v>Rancho Upácuaro No. 142</v>
          </cell>
          <cell r="E5199" t="str">
            <v>Fierro Villaneda</v>
          </cell>
          <cell r="F5199">
            <v>300</v>
          </cell>
          <cell r="G5199">
            <v>1</v>
          </cell>
          <cell r="H5199">
            <v>800</v>
          </cell>
          <cell r="I5199">
            <v>41924</v>
          </cell>
          <cell r="J5199">
            <v>0</v>
          </cell>
          <cell r="W5199">
            <v>0</v>
          </cell>
          <cell r="AJ5199">
            <v>0</v>
          </cell>
          <cell r="AU5199">
            <v>400</v>
          </cell>
          <cell r="AV5199">
            <v>400</v>
          </cell>
          <cell r="AW5199">
            <v>800</v>
          </cell>
        </row>
        <row r="5200">
          <cell r="B5200">
            <v>8128</v>
          </cell>
          <cell r="C5200" t="str">
            <v>UP_142_</v>
          </cell>
          <cell r="D5200" t="str">
            <v>Rancho Upácuaro No. 142</v>
          </cell>
          <cell r="E5200" t="str">
            <v>Fierro Villaneda</v>
          </cell>
          <cell r="F5200">
            <v>300</v>
          </cell>
          <cell r="G5200">
            <v>5</v>
          </cell>
          <cell r="H5200">
            <v>160</v>
          </cell>
          <cell r="I5200">
            <v>41924</v>
          </cell>
          <cell r="J5200" t="str">
            <v>NO SUMA</v>
          </cell>
          <cell r="W5200">
            <v>0</v>
          </cell>
          <cell r="AJ5200">
            <v>0</v>
          </cell>
          <cell r="AW5200">
            <v>0</v>
          </cell>
        </row>
        <row r="5201">
          <cell r="B5201">
            <v>8129</v>
          </cell>
          <cell r="C5201" t="str">
            <v>CL_33_</v>
          </cell>
          <cell r="D5201" t="str">
            <v>Rancho La Cuchilla No. 33</v>
          </cell>
          <cell r="E5201" t="str">
            <v>Tanús</v>
          </cell>
          <cell r="F5201">
            <v>300</v>
          </cell>
          <cell r="G5201">
            <v>4</v>
          </cell>
          <cell r="H5201">
            <v>160</v>
          </cell>
          <cell r="I5201">
            <v>41924</v>
          </cell>
          <cell r="J5201" t="str">
            <v>NO SUMA</v>
          </cell>
          <cell r="W5201">
            <v>0</v>
          </cell>
          <cell r="AJ5201">
            <v>0</v>
          </cell>
          <cell r="AW5201">
            <v>0</v>
          </cell>
        </row>
        <row r="5202">
          <cell r="B5202">
            <v>8130</v>
          </cell>
          <cell r="C5202" t="str">
            <v>EZ_99_</v>
          </cell>
          <cell r="D5202" t="str">
            <v>Rancho Estanzuela No. 99</v>
          </cell>
          <cell r="E5202" t="str">
            <v>García López</v>
          </cell>
          <cell r="F5202">
            <v>300</v>
          </cell>
          <cell r="G5202">
            <v>1</v>
          </cell>
          <cell r="H5202">
            <v>400</v>
          </cell>
          <cell r="I5202">
            <v>41924</v>
          </cell>
          <cell r="J5202">
            <v>0</v>
          </cell>
          <cell r="W5202">
            <v>0</v>
          </cell>
          <cell r="AJ5202">
            <v>0</v>
          </cell>
          <cell r="AT5202">
            <v>400</v>
          </cell>
          <cell r="AW5202">
            <v>400</v>
          </cell>
        </row>
        <row r="5203">
          <cell r="B5203">
            <v>8131</v>
          </cell>
          <cell r="C5203" t="str">
            <v>CL_45_</v>
          </cell>
          <cell r="D5203" t="str">
            <v>Rancho La Cuchilla No. 45</v>
          </cell>
          <cell r="E5203" t="str">
            <v>Estévez Hernández</v>
          </cell>
          <cell r="F5203">
            <v>300</v>
          </cell>
          <cell r="G5203">
            <v>5</v>
          </cell>
          <cell r="H5203">
            <v>60</v>
          </cell>
          <cell r="I5203">
            <v>41924</v>
          </cell>
          <cell r="J5203" t="str">
            <v>NO SUMA</v>
          </cell>
          <cell r="W5203">
            <v>0</v>
          </cell>
          <cell r="AJ5203">
            <v>0</v>
          </cell>
          <cell r="AW5203">
            <v>0</v>
          </cell>
        </row>
        <row r="5204">
          <cell r="B5204">
            <v>8132</v>
          </cell>
          <cell r="C5204" t="str">
            <v>CL_38_</v>
          </cell>
          <cell r="D5204" t="str">
            <v>Rancho La Cuchilla No. 38</v>
          </cell>
          <cell r="E5204" t="str">
            <v>Cerecedo</v>
          </cell>
          <cell r="F5204">
            <v>300</v>
          </cell>
          <cell r="G5204">
            <v>5</v>
          </cell>
          <cell r="H5204">
            <v>60</v>
          </cell>
          <cell r="I5204">
            <v>41924</v>
          </cell>
          <cell r="J5204" t="str">
            <v>NO SUMA</v>
          </cell>
          <cell r="W5204">
            <v>0</v>
          </cell>
          <cell r="AJ5204">
            <v>0</v>
          </cell>
          <cell r="AW5204">
            <v>0</v>
          </cell>
        </row>
        <row r="5205">
          <cell r="B5205">
            <v>8133</v>
          </cell>
          <cell r="C5205" t="str">
            <v>UP_78_</v>
          </cell>
          <cell r="D5205" t="str">
            <v>Rancho Upácuaro No. 78</v>
          </cell>
          <cell r="E5205" t="str">
            <v>Villaseñor Carranza</v>
          </cell>
          <cell r="F5205">
            <v>300</v>
          </cell>
          <cell r="G5205">
            <v>5</v>
          </cell>
          <cell r="H5205">
            <v>160</v>
          </cell>
          <cell r="I5205">
            <v>41924</v>
          </cell>
          <cell r="J5205" t="str">
            <v>NO SUMA</v>
          </cell>
          <cell r="W5205">
            <v>0</v>
          </cell>
          <cell r="AJ5205">
            <v>0</v>
          </cell>
          <cell r="AW5205">
            <v>0</v>
          </cell>
        </row>
        <row r="5206">
          <cell r="B5206">
            <v>8134</v>
          </cell>
          <cell r="C5206" t="str">
            <v>UP_130_</v>
          </cell>
          <cell r="D5206" t="str">
            <v>Rancho Upácuaro No. 130</v>
          </cell>
          <cell r="E5206" t="str">
            <v>Rodríguez Álvarez</v>
          </cell>
          <cell r="F5206">
            <v>150</v>
          </cell>
          <cell r="G5206">
            <v>1</v>
          </cell>
          <cell r="H5206">
            <v>200</v>
          </cell>
          <cell r="I5206">
            <v>41924</v>
          </cell>
          <cell r="J5206">
            <v>0</v>
          </cell>
          <cell r="W5206">
            <v>0</v>
          </cell>
          <cell r="AJ5206">
            <v>0</v>
          </cell>
          <cell r="AT5206">
            <v>200</v>
          </cell>
          <cell r="AW5206">
            <v>200</v>
          </cell>
        </row>
        <row r="5207">
          <cell r="B5207">
            <v>8134</v>
          </cell>
          <cell r="C5207" t="str">
            <v>UP_130_</v>
          </cell>
          <cell r="D5207" t="str">
            <v>Rancho Upácuaro No. 130</v>
          </cell>
          <cell r="E5207" t="str">
            <v>Rodríguez Álvarez</v>
          </cell>
          <cell r="F5207">
            <v>150</v>
          </cell>
          <cell r="G5207">
            <v>5</v>
          </cell>
          <cell r="H5207">
            <v>40</v>
          </cell>
          <cell r="I5207">
            <v>41924</v>
          </cell>
          <cell r="J5207" t="str">
            <v>NO SUMA</v>
          </cell>
          <cell r="W5207">
            <v>0</v>
          </cell>
          <cell r="AJ5207">
            <v>0</v>
          </cell>
          <cell r="AW5207">
            <v>0</v>
          </cell>
        </row>
        <row r="5208">
          <cell r="B5208">
            <v>8135</v>
          </cell>
          <cell r="C5208" t="str">
            <v>LD_7_</v>
          </cell>
          <cell r="D5208" t="str">
            <v>Rancho Landero No. 7</v>
          </cell>
          <cell r="E5208" t="str">
            <v>Robles</v>
          </cell>
          <cell r="F5208">
            <v>150</v>
          </cell>
          <cell r="G5208">
            <v>1</v>
          </cell>
          <cell r="H5208">
            <v>150</v>
          </cell>
          <cell r="I5208">
            <v>41924</v>
          </cell>
          <cell r="J5208">
            <v>0</v>
          </cell>
          <cell r="W5208">
            <v>0</v>
          </cell>
          <cell r="AJ5208">
            <v>0</v>
          </cell>
          <cell r="AT5208">
            <v>150</v>
          </cell>
          <cell r="AW5208">
            <v>150</v>
          </cell>
        </row>
        <row r="5209">
          <cell r="B5209">
            <v>8136</v>
          </cell>
          <cell r="C5209" t="str">
            <v>UP_68_</v>
          </cell>
          <cell r="D5209" t="str">
            <v>Rancho Upácuaro No. 68</v>
          </cell>
          <cell r="E5209" t="str">
            <v>Colin Guerrero</v>
          </cell>
          <cell r="F5209">
            <v>300</v>
          </cell>
          <cell r="G5209">
            <v>1</v>
          </cell>
          <cell r="H5209">
            <v>200</v>
          </cell>
          <cell r="I5209">
            <v>41928</v>
          </cell>
          <cell r="J5209">
            <v>0</v>
          </cell>
          <cell r="W5209">
            <v>0</v>
          </cell>
          <cell r="AJ5209">
            <v>0</v>
          </cell>
          <cell r="AT5209">
            <v>200</v>
          </cell>
          <cell r="AW5209">
            <v>200</v>
          </cell>
        </row>
        <row r="5210">
          <cell r="B5210">
            <v>8137</v>
          </cell>
          <cell r="C5210" t="str">
            <v>UP_68_</v>
          </cell>
          <cell r="D5210" t="str">
            <v>Rancho Upácuaro No. 68</v>
          </cell>
          <cell r="E5210" t="str">
            <v>Colin Guerrero</v>
          </cell>
          <cell r="F5210">
            <v>300</v>
          </cell>
          <cell r="G5210">
            <v>5</v>
          </cell>
          <cell r="H5210">
            <v>40</v>
          </cell>
          <cell r="I5210">
            <v>41928</v>
          </cell>
          <cell r="J5210" t="str">
            <v>NO SUMA</v>
          </cell>
          <cell r="W5210">
            <v>0</v>
          </cell>
          <cell r="AJ5210">
            <v>0</v>
          </cell>
          <cell r="AW5210">
            <v>0</v>
          </cell>
        </row>
        <row r="5211">
          <cell r="B5211">
            <v>8138</v>
          </cell>
          <cell r="C5211" t="str">
            <v>UP_46_</v>
          </cell>
          <cell r="D5211" t="str">
            <v>Rancho Upácuaro No. 46</v>
          </cell>
          <cell r="E5211" t="str">
            <v>Fuentes</v>
          </cell>
          <cell r="F5211">
            <v>300</v>
          </cell>
          <cell r="I5211">
            <v>41928</v>
          </cell>
          <cell r="J5211" t="str">
            <v>NO SUMA</v>
          </cell>
          <cell r="W5211">
            <v>0</v>
          </cell>
          <cell r="AJ5211">
            <v>0</v>
          </cell>
          <cell r="AW5211">
            <v>0</v>
          </cell>
        </row>
        <row r="5212">
          <cell r="B5212">
            <v>8139</v>
          </cell>
          <cell r="C5212" t="str">
            <v>EZ_15_A</v>
          </cell>
          <cell r="D5212" t="str">
            <v>Rancho Estanzuela No. 15, A</v>
          </cell>
          <cell r="E5212" t="str">
            <v>González</v>
          </cell>
          <cell r="F5212">
            <v>150</v>
          </cell>
          <cell r="I5212">
            <v>41928</v>
          </cell>
          <cell r="J5212" t="str">
            <v>NO SUMA</v>
          </cell>
          <cell r="W5212">
            <v>0</v>
          </cell>
          <cell r="AJ5212">
            <v>0</v>
          </cell>
          <cell r="AW5212">
            <v>0</v>
          </cell>
        </row>
        <row r="5213">
          <cell r="B5213">
            <v>8140</v>
          </cell>
          <cell r="D5213" t="str">
            <v/>
          </cell>
          <cell r="E5213" t="str">
            <v/>
          </cell>
          <cell r="F5213" t="str">
            <v/>
          </cell>
          <cell r="G5213">
            <v>8</v>
          </cell>
          <cell r="J5213" t="str">
            <v>NO SUMA</v>
          </cell>
          <cell r="W5213">
            <v>0</v>
          </cell>
          <cell r="AJ5213">
            <v>0</v>
          </cell>
          <cell r="AW5213">
            <v>0</v>
          </cell>
        </row>
        <row r="5214">
          <cell r="B5214">
            <v>8141</v>
          </cell>
          <cell r="C5214" t="str">
            <v>CL_29_</v>
          </cell>
          <cell r="D5214" t="str">
            <v>Rancho La Cuchilla No. 29</v>
          </cell>
          <cell r="E5214" t="str">
            <v>Vega Sánchez C.</v>
          </cell>
          <cell r="F5214">
            <v>300</v>
          </cell>
          <cell r="I5214">
            <v>41928</v>
          </cell>
          <cell r="J5214" t="str">
            <v>NO SUMA</v>
          </cell>
          <cell r="W5214">
            <v>0</v>
          </cell>
          <cell r="AJ5214">
            <v>0</v>
          </cell>
          <cell r="AW5214">
            <v>0</v>
          </cell>
        </row>
        <row r="5215">
          <cell r="B5215">
            <v>8142</v>
          </cell>
          <cell r="C5215" t="str">
            <v>CL_115_</v>
          </cell>
          <cell r="D5215" t="str">
            <v>Rancho La Cuchilla No. 115</v>
          </cell>
          <cell r="E5215" t="str">
            <v>Alfaro</v>
          </cell>
          <cell r="F5215">
            <v>300</v>
          </cell>
          <cell r="G5215">
            <v>1</v>
          </cell>
          <cell r="H5215">
            <v>1600</v>
          </cell>
          <cell r="I5215">
            <v>41928</v>
          </cell>
          <cell r="J5215">
            <v>0</v>
          </cell>
          <cell r="W5215">
            <v>0</v>
          </cell>
          <cell r="AJ5215">
            <v>0</v>
          </cell>
          <cell r="AM5215">
            <v>400</v>
          </cell>
          <cell r="AN5215">
            <v>400</v>
          </cell>
          <cell r="AO5215">
            <v>400</v>
          </cell>
          <cell r="AP5215">
            <v>400</v>
          </cell>
          <cell r="AW5215">
            <v>1600</v>
          </cell>
        </row>
        <row r="5216">
          <cell r="B5216">
            <v>8143</v>
          </cell>
          <cell r="C5216" t="str">
            <v>EZ_129_</v>
          </cell>
          <cell r="D5216" t="str">
            <v>Rancho Estanzuela No. 129</v>
          </cell>
          <cell r="E5216" t="str">
            <v>González</v>
          </cell>
          <cell r="F5216">
            <v>300</v>
          </cell>
          <cell r="G5216">
            <v>1</v>
          </cell>
          <cell r="H5216">
            <v>250</v>
          </cell>
          <cell r="I5216">
            <v>41928</v>
          </cell>
          <cell r="J5216">
            <v>0</v>
          </cell>
          <cell r="W5216">
            <v>0</v>
          </cell>
          <cell r="AJ5216">
            <v>0</v>
          </cell>
          <cell r="AS5216">
            <v>250</v>
          </cell>
          <cell r="AW5216">
            <v>250</v>
          </cell>
        </row>
        <row r="5217">
          <cell r="B5217">
            <v>8144</v>
          </cell>
          <cell r="C5217" t="str">
            <v>EZ_19_</v>
          </cell>
          <cell r="D5217" t="str">
            <v>Rancho Estanzuela No. 19</v>
          </cell>
          <cell r="E5217" t="str">
            <v>Robles</v>
          </cell>
          <cell r="F5217">
            <v>300</v>
          </cell>
          <cell r="G5217">
            <v>1</v>
          </cell>
          <cell r="H5217">
            <v>800</v>
          </cell>
          <cell r="I5217">
            <v>41929</v>
          </cell>
          <cell r="J5217">
            <v>0</v>
          </cell>
          <cell r="W5217">
            <v>0</v>
          </cell>
          <cell r="AJ5217">
            <v>0</v>
          </cell>
          <cell r="AS5217">
            <v>400</v>
          </cell>
          <cell r="AT5217">
            <v>400</v>
          </cell>
          <cell r="AW5217">
            <v>800</v>
          </cell>
        </row>
        <row r="5218">
          <cell r="B5218">
            <v>8144</v>
          </cell>
          <cell r="C5218" t="str">
            <v>EZ_19_</v>
          </cell>
          <cell r="D5218" t="str">
            <v>Rancho Estanzuela No. 19</v>
          </cell>
          <cell r="E5218" t="str">
            <v>Robles</v>
          </cell>
          <cell r="F5218">
            <v>300</v>
          </cell>
          <cell r="G5218">
            <v>5</v>
          </cell>
          <cell r="H5218">
            <v>110</v>
          </cell>
          <cell r="I5218">
            <v>41929</v>
          </cell>
          <cell r="J5218" t="str">
            <v>NO SUMA</v>
          </cell>
          <cell r="W5218">
            <v>0</v>
          </cell>
          <cell r="AJ5218">
            <v>0</v>
          </cell>
          <cell r="AW5218">
            <v>0</v>
          </cell>
        </row>
        <row r="5219">
          <cell r="B5219">
            <v>8145</v>
          </cell>
          <cell r="C5219" t="str">
            <v>LD_14_</v>
          </cell>
          <cell r="D5219" t="str">
            <v>Rancho Landero No. 14</v>
          </cell>
          <cell r="E5219" t="str">
            <v xml:space="preserve">Castrejón  </v>
          </cell>
          <cell r="F5219">
            <v>300</v>
          </cell>
          <cell r="G5219">
            <v>4</v>
          </cell>
          <cell r="H5219">
            <v>160</v>
          </cell>
          <cell r="I5219">
            <v>41931</v>
          </cell>
          <cell r="J5219" t="str">
            <v>NO SUMA</v>
          </cell>
          <cell r="W5219">
            <v>0</v>
          </cell>
          <cell r="AJ5219">
            <v>0</v>
          </cell>
          <cell r="AW5219">
            <v>0</v>
          </cell>
        </row>
        <row r="5220">
          <cell r="B5220">
            <v>8145</v>
          </cell>
          <cell r="C5220" t="str">
            <v>LD_14_</v>
          </cell>
          <cell r="D5220" t="str">
            <v>Rancho Landero No. 14</v>
          </cell>
          <cell r="E5220" t="str">
            <v xml:space="preserve">Castrejón  </v>
          </cell>
          <cell r="F5220">
            <v>300</v>
          </cell>
          <cell r="G5220">
            <v>5</v>
          </cell>
          <cell r="H5220">
            <v>20</v>
          </cell>
          <cell r="I5220">
            <v>41931</v>
          </cell>
          <cell r="J5220" t="str">
            <v>NO SUMA</v>
          </cell>
          <cell r="W5220">
            <v>0</v>
          </cell>
          <cell r="AJ5220">
            <v>0</v>
          </cell>
          <cell r="AW5220">
            <v>0</v>
          </cell>
        </row>
        <row r="5221">
          <cell r="B5221">
            <v>8146</v>
          </cell>
          <cell r="C5221" t="str">
            <v>CL_32_</v>
          </cell>
          <cell r="D5221" t="str">
            <v>Rancho La Cuchilla No. 32</v>
          </cell>
          <cell r="E5221" t="str">
            <v>Hernández</v>
          </cell>
          <cell r="F5221">
            <v>300</v>
          </cell>
          <cell r="G5221">
            <v>5</v>
          </cell>
          <cell r="H5221">
            <v>40</v>
          </cell>
          <cell r="I5221">
            <v>41931</v>
          </cell>
          <cell r="J5221" t="str">
            <v>NO SUMA</v>
          </cell>
          <cell r="W5221">
            <v>0</v>
          </cell>
          <cell r="AJ5221">
            <v>0</v>
          </cell>
          <cell r="AW5221">
            <v>0</v>
          </cell>
        </row>
        <row r="5222">
          <cell r="B5222">
            <v>8147</v>
          </cell>
          <cell r="C5222" t="str">
            <v>ZB_24_</v>
          </cell>
          <cell r="D5222" t="str">
            <v>Rancho Zinamba No. 24</v>
          </cell>
          <cell r="E5222" t="str">
            <v>Monroy García</v>
          </cell>
          <cell r="F5222">
            <v>300</v>
          </cell>
          <cell r="G5222">
            <v>1</v>
          </cell>
          <cell r="H5222">
            <v>400</v>
          </cell>
          <cell r="I5222">
            <v>41931</v>
          </cell>
          <cell r="J5222">
            <v>0</v>
          </cell>
          <cell r="W5222">
            <v>0</v>
          </cell>
          <cell r="AJ5222">
            <v>0</v>
          </cell>
          <cell r="AT5222">
            <v>400</v>
          </cell>
          <cell r="AW5222">
            <v>400</v>
          </cell>
        </row>
        <row r="5223">
          <cell r="B5223">
            <v>8148</v>
          </cell>
          <cell r="C5223" t="str">
            <v>ZB_50_</v>
          </cell>
          <cell r="D5223" t="str">
            <v>Rancho Zinamba No. 50</v>
          </cell>
          <cell r="E5223" t="str">
            <v>Del Castillo</v>
          </cell>
          <cell r="F5223">
            <v>300</v>
          </cell>
          <cell r="G5223">
            <v>1</v>
          </cell>
          <cell r="H5223">
            <v>400</v>
          </cell>
          <cell r="I5223">
            <v>41931</v>
          </cell>
          <cell r="J5223">
            <v>0</v>
          </cell>
          <cell r="W5223">
            <v>0</v>
          </cell>
          <cell r="AJ5223">
            <v>0</v>
          </cell>
          <cell r="AS5223">
            <v>400</v>
          </cell>
          <cell r="AW5223">
            <v>400</v>
          </cell>
        </row>
        <row r="5224">
          <cell r="B5224">
            <v>8149</v>
          </cell>
          <cell r="C5224" t="str">
            <v>EZ_49_</v>
          </cell>
          <cell r="D5224" t="str">
            <v>Rancho Estanzuela No. 49</v>
          </cell>
          <cell r="E5224" t="str">
            <v>Sánchez Zamora</v>
          </cell>
          <cell r="F5224">
            <v>300</v>
          </cell>
          <cell r="G5224">
            <v>1</v>
          </cell>
          <cell r="H5224">
            <v>400</v>
          </cell>
          <cell r="I5224">
            <v>41931</v>
          </cell>
          <cell r="J5224">
            <v>0</v>
          </cell>
          <cell r="W5224">
            <v>0</v>
          </cell>
          <cell r="AJ5224">
            <v>0</v>
          </cell>
          <cell r="AP5224">
            <v>200</v>
          </cell>
          <cell r="AQ5224">
            <v>200</v>
          </cell>
          <cell r="AW5224">
            <v>400</v>
          </cell>
        </row>
        <row r="5225">
          <cell r="B5225">
            <v>8150</v>
          </cell>
          <cell r="C5225" t="str">
            <v>CL_93_</v>
          </cell>
          <cell r="D5225" t="str">
            <v>Rancho La Cuchilla No. 93</v>
          </cell>
          <cell r="E5225" t="str">
            <v>Alcántara Silva</v>
          </cell>
          <cell r="F5225">
            <v>300</v>
          </cell>
          <cell r="G5225">
            <v>5</v>
          </cell>
          <cell r="H5225">
            <v>20</v>
          </cell>
          <cell r="I5225">
            <v>41931</v>
          </cell>
          <cell r="J5225" t="str">
            <v>NO SUMA</v>
          </cell>
          <cell r="W5225">
            <v>0</v>
          </cell>
          <cell r="AJ5225">
            <v>0</v>
          </cell>
          <cell r="AW5225">
            <v>0</v>
          </cell>
        </row>
        <row r="5226">
          <cell r="B5226">
            <v>8151</v>
          </cell>
          <cell r="C5226" t="str">
            <v>LD_70_</v>
          </cell>
          <cell r="D5226" t="str">
            <v>Rancho Landero No. 70</v>
          </cell>
          <cell r="E5226" t="str">
            <v>Olguín</v>
          </cell>
          <cell r="F5226">
            <v>100</v>
          </cell>
          <cell r="G5226">
            <v>1</v>
          </cell>
          <cell r="H5226">
            <v>100</v>
          </cell>
          <cell r="I5226">
            <v>41931</v>
          </cell>
          <cell r="J5226">
            <v>0</v>
          </cell>
          <cell r="W5226">
            <v>0</v>
          </cell>
          <cell r="AJ5226">
            <v>0</v>
          </cell>
          <cell r="AT5226">
            <v>100</v>
          </cell>
          <cell r="AW5226">
            <v>100</v>
          </cell>
        </row>
        <row r="5227">
          <cell r="B5227">
            <v>8152</v>
          </cell>
          <cell r="C5227" t="str">
            <v>EZ_35_</v>
          </cell>
          <cell r="D5227" t="str">
            <v>Rancho Estanzuela No. 35</v>
          </cell>
          <cell r="E5227" t="str">
            <v>Rodríguez</v>
          </cell>
          <cell r="F5227">
            <v>300</v>
          </cell>
          <cell r="G5227">
            <v>1</v>
          </cell>
          <cell r="H5227">
            <v>800</v>
          </cell>
          <cell r="I5227">
            <v>41931</v>
          </cell>
          <cell r="J5227">
            <v>0</v>
          </cell>
          <cell r="W5227">
            <v>0</v>
          </cell>
          <cell r="AJ5227">
            <v>0</v>
          </cell>
          <cell r="AR5227">
            <v>400</v>
          </cell>
          <cell r="AS5227">
            <v>400</v>
          </cell>
          <cell r="AW5227">
            <v>800</v>
          </cell>
        </row>
        <row r="5228">
          <cell r="B5228">
            <v>8152</v>
          </cell>
          <cell r="C5228" t="str">
            <v>EZ_35_</v>
          </cell>
          <cell r="D5228" t="str">
            <v>Rancho Estanzuela No. 35</v>
          </cell>
          <cell r="E5228" t="str">
            <v>Rodríguez</v>
          </cell>
          <cell r="F5228">
            <v>300</v>
          </cell>
          <cell r="G5228">
            <v>5</v>
          </cell>
          <cell r="H5228">
            <v>100</v>
          </cell>
          <cell r="I5228">
            <v>41931</v>
          </cell>
          <cell r="J5228" t="str">
            <v>NO SUMA</v>
          </cell>
          <cell r="W5228">
            <v>0</v>
          </cell>
          <cell r="AJ5228">
            <v>0</v>
          </cell>
          <cell r="AW5228">
            <v>0</v>
          </cell>
        </row>
        <row r="5229">
          <cell r="B5229">
            <v>8153</v>
          </cell>
          <cell r="C5229" t="str">
            <v>CL_66_</v>
          </cell>
          <cell r="D5229" t="str">
            <v>Rancho La Cuchilla No. 66</v>
          </cell>
          <cell r="E5229" t="str">
            <v>Prieto</v>
          </cell>
          <cell r="F5229">
            <v>300</v>
          </cell>
          <cell r="G5229">
            <v>1</v>
          </cell>
          <cell r="H5229">
            <v>400</v>
          </cell>
          <cell r="I5229">
            <v>41931</v>
          </cell>
          <cell r="J5229">
            <v>0</v>
          </cell>
          <cell r="W5229">
            <v>0</v>
          </cell>
          <cell r="AJ5229">
            <v>0</v>
          </cell>
          <cell r="AT5229">
            <v>400</v>
          </cell>
          <cell r="AW5229">
            <v>400</v>
          </cell>
        </row>
        <row r="5230">
          <cell r="B5230">
            <v>8154</v>
          </cell>
          <cell r="C5230" t="str">
            <v>CL_66_</v>
          </cell>
          <cell r="D5230" t="str">
            <v>Rancho La Cuchilla No. 66</v>
          </cell>
          <cell r="E5230" t="str">
            <v>Prieto</v>
          </cell>
          <cell r="F5230">
            <v>300</v>
          </cell>
          <cell r="G5230">
            <v>4</v>
          </cell>
          <cell r="H5230">
            <v>160</v>
          </cell>
          <cell r="I5230">
            <v>41931</v>
          </cell>
          <cell r="J5230" t="str">
            <v>NO SUMA</v>
          </cell>
          <cell r="W5230">
            <v>0</v>
          </cell>
          <cell r="AJ5230">
            <v>0</v>
          </cell>
          <cell r="AW5230">
            <v>0</v>
          </cell>
        </row>
        <row r="5231">
          <cell r="B5231">
            <v>8155</v>
          </cell>
          <cell r="C5231" t="str">
            <v>CL_132_</v>
          </cell>
          <cell r="D5231" t="str">
            <v>Rancho La Cuchilla No. 132</v>
          </cell>
          <cell r="E5231" t="str">
            <v>Téllez Girón</v>
          </cell>
          <cell r="F5231">
            <v>300</v>
          </cell>
          <cell r="G5231">
            <v>1</v>
          </cell>
          <cell r="H5231">
            <v>300</v>
          </cell>
          <cell r="I5231">
            <v>41931</v>
          </cell>
          <cell r="J5231">
            <v>0</v>
          </cell>
          <cell r="W5231">
            <v>0</v>
          </cell>
          <cell r="AJ5231">
            <v>0</v>
          </cell>
          <cell r="AT5231">
            <v>300</v>
          </cell>
          <cell r="AW5231">
            <v>300</v>
          </cell>
        </row>
        <row r="5232">
          <cell r="B5232">
            <v>8156</v>
          </cell>
          <cell r="C5232" t="str">
            <v>RV_195_</v>
          </cell>
          <cell r="D5232" t="str">
            <v>Rancho Recoveco No. 195</v>
          </cell>
          <cell r="E5232" t="str">
            <v>Sandoval</v>
          </cell>
          <cell r="F5232">
            <v>300</v>
          </cell>
          <cell r="G5232">
            <v>1</v>
          </cell>
          <cell r="H5232">
            <v>400</v>
          </cell>
          <cell r="I5232">
            <v>41931</v>
          </cell>
          <cell r="J5232">
            <v>0</v>
          </cell>
          <cell r="W5232">
            <v>0</v>
          </cell>
          <cell r="AJ5232">
            <v>0</v>
          </cell>
          <cell r="AT5232">
            <v>400</v>
          </cell>
          <cell r="AW5232">
            <v>400</v>
          </cell>
        </row>
        <row r="5233">
          <cell r="B5233">
            <v>8156</v>
          </cell>
          <cell r="C5233" t="str">
            <v>RV_195_</v>
          </cell>
          <cell r="D5233" t="str">
            <v>Rancho Recoveco No. 195</v>
          </cell>
          <cell r="E5233" t="str">
            <v>Sandoval</v>
          </cell>
          <cell r="F5233">
            <v>300</v>
          </cell>
          <cell r="G5233">
            <v>5</v>
          </cell>
          <cell r="H5233">
            <v>40</v>
          </cell>
          <cell r="I5233">
            <v>41931</v>
          </cell>
          <cell r="J5233" t="str">
            <v>NO SUMA</v>
          </cell>
          <cell r="W5233">
            <v>0</v>
          </cell>
          <cell r="AJ5233">
            <v>0</v>
          </cell>
          <cell r="AW5233">
            <v>0</v>
          </cell>
        </row>
        <row r="5234">
          <cell r="B5234">
            <v>8157</v>
          </cell>
          <cell r="C5234" t="str">
            <v>UP_64_</v>
          </cell>
          <cell r="D5234" t="str">
            <v>Rancho Upácuaro No. 64</v>
          </cell>
          <cell r="E5234" t="str">
            <v>Méndez Oliva</v>
          </cell>
          <cell r="F5234">
            <v>300</v>
          </cell>
          <cell r="G5234">
            <v>1</v>
          </cell>
          <cell r="H5234">
            <v>300</v>
          </cell>
          <cell r="I5234">
            <v>41931</v>
          </cell>
          <cell r="J5234">
            <v>0</v>
          </cell>
          <cell r="W5234">
            <v>0</v>
          </cell>
          <cell r="AJ5234">
            <v>0</v>
          </cell>
          <cell r="AT5234">
            <v>300</v>
          </cell>
          <cell r="AW5234">
            <v>300</v>
          </cell>
        </row>
        <row r="5235">
          <cell r="B5235">
            <v>8158</v>
          </cell>
          <cell r="C5235" t="str">
            <v>CL_28_</v>
          </cell>
          <cell r="D5235" t="str">
            <v>Rancho La Cuchilla No. 28</v>
          </cell>
          <cell r="E5235" t="str">
            <v>Prado de los S.</v>
          </cell>
          <cell r="F5235">
            <v>300</v>
          </cell>
          <cell r="G5235">
            <v>5</v>
          </cell>
          <cell r="H5235">
            <v>60</v>
          </cell>
          <cell r="I5235">
            <v>41931</v>
          </cell>
          <cell r="J5235" t="str">
            <v>NO SUMA</v>
          </cell>
          <cell r="W5235">
            <v>0</v>
          </cell>
          <cell r="AJ5235">
            <v>0</v>
          </cell>
          <cell r="AW5235">
            <v>0</v>
          </cell>
        </row>
        <row r="5236">
          <cell r="B5236">
            <v>8159</v>
          </cell>
          <cell r="C5236" t="str">
            <v>CL_121_</v>
          </cell>
          <cell r="D5236" t="str">
            <v>Rancho La Cuchilla No. 121</v>
          </cell>
          <cell r="E5236" t="str">
            <v>Ramírez Márquez</v>
          </cell>
          <cell r="F5236">
            <v>300</v>
          </cell>
          <cell r="G5236">
            <v>1</v>
          </cell>
          <cell r="H5236">
            <v>1200</v>
          </cell>
          <cell r="I5236">
            <v>41931</v>
          </cell>
          <cell r="J5236">
            <v>0</v>
          </cell>
          <cell r="W5236">
            <v>0</v>
          </cell>
          <cell r="AJ5236">
            <v>0</v>
          </cell>
          <cell r="AT5236">
            <v>400</v>
          </cell>
          <cell r="AU5236">
            <v>400</v>
          </cell>
          <cell r="AV5236">
            <v>400</v>
          </cell>
          <cell r="AW5236">
            <v>1200</v>
          </cell>
        </row>
        <row r="5237">
          <cell r="B5237">
            <v>8159</v>
          </cell>
          <cell r="C5237" t="str">
            <v>CL_121_</v>
          </cell>
          <cell r="D5237" t="str">
            <v>Rancho La Cuchilla No. 121</v>
          </cell>
          <cell r="E5237" t="str">
            <v>Ramírez Márquez</v>
          </cell>
          <cell r="F5237">
            <v>300</v>
          </cell>
          <cell r="G5237">
            <v>5</v>
          </cell>
          <cell r="H5237">
            <v>20</v>
          </cell>
          <cell r="I5237">
            <v>41931</v>
          </cell>
          <cell r="J5237" t="str">
            <v>NO SUMA</v>
          </cell>
          <cell r="W5237">
            <v>0</v>
          </cell>
          <cell r="AJ5237">
            <v>0</v>
          </cell>
          <cell r="AW5237">
            <v>0</v>
          </cell>
        </row>
        <row r="5238">
          <cell r="B5238">
            <v>8160</v>
          </cell>
          <cell r="C5238" t="str">
            <v>EZ_75_</v>
          </cell>
          <cell r="D5238" t="str">
            <v>Rancho Estanzuela No. 75</v>
          </cell>
          <cell r="E5238" t="str">
            <v>Candela Pons</v>
          </cell>
          <cell r="F5238">
            <v>150</v>
          </cell>
          <cell r="G5238">
            <v>1</v>
          </cell>
          <cell r="H5238">
            <v>400</v>
          </cell>
          <cell r="I5238">
            <v>41931</v>
          </cell>
          <cell r="J5238">
            <v>0</v>
          </cell>
          <cell r="W5238">
            <v>0</v>
          </cell>
          <cell r="AJ5238">
            <v>0</v>
          </cell>
          <cell r="AS5238">
            <v>200</v>
          </cell>
          <cell r="AT5238">
            <v>200</v>
          </cell>
          <cell r="AW5238">
            <v>400</v>
          </cell>
        </row>
        <row r="5239">
          <cell r="B5239">
            <v>8160</v>
          </cell>
          <cell r="C5239" t="str">
            <v>EZ_75_</v>
          </cell>
          <cell r="D5239" t="str">
            <v>Rancho Estanzuela No. 75</v>
          </cell>
          <cell r="E5239" t="str">
            <v>Candela Pons</v>
          </cell>
          <cell r="F5239">
            <v>150</v>
          </cell>
          <cell r="G5239">
            <v>5</v>
          </cell>
          <cell r="H5239">
            <v>110</v>
          </cell>
          <cell r="I5239">
            <v>41931</v>
          </cell>
          <cell r="J5239" t="str">
            <v>NO SUMA</v>
          </cell>
          <cell r="W5239">
            <v>0</v>
          </cell>
          <cell r="AJ5239">
            <v>0</v>
          </cell>
          <cell r="AW5239">
            <v>0</v>
          </cell>
        </row>
        <row r="5240">
          <cell r="B5240">
            <v>8161</v>
          </cell>
          <cell r="C5240" t="str">
            <v>RM_10_A</v>
          </cell>
          <cell r="D5240" t="str">
            <v>Rancho Romeral No. 10, A</v>
          </cell>
          <cell r="E5240" t="str">
            <v>Casillas Álvarez</v>
          </cell>
          <cell r="F5240">
            <v>150</v>
          </cell>
          <cell r="G5240">
            <v>1</v>
          </cell>
          <cell r="H5240">
            <v>400</v>
          </cell>
          <cell r="I5240">
            <v>41931</v>
          </cell>
          <cell r="J5240">
            <v>0</v>
          </cell>
          <cell r="W5240">
            <v>0</v>
          </cell>
          <cell r="AJ5240">
            <v>0</v>
          </cell>
          <cell r="AU5240">
            <v>200</v>
          </cell>
          <cell r="AV5240">
            <v>200</v>
          </cell>
          <cell r="AW5240">
            <v>400</v>
          </cell>
        </row>
        <row r="5241">
          <cell r="B5241">
            <v>8162</v>
          </cell>
          <cell r="D5241" t="str">
            <v/>
          </cell>
          <cell r="E5241" t="str">
            <v/>
          </cell>
          <cell r="F5241" t="str">
            <v/>
          </cell>
          <cell r="G5241">
            <v>8</v>
          </cell>
          <cell r="J5241" t="str">
            <v>NO SUMA</v>
          </cell>
          <cell r="W5241">
            <v>0</v>
          </cell>
          <cell r="AJ5241">
            <v>0</v>
          </cell>
          <cell r="AW5241">
            <v>0</v>
          </cell>
        </row>
        <row r="5242">
          <cell r="B5242">
            <v>8163</v>
          </cell>
          <cell r="C5242" t="str">
            <v>UP_136_</v>
          </cell>
          <cell r="D5242" t="str">
            <v>Rancho Upácuaro No. 136</v>
          </cell>
          <cell r="E5242" t="str">
            <v>López Lena</v>
          </cell>
          <cell r="F5242">
            <v>300</v>
          </cell>
          <cell r="G5242">
            <v>1</v>
          </cell>
          <cell r="H5242">
            <v>1200</v>
          </cell>
          <cell r="I5242">
            <v>41931</v>
          </cell>
          <cell r="J5242">
            <v>0</v>
          </cell>
          <cell r="W5242">
            <v>0</v>
          </cell>
          <cell r="AJ5242">
            <v>0</v>
          </cell>
          <cell r="AR5242">
            <v>400</v>
          </cell>
          <cell r="AS5242">
            <v>400</v>
          </cell>
          <cell r="AT5242">
            <v>400</v>
          </cell>
          <cell r="AW5242">
            <v>1200</v>
          </cell>
        </row>
        <row r="5243">
          <cell r="B5243">
            <v>8163</v>
          </cell>
          <cell r="C5243" t="str">
            <v>UP_136_</v>
          </cell>
          <cell r="D5243" t="str">
            <v>Rancho Upácuaro No. 136</v>
          </cell>
          <cell r="E5243" t="str">
            <v>López Lena</v>
          </cell>
          <cell r="F5243">
            <v>300</v>
          </cell>
          <cell r="G5243">
            <v>5</v>
          </cell>
          <cell r="H5243">
            <v>40</v>
          </cell>
          <cell r="I5243">
            <v>41931</v>
          </cell>
          <cell r="J5243" t="str">
            <v>NO SUMA</v>
          </cell>
          <cell r="W5243">
            <v>0</v>
          </cell>
          <cell r="AJ5243">
            <v>0</v>
          </cell>
          <cell r="AW5243">
            <v>0</v>
          </cell>
        </row>
        <row r="5244">
          <cell r="B5244">
            <v>8164</v>
          </cell>
          <cell r="C5244" t="str">
            <v>UP_95_</v>
          </cell>
          <cell r="D5244" t="str">
            <v>Rancho Upácuaro No. 95</v>
          </cell>
          <cell r="E5244" t="str">
            <v>Flores</v>
          </cell>
          <cell r="F5244">
            <v>300</v>
          </cell>
          <cell r="G5244">
            <v>1</v>
          </cell>
          <cell r="H5244">
            <v>2400</v>
          </cell>
          <cell r="I5244">
            <v>41931</v>
          </cell>
          <cell r="J5244">
            <v>0</v>
          </cell>
          <cell r="W5244">
            <v>0</v>
          </cell>
          <cell r="AJ5244">
            <v>0</v>
          </cell>
          <cell r="AO5244">
            <v>400</v>
          </cell>
          <cell r="AP5244">
            <v>400</v>
          </cell>
          <cell r="AQ5244">
            <v>400</v>
          </cell>
          <cell r="AR5244">
            <v>400</v>
          </cell>
          <cell r="AS5244">
            <v>400</v>
          </cell>
          <cell r="AT5244">
            <v>400</v>
          </cell>
          <cell r="AW5244">
            <v>2400</v>
          </cell>
        </row>
        <row r="5245">
          <cell r="B5245">
            <v>8164</v>
          </cell>
          <cell r="C5245" t="str">
            <v>UP_95_</v>
          </cell>
          <cell r="D5245" t="str">
            <v>Rancho Upácuaro No. 95</v>
          </cell>
          <cell r="E5245" t="str">
            <v>Flores</v>
          </cell>
          <cell r="F5245">
            <v>300</v>
          </cell>
          <cell r="G5245">
            <v>5</v>
          </cell>
          <cell r="H5245">
            <v>110</v>
          </cell>
          <cell r="I5245">
            <v>41931</v>
          </cell>
          <cell r="J5245" t="str">
            <v>NO SUMA</v>
          </cell>
          <cell r="W5245">
            <v>0</v>
          </cell>
          <cell r="AJ5245">
            <v>0</v>
          </cell>
          <cell r="AW5245">
            <v>0</v>
          </cell>
        </row>
        <row r="5246">
          <cell r="B5246">
            <v>8165</v>
          </cell>
          <cell r="C5246" t="str">
            <v>LD_95_</v>
          </cell>
          <cell r="D5246" t="str">
            <v>Rancho Landero No. 95</v>
          </cell>
          <cell r="E5246" t="str">
            <v>Rivas Rangel</v>
          </cell>
          <cell r="F5246">
            <v>300</v>
          </cell>
          <cell r="G5246">
            <v>5</v>
          </cell>
          <cell r="H5246">
            <v>160</v>
          </cell>
          <cell r="I5246">
            <v>41931</v>
          </cell>
          <cell r="J5246" t="str">
            <v>NO SUMA</v>
          </cell>
          <cell r="W5246">
            <v>0</v>
          </cell>
          <cell r="AJ5246">
            <v>0</v>
          </cell>
          <cell r="AW5246">
            <v>0</v>
          </cell>
        </row>
        <row r="5247">
          <cell r="B5247">
            <v>8166</v>
          </cell>
          <cell r="C5247" t="str">
            <v>UP_116_</v>
          </cell>
          <cell r="D5247" t="str">
            <v>Rancho Upácuaro No. 116</v>
          </cell>
          <cell r="E5247" t="str">
            <v>García Zamudio</v>
          </cell>
          <cell r="F5247">
            <v>300</v>
          </cell>
          <cell r="G5247">
            <v>1</v>
          </cell>
          <cell r="H5247">
            <v>400</v>
          </cell>
          <cell r="I5247">
            <v>41931</v>
          </cell>
          <cell r="J5247">
            <v>0</v>
          </cell>
          <cell r="W5247">
            <v>0</v>
          </cell>
          <cell r="AJ5247">
            <v>0</v>
          </cell>
          <cell r="AT5247">
            <v>400</v>
          </cell>
          <cell r="AW5247">
            <v>400</v>
          </cell>
        </row>
        <row r="5248">
          <cell r="B5248">
            <v>8166</v>
          </cell>
          <cell r="C5248" t="str">
            <v>UP_116_</v>
          </cell>
          <cell r="D5248" t="str">
            <v>Rancho Upácuaro No. 116</v>
          </cell>
          <cell r="E5248" t="str">
            <v>García Zamudio</v>
          </cell>
          <cell r="F5248">
            <v>300</v>
          </cell>
          <cell r="G5248">
            <v>5</v>
          </cell>
          <cell r="H5248">
            <v>60</v>
          </cell>
          <cell r="I5248">
            <v>41931</v>
          </cell>
          <cell r="J5248" t="str">
            <v>NO SUMA</v>
          </cell>
          <cell r="W5248">
            <v>0</v>
          </cell>
          <cell r="AJ5248">
            <v>0</v>
          </cell>
          <cell r="AW5248">
            <v>0</v>
          </cell>
        </row>
        <row r="5249">
          <cell r="B5249">
            <v>8167</v>
          </cell>
          <cell r="C5249" t="str">
            <v>EZ_159_</v>
          </cell>
          <cell r="D5249" t="str">
            <v>Rancho Estanzuela No. 159</v>
          </cell>
          <cell r="E5249" t="str">
            <v>Silva</v>
          </cell>
          <cell r="F5249">
            <v>250</v>
          </cell>
          <cell r="G5249">
            <v>1</v>
          </cell>
          <cell r="H5249">
            <v>300</v>
          </cell>
          <cell r="I5249">
            <v>41931</v>
          </cell>
          <cell r="J5249">
            <v>0</v>
          </cell>
          <cell r="W5249">
            <v>0</v>
          </cell>
          <cell r="AJ5249">
            <v>0</v>
          </cell>
          <cell r="AT5249">
            <v>300</v>
          </cell>
          <cell r="AW5249">
            <v>300</v>
          </cell>
        </row>
        <row r="5250">
          <cell r="B5250">
            <v>8168</v>
          </cell>
          <cell r="C5250" t="str">
            <v>UP_101_</v>
          </cell>
          <cell r="D5250" t="str">
            <v>Rancho Upácuaro No. 101</v>
          </cell>
          <cell r="E5250" t="str">
            <v>Chávez, Arturo</v>
          </cell>
          <cell r="F5250">
            <v>300</v>
          </cell>
          <cell r="G5250">
            <v>5</v>
          </cell>
          <cell r="H5250">
            <v>20</v>
          </cell>
          <cell r="I5250">
            <v>41931</v>
          </cell>
          <cell r="J5250" t="str">
            <v>NO SUMA</v>
          </cell>
          <cell r="W5250">
            <v>0</v>
          </cell>
          <cell r="AJ5250">
            <v>0</v>
          </cell>
          <cell r="AW5250">
            <v>0</v>
          </cell>
        </row>
        <row r="5251">
          <cell r="B5251">
            <v>8169</v>
          </cell>
          <cell r="C5251" t="str">
            <v>LD_33_</v>
          </cell>
          <cell r="D5251" t="str">
            <v>Rancho Landero No. 33</v>
          </cell>
          <cell r="E5251" t="str">
            <v>González Uribe</v>
          </cell>
          <cell r="F5251">
            <v>300</v>
          </cell>
          <cell r="G5251">
            <v>5</v>
          </cell>
          <cell r="H5251">
            <v>20</v>
          </cell>
          <cell r="I5251">
            <v>41931</v>
          </cell>
          <cell r="J5251" t="str">
            <v>NO SUMA</v>
          </cell>
          <cell r="W5251">
            <v>0</v>
          </cell>
          <cell r="AJ5251">
            <v>0</v>
          </cell>
          <cell r="AW5251">
            <v>0</v>
          </cell>
        </row>
        <row r="5252">
          <cell r="B5252">
            <v>8170</v>
          </cell>
          <cell r="C5252" t="str">
            <v>EZ_157_3</v>
          </cell>
          <cell r="D5252" t="str">
            <v>Rancho Estanzuela No. 157, 3</v>
          </cell>
          <cell r="E5252" t="str">
            <v>Conde</v>
          </cell>
          <cell r="F5252">
            <v>300</v>
          </cell>
          <cell r="G5252">
            <v>5</v>
          </cell>
          <cell r="H5252">
            <v>20</v>
          </cell>
          <cell r="I5252">
            <v>41931</v>
          </cell>
          <cell r="J5252" t="str">
            <v>NO SUMA</v>
          </cell>
          <cell r="W5252">
            <v>0</v>
          </cell>
          <cell r="AJ5252">
            <v>0</v>
          </cell>
          <cell r="AW5252">
            <v>0</v>
          </cell>
        </row>
        <row r="5253">
          <cell r="B5253">
            <v>8171</v>
          </cell>
          <cell r="C5253" t="str">
            <v>UP_130_</v>
          </cell>
          <cell r="D5253" t="str">
            <v>Rancho Upácuaro No. 130</v>
          </cell>
          <cell r="E5253" t="str">
            <v>Rodríguez Álvarez</v>
          </cell>
          <cell r="F5253">
            <v>150</v>
          </cell>
          <cell r="G5253">
            <v>5</v>
          </cell>
          <cell r="H5253">
            <v>70</v>
          </cell>
          <cell r="I5253">
            <v>41931</v>
          </cell>
          <cell r="J5253" t="str">
            <v>NO SUMA</v>
          </cell>
          <cell r="W5253">
            <v>0</v>
          </cell>
          <cell r="AJ5253">
            <v>0</v>
          </cell>
          <cell r="AW5253">
            <v>0</v>
          </cell>
        </row>
        <row r="5254">
          <cell r="B5254">
            <v>8172</v>
          </cell>
          <cell r="C5254" t="str">
            <v>LD_84_</v>
          </cell>
          <cell r="D5254" t="str">
            <v>Rancho Landero No. 84</v>
          </cell>
          <cell r="E5254" t="str">
            <v>Alcántara</v>
          </cell>
          <cell r="F5254">
            <v>300</v>
          </cell>
          <cell r="G5254">
            <v>1</v>
          </cell>
          <cell r="H5254">
            <v>400</v>
          </cell>
          <cell r="I5254">
            <v>41931</v>
          </cell>
          <cell r="J5254">
            <v>0</v>
          </cell>
          <cell r="W5254">
            <v>0</v>
          </cell>
          <cell r="AJ5254">
            <v>0</v>
          </cell>
          <cell r="AT5254">
            <v>400</v>
          </cell>
          <cell r="AW5254">
            <v>400</v>
          </cell>
        </row>
        <row r="5255">
          <cell r="B5255">
            <v>8173</v>
          </cell>
          <cell r="C5255" t="str">
            <v>EZ_69_</v>
          </cell>
          <cell r="D5255" t="str">
            <v>Rancho Estanzuela No. 69</v>
          </cell>
          <cell r="E5255" t="str">
            <v>Apaez</v>
          </cell>
          <cell r="F5255">
            <v>300</v>
          </cell>
          <cell r="G5255">
            <v>1</v>
          </cell>
          <cell r="H5255">
            <v>400</v>
          </cell>
          <cell r="I5255">
            <v>41931</v>
          </cell>
          <cell r="J5255">
            <v>0</v>
          </cell>
          <cell r="W5255">
            <v>0</v>
          </cell>
          <cell r="AJ5255">
            <v>0</v>
          </cell>
          <cell r="AT5255">
            <v>400</v>
          </cell>
          <cell r="AW5255">
            <v>400</v>
          </cell>
        </row>
        <row r="5256">
          <cell r="B5256">
            <v>8174</v>
          </cell>
          <cell r="C5256" t="str">
            <v>CL_148_</v>
          </cell>
          <cell r="D5256" t="str">
            <v>Rancho La Cuchilla No. 148</v>
          </cell>
          <cell r="E5256" t="str">
            <v>Vázquez Vázquez</v>
          </cell>
          <cell r="F5256">
            <v>300</v>
          </cell>
          <cell r="G5256">
            <v>1</v>
          </cell>
          <cell r="H5256">
            <v>2000</v>
          </cell>
          <cell r="I5256">
            <v>41931</v>
          </cell>
          <cell r="J5256">
            <v>0</v>
          </cell>
          <cell r="W5256">
            <v>0</v>
          </cell>
          <cell r="AJ5256">
            <v>0</v>
          </cell>
          <cell r="AP5256">
            <v>400</v>
          </cell>
          <cell r="AQ5256">
            <v>400</v>
          </cell>
          <cell r="AR5256">
            <v>400</v>
          </cell>
          <cell r="AS5256">
            <v>400</v>
          </cell>
          <cell r="AT5256">
            <v>400</v>
          </cell>
          <cell r="AW5256">
            <v>2000</v>
          </cell>
        </row>
        <row r="5257">
          <cell r="B5257">
            <v>8174</v>
          </cell>
          <cell r="C5257" t="str">
            <v>CL_148_</v>
          </cell>
          <cell r="D5257" t="str">
            <v>Rancho La Cuchilla No. 148</v>
          </cell>
          <cell r="E5257" t="str">
            <v>Vázquez Vázquez</v>
          </cell>
          <cell r="F5257">
            <v>300</v>
          </cell>
          <cell r="G5257">
            <v>5</v>
          </cell>
          <cell r="H5257">
            <v>60</v>
          </cell>
          <cell r="I5257">
            <v>41931</v>
          </cell>
          <cell r="J5257" t="str">
            <v>NO SUMA</v>
          </cell>
          <cell r="W5257">
            <v>0</v>
          </cell>
          <cell r="AJ5257">
            <v>0</v>
          </cell>
          <cell r="AW5257">
            <v>0</v>
          </cell>
        </row>
        <row r="5258">
          <cell r="B5258">
            <v>8175</v>
          </cell>
          <cell r="C5258" t="str">
            <v>CL_81_B</v>
          </cell>
          <cell r="D5258" t="str">
            <v>Rancho La Cuchilla No. 81, B</v>
          </cell>
          <cell r="E5258" t="str">
            <v>Suárez</v>
          </cell>
          <cell r="F5258">
            <v>300</v>
          </cell>
          <cell r="G5258">
            <v>1</v>
          </cell>
          <cell r="H5258">
            <v>800</v>
          </cell>
          <cell r="I5258">
            <v>41931</v>
          </cell>
          <cell r="J5258">
            <v>0</v>
          </cell>
          <cell r="W5258">
            <v>0</v>
          </cell>
          <cell r="AJ5258">
            <v>0</v>
          </cell>
          <cell r="AU5258">
            <v>400</v>
          </cell>
          <cell r="AV5258">
            <v>400</v>
          </cell>
          <cell r="AW5258">
            <v>800</v>
          </cell>
        </row>
        <row r="5259">
          <cell r="B5259">
            <v>8176</v>
          </cell>
          <cell r="C5259" t="str">
            <v>UP_101_</v>
          </cell>
          <cell r="D5259" t="str">
            <v>Rancho Upácuaro No. 101</v>
          </cell>
          <cell r="E5259" t="str">
            <v>Chávez, Arturo</v>
          </cell>
          <cell r="F5259">
            <v>300</v>
          </cell>
          <cell r="G5259">
            <v>5</v>
          </cell>
          <cell r="H5259">
            <v>190</v>
          </cell>
          <cell r="I5259">
            <v>41931</v>
          </cell>
          <cell r="J5259" t="str">
            <v>NO SUMA</v>
          </cell>
          <cell r="W5259">
            <v>0</v>
          </cell>
          <cell r="AJ5259">
            <v>0</v>
          </cell>
          <cell r="AW5259">
            <v>0</v>
          </cell>
        </row>
        <row r="5260">
          <cell r="B5260">
            <v>8177</v>
          </cell>
          <cell r="C5260" t="str">
            <v>UP_72_</v>
          </cell>
          <cell r="D5260" t="str">
            <v>Rancho Upácuaro No. 72</v>
          </cell>
          <cell r="E5260" t="str">
            <v>De la Chica</v>
          </cell>
          <cell r="F5260">
            <v>300</v>
          </cell>
          <cell r="G5260">
            <v>1</v>
          </cell>
          <cell r="H5260">
            <v>400</v>
          </cell>
          <cell r="I5260">
            <v>41931</v>
          </cell>
          <cell r="J5260">
            <v>0</v>
          </cell>
          <cell r="W5260">
            <v>0</v>
          </cell>
          <cell r="AJ5260">
            <v>0</v>
          </cell>
          <cell r="AT5260">
            <v>400</v>
          </cell>
          <cell r="AW5260">
            <v>400</v>
          </cell>
        </row>
        <row r="5261">
          <cell r="B5261">
            <v>8178</v>
          </cell>
          <cell r="C5261" t="str">
            <v>CL_54_</v>
          </cell>
          <cell r="D5261" t="str">
            <v>Rancho La Cuchilla No. 54</v>
          </cell>
          <cell r="E5261" t="str">
            <v>Mendoza León</v>
          </cell>
          <cell r="F5261">
            <v>300</v>
          </cell>
          <cell r="G5261">
            <v>1</v>
          </cell>
          <cell r="H5261">
            <v>400</v>
          </cell>
          <cell r="I5261">
            <v>41931</v>
          </cell>
          <cell r="J5261">
            <v>0</v>
          </cell>
          <cell r="W5261">
            <v>0</v>
          </cell>
          <cell r="AJ5261">
            <v>0</v>
          </cell>
          <cell r="AT5261">
            <v>400</v>
          </cell>
          <cell r="AW5261">
            <v>400</v>
          </cell>
        </row>
        <row r="5262">
          <cell r="B5262">
            <v>8179</v>
          </cell>
          <cell r="C5262" t="str">
            <v>ZB_20_</v>
          </cell>
          <cell r="D5262" t="str">
            <v>Rancho Zinamba No. 20</v>
          </cell>
          <cell r="E5262" t="str">
            <v>Alegre Retana</v>
          </cell>
          <cell r="F5262">
            <v>300</v>
          </cell>
          <cell r="G5262">
            <v>1</v>
          </cell>
          <cell r="H5262">
            <v>400</v>
          </cell>
          <cell r="I5262">
            <v>41931</v>
          </cell>
          <cell r="J5262">
            <v>0</v>
          </cell>
          <cell r="W5262">
            <v>0</v>
          </cell>
          <cell r="AJ5262">
            <v>0</v>
          </cell>
          <cell r="AQ5262">
            <v>400</v>
          </cell>
          <cell r="AW5262">
            <v>400</v>
          </cell>
        </row>
        <row r="5263">
          <cell r="B5263">
            <v>8179</v>
          </cell>
          <cell r="C5263" t="str">
            <v>ZB_20_</v>
          </cell>
          <cell r="D5263" t="str">
            <v>Rancho Zinamba No. 20</v>
          </cell>
          <cell r="E5263" t="str">
            <v>Alegre Retana</v>
          </cell>
          <cell r="F5263">
            <v>300</v>
          </cell>
          <cell r="G5263">
            <v>5</v>
          </cell>
          <cell r="H5263">
            <v>20</v>
          </cell>
          <cell r="I5263">
            <v>41931</v>
          </cell>
          <cell r="J5263" t="str">
            <v>NO SUMA</v>
          </cell>
          <cell r="W5263">
            <v>0</v>
          </cell>
          <cell r="AJ5263">
            <v>0</v>
          </cell>
          <cell r="AW5263">
            <v>0</v>
          </cell>
        </row>
        <row r="5264">
          <cell r="B5264">
            <v>8180</v>
          </cell>
          <cell r="C5264" t="str">
            <v>UP_73_A</v>
          </cell>
          <cell r="D5264" t="str">
            <v>Rancho Upácuaro No. 73, A</v>
          </cell>
          <cell r="E5264" t="str">
            <v>Ortega</v>
          </cell>
          <cell r="F5264">
            <v>150</v>
          </cell>
          <cell r="G5264">
            <v>5</v>
          </cell>
          <cell r="H5264">
            <v>160</v>
          </cell>
          <cell r="I5264">
            <v>41931</v>
          </cell>
          <cell r="J5264" t="str">
            <v>NO SUMA</v>
          </cell>
          <cell r="W5264">
            <v>0</v>
          </cell>
          <cell r="AJ5264">
            <v>0</v>
          </cell>
          <cell r="AW5264">
            <v>0</v>
          </cell>
        </row>
        <row r="5265">
          <cell r="B5265">
            <v>8181</v>
          </cell>
          <cell r="C5265" t="str">
            <v>UP_72_</v>
          </cell>
          <cell r="D5265" t="str">
            <v>Rancho Upácuaro No. 72</v>
          </cell>
          <cell r="E5265" t="str">
            <v>De la Chica</v>
          </cell>
          <cell r="F5265">
            <v>300</v>
          </cell>
          <cell r="G5265">
            <v>3</v>
          </cell>
          <cell r="H5265">
            <v>160</v>
          </cell>
          <cell r="I5265">
            <v>41931</v>
          </cell>
          <cell r="J5265" t="str">
            <v>NO SUMA</v>
          </cell>
          <cell r="W5265">
            <v>0</v>
          </cell>
          <cell r="AJ5265">
            <v>0</v>
          </cell>
          <cell r="AW5265">
            <v>0</v>
          </cell>
        </row>
        <row r="5266">
          <cell r="B5266">
            <v>8181</v>
          </cell>
          <cell r="C5266" t="str">
            <v>UP_72_</v>
          </cell>
          <cell r="D5266" t="str">
            <v>Rancho Upácuaro No. 72</v>
          </cell>
          <cell r="E5266" t="str">
            <v>De la Chica</v>
          </cell>
          <cell r="F5266">
            <v>300</v>
          </cell>
          <cell r="G5266">
            <v>4</v>
          </cell>
          <cell r="H5266">
            <v>320</v>
          </cell>
          <cell r="I5266">
            <v>41931</v>
          </cell>
          <cell r="J5266" t="str">
            <v>NO SUMA</v>
          </cell>
          <cell r="W5266">
            <v>0</v>
          </cell>
          <cell r="AJ5266">
            <v>0</v>
          </cell>
          <cell r="AW5266">
            <v>0</v>
          </cell>
        </row>
        <row r="5267">
          <cell r="B5267">
            <v>8181</v>
          </cell>
          <cell r="C5267" t="str">
            <v>UP_72_</v>
          </cell>
          <cell r="D5267" t="str">
            <v>Rancho Upácuaro No. 72</v>
          </cell>
          <cell r="E5267" t="str">
            <v>De la Chica</v>
          </cell>
          <cell r="F5267">
            <v>300</v>
          </cell>
          <cell r="G5267">
            <v>5</v>
          </cell>
          <cell r="H5267">
            <v>60</v>
          </cell>
          <cell r="I5267">
            <v>41931</v>
          </cell>
          <cell r="J5267" t="str">
            <v>NO SUMA</v>
          </cell>
          <cell r="W5267">
            <v>0</v>
          </cell>
          <cell r="AJ5267">
            <v>0</v>
          </cell>
          <cell r="AW5267">
            <v>0</v>
          </cell>
        </row>
        <row r="5268">
          <cell r="B5268">
            <v>8182</v>
          </cell>
          <cell r="C5268" t="str">
            <v>EZ_95_</v>
          </cell>
          <cell r="D5268" t="str">
            <v>Rancho Estanzuela No. 95</v>
          </cell>
          <cell r="E5268" t="str">
            <v>Castro Puente</v>
          </cell>
          <cell r="F5268">
            <v>300</v>
          </cell>
          <cell r="G5268">
            <v>1</v>
          </cell>
          <cell r="H5268">
            <v>1200</v>
          </cell>
          <cell r="I5268">
            <v>41931</v>
          </cell>
          <cell r="J5268">
            <v>0</v>
          </cell>
          <cell r="W5268">
            <v>0</v>
          </cell>
          <cell r="AJ5268">
            <v>0</v>
          </cell>
          <cell r="AS5268">
            <v>400</v>
          </cell>
          <cell r="AT5268">
            <v>400</v>
          </cell>
          <cell r="AU5268">
            <v>400</v>
          </cell>
          <cell r="AW5268">
            <v>1200</v>
          </cell>
        </row>
        <row r="5269">
          <cell r="B5269">
            <v>8182</v>
          </cell>
          <cell r="C5269" t="str">
            <v>EZ_95_</v>
          </cell>
          <cell r="D5269" t="str">
            <v>Rancho Estanzuela No. 95</v>
          </cell>
          <cell r="E5269" t="str">
            <v>Castro Puente</v>
          </cell>
          <cell r="F5269">
            <v>300</v>
          </cell>
          <cell r="G5269">
            <v>5</v>
          </cell>
          <cell r="H5269">
            <v>60</v>
          </cell>
          <cell r="I5269">
            <v>41931</v>
          </cell>
          <cell r="J5269" t="str">
            <v>NO SUMA</v>
          </cell>
          <cell r="W5269">
            <v>0</v>
          </cell>
          <cell r="AJ5269">
            <v>0</v>
          </cell>
          <cell r="AW5269">
            <v>0</v>
          </cell>
        </row>
        <row r="5270">
          <cell r="B5270">
            <v>8183</v>
          </cell>
          <cell r="C5270" t="str">
            <v>CL_43_A</v>
          </cell>
          <cell r="D5270" t="str">
            <v>Rancho La Cuchilla No. 43, A</v>
          </cell>
          <cell r="E5270" t="str">
            <v>De la Rosa</v>
          </cell>
          <cell r="F5270">
            <v>200</v>
          </cell>
          <cell r="G5270">
            <v>1</v>
          </cell>
          <cell r="H5270">
            <v>400</v>
          </cell>
          <cell r="I5270">
            <v>41931</v>
          </cell>
          <cell r="J5270">
            <v>0</v>
          </cell>
          <cell r="W5270">
            <v>0</v>
          </cell>
          <cell r="AJ5270">
            <v>0</v>
          </cell>
          <cell r="AT5270">
            <v>400</v>
          </cell>
          <cell r="AW5270">
            <v>400</v>
          </cell>
        </row>
        <row r="5271">
          <cell r="B5271">
            <v>8183</v>
          </cell>
          <cell r="C5271" t="str">
            <v>CL_43_A</v>
          </cell>
          <cell r="D5271" t="str">
            <v>Rancho La Cuchilla No. 43, A</v>
          </cell>
          <cell r="E5271" t="str">
            <v>De la Rosa</v>
          </cell>
          <cell r="F5271">
            <v>200</v>
          </cell>
          <cell r="G5271">
            <v>5</v>
          </cell>
          <cell r="H5271">
            <v>50</v>
          </cell>
          <cell r="I5271">
            <v>41931</v>
          </cell>
          <cell r="J5271" t="str">
            <v>NO SUMA</v>
          </cell>
          <cell r="W5271">
            <v>0</v>
          </cell>
          <cell r="AJ5271">
            <v>0</v>
          </cell>
          <cell r="AW5271">
            <v>0</v>
          </cell>
        </row>
        <row r="5272">
          <cell r="B5272">
            <v>8184</v>
          </cell>
          <cell r="C5272" t="str">
            <v>UP_46_</v>
          </cell>
          <cell r="D5272" t="str">
            <v>Rancho Upácuaro No. 46</v>
          </cell>
          <cell r="E5272" t="str">
            <v>Fuentes</v>
          </cell>
          <cell r="F5272">
            <v>300</v>
          </cell>
          <cell r="G5272">
            <v>1</v>
          </cell>
          <cell r="H5272">
            <v>300</v>
          </cell>
          <cell r="I5272">
            <v>41934</v>
          </cell>
          <cell r="J5272">
            <v>0</v>
          </cell>
          <cell r="W5272">
            <v>0</v>
          </cell>
          <cell r="AJ5272">
            <v>0</v>
          </cell>
          <cell r="AT5272">
            <v>300</v>
          </cell>
          <cell r="AW5272">
            <v>300</v>
          </cell>
        </row>
        <row r="5273">
          <cell r="B5273">
            <v>8185</v>
          </cell>
          <cell r="C5273" t="str">
            <v>UP_118_</v>
          </cell>
          <cell r="D5273" t="str">
            <v>Rancho Upácuaro No. 118</v>
          </cell>
          <cell r="E5273" t="str">
            <v>Siegrist</v>
          </cell>
          <cell r="F5273">
            <v>300</v>
          </cell>
          <cell r="G5273">
            <v>1</v>
          </cell>
          <cell r="H5273">
            <v>400</v>
          </cell>
          <cell r="I5273">
            <v>41935</v>
          </cell>
          <cell r="J5273">
            <v>0</v>
          </cell>
          <cell r="W5273">
            <v>0</v>
          </cell>
          <cell r="AJ5273">
            <v>0</v>
          </cell>
          <cell r="AT5273">
            <v>400</v>
          </cell>
          <cell r="AW5273">
            <v>400</v>
          </cell>
        </row>
        <row r="5274">
          <cell r="B5274">
            <v>8186</v>
          </cell>
          <cell r="C5274" t="str">
            <v>CL_61_</v>
          </cell>
          <cell r="D5274" t="str">
            <v>Rancho La Cuchilla No. 61</v>
          </cell>
          <cell r="E5274" t="str">
            <v>Rivera</v>
          </cell>
          <cell r="F5274">
            <v>300</v>
          </cell>
          <cell r="G5274">
            <v>1</v>
          </cell>
          <cell r="H5274">
            <v>400</v>
          </cell>
          <cell r="I5274">
            <v>41936</v>
          </cell>
          <cell r="J5274">
            <v>0</v>
          </cell>
          <cell r="W5274">
            <v>0</v>
          </cell>
          <cell r="AJ5274">
            <v>0</v>
          </cell>
          <cell r="AS5274">
            <v>200</v>
          </cell>
          <cell r="AT5274">
            <v>200</v>
          </cell>
          <cell r="AW5274">
            <v>400</v>
          </cell>
        </row>
        <row r="5275">
          <cell r="B5275">
            <v>8187</v>
          </cell>
          <cell r="C5275" t="str">
            <v>CL_147_1</v>
          </cell>
          <cell r="D5275" t="str">
            <v>Rancho La Cuchilla No. 147, 1</v>
          </cell>
          <cell r="E5275" t="str">
            <v>Mena</v>
          </cell>
          <cell r="F5275">
            <v>300</v>
          </cell>
          <cell r="G5275">
            <v>1</v>
          </cell>
          <cell r="H5275">
            <v>600</v>
          </cell>
          <cell r="I5275">
            <v>41936</v>
          </cell>
          <cell r="J5275">
            <v>0</v>
          </cell>
          <cell r="W5275">
            <v>0</v>
          </cell>
          <cell r="AJ5275">
            <v>0</v>
          </cell>
          <cell r="AR5275">
            <v>200</v>
          </cell>
          <cell r="AS5275">
            <v>200</v>
          </cell>
          <cell r="AT5275">
            <v>200</v>
          </cell>
          <cell r="AW5275">
            <v>600</v>
          </cell>
        </row>
        <row r="5276">
          <cell r="B5276">
            <v>8188</v>
          </cell>
          <cell r="C5276" t="str">
            <v>EZ_161_1</v>
          </cell>
          <cell r="D5276" t="str">
            <v>Rancho Estanzuela No. 161, 1</v>
          </cell>
          <cell r="E5276" t="str">
            <v>Guevara</v>
          </cell>
          <cell r="F5276">
            <v>150</v>
          </cell>
          <cell r="G5276">
            <v>5</v>
          </cell>
          <cell r="H5276">
            <v>20</v>
          </cell>
          <cell r="I5276">
            <v>41936</v>
          </cell>
          <cell r="J5276" t="str">
            <v>NO SUMA</v>
          </cell>
          <cell r="W5276">
            <v>0</v>
          </cell>
          <cell r="AJ5276">
            <v>0</v>
          </cell>
          <cell r="AW5276">
            <v>0</v>
          </cell>
        </row>
        <row r="5277">
          <cell r="B5277">
            <v>8189</v>
          </cell>
          <cell r="C5277" t="str">
            <v>EZ_55_</v>
          </cell>
          <cell r="D5277" t="str">
            <v>Rancho Estanzuela No. 55</v>
          </cell>
          <cell r="E5277" t="str">
            <v>Rodríguez Acevedo</v>
          </cell>
          <cell r="F5277">
            <v>300</v>
          </cell>
          <cell r="G5277">
            <v>1</v>
          </cell>
          <cell r="H5277">
            <v>400</v>
          </cell>
          <cell r="I5277">
            <v>41938</v>
          </cell>
          <cell r="J5277">
            <v>0</v>
          </cell>
          <cell r="W5277">
            <v>0</v>
          </cell>
          <cell r="AJ5277">
            <v>0</v>
          </cell>
          <cell r="AT5277">
            <v>400</v>
          </cell>
          <cell r="AW5277">
            <v>400</v>
          </cell>
        </row>
        <row r="5278">
          <cell r="B5278">
            <v>8189</v>
          </cell>
          <cell r="C5278" t="str">
            <v>EZ_55_</v>
          </cell>
          <cell r="D5278" t="str">
            <v>Rancho Estanzuela No. 55</v>
          </cell>
          <cell r="E5278" t="str">
            <v>Rodríguez Acevedo</v>
          </cell>
          <cell r="F5278">
            <v>300</v>
          </cell>
          <cell r="G5278">
            <v>3</v>
          </cell>
          <cell r="H5278">
            <v>160</v>
          </cell>
          <cell r="I5278">
            <v>41938</v>
          </cell>
          <cell r="J5278" t="str">
            <v>NO SUMA</v>
          </cell>
          <cell r="W5278">
            <v>0</v>
          </cell>
          <cell r="AJ5278">
            <v>0</v>
          </cell>
          <cell r="AW5278">
            <v>0</v>
          </cell>
        </row>
        <row r="5279">
          <cell r="B5279">
            <v>8190</v>
          </cell>
          <cell r="C5279" t="str">
            <v>RM_10_B</v>
          </cell>
          <cell r="D5279" t="str">
            <v>Rancho Romeral No. 10, B</v>
          </cell>
          <cell r="E5279" t="str">
            <v>López Castellano</v>
          </cell>
          <cell r="F5279">
            <v>300</v>
          </cell>
          <cell r="G5279">
            <v>1</v>
          </cell>
          <cell r="H5279">
            <v>300</v>
          </cell>
          <cell r="I5279">
            <v>41938</v>
          </cell>
          <cell r="J5279">
            <v>0</v>
          </cell>
          <cell r="W5279">
            <v>0</v>
          </cell>
          <cell r="AJ5279">
            <v>0</v>
          </cell>
          <cell r="AT5279">
            <v>300</v>
          </cell>
          <cell r="AW5279">
            <v>300</v>
          </cell>
        </row>
        <row r="5280">
          <cell r="B5280">
            <v>8190</v>
          </cell>
          <cell r="C5280" t="str">
            <v>RM_10_B</v>
          </cell>
          <cell r="D5280" t="str">
            <v>Rancho Romeral No. 10, B</v>
          </cell>
          <cell r="E5280" t="str">
            <v>López Castellano</v>
          </cell>
          <cell r="F5280">
            <v>300</v>
          </cell>
          <cell r="G5280">
            <v>5</v>
          </cell>
          <cell r="H5280">
            <v>20</v>
          </cell>
          <cell r="I5280">
            <v>41938</v>
          </cell>
          <cell r="J5280" t="str">
            <v>NO SUMA</v>
          </cell>
          <cell r="W5280">
            <v>0</v>
          </cell>
          <cell r="AJ5280">
            <v>0</v>
          </cell>
          <cell r="AW5280">
            <v>0</v>
          </cell>
        </row>
        <row r="5281">
          <cell r="B5281">
            <v>8191</v>
          </cell>
          <cell r="C5281" t="str">
            <v>EZ_103_B</v>
          </cell>
          <cell r="D5281" t="str">
            <v>Rancho Estanzuela No. 103, B</v>
          </cell>
          <cell r="E5281" t="str">
            <v>Olivares Flores</v>
          </cell>
          <cell r="F5281">
            <v>300</v>
          </cell>
          <cell r="G5281">
            <v>4</v>
          </cell>
          <cell r="H5281">
            <v>320</v>
          </cell>
          <cell r="I5281">
            <v>41938</v>
          </cell>
          <cell r="J5281" t="str">
            <v>NO SUMA</v>
          </cell>
          <cell r="W5281">
            <v>0</v>
          </cell>
          <cell r="AJ5281">
            <v>0</v>
          </cell>
          <cell r="AW5281">
            <v>0</v>
          </cell>
        </row>
        <row r="5282">
          <cell r="B5282">
            <v>8192</v>
          </cell>
          <cell r="C5282" t="str">
            <v>CL_95_</v>
          </cell>
          <cell r="D5282" t="str">
            <v>Rancho La Cuchilla No. 95</v>
          </cell>
          <cell r="E5282" t="str">
            <v>Gutiérrez Sánchez</v>
          </cell>
          <cell r="F5282">
            <v>300</v>
          </cell>
          <cell r="G5282">
            <v>1</v>
          </cell>
          <cell r="H5282">
            <v>1200</v>
          </cell>
          <cell r="I5282">
            <v>41938</v>
          </cell>
          <cell r="J5282">
            <v>0</v>
          </cell>
          <cell r="W5282">
            <v>0</v>
          </cell>
          <cell r="AJ5282">
            <v>0</v>
          </cell>
          <cell r="AT5282">
            <v>400</v>
          </cell>
          <cell r="AU5282">
            <v>400</v>
          </cell>
          <cell r="AV5282">
            <v>400</v>
          </cell>
          <cell r="AW5282">
            <v>1200</v>
          </cell>
        </row>
        <row r="5283">
          <cell r="B5283">
            <v>8192</v>
          </cell>
          <cell r="C5283" t="str">
            <v>CL_95_</v>
          </cell>
          <cell r="D5283" t="str">
            <v>Rancho La Cuchilla No. 95</v>
          </cell>
          <cell r="E5283" t="str">
            <v>Gutiérrez Sánchez</v>
          </cell>
          <cell r="F5283">
            <v>300</v>
          </cell>
          <cell r="G5283">
            <v>5</v>
          </cell>
          <cell r="H5283">
            <v>60</v>
          </cell>
          <cell r="I5283">
            <v>41938</v>
          </cell>
          <cell r="J5283" t="str">
            <v>NO SUMA</v>
          </cell>
          <cell r="W5283">
            <v>0</v>
          </cell>
          <cell r="AJ5283">
            <v>0</v>
          </cell>
          <cell r="AW5283">
            <v>0</v>
          </cell>
        </row>
        <row r="5284">
          <cell r="B5284">
            <v>8193</v>
          </cell>
          <cell r="C5284" t="str">
            <v>UP_87_</v>
          </cell>
          <cell r="D5284" t="str">
            <v>Rancho Upácuaro No. 87</v>
          </cell>
          <cell r="E5284" t="str">
            <v>Rodríguez Parés</v>
          </cell>
          <cell r="F5284">
            <v>300</v>
          </cell>
          <cell r="G5284">
            <v>1</v>
          </cell>
          <cell r="H5284">
            <v>400</v>
          </cell>
          <cell r="I5284">
            <v>41938</v>
          </cell>
          <cell r="J5284">
            <v>0</v>
          </cell>
          <cell r="W5284">
            <v>0</v>
          </cell>
          <cell r="AJ5284">
            <v>0</v>
          </cell>
          <cell r="AT5284">
            <v>400</v>
          </cell>
          <cell r="AW5284">
            <v>400</v>
          </cell>
        </row>
        <row r="5285">
          <cell r="B5285">
            <v>8194</v>
          </cell>
          <cell r="C5285" t="str">
            <v>LD_18_</v>
          </cell>
          <cell r="D5285" t="str">
            <v>Rancho Landero No. 18</v>
          </cell>
          <cell r="E5285" t="str">
            <v>Rosado</v>
          </cell>
          <cell r="F5285">
            <v>250</v>
          </cell>
          <cell r="G5285">
            <v>1</v>
          </cell>
          <cell r="H5285">
            <v>300</v>
          </cell>
          <cell r="I5285">
            <v>41938</v>
          </cell>
          <cell r="J5285">
            <v>0</v>
          </cell>
          <cell r="W5285">
            <v>0</v>
          </cell>
          <cell r="AJ5285">
            <v>0</v>
          </cell>
          <cell r="AT5285">
            <v>300</v>
          </cell>
          <cell r="AW5285">
            <v>300</v>
          </cell>
        </row>
        <row r="5286">
          <cell r="B5286">
            <v>8195</v>
          </cell>
          <cell r="C5286" t="str">
            <v>LD_35_</v>
          </cell>
          <cell r="D5286" t="str">
            <v>Rancho Landero No. 35</v>
          </cell>
          <cell r="E5286" t="str">
            <v>Loperena</v>
          </cell>
          <cell r="F5286">
            <v>300</v>
          </cell>
          <cell r="G5286">
            <v>3</v>
          </cell>
          <cell r="H5286">
            <v>160</v>
          </cell>
          <cell r="I5286">
            <v>41938</v>
          </cell>
          <cell r="J5286" t="str">
            <v>NO SUMA</v>
          </cell>
          <cell r="W5286">
            <v>0</v>
          </cell>
          <cell r="AJ5286">
            <v>0</v>
          </cell>
          <cell r="AW5286">
            <v>0</v>
          </cell>
        </row>
        <row r="5287">
          <cell r="B5287">
            <v>8196</v>
          </cell>
          <cell r="C5287" t="str">
            <v>LD_35_</v>
          </cell>
          <cell r="D5287" t="str">
            <v>Rancho Landero No. 35</v>
          </cell>
          <cell r="E5287" t="str">
            <v>Loperena</v>
          </cell>
          <cell r="F5287">
            <v>300</v>
          </cell>
          <cell r="G5287">
            <v>1</v>
          </cell>
          <cell r="H5287">
            <v>400</v>
          </cell>
          <cell r="I5287">
            <v>41938</v>
          </cell>
          <cell r="J5287">
            <v>0</v>
          </cell>
          <cell r="W5287">
            <v>0</v>
          </cell>
          <cell r="AJ5287">
            <v>0</v>
          </cell>
          <cell r="AS5287">
            <v>400</v>
          </cell>
          <cell r="AW5287">
            <v>400</v>
          </cell>
        </row>
        <row r="5288">
          <cell r="B5288">
            <v>8197</v>
          </cell>
          <cell r="C5288" t="str">
            <v>LD_35_</v>
          </cell>
          <cell r="D5288" t="str">
            <v>Rancho Landero No. 35</v>
          </cell>
          <cell r="E5288" t="str">
            <v>Loperena</v>
          </cell>
          <cell r="F5288">
            <v>300</v>
          </cell>
          <cell r="G5288">
            <v>5</v>
          </cell>
          <cell r="H5288">
            <v>20</v>
          </cell>
          <cell r="I5288">
            <v>41938</v>
          </cell>
          <cell r="J5288" t="str">
            <v>NO SUMA</v>
          </cell>
          <cell r="W5288">
            <v>0</v>
          </cell>
          <cell r="AJ5288">
            <v>0</v>
          </cell>
          <cell r="AW5288">
            <v>0</v>
          </cell>
        </row>
        <row r="5289">
          <cell r="B5289">
            <v>8198</v>
          </cell>
          <cell r="C5289" t="str">
            <v>CL_115_</v>
          </cell>
          <cell r="D5289" t="str">
            <v>Rancho La Cuchilla No. 115</v>
          </cell>
          <cell r="E5289" t="str">
            <v>Alfaro</v>
          </cell>
          <cell r="F5289">
            <v>300</v>
          </cell>
          <cell r="G5289">
            <v>1</v>
          </cell>
          <cell r="H5289">
            <v>400</v>
          </cell>
          <cell r="I5289">
            <v>41938</v>
          </cell>
          <cell r="J5289">
            <v>0</v>
          </cell>
          <cell r="W5289">
            <v>0</v>
          </cell>
          <cell r="AJ5289">
            <v>0</v>
          </cell>
          <cell r="AQ5289">
            <v>400</v>
          </cell>
          <cell r="AW5289">
            <v>400</v>
          </cell>
        </row>
        <row r="5290">
          <cell r="B5290">
            <v>8199</v>
          </cell>
          <cell r="C5290" t="str">
            <v>CL_115_</v>
          </cell>
          <cell r="D5290" t="str">
            <v>Rancho La Cuchilla No. 115</v>
          </cell>
          <cell r="E5290" t="str">
            <v>Alfaro</v>
          </cell>
          <cell r="F5290">
            <v>300</v>
          </cell>
          <cell r="G5290">
            <v>5</v>
          </cell>
          <cell r="H5290">
            <v>40</v>
          </cell>
          <cell r="I5290">
            <v>41938</v>
          </cell>
          <cell r="J5290" t="str">
            <v>NO SUMA</v>
          </cell>
          <cell r="W5290">
            <v>0</v>
          </cell>
          <cell r="AJ5290">
            <v>0</v>
          </cell>
          <cell r="AW5290">
            <v>0</v>
          </cell>
        </row>
        <row r="5291">
          <cell r="B5291">
            <v>8200</v>
          </cell>
          <cell r="C5291" t="str">
            <v>CL_90_</v>
          </cell>
          <cell r="D5291" t="str">
            <v>Rancho La Cuchilla No. 90</v>
          </cell>
          <cell r="E5291" t="str">
            <v>Porras Fuentes</v>
          </cell>
          <cell r="F5291">
            <v>150</v>
          </cell>
          <cell r="G5291">
            <v>5</v>
          </cell>
          <cell r="H5291">
            <v>60</v>
          </cell>
          <cell r="I5291">
            <v>41938</v>
          </cell>
          <cell r="J5291" t="str">
            <v>NO SUMA</v>
          </cell>
          <cell r="W5291">
            <v>0</v>
          </cell>
          <cell r="AJ5291">
            <v>0</v>
          </cell>
          <cell r="AW5291">
            <v>0</v>
          </cell>
        </row>
        <row r="5292">
          <cell r="B5292">
            <v>8201</v>
          </cell>
          <cell r="C5292" t="str">
            <v>LD_75_</v>
          </cell>
          <cell r="D5292" t="str">
            <v>Rancho Landero No. 75</v>
          </cell>
          <cell r="E5292" t="str">
            <v>López Fara</v>
          </cell>
          <cell r="F5292">
            <v>300</v>
          </cell>
          <cell r="G5292">
            <v>3</v>
          </cell>
          <cell r="H5292">
            <v>160</v>
          </cell>
          <cell r="I5292">
            <v>41938</v>
          </cell>
          <cell r="J5292" t="str">
            <v>NO SUMA</v>
          </cell>
          <cell r="W5292">
            <v>0</v>
          </cell>
          <cell r="AJ5292">
            <v>0</v>
          </cell>
          <cell r="AW5292">
            <v>0</v>
          </cell>
        </row>
        <row r="5293">
          <cell r="B5293">
            <v>8202</v>
          </cell>
          <cell r="C5293" t="str">
            <v>UP_21_</v>
          </cell>
          <cell r="D5293" t="str">
            <v>Rancho Upácuaro No. 21</v>
          </cell>
          <cell r="E5293" t="str">
            <v>Fierro Betancourt</v>
          </cell>
          <cell r="F5293">
            <v>150</v>
          </cell>
          <cell r="G5293">
            <v>1</v>
          </cell>
          <cell r="H5293">
            <v>200</v>
          </cell>
          <cell r="I5293">
            <v>41938</v>
          </cell>
          <cell r="J5293">
            <v>0</v>
          </cell>
          <cell r="W5293">
            <v>0</v>
          </cell>
          <cell r="AJ5293">
            <v>0</v>
          </cell>
          <cell r="AT5293">
            <v>200</v>
          </cell>
          <cell r="AW5293">
            <v>200</v>
          </cell>
        </row>
        <row r="5294">
          <cell r="B5294">
            <v>8203</v>
          </cell>
          <cell r="C5294" t="str">
            <v>CL_35_</v>
          </cell>
          <cell r="D5294" t="str">
            <v>Rancho La Cuchilla No. 35</v>
          </cell>
          <cell r="E5294" t="str">
            <v>Mendoza</v>
          </cell>
          <cell r="F5294">
            <v>150</v>
          </cell>
          <cell r="G5294">
            <v>1</v>
          </cell>
          <cell r="H5294">
            <v>450</v>
          </cell>
          <cell r="I5294">
            <v>41938</v>
          </cell>
          <cell r="J5294">
            <v>0</v>
          </cell>
          <cell r="W5294">
            <v>0</v>
          </cell>
          <cell r="AJ5294">
            <v>0</v>
          </cell>
          <cell r="AR5294">
            <v>150</v>
          </cell>
          <cell r="AS5294">
            <v>150</v>
          </cell>
          <cell r="AT5294">
            <v>150</v>
          </cell>
          <cell r="AW5294">
            <v>450</v>
          </cell>
        </row>
        <row r="5295">
          <cell r="B5295">
            <v>8204</v>
          </cell>
          <cell r="C5295" t="str">
            <v>UP_40_</v>
          </cell>
          <cell r="D5295" t="str">
            <v>Rancho Upácuaro No. 40</v>
          </cell>
          <cell r="E5295" t="str">
            <v>López Ramírez</v>
          </cell>
          <cell r="F5295">
            <v>300</v>
          </cell>
          <cell r="G5295">
            <v>1</v>
          </cell>
          <cell r="H5295">
            <v>900</v>
          </cell>
          <cell r="I5295">
            <v>41938</v>
          </cell>
          <cell r="J5295">
            <v>0</v>
          </cell>
          <cell r="W5295">
            <v>0</v>
          </cell>
          <cell r="AJ5295">
            <v>0</v>
          </cell>
          <cell r="AP5295">
            <v>300</v>
          </cell>
          <cell r="AQ5295">
            <v>300</v>
          </cell>
          <cell r="AR5295">
            <v>300</v>
          </cell>
          <cell r="AW5295">
            <v>900</v>
          </cell>
        </row>
        <row r="5296">
          <cell r="B5296">
            <v>8204</v>
          </cell>
          <cell r="C5296" t="str">
            <v>UP_40_</v>
          </cell>
          <cell r="D5296" t="str">
            <v>Rancho Upácuaro No. 40</v>
          </cell>
          <cell r="E5296" t="str">
            <v>López Ramírez</v>
          </cell>
          <cell r="F5296">
            <v>300</v>
          </cell>
          <cell r="G5296">
            <v>4</v>
          </cell>
          <cell r="H5296">
            <v>160</v>
          </cell>
          <cell r="I5296">
            <v>41938</v>
          </cell>
          <cell r="J5296" t="str">
            <v>NO SUMA</v>
          </cell>
          <cell r="W5296">
            <v>0</v>
          </cell>
          <cell r="AJ5296">
            <v>0</v>
          </cell>
          <cell r="AW5296">
            <v>0</v>
          </cell>
        </row>
        <row r="5297">
          <cell r="B5297">
            <v>8205</v>
          </cell>
          <cell r="C5297" t="str">
            <v>UP_21_</v>
          </cell>
          <cell r="D5297" t="str">
            <v>Rancho Upácuaro No. 21</v>
          </cell>
          <cell r="E5297" t="str">
            <v>Fierro Betancourt</v>
          </cell>
          <cell r="F5297">
            <v>150</v>
          </cell>
          <cell r="G5297">
            <v>5</v>
          </cell>
          <cell r="H5297">
            <v>20</v>
          </cell>
          <cell r="I5297">
            <v>41938</v>
          </cell>
          <cell r="J5297" t="str">
            <v>NO SUMA</v>
          </cell>
          <cell r="W5297">
            <v>0</v>
          </cell>
          <cell r="AJ5297">
            <v>0</v>
          </cell>
          <cell r="AW5297">
            <v>0</v>
          </cell>
        </row>
        <row r="5298">
          <cell r="B5298">
            <v>8206</v>
          </cell>
          <cell r="C5298" t="str">
            <v>EP_22_A</v>
          </cell>
          <cell r="D5298" t="str">
            <v>Rancho Estopila No. 22, A</v>
          </cell>
          <cell r="E5298" t="str">
            <v>Ayala Carranza</v>
          </cell>
          <cell r="F5298">
            <v>150</v>
          </cell>
          <cell r="G5298">
            <v>1</v>
          </cell>
          <cell r="H5298">
            <v>200</v>
          </cell>
          <cell r="I5298">
            <v>41938</v>
          </cell>
          <cell r="J5298">
            <v>0</v>
          </cell>
          <cell r="W5298">
            <v>0</v>
          </cell>
          <cell r="AJ5298">
            <v>0</v>
          </cell>
          <cell r="AT5298">
            <v>200</v>
          </cell>
          <cell r="AW5298">
            <v>200</v>
          </cell>
        </row>
        <row r="5299">
          <cell r="B5299">
            <v>8206</v>
          </cell>
          <cell r="C5299" t="str">
            <v>EP_22_A</v>
          </cell>
          <cell r="D5299" t="str">
            <v>Rancho Estopila No. 22, A</v>
          </cell>
          <cell r="E5299" t="str">
            <v>Ayala Carranza</v>
          </cell>
          <cell r="F5299">
            <v>150</v>
          </cell>
          <cell r="G5299">
            <v>3</v>
          </cell>
          <cell r="H5299">
            <v>160</v>
          </cell>
          <cell r="I5299">
            <v>41938</v>
          </cell>
          <cell r="J5299" t="str">
            <v>NO SUMA</v>
          </cell>
          <cell r="W5299">
            <v>0</v>
          </cell>
          <cell r="AJ5299">
            <v>0</v>
          </cell>
          <cell r="AW5299">
            <v>0</v>
          </cell>
        </row>
        <row r="5300">
          <cell r="B5300">
            <v>8207</v>
          </cell>
          <cell r="C5300" t="str">
            <v>ZB_34_</v>
          </cell>
          <cell r="D5300" t="str">
            <v>Rancho Zinamba No. 34</v>
          </cell>
          <cell r="E5300" t="str">
            <v>Torres Zavala</v>
          </cell>
          <cell r="F5300">
            <v>300</v>
          </cell>
          <cell r="G5300">
            <v>1</v>
          </cell>
          <cell r="H5300">
            <v>400</v>
          </cell>
          <cell r="I5300">
            <v>41938</v>
          </cell>
          <cell r="J5300">
            <v>0</v>
          </cell>
          <cell r="W5300">
            <v>0</v>
          </cell>
          <cell r="AJ5300">
            <v>0</v>
          </cell>
          <cell r="AT5300">
            <v>400</v>
          </cell>
          <cell r="AW5300">
            <v>400</v>
          </cell>
        </row>
        <row r="5301">
          <cell r="B5301">
            <v>8208</v>
          </cell>
          <cell r="C5301" t="str">
            <v>EZ_11_B</v>
          </cell>
          <cell r="D5301" t="str">
            <v>Rancho Estanzuela No. 11, B</v>
          </cell>
          <cell r="E5301" t="str">
            <v>Gómez Miguel</v>
          </cell>
          <cell r="F5301">
            <v>200</v>
          </cell>
          <cell r="G5301">
            <v>1</v>
          </cell>
          <cell r="H5301">
            <v>400</v>
          </cell>
          <cell r="I5301">
            <v>41938</v>
          </cell>
          <cell r="J5301">
            <v>0</v>
          </cell>
          <cell r="W5301">
            <v>0</v>
          </cell>
          <cell r="AJ5301">
            <v>0</v>
          </cell>
          <cell r="AR5301">
            <v>200</v>
          </cell>
          <cell r="AS5301">
            <v>200</v>
          </cell>
          <cell r="AW5301">
            <v>400</v>
          </cell>
        </row>
        <row r="5302">
          <cell r="B5302">
            <v>8209</v>
          </cell>
          <cell r="C5302" t="str">
            <v>ZB_50_</v>
          </cell>
          <cell r="D5302" t="str">
            <v>Rancho Zinamba No. 50</v>
          </cell>
          <cell r="E5302" t="str">
            <v>Del Castillo</v>
          </cell>
          <cell r="F5302">
            <v>300</v>
          </cell>
          <cell r="G5302">
            <v>1</v>
          </cell>
          <cell r="H5302">
            <v>400</v>
          </cell>
          <cell r="I5302">
            <v>41938</v>
          </cell>
          <cell r="J5302">
            <v>0</v>
          </cell>
          <cell r="W5302">
            <v>0</v>
          </cell>
          <cell r="AJ5302">
            <v>0</v>
          </cell>
          <cell r="AT5302">
            <v>400</v>
          </cell>
          <cell r="AW5302">
            <v>400</v>
          </cell>
        </row>
        <row r="5303">
          <cell r="B5303">
            <v>8210</v>
          </cell>
          <cell r="C5303" t="str">
            <v>CL_36_</v>
          </cell>
          <cell r="D5303" t="str">
            <v>Rancho La Cuchilla No. 36</v>
          </cell>
          <cell r="E5303" t="str">
            <v>Castillo</v>
          </cell>
          <cell r="F5303">
            <v>300</v>
          </cell>
          <cell r="G5303">
            <v>1</v>
          </cell>
          <cell r="H5303">
            <v>800</v>
          </cell>
          <cell r="I5303">
            <v>41938</v>
          </cell>
          <cell r="J5303">
            <v>0</v>
          </cell>
          <cell r="W5303">
            <v>0</v>
          </cell>
          <cell r="AJ5303">
            <v>0</v>
          </cell>
          <cell r="AS5303">
            <v>400</v>
          </cell>
          <cell r="AT5303">
            <v>400</v>
          </cell>
          <cell r="AW5303">
            <v>800</v>
          </cell>
        </row>
        <row r="5304">
          <cell r="B5304">
            <v>8211</v>
          </cell>
          <cell r="C5304" t="str">
            <v>CL_72_</v>
          </cell>
          <cell r="D5304" t="str">
            <v>Rancho La Cuchilla No. 72</v>
          </cell>
          <cell r="E5304" t="str">
            <v>Ortiz González</v>
          </cell>
          <cell r="F5304">
            <v>300</v>
          </cell>
          <cell r="G5304">
            <v>1</v>
          </cell>
          <cell r="H5304">
            <v>800</v>
          </cell>
          <cell r="I5304">
            <v>41938</v>
          </cell>
          <cell r="J5304">
            <v>0</v>
          </cell>
          <cell r="W5304">
            <v>0</v>
          </cell>
          <cell r="AJ5304">
            <v>0</v>
          </cell>
          <cell r="AT5304">
            <v>400</v>
          </cell>
          <cell r="AU5304">
            <v>400</v>
          </cell>
          <cell r="AW5304">
            <v>800</v>
          </cell>
        </row>
        <row r="5305">
          <cell r="B5305">
            <v>8211</v>
          </cell>
          <cell r="C5305" t="str">
            <v>CL_72_</v>
          </cell>
          <cell r="D5305" t="str">
            <v>Rancho La Cuchilla No. 72</v>
          </cell>
          <cell r="E5305" t="str">
            <v>Ortiz González</v>
          </cell>
          <cell r="F5305">
            <v>300</v>
          </cell>
          <cell r="G5305">
            <v>5</v>
          </cell>
          <cell r="H5305">
            <v>60</v>
          </cell>
          <cell r="I5305">
            <v>41938</v>
          </cell>
          <cell r="J5305" t="str">
            <v>NO SUMA</v>
          </cell>
          <cell r="W5305">
            <v>0</v>
          </cell>
          <cell r="AJ5305">
            <v>0</v>
          </cell>
          <cell r="AW5305">
            <v>0</v>
          </cell>
        </row>
        <row r="5306">
          <cell r="B5306">
            <v>8212</v>
          </cell>
          <cell r="C5306" t="str">
            <v>UP_19_</v>
          </cell>
          <cell r="D5306" t="str">
            <v>Rancho Upácuaro No. 19</v>
          </cell>
          <cell r="E5306" t="str">
            <v>Peña Inclán</v>
          </cell>
          <cell r="F5306">
            <v>200</v>
          </cell>
          <cell r="G5306">
            <v>1</v>
          </cell>
          <cell r="H5306">
            <v>300</v>
          </cell>
          <cell r="I5306">
            <v>41938</v>
          </cell>
          <cell r="J5306">
            <v>0</v>
          </cell>
          <cell r="W5306">
            <v>0</v>
          </cell>
          <cell r="AJ5306">
            <v>0</v>
          </cell>
          <cell r="AT5306">
            <v>300</v>
          </cell>
          <cell r="AW5306">
            <v>300</v>
          </cell>
        </row>
        <row r="5307">
          <cell r="B5307">
            <v>8213</v>
          </cell>
          <cell r="C5307" t="str">
            <v>CL_36_</v>
          </cell>
          <cell r="D5307" t="str">
            <v>Rancho La Cuchilla No. 36</v>
          </cell>
          <cell r="E5307" t="str">
            <v>Castillo</v>
          </cell>
          <cell r="F5307">
            <v>300</v>
          </cell>
          <cell r="G5307">
            <v>5</v>
          </cell>
          <cell r="H5307">
            <v>210</v>
          </cell>
          <cell r="I5307">
            <v>41938</v>
          </cell>
          <cell r="J5307" t="str">
            <v>NO SUMA</v>
          </cell>
          <cell r="W5307">
            <v>0</v>
          </cell>
          <cell r="AJ5307">
            <v>0</v>
          </cell>
          <cell r="AW5307">
            <v>0</v>
          </cell>
        </row>
        <row r="5308">
          <cell r="B5308">
            <v>8214</v>
          </cell>
          <cell r="C5308" t="str">
            <v>CL_36_</v>
          </cell>
          <cell r="D5308" t="str">
            <v>Rancho La Cuchilla No. 36</v>
          </cell>
          <cell r="E5308" t="str">
            <v>Castillo</v>
          </cell>
          <cell r="F5308">
            <v>300</v>
          </cell>
          <cell r="G5308">
            <v>1</v>
          </cell>
          <cell r="H5308">
            <v>400</v>
          </cell>
          <cell r="I5308">
            <v>41938</v>
          </cell>
          <cell r="J5308">
            <v>0</v>
          </cell>
          <cell r="W5308">
            <v>0</v>
          </cell>
          <cell r="AJ5308">
            <v>0</v>
          </cell>
          <cell r="AU5308">
            <v>400</v>
          </cell>
          <cell r="AW5308">
            <v>400</v>
          </cell>
        </row>
        <row r="5309">
          <cell r="B5309">
            <v>8215</v>
          </cell>
          <cell r="C5309" t="str">
            <v>LD_89_</v>
          </cell>
          <cell r="D5309" t="str">
            <v>Rancho Landero No. 89</v>
          </cell>
          <cell r="E5309" t="str">
            <v>Del Pozo Solís</v>
          </cell>
          <cell r="F5309">
            <v>300</v>
          </cell>
          <cell r="G5309">
            <v>1</v>
          </cell>
          <cell r="H5309">
            <v>300</v>
          </cell>
          <cell r="I5309">
            <v>41938</v>
          </cell>
          <cell r="J5309">
            <v>0</v>
          </cell>
          <cell r="W5309">
            <v>0</v>
          </cell>
          <cell r="AJ5309">
            <v>0</v>
          </cell>
          <cell r="AT5309">
            <v>300</v>
          </cell>
          <cell r="AW5309">
            <v>300</v>
          </cell>
        </row>
        <row r="5310">
          <cell r="B5310">
            <v>8215</v>
          </cell>
          <cell r="C5310" t="str">
            <v>LD_89_</v>
          </cell>
          <cell r="D5310" t="str">
            <v>Rancho Landero No. 89</v>
          </cell>
          <cell r="E5310" t="str">
            <v>Del Pozo Solís</v>
          </cell>
          <cell r="F5310">
            <v>300</v>
          </cell>
          <cell r="G5310">
            <v>4</v>
          </cell>
          <cell r="H5310">
            <v>160</v>
          </cell>
          <cell r="I5310">
            <v>41938</v>
          </cell>
          <cell r="J5310" t="str">
            <v>NO SUMA</v>
          </cell>
          <cell r="W5310">
            <v>0</v>
          </cell>
          <cell r="AJ5310">
            <v>0</v>
          </cell>
          <cell r="AW5310">
            <v>0</v>
          </cell>
        </row>
        <row r="5311">
          <cell r="B5311">
            <v>8215</v>
          </cell>
          <cell r="C5311" t="str">
            <v>LD_89_</v>
          </cell>
          <cell r="D5311" t="str">
            <v>Rancho Landero No. 89</v>
          </cell>
          <cell r="E5311" t="str">
            <v>Del Pozo Solís</v>
          </cell>
          <cell r="F5311">
            <v>300</v>
          </cell>
          <cell r="G5311">
            <v>5</v>
          </cell>
          <cell r="H5311">
            <v>50</v>
          </cell>
          <cell r="I5311">
            <v>41938</v>
          </cell>
          <cell r="J5311" t="str">
            <v>NO SUMA</v>
          </cell>
          <cell r="W5311">
            <v>0</v>
          </cell>
          <cell r="AJ5311">
            <v>0</v>
          </cell>
          <cell r="AW5311">
            <v>0</v>
          </cell>
        </row>
        <row r="5312">
          <cell r="B5312">
            <v>8216</v>
          </cell>
          <cell r="C5312" t="str">
            <v>EZ_127_</v>
          </cell>
          <cell r="D5312" t="str">
            <v>Rancho Estanzuela No. 127</v>
          </cell>
          <cell r="E5312" t="str">
            <v>Luna Zepeda</v>
          </cell>
          <cell r="F5312">
            <v>200</v>
          </cell>
          <cell r="G5312">
            <v>1</v>
          </cell>
          <cell r="H5312">
            <v>300</v>
          </cell>
          <cell r="I5312">
            <v>41938</v>
          </cell>
          <cell r="J5312">
            <v>0</v>
          </cell>
          <cell r="W5312">
            <v>0</v>
          </cell>
          <cell r="AJ5312">
            <v>0</v>
          </cell>
          <cell r="AS5312">
            <v>150</v>
          </cell>
          <cell r="AT5312">
            <v>150</v>
          </cell>
          <cell r="AW5312">
            <v>300</v>
          </cell>
        </row>
        <row r="5313">
          <cell r="B5313">
            <v>8216</v>
          </cell>
          <cell r="C5313" t="str">
            <v>EZ_127_</v>
          </cell>
          <cell r="D5313" t="str">
            <v>Rancho Estanzuela No. 127</v>
          </cell>
          <cell r="E5313" t="str">
            <v>Luna Zepeda</v>
          </cell>
          <cell r="F5313">
            <v>200</v>
          </cell>
          <cell r="G5313">
            <v>5</v>
          </cell>
          <cell r="H5313">
            <v>60</v>
          </cell>
          <cell r="I5313">
            <v>41938</v>
          </cell>
          <cell r="J5313" t="str">
            <v>NO SUMA</v>
          </cell>
          <cell r="W5313">
            <v>0</v>
          </cell>
          <cell r="AJ5313">
            <v>0</v>
          </cell>
          <cell r="AW5313">
            <v>0</v>
          </cell>
        </row>
        <row r="5314">
          <cell r="B5314">
            <v>8217</v>
          </cell>
          <cell r="C5314" t="str">
            <v>CL_15_</v>
          </cell>
          <cell r="D5314" t="str">
            <v>Rancho La Cuchilla No. 15</v>
          </cell>
          <cell r="E5314" t="str">
            <v>Guerrero Ponce</v>
          </cell>
          <cell r="F5314">
            <v>300</v>
          </cell>
          <cell r="G5314">
            <v>1</v>
          </cell>
          <cell r="H5314">
            <v>300</v>
          </cell>
          <cell r="I5314">
            <v>41938</v>
          </cell>
          <cell r="J5314">
            <v>0</v>
          </cell>
          <cell r="W5314">
            <v>0</v>
          </cell>
          <cell r="AJ5314">
            <v>0</v>
          </cell>
          <cell r="AT5314">
            <v>300</v>
          </cell>
          <cell r="AW5314">
            <v>300</v>
          </cell>
        </row>
        <row r="5315">
          <cell r="B5315">
            <v>8218</v>
          </cell>
          <cell r="C5315" t="str">
            <v>ZB_42_</v>
          </cell>
          <cell r="D5315" t="str">
            <v>Rancho Zinamba No. 42</v>
          </cell>
          <cell r="E5315" t="str">
            <v>López Aldave</v>
          </cell>
          <cell r="F5315">
            <v>250</v>
          </cell>
          <cell r="G5315">
            <v>1</v>
          </cell>
          <cell r="H5315">
            <v>600</v>
          </cell>
          <cell r="I5315">
            <v>41938</v>
          </cell>
          <cell r="J5315">
            <v>0</v>
          </cell>
          <cell r="W5315">
            <v>0</v>
          </cell>
          <cell r="AJ5315">
            <v>0</v>
          </cell>
          <cell r="AT5315">
            <v>300</v>
          </cell>
          <cell r="AU5315">
            <v>300</v>
          </cell>
          <cell r="AW5315">
            <v>600</v>
          </cell>
        </row>
        <row r="5316">
          <cell r="B5316">
            <v>8218</v>
          </cell>
          <cell r="C5316" t="str">
            <v>ZB_42_</v>
          </cell>
          <cell r="D5316" t="str">
            <v>Rancho Zinamba No. 42</v>
          </cell>
          <cell r="E5316" t="str">
            <v>López Aldave</v>
          </cell>
          <cell r="F5316">
            <v>250</v>
          </cell>
          <cell r="G5316">
            <v>5</v>
          </cell>
          <cell r="H5316">
            <v>110</v>
          </cell>
          <cell r="I5316">
            <v>41938</v>
          </cell>
          <cell r="J5316" t="str">
            <v>NO SUMA</v>
          </cell>
          <cell r="W5316">
            <v>0</v>
          </cell>
          <cell r="AJ5316">
            <v>0</v>
          </cell>
          <cell r="AW5316">
            <v>0</v>
          </cell>
        </row>
        <row r="5317">
          <cell r="B5317">
            <v>8219</v>
          </cell>
          <cell r="D5317" t="str">
            <v/>
          </cell>
          <cell r="E5317" t="str">
            <v/>
          </cell>
          <cell r="F5317" t="str">
            <v/>
          </cell>
          <cell r="G5317">
            <v>8</v>
          </cell>
          <cell r="J5317" t="str">
            <v>NO SUMA</v>
          </cell>
          <cell r="W5317">
            <v>0</v>
          </cell>
          <cell r="AJ5317">
            <v>0</v>
          </cell>
          <cell r="AW5317">
            <v>0</v>
          </cell>
        </row>
        <row r="5318">
          <cell r="B5318">
            <v>8220</v>
          </cell>
          <cell r="C5318" t="str">
            <v>CL_94_</v>
          </cell>
          <cell r="D5318" t="str">
            <v>Rancho La Cuchilla No. 94</v>
          </cell>
          <cell r="E5318" t="str">
            <v>Sánchez Márquez</v>
          </cell>
          <cell r="F5318">
            <v>300</v>
          </cell>
          <cell r="G5318">
            <v>1</v>
          </cell>
          <cell r="H5318">
            <v>400</v>
          </cell>
          <cell r="I5318">
            <v>41938</v>
          </cell>
          <cell r="J5318">
            <v>0</v>
          </cell>
          <cell r="W5318">
            <v>0</v>
          </cell>
          <cell r="AJ5318">
            <v>0</v>
          </cell>
          <cell r="AT5318">
            <v>400</v>
          </cell>
          <cell r="AW5318">
            <v>400</v>
          </cell>
        </row>
        <row r="5319">
          <cell r="B5319">
            <v>8220</v>
          </cell>
          <cell r="C5319" t="str">
            <v>CL_94_</v>
          </cell>
          <cell r="D5319" t="str">
            <v>Rancho La Cuchilla No. 94</v>
          </cell>
          <cell r="E5319" t="str">
            <v>Sánchez Márquez</v>
          </cell>
          <cell r="F5319">
            <v>300</v>
          </cell>
          <cell r="G5319">
            <v>5</v>
          </cell>
          <cell r="H5319">
            <v>40</v>
          </cell>
          <cell r="I5319">
            <v>41938</v>
          </cell>
          <cell r="J5319" t="str">
            <v>NO SUMA</v>
          </cell>
          <cell r="W5319">
            <v>0</v>
          </cell>
          <cell r="AJ5319">
            <v>0</v>
          </cell>
          <cell r="AW5319">
            <v>0</v>
          </cell>
        </row>
        <row r="5320">
          <cell r="B5320">
            <v>8353</v>
          </cell>
          <cell r="C5320" t="str">
            <v>CL_29_</v>
          </cell>
          <cell r="D5320" t="str">
            <v>Rancho La Cuchilla No. 29</v>
          </cell>
          <cell r="E5320" t="str">
            <v>Vega Sánchez C.</v>
          </cell>
          <cell r="F5320">
            <v>300</v>
          </cell>
          <cell r="G5320">
            <v>1</v>
          </cell>
          <cell r="H5320">
            <v>300</v>
          </cell>
          <cell r="I5320">
            <v>41922</v>
          </cell>
          <cell r="J5320">
            <v>0</v>
          </cell>
          <cell r="W5320">
            <v>0</v>
          </cell>
          <cell r="AJ5320">
            <v>0</v>
          </cell>
          <cell r="AT5320">
            <v>300</v>
          </cell>
          <cell r="AW5320">
            <v>300</v>
          </cell>
        </row>
        <row r="5321">
          <cell r="B5321" t="str">
            <v>NÚMERO</v>
          </cell>
          <cell r="C5321" t="str">
            <v>CASA</v>
          </cell>
          <cell r="D5321" t="str">
            <v>DOMICILIO</v>
          </cell>
          <cell r="E5321" t="str">
            <v>FAMILIA</v>
          </cell>
          <cell r="F5321" t="str">
            <v>CUOTA</v>
          </cell>
          <cell r="G5321" t="str">
            <v>C_ING</v>
          </cell>
          <cell r="H5321" t="str">
            <v>IMPORTE</v>
          </cell>
          <cell r="I5321" t="str">
            <v>FECHA</v>
          </cell>
          <cell r="J5321" t="str">
            <v>CHK</v>
          </cell>
          <cell r="K5321" t="str">
            <v>ENE
2012</v>
          </cell>
          <cell r="L5321" t="str">
            <v>FEB
2012</v>
          </cell>
          <cell r="M5321" t="str">
            <v>MAR
2012</v>
          </cell>
          <cell r="N5321" t="str">
            <v>ABR
2012</v>
          </cell>
          <cell r="O5321" t="str">
            <v>MAY
2012</v>
          </cell>
          <cell r="P5321" t="str">
            <v>JUN
2012</v>
          </cell>
          <cell r="Q5321" t="str">
            <v>JUL
2012</v>
          </cell>
          <cell r="R5321" t="str">
            <v>AGO
2012</v>
          </cell>
          <cell r="S5321" t="str">
            <v>SEP
2012</v>
          </cell>
          <cell r="T5321" t="str">
            <v>OCT
2012</v>
          </cell>
          <cell r="U5321" t="str">
            <v>NOV
2012</v>
          </cell>
          <cell r="V5321" t="str">
            <v>DIC
2012</v>
          </cell>
          <cell r="W5321" t="str">
            <v>SUMA
2012</v>
          </cell>
          <cell r="X5321" t="str">
            <v>ENE
2013</v>
          </cell>
          <cell r="Y5321" t="str">
            <v>FEB
2013</v>
          </cell>
          <cell r="Z5321" t="str">
            <v>MAR
2013</v>
          </cell>
          <cell r="AA5321" t="str">
            <v>ABR
2013</v>
          </cell>
          <cell r="AB5321" t="str">
            <v>MAY
2013</v>
          </cell>
          <cell r="AC5321" t="str">
            <v>JUN
2013</v>
          </cell>
          <cell r="AD5321" t="str">
            <v>JUL
2013</v>
          </cell>
          <cell r="AE5321" t="str">
            <v>AGO
2013</v>
          </cell>
          <cell r="AF5321" t="str">
            <v>SEP
2013</v>
          </cell>
          <cell r="AG5321" t="str">
            <v>OCT
2013</v>
          </cell>
          <cell r="AH5321" t="str">
            <v>NOV
2013</v>
          </cell>
          <cell r="AI5321" t="str">
            <v>DIC
2013</v>
          </cell>
          <cell r="AJ5321" t="str">
            <v>SUMA
2013</v>
          </cell>
          <cell r="AK5321" t="str">
            <v>ENE
2014</v>
          </cell>
          <cell r="AL5321" t="str">
            <v>FEB
2014</v>
          </cell>
          <cell r="AM5321" t="str">
            <v>MAR
2014</v>
          </cell>
          <cell r="AN5321" t="str">
            <v>ABR
2014</v>
          </cell>
          <cell r="AO5321" t="str">
            <v>MAY
2014</v>
          </cell>
          <cell r="AP5321" t="str">
            <v>JUN
2014</v>
          </cell>
          <cell r="AQ5321" t="str">
            <v>JUL
2014</v>
          </cell>
          <cell r="AR5321" t="str">
            <v>AGO
2014</v>
          </cell>
          <cell r="AS5321" t="str">
            <v>SEP
2014</v>
          </cell>
          <cell r="AT5321" t="str">
            <v>OCT
2014</v>
          </cell>
          <cell r="AU5321" t="str">
            <v>NOV
2014</v>
          </cell>
          <cell r="AV5321" t="str">
            <v>DIC
2014</v>
          </cell>
          <cell r="AW5321" t="str">
            <v>SUMA
2014</v>
          </cell>
        </row>
        <row r="5322">
          <cell r="B5322">
            <v>8221</v>
          </cell>
          <cell r="C5322" t="str">
            <v>RV_187_</v>
          </cell>
          <cell r="D5322" t="str">
            <v>Rancho Recoveco No. 187</v>
          </cell>
          <cell r="E5322" t="str">
            <v>Moreno</v>
          </cell>
          <cell r="F5322">
            <v>300</v>
          </cell>
          <cell r="G5322">
            <v>1</v>
          </cell>
          <cell r="H5322">
            <v>800</v>
          </cell>
          <cell r="I5322">
            <v>41940</v>
          </cell>
          <cell r="J5322">
            <v>0</v>
          </cell>
          <cell r="W5322">
            <v>0</v>
          </cell>
          <cell r="AJ5322">
            <v>0</v>
          </cell>
          <cell r="AT5322">
            <v>400</v>
          </cell>
          <cell r="AU5322">
            <v>400</v>
          </cell>
          <cell r="AW5322">
            <v>800</v>
          </cell>
        </row>
        <row r="5323">
          <cell r="B5323">
            <v>8221</v>
          </cell>
          <cell r="C5323" t="str">
            <v>RV_187_</v>
          </cell>
          <cell r="D5323" t="str">
            <v>Rancho Recoveco No. 187</v>
          </cell>
          <cell r="E5323" t="str">
            <v>Moreno</v>
          </cell>
          <cell r="F5323">
            <v>300</v>
          </cell>
          <cell r="G5323">
            <v>3</v>
          </cell>
          <cell r="H5323">
            <v>160</v>
          </cell>
          <cell r="I5323">
            <v>41940</v>
          </cell>
          <cell r="J5323" t="str">
            <v>NO SUMA</v>
          </cell>
          <cell r="W5323">
            <v>0</v>
          </cell>
          <cell r="AJ5323">
            <v>0</v>
          </cell>
          <cell r="AW5323">
            <v>0</v>
          </cell>
        </row>
        <row r="5324">
          <cell r="B5324">
            <v>8222</v>
          </cell>
          <cell r="C5324" t="str">
            <v>RV_3_</v>
          </cell>
          <cell r="D5324" t="str">
            <v>Rancho Recoveco No. 3</v>
          </cell>
          <cell r="E5324" t="str">
            <v>Garduño</v>
          </cell>
          <cell r="F5324">
            <v>300</v>
          </cell>
          <cell r="G5324">
            <v>1</v>
          </cell>
          <cell r="H5324">
            <v>300</v>
          </cell>
          <cell r="I5324">
            <v>41941</v>
          </cell>
          <cell r="J5324">
            <v>0</v>
          </cell>
          <cell r="W5324">
            <v>0</v>
          </cell>
          <cell r="AJ5324">
            <v>0</v>
          </cell>
          <cell r="AT5324">
            <v>300</v>
          </cell>
          <cell r="AW5324">
            <v>300</v>
          </cell>
        </row>
        <row r="5325">
          <cell r="B5325">
            <v>8223</v>
          </cell>
          <cell r="C5325" t="str">
            <v>LD_1_A</v>
          </cell>
          <cell r="D5325" t="str">
            <v>Rancho Landero No. 1, A</v>
          </cell>
          <cell r="E5325" t="str">
            <v>Ebysos</v>
          </cell>
          <cell r="F5325">
            <v>300</v>
          </cell>
          <cell r="G5325">
            <v>5</v>
          </cell>
          <cell r="H5325">
            <v>460</v>
          </cell>
          <cell r="I5325">
            <v>41941</v>
          </cell>
          <cell r="J5325" t="str">
            <v>NO SUMA</v>
          </cell>
          <cell r="W5325">
            <v>0</v>
          </cell>
          <cell r="AJ5325">
            <v>0</v>
          </cell>
          <cell r="AW5325">
            <v>0</v>
          </cell>
        </row>
        <row r="5326">
          <cell r="B5326">
            <v>8224</v>
          </cell>
          <cell r="C5326" t="str">
            <v>RV_173_</v>
          </cell>
          <cell r="D5326" t="str">
            <v>Rancho Recoveco No. 173</v>
          </cell>
          <cell r="E5326" t="str">
            <v>Velarde</v>
          </cell>
          <cell r="F5326">
            <v>300</v>
          </cell>
          <cell r="G5326">
            <v>1</v>
          </cell>
          <cell r="H5326">
            <v>600</v>
          </cell>
          <cell r="I5326">
            <v>41943</v>
          </cell>
          <cell r="J5326">
            <v>0</v>
          </cell>
          <cell r="W5326">
            <v>0</v>
          </cell>
          <cell r="AJ5326">
            <v>0</v>
          </cell>
          <cell r="AU5326">
            <v>300</v>
          </cell>
          <cell r="AV5326">
            <v>300</v>
          </cell>
          <cell r="AW5326">
            <v>600</v>
          </cell>
        </row>
        <row r="5327">
          <cell r="B5327">
            <v>8225</v>
          </cell>
          <cell r="C5327" t="str">
            <v>EZ_147_1</v>
          </cell>
          <cell r="D5327" t="str">
            <v>Rancho Estanzuela No. 147, 1</v>
          </cell>
          <cell r="E5327" t="str">
            <v>De la Rosa Enrique</v>
          </cell>
          <cell r="F5327">
            <v>100</v>
          </cell>
          <cell r="G5327">
            <v>3</v>
          </cell>
          <cell r="H5327">
            <v>160</v>
          </cell>
          <cell r="I5327">
            <v>41943</v>
          </cell>
          <cell r="J5327" t="str">
            <v>NO SUMA</v>
          </cell>
          <cell r="W5327">
            <v>0</v>
          </cell>
          <cell r="AJ5327">
            <v>0</v>
          </cell>
          <cell r="AW5327">
            <v>0</v>
          </cell>
        </row>
        <row r="5328">
          <cell r="B5328">
            <v>8226</v>
          </cell>
          <cell r="C5328" t="str">
            <v>ZB_12_</v>
          </cell>
          <cell r="D5328" t="str">
            <v>Rancho Zinamba No. 12</v>
          </cell>
          <cell r="E5328" t="str">
            <v>S.P.Endoscopic</v>
          </cell>
          <cell r="F5328">
            <v>400</v>
          </cell>
          <cell r="G5328">
            <v>1</v>
          </cell>
          <cell r="H5328">
            <v>800</v>
          </cell>
          <cell r="I5328">
            <v>41943</v>
          </cell>
          <cell r="J5328">
            <v>0</v>
          </cell>
          <cell r="W5328">
            <v>0</v>
          </cell>
          <cell r="AJ5328">
            <v>0</v>
          </cell>
          <cell r="AS5328">
            <v>400</v>
          </cell>
          <cell r="AT5328">
            <v>400</v>
          </cell>
          <cell r="AW5328">
            <v>800</v>
          </cell>
        </row>
        <row r="5329">
          <cell r="B5329">
            <v>8227</v>
          </cell>
          <cell r="C5329" t="str">
            <v>LD_75_</v>
          </cell>
          <cell r="D5329" t="str">
            <v>Rancho Landero No. 75</v>
          </cell>
          <cell r="E5329" t="str">
            <v>López Fara</v>
          </cell>
          <cell r="F5329">
            <v>300</v>
          </cell>
          <cell r="G5329">
            <v>5</v>
          </cell>
          <cell r="H5329">
            <v>20</v>
          </cell>
          <cell r="I5329">
            <v>41943</v>
          </cell>
          <cell r="J5329" t="str">
            <v>NO SUMA</v>
          </cell>
          <cell r="W5329">
            <v>0</v>
          </cell>
          <cell r="AJ5329">
            <v>0</v>
          </cell>
          <cell r="AW5329">
            <v>0</v>
          </cell>
        </row>
        <row r="5330">
          <cell r="B5330">
            <v>8228</v>
          </cell>
          <cell r="C5330" t="str">
            <v>ZB_68_</v>
          </cell>
          <cell r="D5330" t="str">
            <v>Rancho Zinamba No. 68</v>
          </cell>
          <cell r="E5330" t="str">
            <v>Rivera Villicaña</v>
          </cell>
          <cell r="F5330">
            <v>300</v>
          </cell>
          <cell r="G5330">
            <v>1</v>
          </cell>
          <cell r="H5330">
            <v>300</v>
          </cell>
          <cell r="I5330">
            <v>41945</v>
          </cell>
          <cell r="J5330">
            <v>0</v>
          </cell>
          <cell r="W5330">
            <v>0</v>
          </cell>
          <cell r="AJ5330">
            <v>0</v>
          </cell>
          <cell r="AU5330">
            <v>300</v>
          </cell>
          <cell r="AW5330">
            <v>300</v>
          </cell>
        </row>
        <row r="5331">
          <cell r="B5331">
            <v>8229</v>
          </cell>
          <cell r="C5331" t="str">
            <v>UP_120_</v>
          </cell>
          <cell r="D5331" t="str">
            <v>Rancho Upácuaro No. 120</v>
          </cell>
          <cell r="E5331" t="str">
            <v>Rayas Rivera</v>
          </cell>
          <cell r="F5331">
            <v>300</v>
          </cell>
          <cell r="G5331">
            <v>1</v>
          </cell>
          <cell r="H5331">
            <v>400</v>
          </cell>
          <cell r="I5331">
            <v>41945</v>
          </cell>
          <cell r="J5331">
            <v>0</v>
          </cell>
          <cell r="W5331">
            <v>0</v>
          </cell>
          <cell r="AJ5331">
            <v>0</v>
          </cell>
          <cell r="AU5331">
            <v>400</v>
          </cell>
          <cell r="AW5331">
            <v>400</v>
          </cell>
        </row>
        <row r="5332">
          <cell r="B5332">
            <v>8230</v>
          </cell>
          <cell r="C5332" t="str">
            <v>LD_80_</v>
          </cell>
          <cell r="D5332" t="str">
            <v>Rancho Landero No. 80</v>
          </cell>
          <cell r="E5332" t="str">
            <v>Villaseñor Sánchez</v>
          </cell>
          <cell r="F5332">
            <v>300</v>
          </cell>
          <cell r="G5332">
            <v>1</v>
          </cell>
          <cell r="H5332">
            <v>400</v>
          </cell>
          <cell r="I5332">
            <v>41945</v>
          </cell>
          <cell r="J5332">
            <v>0</v>
          </cell>
          <cell r="W5332">
            <v>0</v>
          </cell>
          <cell r="AJ5332">
            <v>0</v>
          </cell>
          <cell r="AU5332">
            <v>400</v>
          </cell>
          <cell r="AW5332">
            <v>400</v>
          </cell>
        </row>
        <row r="5333">
          <cell r="B5333">
            <v>8231</v>
          </cell>
          <cell r="C5333" t="str">
            <v>UP_14_</v>
          </cell>
          <cell r="D5333" t="str">
            <v>Rancho Upácuaro No. 14</v>
          </cell>
          <cell r="E5333" t="str">
            <v>Castillo Hernández</v>
          </cell>
          <cell r="F5333">
            <v>300</v>
          </cell>
          <cell r="G5333">
            <v>1</v>
          </cell>
          <cell r="H5333">
            <v>400</v>
          </cell>
          <cell r="I5333">
            <v>41945</v>
          </cell>
          <cell r="J5333">
            <v>0</v>
          </cell>
          <cell r="W5333">
            <v>0</v>
          </cell>
          <cell r="AJ5333">
            <v>0</v>
          </cell>
          <cell r="AT5333">
            <v>400</v>
          </cell>
          <cell r="AW5333">
            <v>400</v>
          </cell>
        </row>
        <row r="5334">
          <cell r="B5334">
            <v>8232</v>
          </cell>
          <cell r="C5334" t="str">
            <v>LD_42_</v>
          </cell>
          <cell r="D5334" t="str">
            <v>Rancho Landero No. 42</v>
          </cell>
          <cell r="E5334" t="str">
            <v>Ávila Fidel</v>
          </cell>
          <cell r="F5334">
            <v>300</v>
          </cell>
          <cell r="G5334">
            <v>1</v>
          </cell>
          <cell r="H5334">
            <v>400</v>
          </cell>
          <cell r="I5334">
            <v>41945</v>
          </cell>
          <cell r="J5334">
            <v>0</v>
          </cell>
          <cell r="W5334">
            <v>0</v>
          </cell>
          <cell r="AJ5334">
            <v>0</v>
          </cell>
          <cell r="AU5334">
            <v>400</v>
          </cell>
          <cell r="AW5334">
            <v>400</v>
          </cell>
        </row>
        <row r="5335">
          <cell r="B5335">
            <v>8233</v>
          </cell>
          <cell r="C5335" t="str">
            <v>RV_175_A</v>
          </cell>
          <cell r="D5335" t="str">
            <v>Rancho Recoveco No. 175, A</v>
          </cell>
          <cell r="E5335" t="str">
            <v>Pérez</v>
          </cell>
          <cell r="F5335">
            <v>300</v>
          </cell>
          <cell r="G5335">
            <v>1</v>
          </cell>
          <cell r="H5335">
            <v>400</v>
          </cell>
          <cell r="I5335">
            <v>41945</v>
          </cell>
          <cell r="J5335">
            <v>0</v>
          </cell>
          <cell r="W5335">
            <v>0</v>
          </cell>
          <cell r="AJ5335">
            <v>0</v>
          </cell>
          <cell r="AT5335">
            <v>400</v>
          </cell>
          <cell r="AW5335">
            <v>400</v>
          </cell>
        </row>
        <row r="5336">
          <cell r="B5336">
            <v>8234</v>
          </cell>
          <cell r="C5336" t="str">
            <v>UP_47_</v>
          </cell>
          <cell r="D5336" t="str">
            <v>Rancho Upácuaro No. 47</v>
          </cell>
          <cell r="E5336" t="str">
            <v>Flores Muñoz</v>
          </cell>
          <cell r="F5336">
            <v>300</v>
          </cell>
          <cell r="G5336">
            <v>1</v>
          </cell>
          <cell r="H5336">
            <v>400</v>
          </cell>
          <cell r="I5336">
            <v>41945</v>
          </cell>
          <cell r="J5336">
            <v>0</v>
          </cell>
          <cell r="W5336">
            <v>0</v>
          </cell>
          <cell r="AJ5336">
            <v>0</v>
          </cell>
          <cell r="AU5336">
            <v>400</v>
          </cell>
          <cell r="AW5336">
            <v>400</v>
          </cell>
        </row>
        <row r="5337">
          <cell r="B5337">
            <v>8235</v>
          </cell>
          <cell r="C5337" t="str">
            <v>CL_33_</v>
          </cell>
          <cell r="D5337" t="str">
            <v>Rancho La Cuchilla No. 33</v>
          </cell>
          <cell r="E5337" t="str">
            <v>Tanús</v>
          </cell>
          <cell r="F5337">
            <v>300</v>
          </cell>
          <cell r="G5337">
            <v>1</v>
          </cell>
          <cell r="H5337">
            <v>400</v>
          </cell>
          <cell r="I5337">
            <v>41945</v>
          </cell>
          <cell r="J5337">
            <v>0</v>
          </cell>
          <cell r="W5337">
            <v>0</v>
          </cell>
          <cell r="AJ5337">
            <v>0</v>
          </cell>
          <cell r="AU5337">
            <v>400</v>
          </cell>
          <cell r="AW5337">
            <v>400</v>
          </cell>
        </row>
        <row r="5338">
          <cell r="B5338">
            <v>8236</v>
          </cell>
          <cell r="C5338" t="str">
            <v>ZB_72_</v>
          </cell>
          <cell r="D5338" t="str">
            <v>Rancho Zinamba No. 72</v>
          </cell>
          <cell r="E5338" t="str">
            <v>Romo de Vivar</v>
          </cell>
          <cell r="F5338">
            <v>300</v>
          </cell>
          <cell r="G5338">
            <v>1</v>
          </cell>
          <cell r="H5338">
            <v>600</v>
          </cell>
          <cell r="I5338">
            <v>41945</v>
          </cell>
          <cell r="J5338">
            <v>0</v>
          </cell>
          <cell r="W5338">
            <v>0</v>
          </cell>
          <cell r="AJ5338">
            <v>0</v>
          </cell>
          <cell r="AP5338">
            <v>200</v>
          </cell>
          <cell r="AQ5338">
            <v>200</v>
          </cell>
          <cell r="AR5338">
            <v>200</v>
          </cell>
          <cell r="AW5338">
            <v>600</v>
          </cell>
        </row>
        <row r="5339">
          <cell r="B5339">
            <v>8237</v>
          </cell>
          <cell r="C5339" t="str">
            <v>RV_175_0</v>
          </cell>
          <cell r="D5339" t="str">
            <v>Rancho Recoveco No. 175</v>
          </cell>
          <cell r="E5339" t="str">
            <v>Ramírez</v>
          </cell>
          <cell r="F5339">
            <v>300</v>
          </cell>
          <cell r="G5339">
            <v>3</v>
          </cell>
          <cell r="H5339">
            <v>160</v>
          </cell>
          <cell r="I5339">
            <v>41945</v>
          </cell>
          <cell r="J5339" t="str">
            <v>NO SUMA</v>
          </cell>
          <cell r="W5339">
            <v>0</v>
          </cell>
          <cell r="AJ5339">
            <v>0</v>
          </cell>
          <cell r="AW5339">
            <v>0</v>
          </cell>
        </row>
        <row r="5340">
          <cell r="B5340">
            <v>8237</v>
          </cell>
          <cell r="C5340" t="str">
            <v>RV_175_0</v>
          </cell>
          <cell r="D5340" t="str">
            <v>Rancho Recoveco No. 175</v>
          </cell>
          <cell r="E5340" t="str">
            <v>Ramírez</v>
          </cell>
          <cell r="F5340">
            <v>300</v>
          </cell>
          <cell r="G5340">
            <v>5</v>
          </cell>
          <cell r="H5340">
            <v>110</v>
          </cell>
          <cell r="I5340">
            <v>41945</v>
          </cell>
          <cell r="J5340" t="str">
            <v>NO SUMA</v>
          </cell>
          <cell r="W5340">
            <v>0</v>
          </cell>
          <cell r="AJ5340">
            <v>0</v>
          </cell>
          <cell r="AW5340">
            <v>0</v>
          </cell>
        </row>
        <row r="5341">
          <cell r="B5341">
            <v>8238</v>
          </cell>
          <cell r="C5341" t="str">
            <v>CL_139_</v>
          </cell>
          <cell r="D5341" t="str">
            <v>Rancho La Cuchilla No. 139</v>
          </cell>
          <cell r="E5341" t="str">
            <v>Garcia</v>
          </cell>
          <cell r="F5341">
            <v>200</v>
          </cell>
          <cell r="G5341">
            <v>1</v>
          </cell>
          <cell r="H5341">
            <v>200</v>
          </cell>
          <cell r="I5341">
            <v>41945</v>
          </cell>
          <cell r="J5341">
            <v>0</v>
          </cell>
          <cell r="W5341">
            <v>0</v>
          </cell>
          <cell r="AJ5341">
            <v>0</v>
          </cell>
          <cell r="AU5341">
            <v>200</v>
          </cell>
          <cell r="AW5341">
            <v>200</v>
          </cell>
        </row>
        <row r="5342">
          <cell r="B5342">
            <v>8239</v>
          </cell>
          <cell r="C5342" t="str">
            <v>LD_76_</v>
          </cell>
          <cell r="D5342" t="str">
            <v>Rancho Landero No. 76</v>
          </cell>
          <cell r="E5342" t="str">
            <v>Ugarte</v>
          </cell>
          <cell r="F5342">
            <v>300</v>
          </cell>
          <cell r="G5342">
            <v>1</v>
          </cell>
          <cell r="H5342">
            <v>400</v>
          </cell>
          <cell r="I5342">
            <v>41945</v>
          </cell>
          <cell r="J5342">
            <v>0</v>
          </cell>
          <cell r="W5342">
            <v>0</v>
          </cell>
          <cell r="AJ5342">
            <v>0</v>
          </cell>
          <cell r="AU5342">
            <v>400</v>
          </cell>
          <cell r="AW5342">
            <v>400</v>
          </cell>
        </row>
        <row r="5343">
          <cell r="B5343">
            <v>8240</v>
          </cell>
          <cell r="C5343" t="str">
            <v>EZ_101_</v>
          </cell>
          <cell r="D5343" t="str">
            <v>Rancho Estanzuela No. 101</v>
          </cell>
          <cell r="E5343" t="str">
            <v>Calderón Celis</v>
          </cell>
          <cell r="F5343">
            <v>300</v>
          </cell>
          <cell r="G5343">
            <v>1</v>
          </cell>
          <cell r="H5343">
            <v>1600</v>
          </cell>
          <cell r="I5343">
            <v>41945</v>
          </cell>
          <cell r="J5343">
            <v>0</v>
          </cell>
          <cell r="W5343">
            <v>0</v>
          </cell>
          <cell r="AJ5343">
            <v>0</v>
          </cell>
          <cell r="AQ5343">
            <v>400</v>
          </cell>
          <cell r="AR5343">
            <v>400</v>
          </cell>
          <cell r="AS5343">
            <v>400</v>
          </cell>
          <cell r="AT5343">
            <v>400</v>
          </cell>
          <cell r="AW5343">
            <v>1600</v>
          </cell>
        </row>
        <row r="5344">
          <cell r="B5344">
            <v>8241</v>
          </cell>
          <cell r="C5344" t="str">
            <v>EZ_101_</v>
          </cell>
          <cell r="D5344" t="str">
            <v>Rancho Estanzuela No. 101</v>
          </cell>
          <cell r="E5344" t="str">
            <v>Calderón Celis</v>
          </cell>
          <cell r="F5344">
            <v>300</v>
          </cell>
          <cell r="G5344">
            <v>5</v>
          </cell>
          <cell r="H5344">
            <v>20</v>
          </cell>
          <cell r="I5344">
            <v>41945</v>
          </cell>
          <cell r="J5344" t="str">
            <v>NO SUMA</v>
          </cell>
          <cell r="W5344">
            <v>0</v>
          </cell>
          <cell r="AJ5344">
            <v>0</v>
          </cell>
          <cell r="AW5344">
            <v>0</v>
          </cell>
        </row>
        <row r="5345">
          <cell r="B5345">
            <v>8242</v>
          </cell>
          <cell r="C5345" t="str">
            <v>EZ_147_1</v>
          </cell>
          <cell r="D5345" t="str">
            <v>Rancho Estanzuela No. 147, 1</v>
          </cell>
          <cell r="E5345" t="str">
            <v>De la Rosa Enrique</v>
          </cell>
          <cell r="F5345">
            <v>100</v>
          </cell>
          <cell r="G5345">
            <v>1</v>
          </cell>
          <cell r="H5345">
            <v>300</v>
          </cell>
          <cell r="I5345">
            <v>41945</v>
          </cell>
          <cell r="J5345">
            <v>0</v>
          </cell>
          <cell r="W5345">
            <v>0</v>
          </cell>
          <cell r="AJ5345">
            <v>0</v>
          </cell>
          <cell r="AR5345">
            <v>100</v>
          </cell>
          <cell r="AS5345">
            <v>100</v>
          </cell>
          <cell r="AT5345">
            <v>100</v>
          </cell>
          <cell r="AW5345">
            <v>300</v>
          </cell>
        </row>
        <row r="5346">
          <cell r="B5346">
            <v>8243</v>
          </cell>
          <cell r="C5346" t="str">
            <v>EZ_147_2</v>
          </cell>
          <cell r="D5346" t="str">
            <v>Rancho Estanzuela No. 147, 2</v>
          </cell>
          <cell r="E5346" t="str">
            <v>Figueroa</v>
          </cell>
          <cell r="F5346">
            <v>300</v>
          </cell>
          <cell r="G5346">
            <v>1</v>
          </cell>
          <cell r="H5346">
            <v>300</v>
          </cell>
          <cell r="I5346">
            <v>41945</v>
          </cell>
          <cell r="J5346">
            <v>0</v>
          </cell>
          <cell r="W5346">
            <v>0</v>
          </cell>
          <cell r="AJ5346">
            <v>0</v>
          </cell>
          <cell r="AR5346">
            <v>100</v>
          </cell>
          <cell r="AS5346">
            <v>100</v>
          </cell>
          <cell r="AT5346">
            <v>100</v>
          </cell>
          <cell r="AW5346">
            <v>300</v>
          </cell>
        </row>
        <row r="5347">
          <cell r="B5347">
            <v>8244</v>
          </cell>
          <cell r="C5347" t="str">
            <v>EZ_147_1</v>
          </cell>
          <cell r="D5347" t="str">
            <v>Rancho Estanzuela No. 147, 1</v>
          </cell>
          <cell r="E5347" t="str">
            <v>De la Rosa Enrique</v>
          </cell>
          <cell r="F5347">
            <v>100</v>
          </cell>
          <cell r="G5347">
            <v>5</v>
          </cell>
          <cell r="H5347">
            <v>40</v>
          </cell>
          <cell r="I5347">
            <v>41945</v>
          </cell>
          <cell r="J5347" t="str">
            <v>NO SUMA</v>
          </cell>
          <cell r="W5347">
            <v>0</v>
          </cell>
          <cell r="AJ5347">
            <v>0</v>
          </cell>
          <cell r="AW5347">
            <v>0</v>
          </cell>
        </row>
        <row r="5348">
          <cell r="B5348">
            <v>8245</v>
          </cell>
          <cell r="C5348" t="str">
            <v>UP_70_</v>
          </cell>
          <cell r="D5348" t="str">
            <v>Rancho Upácuaro No. 70</v>
          </cell>
          <cell r="E5348" t="str">
            <v>Ramírez Tejeda</v>
          </cell>
          <cell r="F5348">
            <v>300</v>
          </cell>
          <cell r="G5348">
            <v>1</v>
          </cell>
          <cell r="H5348">
            <v>300</v>
          </cell>
          <cell r="I5348">
            <v>41945</v>
          </cell>
          <cell r="J5348">
            <v>0</v>
          </cell>
          <cell r="W5348">
            <v>0</v>
          </cell>
          <cell r="AJ5348">
            <v>0</v>
          </cell>
          <cell r="AU5348">
            <v>300</v>
          </cell>
          <cell r="AW5348">
            <v>300</v>
          </cell>
        </row>
        <row r="5349">
          <cell r="B5349">
            <v>8246</v>
          </cell>
          <cell r="C5349" t="str">
            <v>CL_43_B</v>
          </cell>
          <cell r="D5349" t="str">
            <v>Rancho La Cuchilla No. 43, B</v>
          </cell>
          <cell r="E5349" t="str">
            <v>Luna Albertano</v>
          </cell>
          <cell r="F5349">
            <v>125</v>
          </cell>
          <cell r="G5349">
            <v>1</v>
          </cell>
          <cell r="H5349">
            <v>125</v>
          </cell>
          <cell r="I5349">
            <v>41945</v>
          </cell>
          <cell r="J5349">
            <v>0</v>
          </cell>
          <cell r="W5349">
            <v>0</v>
          </cell>
          <cell r="AJ5349">
            <v>0</v>
          </cell>
          <cell r="AU5349">
            <v>125</v>
          </cell>
          <cell r="AW5349">
            <v>125</v>
          </cell>
        </row>
        <row r="5350">
          <cell r="B5350">
            <v>8246</v>
          </cell>
          <cell r="C5350" t="str">
            <v>CL_43_B</v>
          </cell>
          <cell r="D5350" t="str">
            <v>Rancho La Cuchilla No. 43, B</v>
          </cell>
          <cell r="E5350" t="str">
            <v>Luna Albertano</v>
          </cell>
          <cell r="F5350">
            <v>125</v>
          </cell>
          <cell r="G5350">
            <v>3</v>
          </cell>
          <cell r="H5350">
            <v>160</v>
          </cell>
          <cell r="I5350">
            <v>41945</v>
          </cell>
          <cell r="J5350" t="str">
            <v>NO SUMA</v>
          </cell>
          <cell r="W5350">
            <v>0</v>
          </cell>
          <cell r="AJ5350">
            <v>0</v>
          </cell>
          <cell r="AW5350">
            <v>0</v>
          </cell>
        </row>
        <row r="5351">
          <cell r="B5351">
            <v>8247</v>
          </cell>
          <cell r="C5351" t="str">
            <v>CL_40_</v>
          </cell>
          <cell r="D5351" t="str">
            <v>Rancho La Cuchilla No. 40</v>
          </cell>
          <cell r="E5351" t="str">
            <v>López Pico</v>
          </cell>
          <cell r="F5351">
            <v>300</v>
          </cell>
          <cell r="G5351">
            <v>1</v>
          </cell>
          <cell r="H5351">
            <v>400</v>
          </cell>
          <cell r="I5351">
            <v>41945</v>
          </cell>
          <cell r="J5351">
            <v>0</v>
          </cell>
          <cell r="W5351">
            <v>0</v>
          </cell>
          <cell r="AJ5351">
            <v>0</v>
          </cell>
          <cell r="AU5351">
            <v>400</v>
          </cell>
          <cell r="AW5351">
            <v>400</v>
          </cell>
        </row>
        <row r="5352">
          <cell r="B5352">
            <v>8248</v>
          </cell>
          <cell r="C5352" t="str">
            <v>LD_71_</v>
          </cell>
          <cell r="D5352" t="str">
            <v>Rancho Landero No. 71</v>
          </cell>
          <cell r="E5352" t="str">
            <v>Cabrera Balcázar</v>
          </cell>
          <cell r="F5352">
            <v>300</v>
          </cell>
          <cell r="G5352">
            <v>1</v>
          </cell>
          <cell r="H5352">
            <v>400</v>
          </cell>
          <cell r="I5352">
            <v>41945</v>
          </cell>
          <cell r="J5352">
            <v>0</v>
          </cell>
          <cell r="W5352">
            <v>0</v>
          </cell>
          <cell r="AJ5352">
            <v>0</v>
          </cell>
          <cell r="AT5352">
            <v>400</v>
          </cell>
          <cell r="AW5352">
            <v>400</v>
          </cell>
        </row>
        <row r="5353">
          <cell r="B5353">
            <v>8249</v>
          </cell>
          <cell r="C5353" t="str">
            <v>LD_91_</v>
          </cell>
          <cell r="D5353" t="str">
            <v>Rancho Landero No. 91</v>
          </cell>
          <cell r="E5353" t="str">
            <v>Llaca</v>
          </cell>
          <cell r="F5353">
            <v>300</v>
          </cell>
          <cell r="G5353">
            <v>1</v>
          </cell>
          <cell r="H5353">
            <v>400</v>
          </cell>
          <cell r="I5353">
            <v>41945</v>
          </cell>
          <cell r="J5353">
            <v>0</v>
          </cell>
          <cell r="W5353">
            <v>0</v>
          </cell>
          <cell r="AJ5353">
            <v>0</v>
          </cell>
          <cell r="AU5353">
            <v>400</v>
          </cell>
          <cell r="AW5353">
            <v>400</v>
          </cell>
        </row>
        <row r="5354">
          <cell r="B5354">
            <v>8250</v>
          </cell>
          <cell r="C5354" t="str">
            <v>UP_32_</v>
          </cell>
          <cell r="D5354" t="str">
            <v>Rancho Upácuaro No. 32</v>
          </cell>
          <cell r="E5354" t="str">
            <v>Sairafi Carmen</v>
          </cell>
          <cell r="F5354">
            <v>300</v>
          </cell>
          <cell r="G5354">
            <v>1</v>
          </cell>
          <cell r="H5354">
            <v>400</v>
          </cell>
          <cell r="I5354">
            <v>41945</v>
          </cell>
          <cell r="J5354">
            <v>0</v>
          </cell>
          <cell r="W5354">
            <v>0</v>
          </cell>
          <cell r="AJ5354">
            <v>0</v>
          </cell>
          <cell r="AT5354">
            <v>400</v>
          </cell>
          <cell r="AW5354">
            <v>400</v>
          </cell>
        </row>
        <row r="5355">
          <cell r="B5355">
            <v>8251</v>
          </cell>
          <cell r="C5355" t="str">
            <v>CL_45_</v>
          </cell>
          <cell r="D5355" t="str">
            <v>Rancho La Cuchilla No. 45</v>
          </cell>
          <cell r="E5355" t="str">
            <v>Estévez Hernández</v>
          </cell>
          <cell r="F5355">
            <v>300</v>
          </cell>
          <cell r="G5355">
            <v>1</v>
          </cell>
          <cell r="H5355">
            <v>400</v>
          </cell>
          <cell r="I5355">
            <v>41945</v>
          </cell>
          <cell r="J5355">
            <v>0</v>
          </cell>
          <cell r="W5355">
            <v>0</v>
          </cell>
          <cell r="AJ5355">
            <v>0</v>
          </cell>
          <cell r="AU5355">
            <v>400</v>
          </cell>
          <cell r="AW5355">
            <v>400</v>
          </cell>
        </row>
        <row r="5356">
          <cell r="B5356">
            <v>8252</v>
          </cell>
          <cell r="C5356" t="str">
            <v>LD_52_</v>
          </cell>
          <cell r="D5356" t="str">
            <v>Rancho Landero No. 52</v>
          </cell>
          <cell r="E5356" t="str">
            <v>Zavala</v>
          </cell>
          <cell r="F5356">
            <v>300</v>
          </cell>
          <cell r="G5356">
            <v>1</v>
          </cell>
          <cell r="H5356">
            <v>400</v>
          </cell>
          <cell r="I5356">
            <v>41945</v>
          </cell>
          <cell r="J5356">
            <v>0</v>
          </cell>
          <cell r="W5356">
            <v>0</v>
          </cell>
          <cell r="AJ5356">
            <v>0</v>
          </cell>
          <cell r="AU5356">
            <v>400</v>
          </cell>
          <cell r="AW5356">
            <v>400</v>
          </cell>
        </row>
        <row r="5357">
          <cell r="B5357">
            <v>8252</v>
          </cell>
          <cell r="C5357" t="str">
            <v>LD_52_</v>
          </cell>
          <cell r="D5357" t="str">
            <v>Rancho Landero No. 52</v>
          </cell>
          <cell r="E5357" t="str">
            <v>Zavala</v>
          </cell>
          <cell r="F5357">
            <v>300</v>
          </cell>
          <cell r="G5357">
            <v>4</v>
          </cell>
          <cell r="H5357">
            <v>320</v>
          </cell>
          <cell r="I5357">
            <v>41945</v>
          </cell>
          <cell r="J5357" t="str">
            <v>NO SUMA</v>
          </cell>
          <cell r="W5357">
            <v>0</v>
          </cell>
          <cell r="AJ5357">
            <v>0</v>
          </cell>
          <cell r="AW5357">
            <v>0</v>
          </cell>
        </row>
        <row r="5358">
          <cell r="B5358">
            <v>8252</v>
          </cell>
          <cell r="C5358" t="str">
            <v>LD_52_</v>
          </cell>
          <cell r="D5358" t="str">
            <v>Rancho Landero No. 52</v>
          </cell>
          <cell r="E5358" t="str">
            <v>Zavala</v>
          </cell>
          <cell r="F5358">
            <v>300</v>
          </cell>
          <cell r="G5358">
            <v>5</v>
          </cell>
          <cell r="H5358">
            <v>20</v>
          </cell>
          <cell r="I5358">
            <v>41945</v>
          </cell>
          <cell r="J5358" t="str">
            <v>NO SUMA</v>
          </cell>
          <cell r="W5358">
            <v>0</v>
          </cell>
          <cell r="AJ5358">
            <v>0</v>
          </cell>
          <cell r="AW5358">
            <v>0</v>
          </cell>
        </row>
        <row r="5359">
          <cell r="B5359">
            <v>8253</v>
          </cell>
          <cell r="C5359" t="str">
            <v>UP_76_</v>
          </cell>
          <cell r="D5359" t="str">
            <v>Rancho Upácuaro No. 76</v>
          </cell>
          <cell r="E5359" t="str">
            <v>Ruiz de San Pedro</v>
          </cell>
          <cell r="F5359">
            <v>300</v>
          </cell>
          <cell r="G5359">
            <v>1</v>
          </cell>
          <cell r="H5359">
            <v>400</v>
          </cell>
          <cell r="I5359">
            <v>41945</v>
          </cell>
          <cell r="J5359">
            <v>0</v>
          </cell>
          <cell r="W5359">
            <v>0</v>
          </cell>
          <cell r="AJ5359">
            <v>0</v>
          </cell>
          <cell r="AU5359">
            <v>400</v>
          </cell>
          <cell r="AW5359">
            <v>400</v>
          </cell>
        </row>
        <row r="5360">
          <cell r="B5360">
            <v>8254</v>
          </cell>
          <cell r="C5360" t="str">
            <v>CL_107_</v>
          </cell>
          <cell r="D5360" t="str">
            <v>Rancho La Cuchilla No. 107</v>
          </cell>
          <cell r="E5360" t="str">
            <v>Olivares Rivera</v>
          </cell>
          <cell r="F5360">
            <v>300</v>
          </cell>
          <cell r="G5360">
            <v>1</v>
          </cell>
          <cell r="H5360">
            <v>400</v>
          </cell>
          <cell r="I5360">
            <v>41945</v>
          </cell>
          <cell r="J5360">
            <v>0</v>
          </cell>
          <cell r="W5360">
            <v>0</v>
          </cell>
          <cell r="AJ5360">
            <v>0</v>
          </cell>
          <cell r="AT5360">
            <v>400</v>
          </cell>
          <cell r="AW5360">
            <v>400</v>
          </cell>
        </row>
        <row r="5361">
          <cell r="B5361">
            <v>8255</v>
          </cell>
          <cell r="C5361" t="str">
            <v>CL_96_</v>
          </cell>
          <cell r="D5361" t="str">
            <v>Rancho La Cuchilla No. 96</v>
          </cell>
          <cell r="E5361" t="str">
            <v>Valdez Álvarez</v>
          </cell>
          <cell r="F5361">
            <v>300</v>
          </cell>
          <cell r="G5361">
            <v>5</v>
          </cell>
          <cell r="H5361">
            <v>20</v>
          </cell>
          <cell r="I5361">
            <v>41945</v>
          </cell>
          <cell r="J5361" t="str">
            <v>NO SUMA</v>
          </cell>
          <cell r="W5361">
            <v>0</v>
          </cell>
          <cell r="AJ5361">
            <v>0</v>
          </cell>
          <cell r="AW5361">
            <v>0</v>
          </cell>
        </row>
        <row r="5362">
          <cell r="B5362">
            <v>8256</v>
          </cell>
          <cell r="C5362" t="str">
            <v>CL_92_</v>
          </cell>
          <cell r="D5362" t="str">
            <v>Rancho La Cuchilla No. 92</v>
          </cell>
          <cell r="E5362" t="str">
            <v>Cabrera</v>
          </cell>
          <cell r="F5362">
            <v>300</v>
          </cell>
          <cell r="G5362">
            <v>1</v>
          </cell>
          <cell r="H5362">
            <v>400</v>
          </cell>
          <cell r="I5362">
            <v>41945</v>
          </cell>
          <cell r="J5362">
            <v>0</v>
          </cell>
          <cell r="W5362">
            <v>0</v>
          </cell>
          <cell r="AJ5362">
            <v>0</v>
          </cell>
          <cell r="AU5362">
            <v>400</v>
          </cell>
          <cell r="AW5362">
            <v>400</v>
          </cell>
        </row>
        <row r="5363">
          <cell r="B5363">
            <v>8257</v>
          </cell>
          <cell r="C5363" t="str">
            <v>ZB_36_</v>
          </cell>
          <cell r="D5363" t="str">
            <v>Rancho Zinamba No. 36</v>
          </cell>
          <cell r="E5363" t="str">
            <v>Rodríguez Ortiz</v>
          </cell>
          <cell r="F5363">
            <v>300</v>
          </cell>
          <cell r="G5363">
            <v>1</v>
          </cell>
          <cell r="H5363">
            <v>400</v>
          </cell>
          <cell r="I5363">
            <v>41945</v>
          </cell>
          <cell r="J5363">
            <v>0</v>
          </cell>
          <cell r="W5363">
            <v>0</v>
          </cell>
          <cell r="AJ5363">
            <v>0</v>
          </cell>
          <cell r="AU5363">
            <v>400</v>
          </cell>
          <cell r="AW5363">
            <v>400</v>
          </cell>
        </row>
        <row r="5364">
          <cell r="B5364">
            <v>8258</v>
          </cell>
          <cell r="C5364" t="str">
            <v>EZ_31_</v>
          </cell>
          <cell r="D5364" t="str">
            <v>Rancho Estanzuela No. 31</v>
          </cell>
          <cell r="E5364" t="str">
            <v>Chávez Valdés</v>
          </cell>
          <cell r="F5364">
            <v>300</v>
          </cell>
          <cell r="G5364">
            <v>1</v>
          </cell>
          <cell r="H5364">
            <v>400</v>
          </cell>
          <cell r="I5364">
            <v>41945</v>
          </cell>
          <cell r="J5364">
            <v>0</v>
          </cell>
          <cell r="W5364">
            <v>0</v>
          </cell>
          <cell r="AJ5364">
            <v>0</v>
          </cell>
          <cell r="AT5364">
            <v>400</v>
          </cell>
          <cell r="AW5364">
            <v>400</v>
          </cell>
        </row>
        <row r="5365">
          <cell r="B5365">
            <v>8259</v>
          </cell>
          <cell r="D5365" t="str">
            <v/>
          </cell>
          <cell r="E5365" t="str">
            <v/>
          </cell>
          <cell r="F5365" t="str">
            <v/>
          </cell>
          <cell r="G5365">
            <v>8</v>
          </cell>
          <cell r="J5365" t="str">
            <v>NO SUMA</v>
          </cell>
          <cell r="W5365">
            <v>0</v>
          </cell>
          <cell r="AJ5365">
            <v>0</v>
          </cell>
          <cell r="AW5365">
            <v>0</v>
          </cell>
        </row>
        <row r="5366">
          <cell r="B5366">
            <v>8260</v>
          </cell>
          <cell r="C5366" t="str">
            <v>EZ_7_B</v>
          </cell>
          <cell r="D5366" t="str">
            <v>Rancho Estanzuela No. 7, B</v>
          </cell>
          <cell r="E5366" t="str">
            <v>Camargo Romero</v>
          </cell>
          <cell r="F5366">
            <v>150</v>
          </cell>
          <cell r="G5366">
            <v>1</v>
          </cell>
          <cell r="H5366">
            <v>800</v>
          </cell>
          <cell r="I5366">
            <v>41945</v>
          </cell>
          <cell r="J5366">
            <v>0</v>
          </cell>
          <cell r="W5366">
            <v>0</v>
          </cell>
          <cell r="AJ5366">
            <v>0</v>
          </cell>
          <cell r="AS5366">
            <v>200</v>
          </cell>
          <cell r="AT5366">
            <v>200</v>
          </cell>
          <cell r="AU5366">
            <v>200</v>
          </cell>
          <cell r="AV5366">
            <v>200</v>
          </cell>
          <cell r="AW5366">
            <v>800</v>
          </cell>
        </row>
        <row r="5367">
          <cell r="B5367">
            <v>8260</v>
          </cell>
          <cell r="C5367" t="str">
            <v>EZ_7_B</v>
          </cell>
          <cell r="D5367" t="str">
            <v>Rancho Estanzuela No. 7, B</v>
          </cell>
          <cell r="E5367" t="str">
            <v>Camargo Romero</v>
          </cell>
          <cell r="F5367">
            <v>150</v>
          </cell>
          <cell r="G5367">
            <v>5</v>
          </cell>
          <cell r="H5367">
            <v>40</v>
          </cell>
          <cell r="I5367">
            <v>41945</v>
          </cell>
          <cell r="J5367" t="str">
            <v>NO SUMA</v>
          </cell>
          <cell r="W5367">
            <v>0</v>
          </cell>
          <cell r="AJ5367">
            <v>0</v>
          </cell>
          <cell r="AW5367">
            <v>0</v>
          </cell>
        </row>
        <row r="5368">
          <cell r="B5368">
            <v>8261</v>
          </cell>
          <cell r="C5368" t="str">
            <v>CL_55_</v>
          </cell>
          <cell r="D5368" t="str">
            <v>Rancho La Cuchilla No. 55</v>
          </cell>
          <cell r="E5368" t="str">
            <v>López Velázquez</v>
          </cell>
          <cell r="F5368">
            <v>300</v>
          </cell>
          <cell r="G5368">
            <v>1</v>
          </cell>
          <cell r="H5368">
            <v>400</v>
          </cell>
          <cell r="I5368">
            <v>41945</v>
          </cell>
          <cell r="J5368">
            <v>0</v>
          </cell>
          <cell r="W5368">
            <v>0</v>
          </cell>
          <cell r="AJ5368">
            <v>0</v>
          </cell>
          <cell r="AT5368">
            <v>400</v>
          </cell>
          <cell r="AW5368">
            <v>400</v>
          </cell>
        </row>
        <row r="5369">
          <cell r="B5369">
            <v>8262</v>
          </cell>
          <cell r="C5369" t="str">
            <v>LD_8_</v>
          </cell>
          <cell r="D5369" t="str">
            <v>Rancho Landero No. 8</v>
          </cell>
          <cell r="E5369" t="str">
            <v>Peña Torres</v>
          </cell>
          <cell r="F5369">
            <v>250</v>
          </cell>
          <cell r="G5369">
            <v>1</v>
          </cell>
          <cell r="H5369">
            <v>500</v>
          </cell>
          <cell r="I5369">
            <v>41945</v>
          </cell>
          <cell r="J5369">
            <v>0</v>
          </cell>
          <cell r="W5369">
            <v>0</v>
          </cell>
          <cell r="AJ5369">
            <v>0</v>
          </cell>
          <cell r="AU5369">
            <v>250</v>
          </cell>
          <cell r="AV5369">
            <v>250</v>
          </cell>
          <cell r="AW5369">
            <v>500</v>
          </cell>
        </row>
        <row r="5370">
          <cell r="B5370">
            <v>8263</v>
          </cell>
          <cell r="C5370" t="str">
            <v>CL_96_</v>
          </cell>
          <cell r="D5370" t="str">
            <v>Rancho La Cuchilla No. 96</v>
          </cell>
          <cell r="E5370" t="str">
            <v>Valdez Álvarez</v>
          </cell>
          <cell r="F5370">
            <v>300</v>
          </cell>
          <cell r="G5370">
            <v>5</v>
          </cell>
          <cell r="H5370">
            <v>20</v>
          </cell>
          <cell r="I5370">
            <v>41945</v>
          </cell>
          <cell r="J5370" t="str">
            <v>NO SUMA</v>
          </cell>
          <cell r="W5370">
            <v>0</v>
          </cell>
          <cell r="AJ5370">
            <v>0</v>
          </cell>
          <cell r="AW5370">
            <v>0</v>
          </cell>
        </row>
        <row r="5371">
          <cell r="B5371">
            <v>8264</v>
          </cell>
          <cell r="C5371" t="str">
            <v>UP_18_</v>
          </cell>
          <cell r="D5371" t="str">
            <v>Rancho Upácuaro No. 18</v>
          </cell>
          <cell r="E5371" t="str">
            <v>Guzmán</v>
          </cell>
          <cell r="F5371">
            <v>300</v>
          </cell>
          <cell r="G5371">
            <v>1</v>
          </cell>
          <cell r="H5371">
            <v>300</v>
          </cell>
          <cell r="I5371">
            <v>41945</v>
          </cell>
          <cell r="J5371">
            <v>0</v>
          </cell>
          <cell r="W5371">
            <v>0</v>
          </cell>
          <cell r="AJ5371">
            <v>0</v>
          </cell>
          <cell r="AU5371">
            <v>300</v>
          </cell>
          <cell r="AW5371">
            <v>300</v>
          </cell>
        </row>
        <row r="5372">
          <cell r="B5372">
            <v>8265</v>
          </cell>
          <cell r="C5372" t="str">
            <v>UP_140_</v>
          </cell>
          <cell r="D5372" t="str">
            <v>Rancho Upácuaro No. 140</v>
          </cell>
          <cell r="E5372" t="str">
            <v>Gozain</v>
          </cell>
          <cell r="F5372">
            <v>300</v>
          </cell>
          <cell r="G5372">
            <v>1</v>
          </cell>
          <cell r="H5372">
            <v>400</v>
          </cell>
          <cell r="I5372">
            <v>41945</v>
          </cell>
          <cell r="J5372">
            <v>0</v>
          </cell>
          <cell r="W5372">
            <v>0</v>
          </cell>
          <cell r="AJ5372">
            <v>0</v>
          </cell>
          <cell r="AU5372">
            <v>400</v>
          </cell>
          <cell r="AW5372">
            <v>400</v>
          </cell>
        </row>
        <row r="5373">
          <cell r="B5373">
            <v>8266</v>
          </cell>
          <cell r="C5373" t="str">
            <v>LD_38_</v>
          </cell>
          <cell r="D5373" t="str">
            <v>Rancho Landero No. 38</v>
          </cell>
          <cell r="E5373" t="str">
            <v>Sánchez Peña</v>
          </cell>
          <cell r="F5373">
            <v>300</v>
          </cell>
          <cell r="G5373">
            <v>1</v>
          </cell>
          <cell r="H5373">
            <v>800</v>
          </cell>
          <cell r="I5373">
            <v>41945</v>
          </cell>
          <cell r="J5373">
            <v>0</v>
          </cell>
          <cell r="W5373">
            <v>0</v>
          </cell>
          <cell r="AJ5373">
            <v>0</v>
          </cell>
          <cell r="AU5373">
            <v>400</v>
          </cell>
          <cell r="AV5373">
            <v>400</v>
          </cell>
          <cell r="AW5373">
            <v>800</v>
          </cell>
        </row>
        <row r="5374">
          <cell r="B5374">
            <v>8266</v>
          </cell>
          <cell r="C5374" t="str">
            <v>LD_38_</v>
          </cell>
          <cell r="D5374" t="str">
            <v>Rancho Landero No. 38</v>
          </cell>
          <cell r="E5374" t="str">
            <v>Sánchez Peña</v>
          </cell>
          <cell r="F5374">
            <v>300</v>
          </cell>
          <cell r="G5374">
            <v>5</v>
          </cell>
          <cell r="H5374">
            <v>60</v>
          </cell>
          <cell r="I5374">
            <v>41945</v>
          </cell>
          <cell r="J5374" t="str">
            <v>NO SUMA</v>
          </cell>
          <cell r="W5374">
            <v>0</v>
          </cell>
          <cell r="AJ5374">
            <v>0</v>
          </cell>
          <cell r="AW5374">
            <v>0</v>
          </cell>
        </row>
        <row r="5375">
          <cell r="B5375">
            <v>8267</v>
          </cell>
          <cell r="C5375" t="str">
            <v>UP_93_</v>
          </cell>
          <cell r="D5375" t="str">
            <v>Rancho Upácuaro No. 93</v>
          </cell>
          <cell r="E5375" t="str">
            <v>Valdés</v>
          </cell>
          <cell r="F5375">
            <v>300</v>
          </cell>
          <cell r="G5375">
            <v>1</v>
          </cell>
          <cell r="H5375">
            <v>400</v>
          </cell>
          <cell r="I5375">
            <v>41945</v>
          </cell>
          <cell r="J5375">
            <v>0</v>
          </cell>
          <cell r="W5375">
            <v>0</v>
          </cell>
          <cell r="AJ5375">
            <v>0</v>
          </cell>
          <cell r="AU5375">
            <v>400</v>
          </cell>
          <cell r="AW5375">
            <v>400</v>
          </cell>
        </row>
        <row r="5376">
          <cell r="B5376">
            <v>8268</v>
          </cell>
          <cell r="C5376" t="str">
            <v>UP_101_</v>
          </cell>
          <cell r="D5376" t="str">
            <v>Rancho Upácuaro No. 101</v>
          </cell>
          <cell r="E5376" t="str">
            <v>Chávez, Arturo</v>
          </cell>
          <cell r="F5376">
            <v>300</v>
          </cell>
          <cell r="G5376">
            <v>1</v>
          </cell>
          <cell r="H5376">
            <v>800</v>
          </cell>
          <cell r="I5376">
            <v>41945</v>
          </cell>
          <cell r="J5376">
            <v>0</v>
          </cell>
          <cell r="W5376">
            <v>0</v>
          </cell>
          <cell r="AJ5376">
            <v>0</v>
          </cell>
          <cell r="AT5376">
            <v>400</v>
          </cell>
          <cell r="AU5376">
            <v>400</v>
          </cell>
          <cell r="AW5376">
            <v>800</v>
          </cell>
        </row>
        <row r="5377">
          <cell r="B5377">
            <v>8269</v>
          </cell>
          <cell r="C5377" t="str">
            <v>EZ_61_</v>
          </cell>
          <cell r="D5377" t="str">
            <v>Rancho Estanzuela No. 61</v>
          </cell>
          <cell r="E5377" t="str">
            <v>González Almazán</v>
          </cell>
          <cell r="F5377">
            <v>300</v>
          </cell>
          <cell r="G5377">
            <v>1</v>
          </cell>
          <cell r="H5377">
            <v>300</v>
          </cell>
          <cell r="I5377">
            <v>41945</v>
          </cell>
          <cell r="J5377">
            <v>0</v>
          </cell>
          <cell r="W5377">
            <v>0</v>
          </cell>
          <cell r="AJ5377">
            <v>0</v>
          </cell>
          <cell r="AT5377">
            <v>300</v>
          </cell>
          <cell r="AW5377">
            <v>300</v>
          </cell>
        </row>
        <row r="5378">
          <cell r="B5378">
            <v>8270</v>
          </cell>
          <cell r="C5378" t="str">
            <v>ZB_36_</v>
          </cell>
          <cell r="D5378" t="str">
            <v>Rancho Zinamba No. 36</v>
          </cell>
          <cell r="E5378" t="str">
            <v>Rodríguez Ortiz</v>
          </cell>
          <cell r="F5378">
            <v>300</v>
          </cell>
          <cell r="G5378">
            <v>1</v>
          </cell>
          <cell r="H5378">
            <v>400</v>
          </cell>
          <cell r="I5378">
            <v>41945</v>
          </cell>
          <cell r="J5378">
            <v>0</v>
          </cell>
          <cell r="W5378">
            <v>0</v>
          </cell>
          <cell r="AJ5378">
            <v>0</v>
          </cell>
          <cell r="AT5378">
            <v>400</v>
          </cell>
          <cell r="AW5378">
            <v>400</v>
          </cell>
        </row>
        <row r="5379">
          <cell r="B5379">
            <v>8271</v>
          </cell>
          <cell r="C5379" t="str">
            <v>CL_147_1</v>
          </cell>
          <cell r="D5379" t="str">
            <v>Rancho La Cuchilla No. 147, 1</v>
          </cell>
          <cell r="E5379" t="str">
            <v>Mena</v>
          </cell>
          <cell r="F5379">
            <v>300</v>
          </cell>
          <cell r="G5379">
            <v>5</v>
          </cell>
          <cell r="H5379">
            <v>20</v>
          </cell>
          <cell r="I5379">
            <v>41945</v>
          </cell>
          <cell r="J5379" t="str">
            <v>NO SUMA</v>
          </cell>
          <cell r="W5379">
            <v>0</v>
          </cell>
          <cell r="AJ5379">
            <v>0</v>
          </cell>
          <cell r="AW5379">
            <v>0</v>
          </cell>
        </row>
        <row r="5380">
          <cell r="B5380">
            <v>8272</v>
          </cell>
          <cell r="C5380" t="str">
            <v>EZ_93_</v>
          </cell>
          <cell r="D5380" t="str">
            <v>Rancho Estanzuela No. 93</v>
          </cell>
          <cell r="E5380" t="str">
            <v>Alcocer</v>
          </cell>
          <cell r="F5380">
            <v>300</v>
          </cell>
          <cell r="G5380">
            <v>5</v>
          </cell>
          <cell r="H5380">
            <v>20</v>
          </cell>
          <cell r="I5380">
            <v>41945</v>
          </cell>
          <cell r="J5380" t="str">
            <v>NO SUMA</v>
          </cell>
          <cell r="W5380">
            <v>0</v>
          </cell>
          <cell r="AJ5380">
            <v>0</v>
          </cell>
          <cell r="AW5380">
            <v>0</v>
          </cell>
        </row>
        <row r="5381">
          <cell r="B5381">
            <v>8273</v>
          </cell>
          <cell r="C5381" t="str">
            <v>CL_96_</v>
          </cell>
          <cell r="D5381" t="str">
            <v>Rancho La Cuchilla No. 96</v>
          </cell>
          <cell r="E5381" t="str">
            <v>Valdez Álvarez</v>
          </cell>
          <cell r="F5381">
            <v>300</v>
          </cell>
          <cell r="G5381">
            <v>5</v>
          </cell>
          <cell r="H5381">
            <v>20</v>
          </cell>
          <cell r="I5381">
            <v>41945</v>
          </cell>
          <cell r="J5381" t="str">
            <v>NO SUMA</v>
          </cell>
          <cell r="W5381">
            <v>0</v>
          </cell>
          <cell r="AJ5381">
            <v>0</v>
          </cell>
          <cell r="AW5381">
            <v>0</v>
          </cell>
        </row>
        <row r="5382">
          <cell r="B5382">
            <v>8274</v>
          </cell>
          <cell r="C5382" t="str">
            <v>ZB_44_</v>
          </cell>
          <cell r="D5382" t="str">
            <v>Rancho Zinamba No. 44</v>
          </cell>
          <cell r="E5382" t="str">
            <v>Canales</v>
          </cell>
          <cell r="F5382">
            <v>300</v>
          </cell>
          <cell r="G5382">
            <v>1</v>
          </cell>
          <cell r="H5382">
            <v>400</v>
          </cell>
          <cell r="I5382">
            <v>41945</v>
          </cell>
          <cell r="J5382">
            <v>0</v>
          </cell>
          <cell r="W5382">
            <v>0</v>
          </cell>
          <cell r="AJ5382">
            <v>0</v>
          </cell>
          <cell r="AU5382">
            <v>400</v>
          </cell>
          <cell r="AW5382">
            <v>400</v>
          </cell>
        </row>
        <row r="5383">
          <cell r="B5383">
            <v>8275</v>
          </cell>
          <cell r="C5383" t="str">
            <v>EZ_47_</v>
          </cell>
          <cell r="D5383" t="str">
            <v>Rancho Estanzuela No. 47</v>
          </cell>
          <cell r="E5383" t="str">
            <v>Bussey García</v>
          </cell>
          <cell r="F5383">
            <v>300</v>
          </cell>
          <cell r="G5383">
            <v>5</v>
          </cell>
          <cell r="H5383">
            <v>50</v>
          </cell>
          <cell r="I5383">
            <v>41945</v>
          </cell>
          <cell r="J5383" t="str">
            <v>NO SUMA</v>
          </cell>
          <cell r="W5383">
            <v>0</v>
          </cell>
          <cell r="AJ5383">
            <v>0</v>
          </cell>
          <cell r="AW5383">
            <v>0</v>
          </cell>
        </row>
        <row r="5384">
          <cell r="B5384">
            <v>8276</v>
          </cell>
          <cell r="C5384" t="str">
            <v>RM_30_</v>
          </cell>
          <cell r="D5384" t="str">
            <v>Rancho Romeral No. 30</v>
          </cell>
          <cell r="E5384" t="str">
            <v>Osorio</v>
          </cell>
          <cell r="F5384">
            <v>200</v>
          </cell>
          <cell r="G5384">
            <v>1</v>
          </cell>
          <cell r="H5384">
            <v>800</v>
          </cell>
          <cell r="I5384">
            <v>41945</v>
          </cell>
          <cell r="J5384">
            <v>0</v>
          </cell>
          <cell r="W5384">
            <v>0</v>
          </cell>
          <cell r="AJ5384">
            <v>0</v>
          </cell>
          <cell r="AR5384">
            <v>200</v>
          </cell>
          <cell r="AS5384">
            <v>200</v>
          </cell>
          <cell r="AT5384">
            <v>200</v>
          </cell>
          <cell r="AU5384">
            <v>200</v>
          </cell>
          <cell r="AW5384">
            <v>800</v>
          </cell>
        </row>
        <row r="5385">
          <cell r="B5385">
            <v>8277</v>
          </cell>
          <cell r="C5385" t="str">
            <v>CL_115_</v>
          </cell>
          <cell r="D5385" t="str">
            <v>Rancho La Cuchilla No. 115</v>
          </cell>
          <cell r="E5385" t="str">
            <v>Alfaro</v>
          </cell>
          <cell r="F5385">
            <v>300</v>
          </cell>
          <cell r="G5385">
            <v>1</v>
          </cell>
          <cell r="H5385">
            <v>400</v>
          </cell>
          <cell r="I5385">
            <v>41945</v>
          </cell>
          <cell r="J5385">
            <v>0</v>
          </cell>
          <cell r="W5385">
            <v>0</v>
          </cell>
          <cell r="AJ5385">
            <v>0</v>
          </cell>
          <cell r="AR5385">
            <v>400</v>
          </cell>
          <cell r="AW5385">
            <v>400</v>
          </cell>
        </row>
        <row r="5386">
          <cell r="B5386">
            <v>8278</v>
          </cell>
          <cell r="C5386" t="str">
            <v>CL_115_</v>
          </cell>
          <cell r="D5386" t="str">
            <v>Rancho La Cuchilla No. 115</v>
          </cell>
          <cell r="E5386" t="str">
            <v>Alfaro</v>
          </cell>
          <cell r="F5386">
            <v>300</v>
          </cell>
          <cell r="G5386">
            <v>5</v>
          </cell>
          <cell r="H5386">
            <v>20</v>
          </cell>
          <cell r="I5386">
            <v>41945</v>
          </cell>
          <cell r="J5386" t="str">
            <v>NO SUMA</v>
          </cell>
          <cell r="W5386">
            <v>0</v>
          </cell>
          <cell r="AJ5386">
            <v>0</v>
          </cell>
          <cell r="AW5386">
            <v>0</v>
          </cell>
        </row>
        <row r="5387">
          <cell r="B5387">
            <v>8279</v>
          </cell>
          <cell r="C5387" t="str">
            <v>RV_193_</v>
          </cell>
          <cell r="D5387" t="str">
            <v>Rancho Recoveco No. 193</v>
          </cell>
          <cell r="E5387" t="str">
            <v>Salazar Pérez</v>
          </cell>
          <cell r="F5387">
            <v>300</v>
          </cell>
          <cell r="G5387">
            <v>1</v>
          </cell>
          <cell r="H5387">
            <v>400</v>
          </cell>
          <cell r="I5387">
            <v>41945</v>
          </cell>
          <cell r="J5387">
            <v>0</v>
          </cell>
          <cell r="W5387">
            <v>0</v>
          </cell>
          <cell r="AJ5387">
            <v>0</v>
          </cell>
          <cell r="AU5387">
            <v>400</v>
          </cell>
          <cell r="AW5387">
            <v>400</v>
          </cell>
        </row>
        <row r="5388">
          <cell r="B5388">
            <v>8280</v>
          </cell>
          <cell r="C5388" t="str">
            <v>RM_30_</v>
          </cell>
          <cell r="D5388" t="str">
            <v>Rancho Romeral No. 30</v>
          </cell>
          <cell r="E5388" t="str">
            <v>Osorio</v>
          </cell>
          <cell r="F5388">
            <v>200</v>
          </cell>
          <cell r="G5388">
            <v>5</v>
          </cell>
          <cell r="H5388">
            <v>20</v>
          </cell>
          <cell r="I5388">
            <v>41945</v>
          </cell>
          <cell r="J5388" t="str">
            <v>NO SUMA</v>
          </cell>
          <cell r="W5388">
            <v>0</v>
          </cell>
          <cell r="AJ5388">
            <v>0</v>
          </cell>
          <cell r="AW5388">
            <v>0</v>
          </cell>
        </row>
        <row r="5389">
          <cell r="B5389">
            <v>8281</v>
          </cell>
          <cell r="C5389" t="str">
            <v>RV_187_</v>
          </cell>
          <cell r="D5389" t="str">
            <v>Rancho Recoveco No. 187</v>
          </cell>
          <cell r="E5389" t="str">
            <v>Moreno</v>
          </cell>
          <cell r="F5389">
            <v>300</v>
          </cell>
          <cell r="G5389">
            <v>5</v>
          </cell>
          <cell r="H5389">
            <v>160</v>
          </cell>
          <cell r="I5389">
            <v>41948</v>
          </cell>
          <cell r="J5389" t="str">
            <v>NO SUMA</v>
          </cell>
          <cell r="W5389">
            <v>0</v>
          </cell>
          <cell r="AJ5389">
            <v>0</v>
          </cell>
          <cell r="AW5389">
            <v>0</v>
          </cell>
        </row>
        <row r="5390">
          <cell r="B5390">
            <v>8282</v>
          </cell>
          <cell r="C5390" t="str">
            <v>RV_187_</v>
          </cell>
          <cell r="D5390" t="str">
            <v>Rancho Recoveco No. 187</v>
          </cell>
          <cell r="E5390" t="str">
            <v>Moreno</v>
          </cell>
          <cell r="F5390">
            <v>300</v>
          </cell>
          <cell r="G5390">
            <v>4</v>
          </cell>
          <cell r="H5390">
            <v>160</v>
          </cell>
          <cell r="I5390">
            <v>41948</v>
          </cell>
          <cell r="J5390" t="str">
            <v>NO SUMA</v>
          </cell>
          <cell r="W5390">
            <v>0</v>
          </cell>
          <cell r="AJ5390">
            <v>0</v>
          </cell>
          <cell r="AW5390">
            <v>0</v>
          </cell>
        </row>
        <row r="5391">
          <cell r="B5391">
            <v>8283</v>
          </cell>
          <cell r="C5391" t="str">
            <v>UP_5_B</v>
          </cell>
          <cell r="D5391" t="str">
            <v>Rancho Upácuaro No. 5, B</v>
          </cell>
          <cell r="E5391" t="str">
            <v>Cervantes</v>
          </cell>
          <cell r="F5391">
            <v>300</v>
          </cell>
          <cell r="G5391">
            <v>1</v>
          </cell>
          <cell r="H5391">
            <v>400</v>
          </cell>
          <cell r="I5391">
            <v>41948</v>
          </cell>
          <cell r="J5391">
            <v>0</v>
          </cell>
          <cell r="W5391">
            <v>0</v>
          </cell>
          <cell r="AJ5391">
            <v>0</v>
          </cell>
          <cell r="AT5391">
            <v>400</v>
          </cell>
          <cell r="AW5391">
            <v>400</v>
          </cell>
        </row>
        <row r="5392">
          <cell r="B5392">
            <v>8284</v>
          </cell>
          <cell r="C5392" t="str">
            <v>RV_187_</v>
          </cell>
          <cell r="D5392" t="str">
            <v>Rancho Recoveco No. 187</v>
          </cell>
          <cell r="E5392" t="str">
            <v>Moreno</v>
          </cell>
          <cell r="F5392">
            <v>300</v>
          </cell>
          <cell r="G5392">
            <v>3</v>
          </cell>
          <cell r="H5392">
            <v>160</v>
          </cell>
          <cell r="I5392">
            <v>41948</v>
          </cell>
          <cell r="J5392" t="str">
            <v>NO SUMA</v>
          </cell>
          <cell r="W5392">
            <v>0</v>
          </cell>
          <cell r="AJ5392">
            <v>0</v>
          </cell>
          <cell r="AW5392">
            <v>0</v>
          </cell>
        </row>
        <row r="5393">
          <cell r="B5393">
            <v>8285</v>
          </cell>
          <cell r="C5393" t="str">
            <v>UP_65_</v>
          </cell>
          <cell r="D5393" t="str">
            <v>Rancho Upácuaro No. 65</v>
          </cell>
          <cell r="E5393" t="str">
            <v>Olguín</v>
          </cell>
          <cell r="F5393">
            <v>300</v>
          </cell>
          <cell r="G5393">
            <v>1</v>
          </cell>
          <cell r="H5393">
            <v>600</v>
          </cell>
          <cell r="I5393">
            <v>41952</v>
          </cell>
          <cell r="J5393">
            <v>0</v>
          </cell>
          <cell r="W5393">
            <v>0</v>
          </cell>
          <cell r="AJ5393">
            <v>0</v>
          </cell>
          <cell r="AT5393">
            <v>300</v>
          </cell>
          <cell r="AU5393">
            <v>300</v>
          </cell>
          <cell r="AW5393">
            <v>600</v>
          </cell>
        </row>
        <row r="5394">
          <cell r="B5394">
            <v>8286</v>
          </cell>
          <cell r="C5394" t="str">
            <v>EZ_3_</v>
          </cell>
          <cell r="D5394" t="str">
            <v>Rancho Estanzuela No. 3</v>
          </cell>
          <cell r="E5394" t="str">
            <v>Villanueva Nájera</v>
          </cell>
          <cell r="F5394">
            <v>150</v>
          </cell>
          <cell r="G5394">
            <v>1</v>
          </cell>
          <cell r="H5394">
            <v>600</v>
          </cell>
          <cell r="I5394">
            <v>41952</v>
          </cell>
          <cell r="J5394">
            <v>0</v>
          </cell>
          <cell r="W5394">
            <v>0</v>
          </cell>
          <cell r="AJ5394">
            <v>0</v>
          </cell>
          <cell r="AT5394">
            <v>200</v>
          </cell>
          <cell r="AU5394">
            <v>200</v>
          </cell>
          <cell r="AV5394">
            <v>200</v>
          </cell>
          <cell r="AW5394">
            <v>600</v>
          </cell>
        </row>
        <row r="5395">
          <cell r="B5395">
            <v>8287</v>
          </cell>
          <cell r="C5395" t="str">
            <v>CL_42_</v>
          </cell>
          <cell r="D5395" t="str">
            <v>Rancho La Cuchilla No. 42</v>
          </cell>
          <cell r="E5395" t="str">
            <v>Mac Kinney</v>
          </cell>
          <cell r="F5395">
            <v>300</v>
          </cell>
          <cell r="G5395">
            <v>1</v>
          </cell>
          <cell r="H5395">
            <v>1200</v>
          </cell>
          <cell r="I5395">
            <v>41952</v>
          </cell>
          <cell r="J5395">
            <v>0</v>
          </cell>
          <cell r="W5395">
            <v>0</v>
          </cell>
          <cell r="AJ5395">
            <v>0</v>
          </cell>
          <cell r="AR5395">
            <v>400</v>
          </cell>
          <cell r="AS5395">
            <v>400</v>
          </cell>
          <cell r="AT5395">
            <v>400</v>
          </cell>
          <cell r="AW5395">
            <v>1200</v>
          </cell>
        </row>
        <row r="5396">
          <cell r="B5396">
            <v>8288</v>
          </cell>
          <cell r="C5396" t="str">
            <v>ZB_76_</v>
          </cell>
          <cell r="D5396" t="str">
            <v>Rancho Zinamba No. 76</v>
          </cell>
          <cell r="E5396" t="str">
            <v>Márquez</v>
          </cell>
          <cell r="F5396">
            <v>300</v>
          </cell>
          <cell r="G5396">
            <v>1</v>
          </cell>
          <cell r="H5396">
            <v>800</v>
          </cell>
          <cell r="I5396">
            <v>41952</v>
          </cell>
          <cell r="J5396">
            <v>0</v>
          </cell>
          <cell r="W5396">
            <v>0</v>
          </cell>
          <cell r="AJ5396">
            <v>0</v>
          </cell>
          <cell r="AT5396">
            <v>400</v>
          </cell>
          <cell r="AU5396">
            <v>400</v>
          </cell>
          <cell r="AW5396">
            <v>800</v>
          </cell>
        </row>
        <row r="5397">
          <cell r="B5397">
            <v>8288</v>
          </cell>
          <cell r="C5397" t="str">
            <v>ZB_76_</v>
          </cell>
          <cell r="D5397" t="str">
            <v>Rancho Zinamba No. 76</v>
          </cell>
          <cell r="E5397" t="str">
            <v>Márquez</v>
          </cell>
          <cell r="F5397">
            <v>300</v>
          </cell>
          <cell r="G5397">
            <v>5</v>
          </cell>
          <cell r="H5397">
            <v>210</v>
          </cell>
          <cell r="I5397">
            <v>41952</v>
          </cell>
          <cell r="J5397" t="str">
            <v>NO SUMA</v>
          </cell>
          <cell r="W5397">
            <v>0</v>
          </cell>
          <cell r="AJ5397">
            <v>0</v>
          </cell>
          <cell r="AW5397">
            <v>0</v>
          </cell>
        </row>
        <row r="5398">
          <cell r="B5398">
            <v>8289</v>
          </cell>
          <cell r="C5398" t="str">
            <v>UP_100_</v>
          </cell>
          <cell r="D5398" t="str">
            <v>Rancho Upácuaro No. 100</v>
          </cell>
          <cell r="E5398" t="str">
            <v>Mancera Rodríguez</v>
          </cell>
          <cell r="F5398">
            <v>300</v>
          </cell>
          <cell r="G5398">
            <v>1</v>
          </cell>
          <cell r="H5398">
            <v>400</v>
          </cell>
          <cell r="I5398">
            <v>41952</v>
          </cell>
          <cell r="J5398">
            <v>0</v>
          </cell>
          <cell r="W5398">
            <v>0</v>
          </cell>
          <cell r="AJ5398">
            <v>0</v>
          </cell>
          <cell r="AU5398">
            <v>400</v>
          </cell>
          <cell r="AW5398">
            <v>400</v>
          </cell>
        </row>
        <row r="5399">
          <cell r="B5399">
            <v>8290</v>
          </cell>
          <cell r="C5399" t="str">
            <v>RV_197_</v>
          </cell>
          <cell r="D5399" t="str">
            <v>Rancho Recoveco No. 197</v>
          </cell>
          <cell r="E5399" t="str">
            <v>Colín González</v>
          </cell>
          <cell r="F5399">
            <v>300</v>
          </cell>
          <cell r="G5399">
            <v>1</v>
          </cell>
          <cell r="H5399">
            <v>400</v>
          </cell>
          <cell r="I5399">
            <v>41952</v>
          </cell>
          <cell r="J5399">
            <v>0</v>
          </cell>
          <cell r="W5399">
            <v>0</v>
          </cell>
          <cell r="AJ5399">
            <v>0</v>
          </cell>
          <cell r="AU5399">
            <v>400</v>
          </cell>
          <cell r="AW5399">
            <v>400</v>
          </cell>
        </row>
        <row r="5400">
          <cell r="B5400">
            <v>8291</v>
          </cell>
          <cell r="C5400" t="str">
            <v>CL_120_</v>
          </cell>
          <cell r="D5400" t="str">
            <v>Rancho La Cuchilla No. 120</v>
          </cell>
          <cell r="E5400" t="str">
            <v>Pozos Vilchis</v>
          </cell>
          <cell r="F5400">
            <v>300</v>
          </cell>
          <cell r="G5400">
            <v>1</v>
          </cell>
          <cell r="H5400">
            <v>400</v>
          </cell>
          <cell r="I5400">
            <v>41952</v>
          </cell>
          <cell r="J5400">
            <v>0</v>
          </cell>
          <cell r="W5400">
            <v>0</v>
          </cell>
          <cell r="AJ5400">
            <v>0</v>
          </cell>
          <cell r="AU5400">
            <v>400</v>
          </cell>
          <cell r="AW5400">
            <v>400</v>
          </cell>
        </row>
        <row r="5401">
          <cell r="B5401">
            <v>8292</v>
          </cell>
          <cell r="C5401" t="str">
            <v>ZB_38_</v>
          </cell>
          <cell r="D5401" t="str">
            <v>Rancho Zinamba No. 38</v>
          </cell>
          <cell r="E5401" t="str">
            <v>Ramírez Díaz</v>
          </cell>
          <cell r="F5401">
            <v>300</v>
          </cell>
          <cell r="G5401">
            <v>1</v>
          </cell>
          <cell r="H5401">
            <v>400</v>
          </cell>
          <cell r="I5401">
            <v>41952</v>
          </cell>
          <cell r="J5401">
            <v>0</v>
          </cell>
          <cell r="W5401">
            <v>0</v>
          </cell>
          <cell r="AJ5401">
            <v>0</v>
          </cell>
          <cell r="AU5401">
            <v>400</v>
          </cell>
          <cell r="AW5401">
            <v>400</v>
          </cell>
        </row>
        <row r="5402">
          <cell r="B5402">
            <v>8293</v>
          </cell>
          <cell r="C5402" t="str">
            <v>EZ_151_</v>
          </cell>
          <cell r="D5402" t="str">
            <v>Rancho Estanzuela No. 151</v>
          </cell>
          <cell r="E5402" t="str">
            <v>Pérez Salazar</v>
          </cell>
          <cell r="F5402">
            <v>300</v>
          </cell>
          <cell r="G5402">
            <v>1</v>
          </cell>
          <cell r="H5402">
            <v>400</v>
          </cell>
          <cell r="I5402">
            <v>41952</v>
          </cell>
          <cell r="J5402">
            <v>0</v>
          </cell>
          <cell r="W5402">
            <v>0</v>
          </cell>
          <cell r="AJ5402">
            <v>0</v>
          </cell>
          <cell r="AU5402">
            <v>400</v>
          </cell>
          <cell r="AW5402">
            <v>400</v>
          </cell>
        </row>
        <row r="5403">
          <cell r="B5403">
            <v>8294</v>
          </cell>
          <cell r="C5403" t="str">
            <v>LD_21_</v>
          </cell>
          <cell r="D5403" t="str">
            <v>Rancho Landero No. 21</v>
          </cell>
          <cell r="E5403" t="str">
            <v>Meza</v>
          </cell>
          <cell r="F5403">
            <v>300</v>
          </cell>
          <cell r="G5403">
            <v>1</v>
          </cell>
          <cell r="H5403">
            <v>800</v>
          </cell>
          <cell r="I5403">
            <v>41952</v>
          </cell>
          <cell r="J5403">
            <v>0</v>
          </cell>
          <cell r="W5403">
            <v>0</v>
          </cell>
          <cell r="AJ5403">
            <v>0</v>
          </cell>
          <cell r="AT5403">
            <v>400</v>
          </cell>
          <cell r="AU5403">
            <v>400</v>
          </cell>
          <cell r="AW5403">
            <v>800</v>
          </cell>
        </row>
        <row r="5404">
          <cell r="B5404">
            <v>8295</v>
          </cell>
          <cell r="C5404" t="str">
            <v>CL_111_</v>
          </cell>
          <cell r="D5404" t="str">
            <v>Rancho La Cuchilla No. 111</v>
          </cell>
          <cell r="E5404" t="str">
            <v>García Santos Ofelia</v>
          </cell>
          <cell r="F5404">
            <v>150</v>
          </cell>
          <cell r="G5404">
            <v>1</v>
          </cell>
          <cell r="H5404">
            <v>200</v>
          </cell>
          <cell r="I5404">
            <v>41952</v>
          </cell>
          <cell r="J5404">
            <v>0</v>
          </cell>
          <cell r="W5404">
            <v>0</v>
          </cell>
          <cell r="AJ5404">
            <v>0</v>
          </cell>
          <cell r="AU5404">
            <v>200</v>
          </cell>
          <cell r="AW5404">
            <v>200</v>
          </cell>
        </row>
        <row r="5405">
          <cell r="B5405">
            <v>8296</v>
          </cell>
          <cell r="C5405" t="str">
            <v>CL_70_</v>
          </cell>
          <cell r="D5405" t="str">
            <v>Rancho La Cuchilla No. 70</v>
          </cell>
          <cell r="E5405" t="str">
            <v xml:space="preserve">Porras </v>
          </cell>
          <cell r="F5405">
            <v>300</v>
          </cell>
          <cell r="G5405">
            <v>1</v>
          </cell>
          <cell r="H5405">
            <v>200</v>
          </cell>
          <cell r="I5405">
            <v>41952</v>
          </cell>
          <cell r="J5405">
            <v>0</v>
          </cell>
          <cell r="W5405">
            <v>0</v>
          </cell>
          <cell r="AJ5405">
            <v>0</v>
          </cell>
          <cell r="AT5405">
            <v>200</v>
          </cell>
          <cell r="AW5405">
            <v>200</v>
          </cell>
        </row>
        <row r="5406">
          <cell r="B5406">
            <v>8297</v>
          </cell>
          <cell r="C5406" t="str">
            <v>UP_47_</v>
          </cell>
          <cell r="D5406" t="str">
            <v>Rancho Upácuaro No. 47</v>
          </cell>
          <cell r="E5406" t="str">
            <v>Flores Muñoz</v>
          </cell>
          <cell r="F5406">
            <v>300</v>
          </cell>
          <cell r="G5406">
            <v>1</v>
          </cell>
          <cell r="H5406">
            <v>400</v>
          </cell>
          <cell r="I5406">
            <v>41952</v>
          </cell>
          <cell r="J5406">
            <v>0</v>
          </cell>
          <cell r="W5406">
            <v>0</v>
          </cell>
          <cell r="AJ5406">
            <v>0</v>
          </cell>
          <cell r="AV5406">
            <v>400</v>
          </cell>
          <cell r="AW5406">
            <v>400</v>
          </cell>
        </row>
        <row r="5407">
          <cell r="B5407">
            <v>8297</v>
          </cell>
          <cell r="C5407" t="str">
            <v>UP_47_</v>
          </cell>
          <cell r="D5407" t="str">
            <v>Rancho Upácuaro No. 47</v>
          </cell>
          <cell r="E5407" t="str">
            <v>Flores Muñoz</v>
          </cell>
          <cell r="F5407">
            <v>300</v>
          </cell>
          <cell r="G5407">
            <v>5</v>
          </cell>
          <cell r="H5407">
            <v>20</v>
          </cell>
          <cell r="I5407">
            <v>41952</v>
          </cell>
          <cell r="J5407" t="str">
            <v>NO SUMA</v>
          </cell>
          <cell r="W5407">
            <v>0</v>
          </cell>
          <cell r="AJ5407">
            <v>0</v>
          </cell>
          <cell r="AW5407">
            <v>0</v>
          </cell>
        </row>
        <row r="5408">
          <cell r="B5408">
            <v>8298</v>
          </cell>
          <cell r="C5408" t="str">
            <v>CL_7_101</v>
          </cell>
          <cell r="D5408" t="str">
            <v>Rancho La Cuchilla No. 7, 101</v>
          </cell>
          <cell r="E5408" t="str">
            <v>Olivares</v>
          </cell>
          <cell r="F5408">
            <v>100</v>
          </cell>
          <cell r="G5408">
            <v>1</v>
          </cell>
          <cell r="H5408">
            <v>500</v>
          </cell>
          <cell r="I5408">
            <v>41952</v>
          </cell>
          <cell r="J5408">
            <v>0</v>
          </cell>
          <cell r="W5408">
            <v>0</v>
          </cell>
          <cell r="AJ5408">
            <v>0</v>
          </cell>
          <cell r="AK5408">
            <v>100</v>
          </cell>
          <cell r="AL5408">
            <v>100</v>
          </cell>
          <cell r="AM5408">
            <v>100</v>
          </cell>
          <cell r="AN5408">
            <v>100</v>
          </cell>
          <cell r="AO5408">
            <v>100</v>
          </cell>
          <cell r="AW5408">
            <v>500</v>
          </cell>
        </row>
        <row r="5409">
          <cell r="B5409">
            <v>8299</v>
          </cell>
          <cell r="C5409" t="str">
            <v>ZB_80_</v>
          </cell>
          <cell r="D5409" t="str">
            <v>Rancho Zinamba No. 80</v>
          </cell>
          <cell r="E5409" t="str">
            <v>Vázquez</v>
          </cell>
          <cell r="F5409">
            <v>250</v>
          </cell>
          <cell r="G5409">
            <v>1</v>
          </cell>
          <cell r="H5409">
            <v>600</v>
          </cell>
          <cell r="I5409">
            <v>41952</v>
          </cell>
          <cell r="J5409">
            <v>0</v>
          </cell>
          <cell r="W5409">
            <v>0</v>
          </cell>
          <cell r="AJ5409">
            <v>0</v>
          </cell>
          <cell r="AT5409">
            <v>300</v>
          </cell>
          <cell r="AU5409">
            <v>300</v>
          </cell>
          <cell r="AW5409">
            <v>600</v>
          </cell>
        </row>
        <row r="5410">
          <cell r="B5410">
            <v>8300</v>
          </cell>
          <cell r="C5410" t="str">
            <v>EZ_91_</v>
          </cell>
          <cell r="D5410" t="str">
            <v>Rancho Estanzuela No. 91</v>
          </cell>
          <cell r="E5410" t="str">
            <v>Lobato Torres</v>
          </cell>
          <cell r="F5410">
            <v>300</v>
          </cell>
          <cell r="G5410">
            <v>1</v>
          </cell>
          <cell r="H5410">
            <v>800</v>
          </cell>
          <cell r="I5410">
            <v>41952</v>
          </cell>
          <cell r="J5410">
            <v>0</v>
          </cell>
          <cell r="W5410">
            <v>0</v>
          </cell>
          <cell r="AJ5410">
            <v>0</v>
          </cell>
          <cell r="AU5410">
            <v>400</v>
          </cell>
          <cell r="AV5410">
            <v>400</v>
          </cell>
          <cell r="AW5410">
            <v>800</v>
          </cell>
        </row>
        <row r="5411">
          <cell r="B5411">
            <v>8301</v>
          </cell>
          <cell r="C5411" t="str">
            <v>UP_18_</v>
          </cell>
          <cell r="D5411" t="str">
            <v>Rancho Upácuaro No. 18</v>
          </cell>
          <cell r="E5411" t="str">
            <v>Guzmán</v>
          </cell>
          <cell r="F5411">
            <v>300</v>
          </cell>
          <cell r="G5411">
            <v>1</v>
          </cell>
          <cell r="H5411">
            <v>300</v>
          </cell>
          <cell r="I5411">
            <v>41952</v>
          </cell>
          <cell r="J5411">
            <v>0</v>
          </cell>
          <cell r="W5411">
            <v>0</v>
          </cell>
          <cell r="AJ5411">
            <v>0</v>
          </cell>
          <cell r="AT5411">
            <v>300</v>
          </cell>
          <cell r="AW5411">
            <v>300</v>
          </cell>
        </row>
        <row r="5412">
          <cell r="B5412">
            <v>8302</v>
          </cell>
          <cell r="C5412" t="str">
            <v>EZ_89_</v>
          </cell>
          <cell r="D5412" t="str">
            <v>Rancho Estanzuela No. 89</v>
          </cell>
          <cell r="E5412" t="str">
            <v>Romero Ortiz</v>
          </cell>
          <cell r="F5412">
            <v>300</v>
          </cell>
          <cell r="G5412">
            <v>1</v>
          </cell>
          <cell r="H5412">
            <v>400</v>
          </cell>
          <cell r="I5412">
            <v>41952</v>
          </cell>
          <cell r="J5412">
            <v>0</v>
          </cell>
          <cell r="W5412">
            <v>0</v>
          </cell>
          <cell r="AJ5412">
            <v>0</v>
          </cell>
          <cell r="AU5412">
            <v>400</v>
          </cell>
          <cell r="AW5412">
            <v>400</v>
          </cell>
        </row>
        <row r="5413">
          <cell r="B5413">
            <v>8303</v>
          </cell>
          <cell r="C5413" t="str">
            <v>UP_85_</v>
          </cell>
          <cell r="D5413" t="str">
            <v>Rancho Upácuaro No. 85</v>
          </cell>
          <cell r="E5413" t="str">
            <v>Del Toro Huerta</v>
          </cell>
          <cell r="F5413">
            <v>300</v>
          </cell>
          <cell r="G5413">
            <v>1</v>
          </cell>
          <cell r="H5413">
            <v>400</v>
          </cell>
          <cell r="I5413">
            <v>41952</v>
          </cell>
          <cell r="J5413">
            <v>0</v>
          </cell>
          <cell r="W5413">
            <v>0</v>
          </cell>
          <cell r="AJ5413">
            <v>0</v>
          </cell>
          <cell r="AU5413">
            <v>400</v>
          </cell>
          <cell r="AW5413">
            <v>400</v>
          </cell>
        </row>
        <row r="5414">
          <cell r="B5414">
            <v>8304</v>
          </cell>
          <cell r="C5414" t="str">
            <v>UP_65_</v>
          </cell>
          <cell r="D5414" t="str">
            <v>Rancho Upácuaro No. 65</v>
          </cell>
          <cell r="E5414" t="str">
            <v>Olguín</v>
          </cell>
          <cell r="F5414">
            <v>300</v>
          </cell>
          <cell r="G5414">
            <v>5</v>
          </cell>
          <cell r="H5414">
            <v>80</v>
          </cell>
          <cell r="I5414">
            <v>41952</v>
          </cell>
          <cell r="J5414" t="str">
            <v>NO SUMA</v>
          </cell>
          <cell r="W5414">
            <v>0</v>
          </cell>
          <cell r="AJ5414">
            <v>0</v>
          </cell>
          <cell r="AW5414">
            <v>0</v>
          </cell>
        </row>
        <row r="5415">
          <cell r="B5415">
            <v>8305</v>
          </cell>
          <cell r="C5415" t="str">
            <v>LD_71_</v>
          </cell>
          <cell r="D5415" t="str">
            <v>Rancho Landero No. 71</v>
          </cell>
          <cell r="E5415" t="str">
            <v>Cabrera Balcázar</v>
          </cell>
          <cell r="F5415">
            <v>300</v>
          </cell>
          <cell r="G5415">
            <v>1</v>
          </cell>
          <cell r="H5415">
            <v>400</v>
          </cell>
          <cell r="I5415">
            <v>41952</v>
          </cell>
          <cell r="J5415">
            <v>0</v>
          </cell>
          <cell r="W5415">
            <v>0</v>
          </cell>
          <cell r="AJ5415">
            <v>0</v>
          </cell>
          <cell r="AU5415">
            <v>400</v>
          </cell>
          <cell r="AW5415">
            <v>400</v>
          </cell>
        </row>
        <row r="5416">
          <cell r="B5416">
            <v>8306</v>
          </cell>
          <cell r="C5416" t="str">
            <v>CL_71_</v>
          </cell>
          <cell r="D5416" t="str">
            <v>Rancho La Cuchilla No. 71</v>
          </cell>
          <cell r="E5416" t="str">
            <v>Pulido</v>
          </cell>
          <cell r="F5416">
            <v>300</v>
          </cell>
          <cell r="G5416">
            <v>1</v>
          </cell>
          <cell r="H5416">
            <v>700</v>
          </cell>
          <cell r="I5416">
            <v>41952</v>
          </cell>
          <cell r="J5416">
            <v>0</v>
          </cell>
          <cell r="W5416">
            <v>0</v>
          </cell>
          <cell r="AJ5416">
            <v>0</v>
          </cell>
          <cell r="AS5416">
            <v>350</v>
          </cell>
          <cell r="AT5416">
            <v>350</v>
          </cell>
          <cell r="AW5416">
            <v>700</v>
          </cell>
        </row>
        <row r="5417">
          <cell r="B5417">
            <v>8307</v>
          </cell>
          <cell r="C5417" t="str">
            <v>EZ_55_</v>
          </cell>
          <cell r="D5417" t="str">
            <v>Rancho Estanzuela No. 55</v>
          </cell>
          <cell r="E5417" t="str">
            <v>Rodríguez Acevedo</v>
          </cell>
          <cell r="F5417">
            <v>300</v>
          </cell>
          <cell r="G5417">
            <v>1</v>
          </cell>
          <cell r="H5417">
            <v>400</v>
          </cell>
          <cell r="I5417">
            <v>41952</v>
          </cell>
          <cell r="J5417">
            <v>0</v>
          </cell>
          <cell r="W5417">
            <v>0</v>
          </cell>
          <cell r="AJ5417">
            <v>0</v>
          </cell>
          <cell r="AU5417">
            <v>400</v>
          </cell>
          <cell r="AW5417">
            <v>400</v>
          </cell>
        </row>
        <row r="5418">
          <cell r="B5418">
            <v>8308</v>
          </cell>
          <cell r="C5418" t="str">
            <v>RM_10_B</v>
          </cell>
          <cell r="D5418" t="str">
            <v>Rancho Romeral No. 10, B</v>
          </cell>
          <cell r="E5418" t="str">
            <v>López Castellano</v>
          </cell>
          <cell r="F5418">
            <v>300</v>
          </cell>
          <cell r="G5418">
            <v>1</v>
          </cell>
          <cell r="H5418">
            <v>300</v>
          </cell>
          <cell r="I5418">
            <v>41952</v>
          </cell>
          <cell r="J5418">
            <v>0</v>
          </cell>
          <cell r="W5418">
            <v>0</v>
          </cell>
          <cell r="AJ5418">
            <v>0</v>
          </cell>
          <cell r="AU5418">
            <v>300</v>
          </cell>
          <cell r="AW5418">
            <v>300</v>
          </cell>
        </row>
        <row r="5419">
          <cell r="B5419">
            <v>8309</v>
          </cell>
          <cell r="C5419" t="str">
            <v>CL_131_</v>
          </cell>
          <cell r="D5419" t="str">
            <v>Rancho La Cuchilla No. 131</v>
          </cell>
          <cell r="E5419" t="str">
            <v>Cabrera Marquez</v>
          </cell>
          <cell r="F5419">
            <v>300</v>
          </cell>
          <cell r="G5419">
            <v>1</v>
          </cell>
          <cell r="H5419">
            <v>400</v>
          </cell>
          <cell r="I5419">
            <v>41952</v>
          </cell>
          <cell r="J5419">
            <v>0</v>
          </cell>
          <cell r="W5419">
            <v>0</v>
          </cell>
          <cell r="AJ5419">
            <v>0</v>
          </cell>
          <cell r="AT5419">
            <v>400</v>
          </cell>
          <cell r="AW5419">
            <v>400</v>
          </cell>
        </row>
        <row r="5420">
          <cell r="B5420">
            <v>8310</v>
          </cell>
          <cell r="C5420" t="str">
            <v>EZ_57_</v>
          </cell>
          <cell r="D5420" t="str">
            <v>Rancho Estanzuela No. 57</v>
          </cell>
          <cell r="E5420" t="str">
            <v>Olivares</v>
          </cell>
          <cell r="F5420">
            <v>300</v>
          </cell>
          <cell r="G5420">
            <v>1</v>
          </cell>
          <cell r="H5420">
            <v>1200</v>
          </cell>
          <cell r="I5420">
            <v>41952</v>
          </cell>
          <cell r="J5420">
            <v>0</v>
          </cell>
          <cell r="W5420">
            <v>0</v>
          </cell>
          <cell r="AJ5420">
            <v>0</v>
          </cell>
          <cell r="AN5420">
            <v>400</v>
          </cell>
          <cell r="AO5420">
            <v>400</v>
          </cell>
          <cell r="AP5420">
            <v>400</v>
          </cell>
          <cell r="AW5420">
            <v>1200</v>
          </cell>
        </row>
        <row r="5421">
          <cell r="B5421">
            <v>8311</v>
          </cell>
          <cell r="C5421" t="str">
            <v>UP_60_</v>
          </cell>
          <cell r="D5421" t="str">
            <v>Rancho Upácuaro No. 60</v>
          </cell>
          <cell r="E5421" t="str">
            <v>Zavala</v>
          </cell>
          <cell r="F5421">
            <v>300</v>
          </cell>
          <cell r="G5421">
            <v>1</v>
          </cell>
          <cell r="H5421">
            <v>800</v>
          </cell>
          <cell r="I5421">
            <v>41952</v>
          </cell>
          <cell r="J5421">
            <v>0</v>
          </cell>
          <cell r="W5421">
            <v>0</v>
          </cell>
          <cell r="AJ5421">
            <v>0</v>
          </cell>
          <cell r="AT5421">
            <v>400</v>
          </cell>
          <cell r="AU5421">
            <v>400</v>
          </cell>
          <cell r="AW5421">
            <v>800</v>
          </cell>
        </row>
        <row r="5422">
          <cell r="B5422">
            <v>8312</v>
          </cell>
          <cell r="C5422" t="str">
            <v>RV_179_</v>
          </cell>
          <cell r="D5422" t="str">
            <v>Rancho Recoveco No. 179</v>
          </cell>
          <cell r="E5422" t="str">
            <v>Flores Delgado</v>
          </cell>
          <cell r="F5422">
            <v>300</v>
          </cell>
          <cell r="G5422">
            <v>1</v>
          </cell>
          <cell r="H5422">
            <v>400</v>
          </cell>
          <cell r="I5422">
            <v>41952</v>
          </cell>
          <cell r="J5422">
            <v>0</v>
          </cell>
          <cell r="W5422">
            <v>0</v>
          </cell>
          <cell r="AJ5422">
            <v>0</v>
          </cell>
          <cell r="AU5422">
            <v>400</v>
          </cell>
          <cell r="AW5422">
            <v>400</v>
          </cell>
        </row>
        <row r="5423">
          <cell r="B5423">
            <v>8313</v>
          </cell>
          <cell r="C5423" t="str">
            <v>UP_73_A</v>
          </cell>
          <cell r="D5423" t="str">
            <v>Rancho Upácuaro No. 73, A</v>
          </cell>
          <cell r="E5423" t="str">
            <v>Ortega</v>
          </cell>
          <cell r="F5423">
            <v>150</v>
          </cell>
          <cell r="G5423">
            <v>1</v>
          </cell>
          <cell r="H5423">
            <v>200</v>
          </cell>
          <cell r="I5423">
            <v>41952</v>
          </cell>
          <cell r="J5423">
            <v>0</v>
          </cell>
          <cell r="W5423">
            <v>0</v>
          </cell>
          <cell r="AJ5423">
            <v>0</v>
          </cell>
          <cell r="AT5423">
            <v>200</v>
          </cell>
          <cell r="AW5423">
            <v>200</v>
          </cell>
        </row>
        <row r="5424">
          <cell r="B5424">
            <v>8314</v>
          </cell>
          <cell r="C5424" t="str">
            <v>CL_81_A</v>
          </cell>
          <cell r="D5424" t="str">
            <v>Rancho La Cuchilla No. 81, A</v>
          </cell>
          <cell r="E5424" t="str">
            <v>Barrientos López</v>
          </cell>
          <cell r="F5424">
            <v>300</v>
          </cell>
          <cell r="G5424">
            <v>1</v>
          </cell>
          <cell r="H5424">
            <v>400</v>
          </cell>
          <cell r="I5424">
            <v>41952</v>
          </cell>
          <cell r="J5424">
            <v>0</v>
          </cell>
          <cell r="W5424">
            <v>0</v>
          </cell>
          <cell r="AJ5424">
            <v>0</v>
          </cell>
          <cell r="AU5424">
            <v>400</v>
          </cell>
          <cell r="AW5424">
            <v>400</v>
          </cell>
        </row>
        <row r="5425">
          <cell r="B5425">
            <v>8315</v>
          </cell>
          <cell r="C5425" t="str">
            <v>CL_130_</v>
          </cell>
          <cell r="D5425" t="str">
            <v>Rancho La Cuchilla No. 130</v>
          </cell>
          <cell r="E5425" t="str">
            <v>Gonzalez</v>
          </cell>
          <cell r="F5425">
            <v>300</v>
          </cell>
          <cell r="G5425">
            <v>1</v>
          </cell>
          <cell r="H5425">
            <v>400</v>
          </cell>
          <cell r="I5425">
            <v>41952</v>
          </cell>
          <cell r="J5425">
            <v>0</v>
          </cell>
          <cell r="W5425">
            <v>0</v>
          </cell>
          <cell r="AJ5425">
            <v>0</v>
          </cell>
          <cell r="AU5425">
            <v>400</v>
          </cell>
          <cell r="AW5425">
            <v>400</v>
          </cell>
        </row>
        <row r="5426">
          <cell r="B5426">
            <v>8316</v>
          </cell>
          <cell r="C5426" t="str">
            <v>CL_130_</v>
          </cell>
          <cell r="D5426" t="str">
            <v>Rancho La Cuchilla No. 130</v>
          </cell>
          <cell r="E5426" t="str">
            <v>Gonzalez</v>
          </cell>
          <cell r="F5426">
            <v>300</v>
          </cell>
          <cell r="G5426">
            <v>1</v>
          </cell>
          <cell r="H5426">
            <v>400</v>
          </cell>
          <cell r="I5426">
            <v>41952</v>
          </cell>
          <cell r="J5426">
            <v>0</v>
          </cell>
          <cell r="W5426">
            <v>0</v>
          </cell>
          <cell r="AJ5426">
            <v>0</v>
          </cell>
          <cell r="AV5426">
            <v>400</v>
          </cell>
          <cell r="AW5426">
            <v>400</v>
          </cell>
        </row>
        <row r="5427">
          <cell r="B5427">
            <v>8317</v>
          </cell>
          <cell r="C5427" t="str">
            <v>CL_129_</v>
          </cell>
          <cell r="D5427" t="str">
            <v>Rancho La Cuchilla No. 129</v>
          </cell>
          <cell r="E5427" t="str">
            <v>Gamboa Rueda</v>
          </cell>
          <cell r="F5427">
            <v>200</v>
          </cell>
          <cell r="G5427">
            <v>1</v>
          </cell>
          <cell r="H5427">
            <v>300</v>
          </cell>
          <cell r="I5427">
            <v>41952</v>
          </cell>
          <cell r="J5427">
            <v>0</v>
          </cell>
          <cell r="W5427">
            <v>0</v>
          </cell>
          <cell r="AJ5427">
            <v>0</v>
          </cell>
          <cell r="AU5427">
            <v>300</v>
          </cell>
          <cell r="AW5427">
            <v>300</v>
          </cell>
        </row>
        <row r="5428">
          <cell r="B5428">
            <v>8318</v>
          </cell>
          <cell r="C5428" t="str">
            <v>UP_94_</v>
          </cell>
          <cell r="D5428" t="str">
            <v>Rancho Upácuaro No. 94</v>
          </cell>
          <cell r="E5428" t="str">
            <v>Juárez Patiño</v>
          </cell>
          <cell r="F5428">
            <v>300</v>
          </cell>
          <cell r="G5428">
            <v>1</v>
          </cell>
          <cell r="H5428">
            <v>800</v>
          </cell>
          <cell r="I5428">
            <v>41952</v>
          </cell>
          <cell r="J5428">
            <v>0</v>
          </cell>
          <cell r="W5428">
            <v>0</v>
          </cell>
          <cell r="AJ5428">
            <v>0</v>
          </cell>
          <cell r="AQ5428">
            <v>400</v>
          </cell>
          <cell r="AR5428">
            <v>400</v>
          </cell>
          <cell r="AW5428">
            <v>800</v>
          </cell>
        </row>
        <row r="5429">
          <cell r="B5429">
            <v>8318</v>
          </cell>
          <cell r="C5429" t="str">
            <v>UP_94_</v>
          </cell>
          <cell r="D5429" t="str">
            <v>Rancho Upácuaro No. 94</v>
          </cell>
          <cell r="E5429" t="str">
            <v>Juárez Patiño</v>
          </cell>
          <cell r="F5429">
            <v>300</v>
          </cell>
          <cell r="G5429">
            <v>5</v>
          </cell>
          <cell r="H5429">
            <v>150</v>
          </cell>
          <cell r="I5429">
            <v>41952</v>
          </cell>
          <cell r="J5429" t="str">
            <v>NO SUMA</v>
          </cell>
          <cell r="W5429">
            <v>0</v>
          </cell>
          <cell r="AJ5429">
            <v>0</v>
          </cell>
          <cell r="AW5429">
            <v>0</v>
          </cell>
        </row>
        <row r="5430">
          <cell r="B5430">
            <v>8319</v>
          </cell>
          <cell r="C5430" t="str">
            <v>LD_7_</v>
          </cell>
          <cell r="D5430" t="str">
            <v>Rancho Landero No. 7</v>
          </cell>
          <cell r="E5430" t="str">
            <v>Robles</v>
          </cell>
          <cell r="F5430">
            <v>150</v>
          </cell>
          <cell r="G5430">
            <v>1</v>
          </cell>
          <cell r="H5430">
            <v>150</v>
          </cell>
          <cell r="I5430">
            <v>41952</v>
          </cell>
          <cell r="J5430">
            <v>0</v>
          </cell>
          <cell r="W5430">
            <v>0</v>
          </cell>
          <cell r="AJ5430">
            <v>0</v>
          </cell>
          <cell r="AU5430">
            <v>150</v>
          </cell>
          <cell r="AW5430">
            <v>150</v>
          </cell>
        </row>
        <row r="5431">
          <cell r="B5431">
            <v>8320</v>
          </cell>
          <cell r="C5431" t="str">
            <v>CL_12_</v>
          </cell>
          <cell r="D5431" t="str">
            <v>Rancho La Cuchilla No. 12</v>
          </cell>
          <cell r="E5431" t="str">
            <v>Rivera Flores</v>
          </cell>
          <cell r="F5431">
            <v>300</v>
          </cell>
          <cell r="G5431">
            <v>1</v>
          </cell>
          <cell r="H5431">
            <v>300</v>
          </cell>
          <cell r="I5431">
            <v>41952</v>
          </cell>
          <cell r="J5431">
            <v>0</v>
          </cell>
          <cell r="W5431">
            <v>0</v>
          </cell>
          <cell r="AJ5431">
            <v>0</v>
          </cell>
          <cell r="AT5431">
            <v>300</v>
          </cell>
          <cell r="AW5431">
            <v>300</v>
          </cell>
        </row>
        <row r="5432">
          <cell r="B5432">
            <v>8321</v>
          </cell>
          <cell r="C5432" t="str">
            <v>CL_12_</v>
          </cell>
          <cell r="D5432" t="str">
            <v>Rancho La Cuchilla No. 12</v>
          </cell>
          <cell r="E5432" t="str">
            <v>Rivera Flores</v>
          </cell>
          <cell r="F5432">
            <v>300</v>
          </cell>
          <cell r="G5432">
            <v>5</v>
          </cell>
          <cell r="H5432">
            <v>40</v>
          </cell>
          <cell r="I5432">
            <v>41952</v>
          </cell>
          <cell r="J5432" t="str">
            <v>NO SUMA</v>
          </cell>
          <cell r="W5432">
            <v>0</v>
          </cell>
          <cell r="AJ5432">
            <v>0</v>
          </cell>
          <cell r="AW5432">
            <v>0</v>
          </cell>
        </row>
        <row r="5433">
          <cell r="B5433">
            <v>8322</v>
          </cell>
          <cell r="C5433" t="str">
            <v>ZB_88_</v>
          </cell>
          <cell r="D5433" t="str">
            <v>Rancho Zinamba No. 88</v>
          </cell>
          <cell r="E5433" t="str">
            <v>Martínez</v>
          </cell>
          <cell r="F5433">
            <v>250</v>
          </cell>
          <cell r="G5433">
            <v>1</v>
          </cell>
          <cell r="H5433">
            <v>350</v>
          </cell>
          <cell r="I5433">
            <v>41952</v>
          </cell>
          <cell r="J5433">
            <v>0</v>
          </cell>
          <cell r="W5433">
            <v>0</v>
          </cell>
          <cell r="AJ5433">
            <v>0</v>
          </cell>
          <cell r="AT5433">
            <v>350</v>
          </cell>
          <cell r="AW5433">
            <v>350</v>
          </cell>
        </row>
        <row r="5434">
          <cell r="B5434">
            <v>8323</v>
          </cell>
          <cell r="C5434" t="str">
            <v>CL_81_A</v>
          </cell>
          <cell r="D5434" t="str">
            <v>Rancho La Cuchilla No. 81, A</v>
          </cell>
          <cell r="E5434" t="str">
            <v>Barrientos López</v>
          </cell>
          <cell r="F5434">
            <v>300</v>
          </cell>
          <cell r="G5434">
            <v>5</v>
          </cell>
          <cell r="H5434">
            <v>20</v>
          </cell>
          <cell r="I5434">
            <v>41952</v>
          </cell>
          <cell r="J5434" t="str">
            <v>NO SUMA</v>
          </cell>
          <cell r="W5434">
            <v>0</v>
          </cell>
          <cell r="AJ5434">
            <v>0</v>
          </cell>
          <cell r="AW5434">
            <v>0</v>
          </cell>
        </row>
        <row r="5435">
          <cell r="B5435">
            <v>8324</v>
          </cell>
          <cell r="C5435" t="str">
            <v>UP_11_</v>
          </cell>
          <cell r="D5435" t="str">
            <v>Rancho Upácuaro No. 11</v>
          </cell>
          <cell r="E5435" t="str">
            <v>Partida</v>
          </cell>
          <cell r="F5435">
            <v>300</v>
          </cell>
          <cell r="G5435">
            <v>5</v>
          </cell>
          <cell r="H5435">
            <v>20</v>
          </cell>
          <cell r="I5435">
            <v>41952</v>
          </cell>
          <cell r="J5435" t="str">
            <v>NO SUMA</v>
          </cell>
          <cell r="W5435">
            <v>0</v>
          </cell>
          <cell r="AJ5435">
            <v>0</v>
          </cell>
          <cell r="AW5435">
            <v>0</v>
          </cell>
        </row>
        <row r="5436">
          <cell r="B5436">
            <v>8325</v>
          </cell>
          <cell r="C5436" t="str">
            <v>LD_24_</v>
          </cell>
          <cell r="D5436" t="str">
            <v>Rancho Landero No. 24</v>
          </cell>
          <cell r="E5436" t="str">
            <v>Vázquez Peralta</v>
          </cell>
          <cell r="F5436">
            <v>300</v>
          </cell>
          <cell r="G5436">
            <v>1</v>
          </cell>
          <cell r="H5436">
            <v>400</v>
          </cell>
          <cell r="I5436">
            <v>41952</v>
          </cell>
          <cell r="J5436">
            <v>0</v>
          </cell>
          <cell r="W5436">
            <v>0</v>
          </cell>
          <cell r="AJ5436">
            <v>0</v>
          </cell>
          <cell r="AT5436">
            <v>400</v>
          </cell>
          <cell r="AW5436">
            <v>400</v>
          </cell>
        </row>
        <row r="5437">
          <cell r="B5437">
            <v>8326</v>
          </cell>
          <cell r="C5437" t="str">
            <v>UP_116_</v>
          </cell>
          <cell r="D5437" t="str">
            <v>Rancho Upácuaro No. 116</v>
          </cell>
          <cell r="E5437" t="str">
            <v>García Zamudio</v>
          </cell>
          <cell r="F5437">
            <v>300</v>
          </cell>
          <cell r="G5437">
            <v>1</v>
          </cell>
          <cell r="H5437">
            <v>400</v>
          </cell>
          <cell r="I5437">
            <v>41952</v>
          </cell>
          <cell r="J5437">
            <v>0</v>
          </cell>
          <cell r="W5437">
            <v>0</v>
          </cell>
          <cell r="AJ5437">
            <v>0</v>
          </cell>
          <cell r="AU5437">
            <v>400</v>
          </cell>
          <cell r="AW5437">
            <v>400</v>
          </cell>
        </row>
        <row r="5438">
          <cell r="B5438">
            <v>8327</v>
          </cell>
          <cell r="C5438" t="str">
            <v>LD_96_</v>
          </cell>
          <cell r="D5438" t="str">
            <v>Rancho Landero No. 96</v>
          </cell>
          <cell r="E5438" t="str">
            <v>Espinoza Aguirre</v>
          </cell>
          <cell r="F5438">
            <v>300</v>
          </cell>
          <cell r="G5438">
            <v>1</v>
          </cell>
          <cell r="H5438">
            <v>800</v>
          </cell>
          <cell r="I5438">
            <v>41952</v>
          </cell>
          <cell r="J5438">
            <v>0</v>
          </cell>
          <cell r="W5438">
            <v>0</v>
          </cell>
          <cell r="AJ5438">
            <v>0</v>
          </cell>
          <cell r="AT5438">
            <v>400</v>
          </cell>
          <cell r="AU5438">
            <v>400</v>
          </cell>
          <cell r="AW5438">
            <v>800</v>
          </cell>
        </row>
        <row r="5439">
          <cell r="B5439">
            <v>8328</v>
          </cell>
          <cell r="C5439" t="str">
            <v>EZ_73_</v>
          </cell>
          <cell r="D5439" t="str">
            <v>Rancho Estanzuela No. 73</v>
          </cell>
          <cell r="E5439" t="str">
            <v>Salcedo García</v>
          </cell>
          <cell r="F5439">
            <v>300</v>
          </cell>
          <cell r="G5439">
            <v>1</v>
          </cell>
          <cell r="H5439">
            <v>2800</v>
          </cell>
          <cell r="I5439">
            <v>41952</v>
          </cell>
          <cell r="J5439">
            <v>0</v>
          </cell>
          <cell r="W5439">
            <v>0</v>
          </cell>
          <cell r="AJ5439">
            <v>0</v>
          </cell>
          <cell r="AO5439">
            <v>400</v>
          </cell>
          <cell r="AP5439">
            <v>400</v>
          </cell>
          <cell r="AQ5439">
            <v>400</v>
          </cell>
          <cell r="AR5439">
            <v>400</v>
          </cell>
          <cell r="AS5439">
            <v>400</v>
          </cell>
          <cell r="AT5439">
            <v>400</v>
          </cell>
          <cell r="AU5439">
            <v>400</v>
          </cell>
          <cell r="AW5439">
            <v>2800</v>
          </cell>
        </row>
        <row r="5440">
          <cell r="B5440">
            <v>8329</v>
          </cell>
          <cell r="C5440" t="str">
            <v>RM_9_B</v>
          </cell>
          <cell r="D5440" t="str">
            <v>Rancho Romeral No. 9, B</v>
          </cell>
          <cell r="E5440" t="str">
            <v>Morales Macías</v>
          </cell>
          <cell r="F5440">
            <v>100</v>
          </cell>
          <cell r="G5440">
            <v>1</v>
          </cell>
          <cell r="H5440">
            <v>200</v>
          </cell>
          <cell r="I5440">
            <v>41952</v>
          </cell>
          <cell r="J5440">
            <v>0</v>
          </cell>
          <cell r="W5440">
            <v>0</v>
          </cell>
          <cell r="AJ5440">
            <v>0</v>
          </cell>
          <cell r="AT5440">
            <v>100</v>
          </cell>
          <cell r="AU5440">
            <v>100</v>
          </cell>
          <cell r="AW5440">
            <v>200</v>
          </cell>
        </row>
        <row r="5441">
          <cell r="B5441">
            <v>8330</v>
          </cell>
          <cell r="C5441" t="str">
            <v>CL_96_</v>
          </cell>
          <cell r="D5441" t="str">
            <v>Rancho La Cuchilla No. 96</v>
          </cell>
          <cell r="E5441" t="str">
            <v>Valdez Álvarez</v>
          </cell>
          <cell r="F5441">
            <v>300</v>
          </cell>
          <cell r="G5441">
            <v>5</v>
          </cell>
          <cell r="H5441">
            <v>60</v>
          </cell>
          <cell r="I5441">
            <v>41952</v>
          </cell>
          <cell r="J5441" t="str">
            <v>NO SUMA</v>
          </cell>
          <cell r="W5441">
            <v>0</v>
          </cell>
          <cell r="AJ5441">
            <v>0</v>
          </cell>
          <cell r="AW5441">
            <v>0</v>
          </cell>
        </row>
        <row r="5442">
          <cell r="B5442">
            <v>8331</v>
          </cell>
          <cell r="C5442" t="str">
            <v>ZB_14_</v>
          </cell>
          <cell r="D5442" t="str">
            <v>Rancho Zinamba No. 14</v>
          </cell>
          <cell r="E5442" t="str">
            <v>Gutiérrez García</v>
          </cell>
          <cell r="F5442">
            <v>300</v>
          </cell>
          <cell r="G5442">
            <v>1</v>
          </cell>
          <cell r="H5442">
            <v>800</v>
          </cell>
          <cell r="I5442">
            <v>41952</v>
          </cell>
          <cell r="J5442">
            <v>0</v>
          </cell>
          <cell r="W5442">
            <v>0</v>
          </cell>
          <cell r="AJ5442">
            <v>0</v>
          </cell>
          <cell r="AT5442">
            <v>400</v>
          </cell>
          <cell r="AU5442">
            <v>400</v>
          </cell>
          <cell r="AW5442">
            <v>800</v>
          </cell>
        </row>
        <row r="5443">
          <cell r="B5443">
            <v>8332</v>
          </cell>
          <cell r="C5443" t="str">
            <v>UP_23_</v>
          </cell>
          <cell r="D5443" t="str">
            <v>Rancho Upácuaro No. 23</v>
          </cell>
          <cell r="E5443" t="str">
            <v>Arredondo</v>
          </cell>
          <cell r="F5443">
            <v>300</v>
          </cell>
          <cell r="G5443">
            <v>1</v>
          </cell>
          <cell r="H5443">
            <v>350</v>
          </cell>
          <cell r="I5443">
            <v>41952</v>
          </cell>
          <cell r="J5443">
            <v>0</v>
          </cell>
          <cell r="W5443">
            <v>0</v>
          </cell>
          <cell r="AJ5443">
            <v>0</v>
          </cell>
          <cell r="AU5443">
            <v>350</v>
          </cell>
          <cell r="AW5443">
            <v>350</v>
          </cell>
        </row>
        <row r="5444">
          <cell r="B5444">
            <v>8333</v>
          </cell>
          <cell r="C5444" t="str">
            <v>CL_87_</v>
          </cell>
          <cell r="D5444" t="str">
            <v>Rancho La Cuchilla No. 87</v>
          </cell>
          <cell r="E5444" t="str">
            <v>Villanueva S.</v>
          </cell>
          <cell r="F5444">
            <v>300</v>
          </cell>
          <cell r="G5444">
            <v>1</v>
          </cell>
          <cell r="H5444">
            <v>400</v>
          </cell>
          <cell r="I5444">
            <v>41952</v>
          </cell>
          <cell r="J5444">
            <v>0</v>
          </cell>
          <cell r="W5444">
            <v>0</v>
          </cell>
          <cell r="AJ5444">
            <v>0</v>
          </cell>
          <cell r="AU5444">
            <v>400</v>
          </cell>
          <cell r="AW5444">
            <v>400</v>
          </cell>
        </row>
        <row r="5445">
          <cell r="B5445">
            <v>8334</v>
          </cell>
          <cell r="C5445" t="str">
            <v>LD_25_</v>
          </cell>
          <cell r="D5445" t="str">
            <v>Rancho Landero No. 25</v>
          </cell>
          <cell r="E5445" t="str">
            <v>Escamilla Martínez</v>
          </cell>
          <cell r="F5445">
            <v>300</v>
          </cell>
          <cell r="G5445">
            <v>1</v>
          </cell>
          <cell r="H5445">
            <v>400</v>
          </cell>
          <cell r="I5445">
            <v>41952</v>
          </cell>
          <cell r="J5445">
            <v>0</v>
          </cell>
          <cell r="W5445">
            <v>0</v>
          </cell>
          <cell r="AJ5445">
            <v>0</v>
          </cell>
          <cell r="AT5445">
            <v>400</v>
          </cell>
          <cell r="AW5445">
            <v>400</v>
          </cell>
        </row>
        <row r="5446">
          <cell r="B5446">
            <v>8335</v>
          </cell>
          <cell r="C5446" t="str">
            <v>UP_88_</v>
          </cell>
          <cell r="D5446" t="str">
            <v>Rancho Upácuaro No. 88</v>
          </cell>
          <cell r="E5446" t="str">
            <v>Millán Núñez</v>
          </cell>
          <cell r="F5446">
            <v>300</v>
          </cell>
          <cell r="G5446">
            <v>1</v>
          </cell>
          <cell r="H5446">
            <v>400</v>
          </cell>
          <cell r="I5446">
            <v>41952</v>
          </cell>
          <cell r="J5446">
            <v>0</v>
          </cell>
          <cell r="W5446">
            <v>0</v>
          </cell>
          <cell r="AJ5446">
            <v>0</v>
          </cell>
          <cell r="AT5446">
            <v>400</v>
          </cell>
          <cell r="AW5446">
            <v>400</v>
          </cell>
        </row>
        <row r="5447">
          <cell r="B5447">
            <v>8335</v>
          </cell>
          <cell r="C5447" t="str">
            <v>UP_88_</v>
          </cell>
          <cell r="D5447" t="str">
            <v>Rancho Upácuaro No. 88</v>
          </cell>
          <cell r="E5447" t="str">
            <v>Millán Núñez</v>
          </cell>
          <cell r="F5447">
            <v>300</v>
          </cell>
          <cell r="G5447">
            <v>5</v>
          </cell>
          <cell r="H5447">
            <v>60</v>
          </cell>
          <cell r="I5447">
            <v>41952</v>
          </cell>
          <cell r="J5447" t="str">
            <v>NO SUMA</v>
          </cell>
          <cell r="W5447">
            <v>0</v>
          </cell>
          <cell r="AJ5447">
            <v>0</v>
          </cell>
          <cell r="AW5447">
            <v>0</v>
          </cell>
        </row>
        <row r="5448">
          <cell r="B5448">
            <v>8336</v>
          </cell>
          <cell r="C5448" t="str">
            <v>CL_46_</v>
          </cell>
          <cell r="D5448" t="str">
            <v>Rancho La Cuchilla No. 46</v>
          </cell>
          <cell r="E5448" t="str">
            <v>Cruz López</v>
          </cell>
          <cell r="F5448">
            <v>300</v>
          </cell>
          <cell r="G5448">
            <v>1</v>
          </cell>
          <cell r="H5448">
            <v>800</v>
          </cell>
          <cell r="I5448">
            <v>41952</v>
          </cell>
          <cell r="J5448">
            <v>0</v>
          </cell>
          <cell r="W5448">
            <v>0</v>
          </cell>
          <cell r="AJ5448">
            <v>0</v>
          </cell>
          <cell r="AT5448">
            <v>400</v>
          </cell>
          <cell r="AU5448">
            <v>400</v>
          </cell>
          <cell r="AW5448">
            <v>800</v>
          </cell>
        </row>
        <row r="5449">
          <cell r="B5449">
            <v>8337</v>
          </cell>
          <cell r="C5449" t="str">
            <v>CL_46_</v>
          </cell>
          <cell r="D5449" t="str">
            <v>Rancho La Cuchilla No. 46</v>
          </cell>
          <cell r="E5449" t="str">
            <v>Cruz López</v>
          </cell>
          <cell r="F5449">
            <v>300</v>
          </cell>
          <cell r="G5449">
            <v>4</v>
          </cell>
          <cell r="H5449">
            <v>160</v>
          </cell>
          <cell r="I5449">
            <v>41952</v>
          </cell>
          <cell r="J5449" t="str">
            <v>NO SUMA</v>
          </cell>
          <cell r="W5449">
            <v>0</v>
          </cell>
          <cell r="AJ5449">
            <v>0</v>
          </cell>
          <cell r="AW5449">
            <v>0</v>
          </cell>
        </row>
        <row r="5450">
          <cell r="B5450">
            <v>8337</v>
          </cell>
          <cell r="C5450" t="str">
            <v>CL_46_</v>
          </cell>
          <cell r="D5450" t="str">
            <v>Rancho La Cuchilla No. 46</v>
          </cell>
          <cell r="E5450" t="str">
            <v>Cruz López</v>
          </cell>
          <cell r="F5450">
            <v>300</v>
          </cell>
          <cell r="G5450">
            <v>5</v>
          </cell>
          <cell r="H5450">
            <v>60</v>
          </cell>
          <cell r="I5450">
            <v>41952</v>
          </cell>
          <cell r="J5450" t="str">
            <v>NO SUMA</v>
          </cell>
          <cell r="W5450">
            <v>0</v>
          </cell>
          <cell r="AJ5450">
            <v>0</v>
          </cell>
          <cell r="AW5450">
            <v>0</v>
          </cell>
        </row>
        <row r="5451">
          <cell r="B5451">
            <v>8338</v>
          </cell>
          <cell r="C5451" t="str">
            <v>EZ_67_</v>
          </cell>
          <cell r="D5451" t="str">
            <v>Rancho Estanzuela No. 67</v>
          </cell>
          <cell r="E5451" t="str">
            <v>Carmona Galarza</v>
          </cell>
          <cell r="F5451">
            <v>300</v>
          </cell>
          <cell r="G5451">
            <v>1</v>
          </cell>
          <cell r="H5451">
            <v>800</v>
          </cell>
          <cell r="I5451">
            <v>41952</v>
          </cell>
          <cell r="J5451">
            <v>0</v>
          </cell>
          <cell r="W5451">
            <v>0</v>
          </cell>
          <cell r="AJ5451">
            <v>0</v>
          </cell>
          <cell r="AT5451">
            <v>400</v>
          </cell>
          <cell r="AU5451">
            <v>400</v>
          </cell>
          <cell r="AW5451">
            <v>800</v>
          </cell>
        </row>
        <row r="5452">
          <cell r="B5452">
            <v>8339</v>
          </cell>
          <cell r="C5452" t="str">
            <v>ZB_26_</v>
          </cell>
          <cell r="D5452" t="str">
            <v>Rancho Zinamba No. 26</v>
          </cell>
          <cell r="E5452" t="str">
            <v>Ayala</v>
          </cell>
          <cell r="F5452">
            <v>300</v>
          </cell>
          <cell r="G5452">
            <v>1</v>
          </cell>
          <cell r="H5452">
            <v>400</v>
          </cell>
          <cell r="I5452">
            <v>41952</v>
          </cell>
          <cell r="J5452">
            <v>0</v>
          </cell>
          <cell r="W5452">
            <v>0</v>
          </cell>
          <cell r="AJ5452">
            <v>0</v>
          </cell>
          <cell r="AR5452">
            <v>400</v>
          </cell>
          <cell r="AW5452">
            <v>400</v>
          </cell>
        </row>
        <row r="5453">
          <cell r="B5453">
            <v>8340</v>
          </cell>
          <cell r="C5453" t="str">
            <v>UP_130_</v>
          </cell>
          <cell r="D5453" t="str">
            <v>Rancho Upácuaro No. 130</v>
          </cell>
          <cell r="E5453" t="str">
            <v>Rodríguez Álvarez</v>
          </cell>
          <cell r="F5453">
            <v>150</v>
          </cell>
          <cell r="G5453">
            <v>1</v>
          </cell>
          <cell r="H5453">
            <v>200</v>
          </cell>
          <cell r="I5453">
            <v>41952</v>
          </cell>
          <cell r="J5453">
            <v>0</v>
          </cell>
          <cell r="W5453">
            <v>0</v>
          </cell>
          <cell r="AJ5453">
            <v>0</v>
          </cell>
          <cell r="AU5453">
            <v>200</v>
          </cell>
          <cell r="AW5453">
            <v>200</v>
          </cell>
        </row>
        <row r="5454">
          <cell r="B5454">
            <v>8340</v>
          </cell>
          <cell r="C5454" t="str">
            <v>UP_130_</v>
          </cell>
          <cell r="D5454" t="str">
            <v>Rancho Upácuaro No. 130</v>
          </cell>
          <cell r="E5454" t="str">
            <v>Rodríguez Álvarez</v>
          </cell>
          <cell r="F5454">
            <v>150</v>
          </cell>
          <cell r="G5454">
            <v>3</v>
          </cell>
          <cell r="H5454">
            <v>160</v>
          </cell>
          <cell r="I5454">
            <v>41952</v>
          </cell>
          <cell r="J5454" t="str">
            <v>NO SUMA</v>
          </cell>
          <cell r="W5454">
            <v>0</v>
          </cell>
          <cell r="AJ5454">
            <v>0</v>
          </cell>
          <cell r="AW5454">
            <v>0</v>
          </cell>
        </row>
        <row r="5455">
          <cell r="B5455">
            <v>8341</v>
          </cell>
          <cell r="C5455" t="str">
            <v>UP_88_</v>
          </cell>
          <cell r="D5455" t="str">
            <v>Rancho Upácuaro No. 88</v>
          </cell>
          <cell r="E5455" t="str">
            <v>Millán Núñez</v>
          </cell>
          <cell r="F5455">
            <v>300</v>
          </cell>
          <cell r="G5455">
            <v>1</v>
          </cell>
          <cell r="H5455">
            <v>400</v>
          </cell>
          <cell r="I5455">
            <v>41952</v>
          </cell>
          <cell r="J5455">
            <v>0</v>
          </cell>
          <cell r="W5455">
            <v>0</v>
          </cell>
          <cell r="AJ5455">
            <v>0</v>
          </cell>
          <cell r="AU5455">
            <v>400</v>
          </cell>
          <cell r="AW5455">
            <v>400</v>
          </cell>
        </row>
        <row r="5456">
          <cell r="B5456">
            <v>8342</v>
          </cell>
          <cell r="C5456" t="str">
            <v>RV_1_</v>
          </cell>
          <cell r="D5456" t="str">
            <v>Rancho Recoveco No. 1</v>
          </cell>
          <cell r="E5456" t="str">
            <v>Díaz</v>
          </cell>
          <cell r="F5456">
            <v>300</v>
          </cell>
          <cell r="G5456">
            <v>1</v>
          </cell>
          <cell r="H5456">
            <v>400</v>
          </cell>
          <cell r="I5456">
            <v>41952</v>
          </cell>
          <cell r="J5456">
            <v>0</v>
          </cell>
          <cell r="W5456">
            <v>0</v>
          </cell>
          <cell r="AJ5456">
            <v>0</v>
          </cell>
          <cell r="AT5456">
            <v>400</v>
          </cell>
          <cell r="AW5456">
            <v>400</v>
          </cell>
        </row>
        <row r="5457">
          <cell r="B5457">
            <v>8343</v>
          </cell>
          <cell r="C5457" t="str">
            <v>LD_40_</v>
          </cell>
          <cell r="D5457" t="str">
            <v>Rancho Landero No. 40</v>
          </cell>
          <cell r="E5457" t="str">
            <v>Almaguer Mireles</v>
          </cell>
          <cell r="F5457">
            <v>300</v>
          </cell>
          <cell r="G5457">
            <v>1</v>
          </cell>
          <cell r="H5457">
            <v>400</v>
          </cell>
          <cell r="I5457">
            <v>41952</v>
          </cell>
          <cell r="J5457">
            <v>0</v>
          </cell>
          <cell r="W5457">
            <v>0</v>
          </cell>
          <cell r="AJ5457">
            <v>0</v>
          </cell>
          <cell r="AP5457">
            <v>400</v>
          </cell>
          <cell r="AW5457">
            <v>400</v>
          </cell>
        </row>
        <row r="5458">
          <cell r="B5458">
            <v>8343</v>
          </cell>
          <cell r="C5458" t="str">
            <v>LD_40_</v>
          </cell>
          <cell r="D5458" t="str">
            <v>Rancho Landero No. 40</v>
          </cell>
          <cell r="E5458" t="str">
            <v>Almaguer Mireles</v>
          </cell>
          <cell r="F5458">
            <v>300</v>
          </cell>
          <cell r="G5458">
            <v>5</v>
          </cell>
          <cell r="H5458">
            <v>40</v>
          </cell>
          <cell r="I5458">
            <v>41952</v>
          </cell>
          <cell r="J5458" t="str">
            <v>NO SUMA</v>
          </cell>
          <cell r="W5458">
            <v>0</v>
          </cell>
          <cell r="AJ5458">
            <v>0</v>
          </cell>
          <cell r="AW5458">
            <v>0</v>
          </cell>
        </row>
        <row r="5459">
          <cell r="B5459">
            <v>8344</v>
          </cell>
          <cell r="C5459" t="str">
            <v>LD_94_</v>
          </cell>
          <cell r="D5459" t="str">
            <v>Rancho Landero No. 94</v>
          </cell>
          <cell r="E5459" t="str">
            <v>Medina</v>
          </cell>
          <cell r="F5459">
            <v>150</v>
          </cell>
          <cell r="G5459">
            <v>3</v>
          </cell>
          <cell r="H5459">
            <v>160</v>
          </cell>
          <cell r="I5459">
            <v>41952</v>
          </cell>
          <cell r="J5459" t="str">
            <v>NO SUMA</v>
          </cell>
          <cell r="W5459">
            <v>0</v>
          </cell>
          <cell r="AJ5459">
            <v>0</v>
          </cell>
          <cell r="AW5459">
            <v>0</v>
          </cell>
        </row>
        <row r="5460">
          <cell r="B5460">
            <v>8345</v>
          </cell>
          <cell r="C5460" t="str">
            <v>ZB_88_</v>
          </cell>
          <cell r="D5460" t="str">
            <v>Rancho Zinamba No. 88</v>
          </cell>
          <cell r="E5460" t="str">
            <v>Martínez</v>
          </cell>
          <cell r="F5460">
            <v>250</v>
          </cell>
          <cell r="G5460">
            <v>1</v>
          </cell>
          <cell r="H5460">
            <v>350</v>
          </cell>
          <cell r="I5460">
            <v>41952</v>
          </cell>
          <cell r="J5460">
            <v>0</v>
          </cell>
          <cell r="W5460">
            <v>0</v>
          </cell>
          <cell r="AJ5460">
            <v>0</v>
          </cell>
          <cell r="AU5460">
            <v>350</v>
          </cell>
          <cell r="AW5460">
            <v>350</v>
          </cell>
        </row>
        <row r="5461">
          <cell r="B5461">
            <v>8346</v>
          </cell>
          <cell r="C5461" t="str">
            <v>UP_65_</v>
          </cell>
          <cell r="D5461" t="str">
            <v>Rancho Upácuaro No. 65</v>
          </cell>
          <cell r="E5461" t="str">
            <v>Olguín</v>
          </cell>
          <cell r="F5461">
            <v>300</v>
          </cell>
          <cell r="G5461">
            <v>5</v>
          </cell>
          <cell r="H5461">
            <v>60</v>
          </cell>
          <cell r="I5461">
            <v>41953</v>
          </cell>
          <cell r="J5461" t="str">
            <v>NO SUMA</v>
          </cell>
          <cell r="W5461">
            <v>0</v>
          </cell>
          <cell r="AJ5461">
            <v>0</v>
          </cell>
          <cell r="AW5461">
            <v>0</v>
          </cell>
        </row>
        <row r="5462">
          <cell r="B5462">
            <v>8347</v>
          </cell>
          <cell r="C5462" t="str">
            <v>RV_197_</v>
          </cell>
          <cell r="D5462" t="str">
            <v>Rancho Recoveco No. 197</v>
          </cell>
          <cell r="E5462" t="str">
            <v>Colín González</v>
          </cell>
          <cell r="F5462">
            <v>300</v>
          </cell>
          <cell r="G5462">
            <v>5</v>
          </cell>
          <cell r="H5462">
            <v>20</v>
          </cell>
          <cell r="I5462">
            <v>41953</v>
          </cell>
          <cell r="J5462" t="str">
            <v>NO SUMA</v>
          </cell>
          <cell r="W5462">
            <v>0</v>
          </cell>
          <cell r="AJ5462">
            <v>0</v>
          </cell>
          <cell r="AW5462">
            <v>0</v>
          </cell>
        </row>
        <row r="5463">
          <cell r="B5463">
            <v>8348</v>
          </cell>
          <cell r="C5463" t="str">
            <v>LD_70_</v>
          </cell>
          <cell r="D5463" t="str">
            <v>Rancho Landero No. 70</v>
          </cell>
          <cell r="E5463" t="str">
            <v>Olguín</v>
          </cell>
          <cell r="F5463">
            <v>100</v>
          </cell>
          <cell r="G5463">
            <v>1</v>
          </cell>
          <cell r="H5463">
            <v>100</v>
          </cell>
          <cell r="I5463">
            <v>41953</v>
          </cell>
          <cell r="J5463">
            <v>0</v>
          </cell>
          <cell r="W5463">
            <v>0</v>
          </cell>
          <cell r="AJ5463">
            <v>0</v>
          </cell>
          <cell r="AU5463">
            <v>100</v>
          </cell>
          <cell r="AW5463">
            <v>100</v>
          </cell>
        </row>
        <row r="5464">
          <cell r="B5464">
            <v>8349</v>
          </cell>
          <cell r="C5464" t="str">
            <v>CL_97_</v>
          </cell>
          <cell r="D5464" t="str">
            <v>Rancho La Cuchilla No. 97</v>
          </cell>
          <cell r="E5464" t="str">
            <v>López Ruiz</v>
          </cell>
          <cell r="F5464">
            <v>300</v>
          </cell>
          <cell r="G5464">
            <v>1</v>
          </cell>
          <cell r="H5464">
            <v>600</v>
          </cell>
          <cell r="I5464">
            <v>41953</v>
          </cell>
          <cell r="J5464">
            <v>0</v>
          </cell>
          <cell r="W5464">
            <v>0</v>
          </cell>
          <cell r="AJ5464">
            <v>0</v>
          </cell>
          <cell r="AS5464">
            <v>300</v>
          </cell>
          <cell r="AT5464">
            <v>300</v>
          </cell>
          <cell r="AW5464">
            <v>600</v>
          </cell>
        </row>
        <row r="5465">
          <cell r="B5465">
            <v>8350</v>
          </cell>
          <cell r="C5465" t="str">
            <v>LD_85_</v>
          </cell>
          <cell r="D5465" t="str">
            <v>Rancho Landero No. 85</v>
          </cell>
          <cell r="E5465" t="str">
            <v>Martínez Olague</v>
          </cell>
          <cell r="F5465">
            <v>300</v>
          </cell>
          <cell r="G5465">
            <v>1</v>
          </cell>
          <cell r="H5465">
            <v>400</v>
          </cell>
          <cell r="I5465">
            <v>41954</v>
          </cell>
          <cell r="J5465">
            <v>0</v>
          </cell>
          <cell r="W5465">
            <v>0</v>
          </cell>
          <cell r="AJ5465">
            <v>0</v>
          </cell>
          <cell r="AU5465">
            <v>400</v>
          </cell>
          <cell r="AW5465">
            <v>400</v>
          </cell>
        </row>
        <row r="5466">
          <cell r="B5466">
            <v>8351</v>
          </cell>
          <cell r="C5466" t="str">
            <v>ZB_10_</v>
          </cell>
          <cell r="D5466" t="str">
            <v>Rancho Zinamba No. 10</v>
          </cell>
          <cell r="E5466" t="str">
            <v>Roy Sánchez</v>
          </cell>
          <cell r="F5466">
            <v>300</v>
          </cell>
          <cell r="G5466">
            <v>1</v>
          </cell>
          <cell r="H5466">
            <v>1200</v>
          </cell>
          <cell r="I5466">
            <v>41954</v>
          </cell>
          <cell r="J5466">
            <v>0</v>
          </cell>
          <cell r="W5466">
            <v>0</v>
          </cell>
          <cell r="AJ5466">
            <v>0</v>
          </cell>
          <cell r="AT5466">
            <v>400</v>
          </cell>
          <cell r="AU5466">
            <v>400</v>
          </cell>
          <cell r="AV5466">
            <v>400</v>
          </cell>
          <cell r="AW5466">
            <v>1200</v>
          </cell>
        </row>
        <row r="5467">
          <cell r="B5467">
            <v>8351</v>
          </cell>
          <cell r="C5467" t="str">
            <v>ZB_10_</v>
          </cell>
          <cell r="D5467" t="str">
            <v>Rancho Zinamba No. 10</v>
          </cell>
          <cell r="E5467" t="str">
            <v>Roy Sánchez</v>
          </cell>
          <cell r="F5467">
            <v>300</v>
          </cell>
          <cell r="G5467">
            <v>5</v>
          </cell>
          <cell r="H5467">
            <v>40</v>
          </cell>
          <cell r="I5467">
            <v>41954</v>
          </cell>
          <cell r="J5467" t="str">
            <v>NO SUMA</v>
          </cell>
          <cell r="W5467">
            <v>0</v>
          </cell>
          <cell r="AJ5467">
            <v>0</v>
          </cell>
          <cell r="AW5467">
            <v>0</v>
          </cell>
        </row>
        <row r="5468">
          <cell r="B5468">
            <v>8352</v>
          </cell>
          <cell r="C5468" t="str">
            <v>UP_5_B</v>
          </cell>
          <cell r="D5468" t="str">
            <v>Rancho Upácuaro No. 5, B</v>
          </cell>
          <cell r="E5468" t="str">
            <v>Cervantes</v>
          </cell>
          <cell r="F5468">
            <v>300</v>
          </cell>
          <cell r="G5468">
            <v>1</v>
          </cell>
          <cell r="H5468">
            <v>400</v>
          </cell>
          <cell r="I5468">
            <v>41956</v>
          </cell>
          <cell r="J5468">
            <v>0</v>
          </cell>
          <cell r="W5468">
            <v>0</v>
          </cell>
          <cell r="AJ5468">
            <v>0</v>
          </cell>
          <cell r="AU5468">
            <v>400</v>
          </cell>
          <cell r="AW5468">
            <v>400</v>
          </cell>
        </row>
        <row r="5469">
          <cell r="B5469">
            <v>8353</v>
          </cell>
          <cell r="C5469" t="str">
            <v>CL_29_</v>
          </cell>
          <cell r="D5469" t="str">
            <v>Rancho La Cuchilla No. 29</v>
          </cell>
          <cell r="E5469" t="str">
            <v>Vega Sánchez C.</v>
          </cell>
          <cell r="F5469">
            <v>300</v>
          </cell>
          <cell r="G5469">
            <v>1</v>
          </cell>
          <cell r="I5469">
            <v>41956</v>
          </cell>
          <cell r="J5469">
            <v>0</v>
          </cell>
          <cell r="W5469">
            <v>0</v>
          </cell>
          <cell r="AJ5469">
            <v>0</v>
          </cell>
          <cell r="AW5469">
            <v>0</v>
          </cell>
        </row>
        <row r="5470">
          <cell r="B5470">
            <v>8354</v>
          </cell>
          <cell r="C5470" t="str">
            <v>LD_83_</v>
          </cell>
          <cell r="D5470" t="str">
            <v>Rancho Landero No. 83</v>
          </cell>
          <cell r="E5470" t="str">
            <v>Aguilar</v>
          </cell>
          <cell r="F5470">
            <v>300</v>
          </cell>
          <cell r="G5470">
            <v>1</v>
          </cell>
          <cell r="H5470">
            <v>350</v>
          </cell>
          <cell r="I5470">
            <v>41956</v>
          </cell>
          <cell r="J5470">
            <v>0</v>
          </cell>
          <cell r="W5470">
            <v>0</v>
          </cell>
          <cell r="AJ5470">
            <v>0</v>
          </cell>
          <cell r="AU5470">
            <v>350</v>
          </cell>
          <cell r="AW5470">
            <v>350</v>
          </cell>
        </row>
        <row r="5471">
          <cell r="B5471">
            <v>8355</v>
          </cell>
          <cell r="C5471" t="str">
            <v>UP_110_</v>
          </cell>
          <cell r="D5471" t="str">
            <v>Rancho Upácuaro No. 110</v>
          </cell>
          <cell r="E5471" t="str">
            <v>Ruiz Mijangos</v>
          </cell>
          <cell r="F5471">
            <v>300</v>
          </cell>
          <cell r="G5471">
            <v>1</v>
          </cell>
          <cell r="H5471">
            <v>2400</v>
          </cell>
          <cell r="I5471">
            <v>41958</v>
          </cell>
          <cell r="J5471">
            <v>0</v>
          </cell>
          <cell r="W5471">
            <v>0</v>
          </cell>
          <cell r="AJ5471">
            <v>0</v>
          </cell>
          <cell r="AO5471">
            <v>300</v>
          </cell>
          <cell r="AP5471">
            <v>300</v>
          </cell>
          <cell r="AQ5471">
            <v>300</v>
          </cell>
          <cell r="AR5471">
            <v>300</v>
          </cell>
          <cell r="AS5471">
            <v>300</v>
          </cell>
          <cell r="AT5471">
            <v>300</v>
          </cell>
          <cell r="AU5471">
            <v>300</v>
          </cell>
          <cell r="AV5471">
            <v>300</v>
          </cell>
          <cell r="AW5471">
            <v>2400</v>
          </cell>
        </row>
        <row r="5472">
          <cell r="B5472">
            <v>8356</v>
          </cell>
          <cell r="C5472" t="str">
            <v>LD_39_</v>
          </cell>
          <cell r="D5472" t="str">
            <v>Rancho Landero No. 39</v>
          </cell>
          <cell r="E5472" t="str">
            <v>Soto del Cueto</v>
          </cell>
          <cell r="F5472">
            <v>250</v>
          </cell>
          <cell r="G5472">
            <v>1</v>
          </cell>
          <cell r="H5472">
            <v>1000</v>
          </cell>
          <cell r="I5472">
            <v>41958</v>
          </cell>
          <cell r="J5472">
            <v>0</v>
          </cell>
          <cell r="W5472">
            <v>0</v>
          </cell>
          <cell r="AJ5472">
            <v>0</v>
          </cell>
          <cell r="AR5472">
            <v>250</v>
          </cell>
          <cell r="AS5472">
            <v>250</v>
          </cell>
          <cell r="AT5472">
            <v>250</v>
          </cell>
          <cell r="AU5472">
            <v>250</v>
          </cell>
          <cell r="AW5472">
            <v>1000</v>
          </cell>
        </row>
        <row r="5473">
          <cell r="B5473">
            <v>8357</v>
          </cell>
          <cell r="C5473" t="str">
            <v>EZ_119_1</v>
          </cell>
          <cell r="D5473" t="str">
            <v>Rancho Estanzuela No. 119, 1</v>
          </cell>
          <cell r="E5473" t="str">
            <v>López Tovar</v>
          </cell>
          <cell r="F5473">
            <v>300</v>
          </cell>
          <cell r="G5473">
            <v>1</v>
          </cell>
          <cell r="H5473">
            <v>800</v>
          </cell>
          <cell r="I5473">
            <v>41958</v>
          </cell>
          <cell r="J5473">
            <v>0</v>
          </cell>
          <cell r="W5473">
            <v>0</v>
          </cell>
          <cell r="AJ5473">
            <v>0</v>
          </cell>
          <cell r="AT5473">
            <v>400</v>
          </cell>
          <cell r="AU5473">
            <v>400</v>
          </cell>
          <cell r="AW5473">
            <v>800</v>
          </cell>
        </row>
        <row r="5474">
          <cell r="B5474">
            <v>8357</v>
          </cell>
          <cell r="C5474" t="str">
            <v>EZ_119_1</v>
          </cell>
          <cell r="D5474" t="str">
            <v>Rancho Estanzuela No. 119, 1</v>
          </cell>
          <cell r="E5474" t="str">
            <v>López Tovar</v>
          </cell>
          <cell r="F5474">
            <v>300</v>
          </cell>
          <cell r="G5474">
            <v>5</v>
          </cell>
          <cell r="H5474">
            <v>100</v>
          </cell>
          <cell r="I5474">
            <v>41958</v>
          </cell>
          <cell r="J5474" t="str">
            <v>NO SUMA</v>
          </cell>
          <cell r="W5474">
            <v>0</v>
          </cell>
          <cell r="AJ5474">
            <v>0</v>
          </cell>
          <cell r="AW5474">
            <v>0</v>
          </cell>
        </row>
        <row r="5475">
          <cell r="B5475">
            <v>8358</v>
          </cell>
          <cell r="C5475" t="str">
            <v>LD_39_</v>
          </cell>
          <cell r="D5475" t="str">
            <v>Rancho Landero No. 39</v>
          </cell>
          <cell r="E5475" t="str">
            <v>Soto del Cueto</v>
          </cell>
          <cell r="F5475">
            <v>250</v>
          </cell>
          <cell r="G5475">
            <v>5</v>
          </cell>
          <cell r="H5475">
            <v>40</v>
          </cell>
          <cell r="I5475">
            <v>41958</v>
          </cell>
          <cell r="J5475" t="str">
            <v>NO SUMA</v>
          </cell>
          <cell r="W5475">
            <v>0</v>
          </cell>
          <cell r="AJ5475">
            <v>0</v>
          </cell>
          <cell r="AW5475">
            <v>0</v>
          </cell>
        </row>
        <row r="5476">
          <cell r="B5476">
            <v>8359</v>
          </cell>
          <cell r="C5476" t="str">
            <v>RM_9_A</v>
          </cell>
          <cell r="D5476" t="str">
            <v>Rancho Romeral No. 9, A</v>
          </cell>
          <cell r="E5476" t="str">
            <v>Quiñones Hernández</v>
          </cell>
          <cell r="F5476">
            <v>300</v>
          </cell>
          <cell r="G5476">
            <v>1</v>
          </cell>
          <cell r="H5476">
            <v>1600</v>
          </cell>
          <cell r="I5476">
            <v>41958</v>
          </cell>
          <cell r="J5476">
            <v>0</v>
          </cell>
          <cell r="W5476">
            <v>0</v>
          </cell>
          <cell r="AJ5476">
            <v>0</v>
          </cell>
          <cell r="AQ5476">
            <v>400</v>
          </cell>
          <cell r="AR5476">
            <v>400</v>
          </cell>
          <cell r="AS5476">
            <v>400</v>
          </cell>
          <cell r="AT5476">
            <v>400</v>
          </cell>
          <cell r="AW5476">
            <v>1600</v>
          </cell>
        </row>
        <row r="5477">
          <cell r="B5477">
            <v>8360</v>
          </cell>
          <cell r="C5477" t="str">
            <v>RM_17_</v>
          </cell>
          <cell r="D5477" t="str">
            <v>Rancho Romeral No. 17</v>
          </cell>
          <cell r="E5477" t="str">
            <v>Aguilar Lomelí</v>
          </cell>
          <cell r="F5477">
            <v>300</v>
          </cell>
          <cell r="G5477">
            <v>5</v>
          </cell>
          <cell r="H5477">
            <v>100</v>
          </cell>
          <cell r="I5477">
            <v>41958</v>
          </cell>
          <cell r="J5477" t="str">
            <v>NO SUMA</v>
          </cell>
          <cell r="W5477">
            <v>0</v>
          </cell>
          <cell r="AJ5477">
            <v>0</v>
          </cell>
          <cell r="AW5477">
            <v>0</v>
          </cell>
        </row>
        <row r="5478">
          <cell r="B5478">
            <v>8361</v>
          </cell>
          <cell r="C5478" t="str">
            <v>RV_195_</v>
          </cell>
          <cell r="D5478" t="str">
            <v>Rancho Recoveco No. 195</v>
          </cell>
          <cell r="E5478" t="str">
            <v>Sandoval</v>
          </cell>
          <cell r="F5478">
            <v>300</v>
          </cell>
          <cell r="G5478">
            <v>1</v>
          </cell>
          <cell r="H5478">
            <v>400</v>
          </cell>
          <cell r="I5478">
            <v>41958</v>
          </cell>
          <cell r="J5478">
            <v>0</v>
          </cell>
          <cell r="W5478">
            <v>0</v>
          </cell>
          <cell r="AJ5478">
            <v>0</v>
          </cell>
          <cell r="AU5478">
            <v>400</v>
          </cell>
          <cell r="AW5478">
            <v>400</v>
          </cell>
        </row>
        <row r="5479">
          <cell r="B5479">
            <v>8362</v>
          </cell>
          <cell r="C5479" t="str">
            <v>RM_17_</v>
          </cell>
          <cell r="D5479" t="str">
            <v>Rancho Romeral No. 17</v>
          </cell>
          <cell r="E5479" t="str">
            <v>Aguilar Lomelí</v>
          </cell>
          <cell r="F5479">
            <v>300</v>
          </cell>
          <cell r="G5479">
            <v>1</v>
          </cell>
          <cell r="H5479">
            <v>400</v>
          </cell>
          <cell r="I5479">
            <v>41958</v>
          </cell>
          <cell r="J5479">
            <v>0</v>
          </cell>
          <cell r="W5479">
            <v>0</v>
          </cell>
          <cell r="AJ5479">
            <v>0</v>
          </cell>
          <cell r="AU5479">
            <v>400</v>
          </cell>
          <cell r="AW5479">
            <v>400</v>
          </cell>
        </row>
        <row r="5480">
          <cell r="B5480">
            <v>8362</v>
          </cell>
          <cell r="C5480" t="str">
            <v>RM_17_</v>
          </cell>
          <cell r="D5480" t="str">
            <v>Rancho Romeral No. 17</v>
          </cell>
          <cell r="E5480" t="str">
            <v>Aguilar Lomelí</v>
          </cell>
          <cell r="F5480">
            <v>300</v>
          </cell>
          <cell r="G5480">
            <v>5</v>
          </cell>
          <cell r="H5480">
            <v>20</v>
          </cell>
          <cell r="I5480">
            <v>41958</v>
          </cell>
          <cell r="J5480" t="str">
            <v>NO SUMA</v>
          </cell>
          <cell r="W5480">
            <v>0</v>
          </cell>
          <cell r="AJ5480">
            <v>0</v>
          </cell>
          <cell r="AW5480">
            <v>0</v>
          </cell>
        </row>
        <row r="5481">
          <cell r="B5481">
            <v>8363</v>
          </cell>
          <cell r="D5481" t="str">
            <v/>
          </cell>
          <cell r="E5481" t="str">
            <v/>
          </cell>
          <cell r="F5481" t="str">
            <v/>
          </cell>
          <cell r="G5481">
            <v>8</v>
          </cell>
          <cell r="J5481" t="str">
            <v>NO SUMA</v>
          </cell>
          <cell r="W5481">
            <v>0</v>
          </cell>
          <cell r="AJ5481">
            <v>0</v>
          </cell>
          <cell r="AW5481">
            <v>0</v>
          </cell>
        </row>
        <row r="5482">
          <cell r="B5482">
            <v>8364</v>
          </cell>
          <cell r="C5482" t="str">
            <v>UP_37_</v>
          </cell>
          <cell r="D5482" t="str">
            <v>Rancho Upácuaro No. 37</v>
          </cell>
          <cell r="E5482" t="str">
            <v>García Valdés</v>
          </cell>
          <cell r="F5482">
            <v>300</v>
          </cell>
          <cell r="G5482">
            <v>1</v>
          </cell>
          <cell r="H5482">
            <v>800</v>
          </cell>
          <cell r="I5482">
            <v>41958</v>
          </cell>
          <cell r="J5482">
            <v>0</v>
          </cell>
          <cell r="W5482">
            <v>0</v>
          </cell>
          <cell r="AJ5482">
            <v>0</v>
          </cell>
          <cell r="AU5482">
            <v>400</v>
          </cell>
          <cell r="AV5482">
            <v>400</v>
          </cell>
          <cell r="AW5482">
            <v>800</v>
          </cell>
        </row>
        <row r="5483">
          <cell r="B5483">
            <v>8365</v>
          </cell>
          <cell r="C5483" t="str">
            <v>UP_80_</v>
          </cell>
          <cell r="D5483" t="str">
            <v>Rancho Upácuaro No. 80</v>
          </cell>
          <cell r="E5483" t="str">
            <v>De los Ríos</v>
          </cell>
          <cell r="F5483">
            <v>300</v>
          </cell>
          <cell r="G5483">
            <v>1</v>
          </cell>
          <cell r="H5483">
            <v>400</v>
          </cell>
          <cell r="I5483">
            <v>41958</v>
          </cell>
          <cell r="J5483">
            <v>0</v>
          </cell>
          <cell r="W5483">
            <v>0</v>
          </cell>
          <cell r="AJ5483">
            <v>0</v>
          </cell>
          <cell r="AU5483">
            <v>400</v>
          </cell>
          <cell r="AW5483">
            <v>400</v>
          </cell>
        </row>
        <row r="5484">
          <cell r="B5484">
            <v>8365</v>
          </cell>
          <cell r="C5484" t="str">
            <v>UP_80_</v>
          </cell>
          <cell r="D5484" t="str">
            <v>Rancho Upácuaro No. 80</v>
          </cell>
          <cell r="E5484" t="str">
            <v>De los Ríos</v>
          </cell>
          <cell r="F5484">
            <v>300</v>
          </cell>
          <cell r="G5484">
            <v>5</v>
          </cell>
          <cell r="H5484">
            <v>100</v>
          </cell>
          <cell r="I5484">
            <v>41958</v>
          </cell>
          <cell r="J5484" t="str">
            <v>NO SUMA</v>
          </cell>
          <cell r="W5484">
            <v>0</v>
          </cell>
          <cell r="AJ5484">
            <v>0</v>
          </cell>
          <cell r="AW5484">
            <v>0</v>
          </cell>
        </row>
        <row r="5485">
          <cell r="B5485">
            <v>8366</v>
          </cell>
          <cell r="C5485" t="str">
            <v>UP_80_</v>
          </cell>
          <cell r="D5485" t="str">
            <v>Rancho Upácuaro No. 80</v>
          </cell>
          <cell r="E5485" t="str">
            <v>De los Ríos</v>
          </cell>
          <cell r="F5485">
            <v>300</v>
          </cell>
          <cell r="G5485">
            <v>4</v>
          </cell>
          <cell r="H5485">
            <v>160</v>
          </cell>
          <cell r="I5485">
            <v>41958</v>
          </cell>
          <cell r="J5485" t="str">
            <v>NO SUMA</v>
          </cell>
          <cell r="W5485">
            <v>0</v>
          </cell>
          <cell r="AJ5485">
            <v>0</v>
          </cell>
          <cell r="AW5485">
            <v>0</v>
          </cell>
        </row>
        <row r="5486">
          <cell r="B5486">
            <v>8367</v>
          </cell>
          <cell r="C5486" t="str">
            <v>CL_41_</v>
          </cell>
          <cell r="D5486" t="str">
            <v>Rancho La Cuchilla No. 41</v>
          </cell>
          <cell r="E5486" t="str">
            <v>Arriaga Lemus</v>
          </cell>
          <cell r="F5486">
            <v>250</v>
          </cell>
          <cell r="G5486">
            <v>1</v>
          </cell>
          <cell r="H5486">
            <v>400</v>
          </cell>
          <cell r="I5486">
            <v>41958</v>
          </cell>
          <cell r="J5486">
            <v>0</v>
          </cell>
          <cell r="W5486">
            <v>0</v>
          </cell>
          <cell r="AJ5486">
            <v>0</v>
          </cell>
          <cell r="AU5486">
            <v>400</v>
          </cell>
          <cell r="AW5486">
            <v>400</v>
          </cell>
        </row>
        <row r="5487">
          <cell r="B5487">
            <v>8368</v>
          </cell>
          <cell r="C5487" t="str">
            <v>LD_40_</v>
          </cell>
          <cell r="D5487" t="str">
            <v>Rancho Landero No. 40</v>
          </cell>
          <cell r="E5487" t="str">
            <v>Almaguer Mireles</v>
          </cell>
          <cell r="F5487">
            <v>300</v>
          </cell>
          <cell r="G5487">
            <v>5</v>
          </cell>
          <cell r="H5487">
            <v>20</v>
          </cell>
          <cell r="I5487">
            <v>41958</v>
          </cell>
          <cell r="J5487" t="str">
            <v>NO SUMA</v>
          </cell>
          <cell r="W5487">
            <v>0</v>
          </cell>
          <cell r="AJ5487">
            <v>0</v>
          </cell>
          <cell r="AW5487">
            <v>0</v>
          </cell>
        </row>
        <row r="5488">
          <cell r="B5488">
            <v>8369</v>
          </cell>
          <cell r="C5488" t="str">
            <v>CL_73_</v>
          </cell>
          <cell r="D5488" t="str">
            <v>Rancho La Cuchilla No. 73</v>
          </cell>
          <cell r="E5488" t="str">
            <v>Cooper</v>
          </cell>
          <cell r="F5488">
            <v>300</v>
          </cell>
          <cell r="G5488">
            <v>1</v>
          </cell>
          <cell r="H5488">
            <v>2000</v>
          </cell>
          <cell r="I5488">
            <v>41958</v>
          </cell>
          <cell r="J5488">
            <v>0</v>
          </cell>
          <cell r="W5488">
            <v>0</v>
          </cell>
          <cell r="AJ5488">
            <v>0</v>
          </cell>
          <cell r="AO5488">
            <v>400</v>
          </cell>
          <cell r="AP5488">
            <v>400</v>
          </cell>
          <cell r="AQ5488">
            <v>400</v>
          </cell>
          <cell r="AR5488">
            <v>400</v>
          </cell>
          <cell r="AS5488">
            <v>400</v>
          </cell>
          <cell r="AW5488">
            <v>2000</v>
          </cell>
        </row>
        <row r="5489">
          <cell r="B5489">
            <v>8370</v>
          </cell>
          <cell r="C5489" t="str">
            <v>ZB_14_</v>
          </cell>
          <cell r="D5489" t="str">
            <v>Rancho Zinamba No. 14</v>
          </cell>
          <cell r="E5489" t="str">
            <v>Gutiérrez García</v>
          </cell>
          <cell r="F5489">
            <v>300</v>
          </cell>
          <cell r="G5489">
            <v>5</v>
          </cell>
          <cell r="H5489">
            <v>20</v>
          </cell>
          <cell r="I5489">
            <v>41958</v>
          </cell>
          <cell r="J5489" t="str">
            <v>NO SUMA</v>
          </cell>
          <cell r="W5489">
            <v>0</v>
          </cell>
          <cell r="AJ5489">
            <v>0</v>
          </cell>
          <cell r="AW5489">
            <v>0</v>
          </cell>
        </row>
        <row r="5490">
          <cell r="B5490">
            <v>8371</v>
          </cell>
          <cell r="C5490" t="str">
            <v>EZ_143_B</v>
          </cell>
          <cell r="D5490" t="str">
            <v>Rancho Estanzuela No. 143, B</v>
          </cell>
          <cell r="E5490" t="str">
            <v>López</v>
          </cell>
          <cell r="F5490">
            <v>300</v>
          </cell>
          <cell r="G5490">
            <v>5</v>
          </cell>
          <cell r="H5490">
            <v>40</v>
          </cell>
          <cell r="I5490">
            <v>41958</v>
          </cell>
          <cell r="J5490" t="str">
            <v>NO SUMA</v>
          </cell>
          <cell r="W5490">
            <v>0</v>
          </cell>
          <cell r="AJ5490">
            <v>0</v>
          </cell>
          <cell r="AW5490">
            <v>0</v>
          </cell>
        </row>
        <row r="5491">
          <cell r="B5491">
            <v>8372</v>
          </cell>
          <cell r="C5491" t="str">
            <v>CL_120_</v>
          </cell>
          <cell r="D5491" t="str">
            <v>Rancho La Cuchilla No. 120</v>
          </cell>
          <cell r="E5491" t="str">
            <v>Pozos Vilchis</v>
          </cell>
          <cell r="F5491">
            <v>300</v>
          </cell>
          <cell r="G5491">
            <v>5</v>
          </cell>
          <cell r="H5491">
            <v>20</v>
          </cell>
          <cell r="I5491">
            <v>41958</v>
          </cell>
          <cell r="J5491" t="str">
            <v>NO SUMA</v>
          </cell>
          <cell r="W5491">
            <v>0</v>
          </cell>
          <cell r="AJ5491">
            <v>0</v>
          </cell>
          <cell r="AW5491">
            <v>0</v>
          </cell>
        </row>
        <row r="5492">
          <cell r="B5492">
            <v>8373</v>
          </cell>
          <cell r="C5492" t="str">
            <v>CL_89_</v>
          </cell>
          <cell r="D5492" t="str">
            <v>Rancho La Cuchilla No. 89</v>
          </cell>
          <cell r="E5492" t="str">
            <v>Gálvez</v>
          </cell>
          <cell r="F5492">
            <v>300</v>
          </cell>
          <cell r="G5492">
            <v>1</v>
          </cell>
          <cell r="H5492">
            <v>400</v>
          </cell>
          <cell r="I5492">
            <v>41958</v>
          </cell>
          <cell r="J5492">
            <v>0</v>
          </cell>
          <cell r="W5492">
            <v>0</v>
          </cell>
          <cell r="AJ5492">
            <v>0</v>
          </cell>
          <cell r="AU5492">
            <v>400</v>
          </cell>
          <cell r="AW5492">
            <v>400</v>
          </cell>
        </row>
        <row r="5493">
          <cell r="B5493">
            <v>8374</v>
          </cell>
          <cell r="C5493" t="str">
            <v>CL_31_</v>
          </cell>
          <cell r="D5493" t="str">
            <v>Rancho La Cuchilla No. 31</v>
          </cell>
          <cell r="E5493" t="str">
            <v>Lince</v>
          </cell>
          <cell r="F5493">
            <v>300</v>
          </cell>
          <cell r="G5493">
            <v>5</v>
          </cell>
          <cell r="H5493">
            <v>20</v>
          </cell>
          <cell r="I5493">
            <v>41958</v>
          </cell>
          <cell r="J5493" t="str">
            <v>NO SUMA</v>
          </cell>
          <cell r="W5493">
            <v>0</v>
          </cell>
          <cell r="AJ5493">
            <v>0</v>
          </cell>
          <cell r="AW5493">
            <v>0</v>
          </cell>
        </row>
        <row r="5494">
          <cell r="B5494">
            <v>8375</v>
          </cell>
          <cell r="C5494" t="str">
            <v>LD_47_</v>
          </cell>
          <cell r="D5494" t="str">
            <v>Rancho Landero No. 47</v>
          </cell>
          <cell r="E5494" t="str">
            <v>García González</v>
          </cell>
          <cell r="F5494">
            <v>300</v>
          </cell>
          <cell r="G5494">
            <v>1</v>
          </cell>
          <cell r="H5494">
            <v>1200</v>
          </cell>
          <cell r="I5494">
            <v>41958</v>
          </cell>
          <cell r="J5494">
            <v>0</v>
          </cell>
          <cell r="W5494">
            <v>0</v>
          </cell>
          <cell r="AJ5494">
            <v>0</v>
          </cell>
          <cell r="AS5494">
            <v>400</v>
          </cell>
          <cell r="AT5494">
            <v>400</v>
          </cell>
          <cell r="AU5494">
            <v>400</v>
          </cell>
          <cell r="AW5494">
            <v>1200</v>
          </cell>
        </row>
        <row r="5495">
          <cell r="B5495">
            <v>8375</v>
          </cell>
          <cell r="C5495" t="str">
            <v>LD_47_</v>
          </cell>
          <cell r="D5495" t="str">
            <v>Rancho Landero No. 47</v>
          </cell>
          <cell r="E5495" t="str">
            <v>García González</v>
          </cell>
          <cell r="F5495">
            <v>300</v>
          </cell>
          <cell r="G5495">
            <v>5</v>
          </cell>
          <cell r="H5495">
            <v>40</v>
          </cell>
          <cell r="I5495">
            <v>41958</v>
          </cell>
          <cell r="J5495" t="str">
            <v>NO SUMA</v>
          </cell>
          <cell r="W5495">
            <v>0</v>
          </cell>
          <cell r="AJ5495">
            <v>0</v>
          </cell>
          <cell r="AW5495">
            <v>0</v>
          </cell>
        </row>
        <row r="5496">
          <cell r="B5496">
            <v>8376</v>
          </cell>
          <cell r="C5496" t="str">
            <v>CL_73_</v>
          </cell>
          <cell r="D5496" t="str">
            <v>Rancho La Cuchilla No. 73</v>
          </cell>
          <cell r="E5496" t="str">
            <v>Cooper</v>
          </cell>
          <cell r="F5496">
            <v>300</v>
          </cell>
          <cell r="G5496">
            <v>5</v>
          </cell>
          <cell r="H5496">
            <v>60</v>
          </cell>
          <cell r="I5496">
            <v>41958</v>
          </cell>
          <cell r="J5496" t="str">
            <v>NO SUMA</v>
          </cell>
          <cell r="W5496">
            <v>0</v>
          </cell>
          <cell r="AJ5496">
            <v>0</v>
          </cell>
          <cell r="AW5496">
            <v>0</v>
          </cell>
        </row>
        <row r="5497">
          <cell r="B5497">
            <v>8377</v>
          </cell>
          <cell r="C5497" t="str">
            <v>EZ_161_1</v>
          </cell>
          <cell r="D5497" t="str">
            <v>Rancho Estanzuela No. 161, 1</v>
          </cell>
          <cell r="E5497" t="str">
            <v>Guevara</v>
          </cell>
          <cell r="F5497">
            <v>150</v>
          </cell>
          <cell r="G5497">
            <v>1</v>
          </cell>
          <cell r="H5497">
            <v>400</v>
          </cell>
          <cell r="I5497">
            <v>41958</v>
          </cell>
          <cell r="J5497">
            <v>0</v>
          </cell>
          <cell r="W5497">
            <v>0</v>
          </cell>
          <cell r="AJ5497">
            <v>0</v>
          </cell>
          <cell r="AT5497">
            <v>200</v>
          </cell>
          <cell r="AU5497">
            <v>200</v>
          </cell>
          <cell r="AW5497">
            <v>400</v>
          </cell>
        </row>
        <row r="5498">
          <cell r="B5498">
            <v>8378</v>
          </cell>
          <cell r="C5498" t="str">
            <v>UP_64_</v>
          </cell>
          <cell r="D5498" t="str">
            <v>Rancho Upácuaro No. 64</v>
          </cell>
          <cell r="E5498" t="str">
            <v>Méndez Oliva</v>
          </cell>
          <cell r="F5498">
            <v>300</v>
          </cell>
          <cell r="G5498">
            <v>1</v>
          </cell>
          <cell r="H5498">
            <v>300</v>
          </cell>
          <cell r="I5498">
            <v>41958</v>
          </cell>
          <cell r="J5498">
            <v>0</v>
          </cell>
          <cell r="W5498">
            <v>0</v>
          </cell>
          <cell r="AJ5498">
            <v>0</v>
          </cell>
          <cell r="AU5498">
            <v>300</v>
          </cell>
          <cell r="AW5498">
            <v>300</v>
          </cell>
        </row>
        <row r="5499">
          <cell r="B5499">
            <v>8379</v>
          </cell>
          <cell r="C5499" t="str">
            <v>LD_47_</v>
          </cell>
          <cell r="D5499" t="str">
            <v>Rancho Landero No. 47</v>
          </cell>
          <cell r="E5499" t="str">
            <v>García González</v>
          </cell>
          <cell r="F5499">
            <v>300</v>
          </cell>
          <cell r="G5499">
            <v>1</v>
          </cell>
          <cell r="H5499">
            <v>400</v>
          </cell>
          <cell r="I5499">
            <v>41958</v>
          </cell>
          <cell r="J5499">
            <v>0</v>
          </cell>
          <cell r="W5499">
            <v>0</v>
          </cell>
          <cell r="AJ5499">
            <v>0</v>
          </cell>
          <cell r="AV5499">
            <v>400</v>
          </cell>
          <cell r="AW5499">
            <v>400</v>
          </cell>
        </row>
        <row r="5500">
          <cell r="B5500">
            <v>8380</v>
          </cell>
          <cell r="C5500" t="str">
            <v>UP_71_</v>
          </cell>
          <cell r="D5500" t="str">
            <v>Rancho Upácuaro No. 71</v>
          </cell>
          <cell r="E5500" t="str">
            <v>Trejo Méndez</v>
          </cell>
          <cell r="F5500">
            <v>300</v>
          </cell>
          <cell r="G5500">
            <v>1</v>
          </cell>
          <cell r="H5500">
            <v>400</v>
          </cell>
          <cell r="I5500">
            <v>41958</v>
          </cell>
          <cell r="J5500">
            <v>0</v>
          </cell>
          <cell r="W5500">
            <v>0</v>
          </cell>
          <cell r="AJ5500">
            <v>0</v>
          </cell>
          <cell r="AU5500">
            <v>400</v>
          </cell>
          <cell r="AW5500">
            <v>400</v>
          </cell>
        </row>
        <row r="5501">
          <cell r="B5501">
            <v>8380</v>
          </cell>
          <cell r="C5501" t="str">
            <v>UP_71_</v>
          </cell>
          <cell r="D5501" t="str">
            <v>Rancho Upácuaro No. 71</v>
          </cell>
          <cell r="E5501" t="str">
            <v>Trejo Méndez</v>
          </cell>
          <cell r="F5501">
            <v>300</v>
          </cell>
          <cell r="G5501">
            <v>5</v>
          </cell>
          <cell r="H5501">
            <v>20</v>
          </cell>
          <cell r="I5501">
            <v>41958</v>
          </cell>
          <cell r="J5501" t="str">
            <v>NO SUMA</v>
          </cell>
          <cell r="W5501">
            <v>0</v>
          </cell>
          <cell r="AJ5501">
            <v>0</v>
          </cell>
          <cell r="AW5501">
            <v>0</v>
          </cell>
        </row>
        <row r="5502">
          <cell r="B5502">
            <v>8381</v>
          </cell>
          <cell r="C5502" t="str">
            <v>CL_23_</v>
          </cell>
          <cell r="D5502" t="str">
            <v>Rancho La Cuchilla No. 23</v>
          </cell>
          <cell r="E5502" t="str">
            <v>Ocampo</v>
          </cell>
          <cell r="F5502">
            <v>200</v>
          </cell>
          <cell r="G5502">
            <v>3</v>
          </cell>
          <cell r="H5502">
            <v>160</v>
          </cell>
          <cell r="I5502">
            <v>41958</v>
          </cell>
          <cell r="J5502" t="str">
            <v>NO SUMA</v>
          </cell>
          <cell r="W5502">
            <v>0</v>
          </cell>
          <cell r="AJ5502">
            <v>0</v>
          </cell>
          <cell r="AW5502">
            <v>0</v>
          </cell>
        </row>
        <row r="5503">
          <cell r="B5503">
            <v>8381</v>
          </cell>
          <cell r="C5503" t="str">
            <v>CL_23_</v>
          </cell>
          <cell r="D5503" t="str">
            <v>Rancho La Cuchilla No. 23</v>
          </cell>
          <cell r="E5503" t="str">
            <v>Ocampo</v>
          </cell>
          <cell r="F5503">
            <v>200</v>
          </cell>
          <cell r="G5503">
            <v>5</v>
          </cell>
          <cell r="H5503">
            <v>80</v>
          </cell>
          <cell r="I5503">
            <v>41958</v>
          </cell>
          <cell r="J5503" t="str">
            <v>NO SUMA</v>
          </cell>
          <cell r="W5503">
            <v>0</v>
          </cell>
          <cell r="AJ5503">
            <v>0</v>
          </cell>
          <cell r="AW5503">
            <v>0</v>
          </cell>
        </row>
        <row r="5504">
          <cell r="B5504">
            <v>8382</v>
          </cell>
          <cell r="C5504" t="str">
            <v>CL_18_</v>
          </cell>
          <cell r="D5504" t="str">
            <v>Rancho La Cuchilla No. 18</v>
          </cell>
          <cell r="E5504" t="str">
            <v>Aldana Sánchez</v>
          </cell>
          <cell r="F5504">
            <v>300</v>
          </cell>
          <cell r="G5504">
            <v>1</v>
          </cell>
          <cell r="H5504">
            <v>800</v>
          </cell>
          <cell r="I5504">
            <v>41958</v>
          </cell>
          <cell r="J5504">
            <v>0</v>
          </cell>
          <cell r="W5504">
            <v>0</v>
          </cell>
          <cell r="AJ5504">
            <v>0</v>
          </cell>
          <cell r="AT5504">
            <v>400</v>
          </cell>
          <cell r="AU5504">
            <v>400</v>
          </cell>
          <cell r="AW5504">
            <v>800</v>
          </cell>
        </row>
        <row r="5505">
          <cell r="B5505">
            <v>8383</v>
          </cell>
          <cell r="C5505" t="str">
            <v>LD_99_</v>
          </cell>
          <cell r="D5505" t="str">
            <v>Rancho Landero No. 99</v>
          </cell>
          <cell r="E5505" t="str">
            <v>Rangel</v>
          </cell>
          <cell r="F5505">
            <v>300</v>
          </cell>
          <cell r="G5505">
            <v>1</v>
          </cell>
          <cell r="H5505">
            <v>300</v>
          </cell>
          <cell r="I5505">
            <v>41958</v>
          </cell>
          <cell r="J5505">
            <v>0</v>
          </cell>
          <cell r="W5505">
            <v>0</v>
          </cell>
          <cell r="AJ5505">
            <v>0</v>
          </cell>
          <cell r="AS5505">
            <v>300</v>
          </cell>
          <cell r="AW5505">
            <v>300</v>
          </cell>
        </row>
        <row r="5506">
          <cell r="B5506">
            <v>8384</v>
          </cell>
          <cell r="C5506" t="str">
            <v>LD_95_</v>
          </cell>
          <cell r="D5506" t="str">
            <v>Rancho Landero No. 95</v>
          </cell>
          <cell r="E5506" t="str">
            <v>Rivas Rangel</v>
          </cell>
          <cell r="F5506">
            <v>300</v>
          </cell>
          <cell r="G5506">
            <v>5</v>
          </cell>
          <cell r="H5506">
            <v>20</v>
          </cell>
          <cell r="I5506">
            <v>41958</v>
          </cell>
          <cell r="J5506" t="str">
            <v>NO SUMA</v>
          </cell>
          <cell r="W5506">
            <v>0</v>
          </cell>
          <cell r="AJ5506">
            <v>0</v>
          </cell>
          <cell r="AW5506">
            <v>0</v>
          </cell>
        </row>
        <row r="5507">
          <cell r="B5507">
            <v>8385</v>
          </cell>
          <cell r="C5507" t="str">
            <v>EZ_143_B</v>
          </cell>
          <cell r="D5507" t="str">
            <v>Rancho Estanzuela No. 143, B</v>
          </cell>
          <cell r="E5507" t="str">
            <v>López</v>
          </cell>
          <cell r="F5507">
            <v>300</v>
          </cell>
          <cell r="G5507">
            <v>3</v>
          </cell>
          <cell r="H5507">
            <v>160</v>
          </cell>
          <cell r="I5507">
            <v>41958</v>
          </cell>
          <cell r="J5507" t="str">
            <v>NO SUMA</v>
          </cell>
          <cell r="W5507">
            <v>0</v>
          </cell>
          <cell r="AJ5507">
            <v>0</v>
          </cell>
          <cell r="AW5507">
            <v>0</v>
          </cell>
        </row>
        <row r="5508">
          <cell r="B5508">
            <v>8386</v>
          </cell>
          <cell r="C5508" t="str">
            <v>CL_36_</v>
          </cell>
          <cell r="D5508" t="str">
            <v>Rancho La Cuchilla No. 36</v>
          </cell>
          <cell r="E5508" t="str">
            <v>Castillo</v>
          </cell>
          <cell r="F5508">
            <v>300</v>
          </cell>
          <cell r="G5508">
            <v>3</v>
          </cell>
          <cell r="H5508">
            <v>160</v>
          </cell>
          <cell r="I5508">
            <v>41958</v>
          </cell>
          <cell r="J5508" t="str">
            <v>NO SUMA</v>
          </cell>
          <cell r="W5508">
            <v>0</v>
          </cell>
          <cell r="AJ5508">
            <v>0</v>
          </cell>
          <cell r="AW5508">
            <v>0</v>
          </cell>
        </row>
        <row r="5509">
          <cell r="B5509">
            <v>8387</v>
          </cell>
          <cell r="C5509" t="str">
            <v>UP_90_</v>
          </cell>
          <cell r="D5509" t="str">
            <v>Rancho Upácuaro No. 90</v>
          </cell>
          <cell r="E5509" t="str">
            <v>Moreno Calderón</v>
          </cell>
          <cell r="F5509">
            <v>150</v>
          </cell>
          <cell r="G5509">
            <v>1</v>
          </cell>
          <cell r="H5509">
            <v>600</v>
          </cell>
          <cell r="I5509">
            <v>41958</v>
          </cell>
          <cell r="J5509">
            <v>0</v>
          </cell>
          <cell r="W5509">
            <v>0</v>
          </cell>
          <cell r="AJ5509">
            <v>0</v>
          </cell>
          <cell r="AT5509">
            <v>200</v>
          </cell>
          <cell r="AU5509">
            <v>200</v>
          </cell>
          <cell r="AV5509">
            <v>200</v>
          </cell>
          <cell r="AW5509">
            <v>600</v>
          </cell>
        </row>
        <row r="5510">
          <cell r="B5510">
            <v>8388</v>
          </cell>
          <cell r="C5510" t="str">
            <v>LD_101_</v>
          </cell>
          <cell r="D5510" t="str">
            <v>Rancho Landero No. 101</v>
          </cell>
          <cell r="E5510" t="str">
            <v>Ramírez</v>
          </cell>
          <cell r="F5510">
            <v>300</v>
          </cell>
          <cell r="G5510">
            <v>1</v>
          </cell>
          <cell r="H5510">
            <v>400</v>
          </cell>
          <cell r="I5510">
            <v>41958</v>
          </cell>
          <cell r="J5510">
            <v>0</v>
          </cell>
          <cell r="W5510">
            <v>0</v>
          </cell>
          <cell r="AJ5510">
            <v>0</v>
          </cell>
          <cell r="AU5510">
            <v>400</v>
          </cell>
          <cell r="AW5510">
            <v>400</v>
          </cell>
        </row>
        <row r="5511">
          <cell r="B5511">
            <v>8389</v>
          </cell>
          <cell r="C5511" t="str">
            <v>EZ_69_</v>
          </cell>
          <cell r="D5511" t="str">
            <v>Rancho Estanzuela No. 69</v>
          </cell>
          <cell r="E5511" t="str">
            <v>Apaez</v>
          </cell>
          <cell r="F5511">
            <v>300</v>
          </cell>
          <cell r="G5511">
            <v>1</v>
          </cell>
          <cell r="H5511">
            <v>400</v>
          </cell>
          <cell r="I5511">
            <v>41958</v>
          </cell>
          <cell r="J5511">
            <v>0</v>
          </cell>
          <cell r="W5511">
            <v>0</v>
          </cell>
          <cell r="AJ5511">
            <v>0</v>
          </cell>
          <cell r="AU5511">
            <v>400</v>
          </cell>
          <cell r="AW5511">
            <v>400</v>
          </cell>
        </row>
        <row r="5512">
          <cell r="B5512">
            <v>8390</v>
          </cell>
          <cell r="C5512" t="str">
            <v>RV_175_B</v>
          </cell>
          <cell r="D5512" t="str">
            <v>Rancho Recoveco No. 175, B</v>
          </cell>
          <cell r="E5512" t="str">
            <v>García Calderón</v>
          </cell>
          <cell r="F5512">
            <v>150</v>
          </cell>
          <cell r="G5512">
            <v>1</v>
          </cell>
          <cell r="H5512">
            <v>200</v>
          </cell>
          <cell r="I5512">
            <v>41958</v>
          </cell>
          <cell r="J5512">
            <v>0</v>
          </cell>
          <cell r="W5512">
            <v>0</v>
          </cell>
          <cell r="AJ5512">
            <v>0</v>
          </cell>
          <cell r="AU5512">
            <v>200</v>
          </cell>
          <cell r="AW5512">
            <v>200</v>
          </cell>
        </row>
        <row r="5513">
          <cell r="B5513">
            <v>8391</v>
          </cell>
          <cell r="C5513" t="str">
            <v>CL_68_</v>
          </cell>
          <cell r="D5513" t="str">
            <v>Rancho La Cuchilla No. 68</v>
          </cell>
          <cell r="E5513" t="str">
            <v>Montesinos</v>
          </cell>
          <cell r="F5513">
            <v>300</v>
          </cell>
          <cell r="G5513">
            <v>1</v>
          </cell>
          <cell r="H5513">
            <v>400</v>
          </cell>
          <cell r="I5513">
            <v>41958</v>
          </cell>
          <cell r="J5513">
            <v>0</v>
          </cell>
          <cell r="W5513">
            <v>0</v>
          </cell>
          <cell r="AJ5513">
            <v>0</v>
          </cell>
          <cell r="AT5513">
            <v>200</v>
          </cell>
          <cell r="AU5513">
            <v>200</v>
          </cell>
          <cell r="AW5513">
            <v>400</v>
          </cell>
        </row>
        <row r="5514">
          <cell r="B5514">
            <v>8392</v>
          </cell>
          <cell r="C5514" t="str">
            <v>LD_19_</v>
          </cell>
          <cell r="D5514" t="str">
            <v>Rancho Landero No. 19</v>
          </cell>
          <cell r="E5514" t="str">
            <v>Jiménez Guadarrama</v>
          </cell>
          <cell r="F5514">
            <v>300</v>
          </cell>
          <cell r="G5514">
            <v>1</v>
          </cell>
          <cell r="H5514">
            <v>900</v>
          </cell>
          <cell r="I5514">
            <v>41958</v>
          </cell>
          <cell r="J5514">
            <v>0</v>
          </cell>
          <cell r="W5514">
            <v>0</v>
          </cell>
          <cell r="AJ5514">
            <v>0</v>
          </cell>
          <cell r="AS5514">
            <v>300</v>
          </cell>
          <cell r="AT5514">
            <v>300</v>
          </cell>
          <cell r="AU5514">
            <v>300</v>
          </cell>
          <cell r="AW5514">
            <v>900</v>
          </cell>
        </row>
        <row r="5515">
          <cell r="B5515">
            <v>8393</v>
          </cell>
          <cell r="C5515" t="str">
            <v>CL_75_</v>
          </cell>
          <cell r="D5515" t="str">
            <v>Rancho La Cuchilla No. 75</v>
          </cell>
          <cell r="E5515" t="str">
            <v>Sosa Lucio</v>
          </cell>
          <cell r="F5515">
            <v>300</v>
          </cell>
          <cell r="G5515">
            <v>1</v>
          </cell>
          <cell r="H5515">
            <v>800</v>
          </cell>
          <cell r="I5515">
            <v>41958</v>
          </cell>
          <cell r="J5515">
            <v>0</v>
          </cell>
          <cell r="W5515">
            <v>0</v>
          </cell>
          <cell r="AJ5515">
            <v>0</v>
          </cell>
          <cell r="AT5515">
            <v>400</v>
          </cell>
          <cell r="AU5515">
            <v>400</v>
          </cell>
          <cell r="AW5515">
            <v>800</v>
          </cell>
        </row>
        <row r="5516">
          <cell r="B5516">
            <v>8393</v>
          </cell>
          <cell r="C5516" t="str">
            <v>CL_75_</v>
          </cell>
          <cell r="D5516" t="str">
            <v>Rancho La Cuchilla No. 75</v>
          </cell>
          <cell r="E5516" t="str">
            <v>Sosa Lucio</v>
          </cell>
          <cell r="F5516">
            <v>300</v>
          </cell>
          <cell r="G5516">
            <v>5</v>
          </cell>
          <cell r="H5516">
            <v>100</v>
          </cell>
          <cell r="I5516">
            <v>41958</v>
          </cell>
          <cell r="J5516" t="str">
            <v>NO SUMA</v>
          </cell>
          <cell r="W5516">
            <v>0</v>
          </cell>
          <cell r="AJ5516">
            <v>0</v>
          </cell>
          <cell r="AW5516">
            <v>0</v>
          </cell>
        </row>
        <row r="5517">
          <cell r="B5517">
            <v>8394</v>
          </cell>
          <cell r="C5517" t="str">
            <v>LD_58_</v>
          </cell>
          <cell r="D5517" t="str">
            <v>Rancho Landero No. 58</v>
          </cell>
          <cell r="E5517" t="str">
            <v>Valero</v>
          </cell>
          <cell r="F5517">
            <v>300</v>
          </cell>
          <cell r="G5517">
            <v>1</v>
          </cell>
          <cell r="H5517">
            <v>400</v>
          </cell>
          <cell r="I5517">
            <v>41958</v>
          </cell>
          <cell r="J5517">
            <v>0</v>
          </cell>
          <cell r="W5517">
            <v>0</v>
          </cell>
          <cell r="AJ5517">
            <v>0</v>
          </cell>
          <cell r="AU5517">
            <v>400</v>
          </cell>
          <cell r="AW5517">
            <v>400</v>
          </cell>
        </row>
        <row r="5518">
          <cell r="B5518">
            <v>8394</v>
          </cell>
          <cell r="C5518" t="str">
            <v>LD_58_</v>
          </cell>
          <cell r="D5518" t="str">
            <v>Rancho Landero No. 58</v>
          </cell>
          <cell r="E5518" t="str">
            <v>Valero</v>
          </cell>
          <cell r="F5518">
            <v>300</v>
          </cell>
          <cell r="G5518">
            <v>5</v>
          </cell>
          <cell r="H5518">
            <v>20</v>
          </cell>
          <cell r="I5518">
            <v>41958</v>
          </cell>
          <cell r="J5518" t="str">
            <v>NO SUMA</v>
          </cell>
          <cell r="W5518">
            <v>0</v>
          </cell>
          <cell r="AJ5518">
            <v>0</v>
          </cell>
          <cell r="AW5518">
            <v>0</v>
          </cell>
        </row>
        <row r="5519">
          <cell r="B5519">
            <v>8395</v>
          </cell>
          <cell r="C5519" t="str">
            <v>EZ_139_</v>
          </cell>
          <cell r="D5519" t="str">
            <v>Rancho Estanzuela No. 139</v>
          </cell>
          <cell r="E5519" t="str">
            <v xml:space="preserve">Ortiz   </v>
          </cell>
          <cell r="F5519">
            <v>300</v>
          </cell>
          <cell r="G5519">
            <v>1</v>
          </cell>
          <cell r="H5519">
            <v>400</v>
          </cell>
          <cell r="I5519">
            <v>41958</v>
          </cell>
          <cell r="J5519">
            <v>0</v>
          </cell>
          <cell r="W5519">
            <v>0</v>
          </cell>
          <cell r="AJ5519">
            <v>0</v>
          </cell>
          <cell r="AS5519">
            <v>400</v>
          </cell>
          <cell r="AW5519">
            <v>400</v>
          </cell>
        </row>
        <row r="5520">
          <cell r="B5520">
            <v>8395</v>
          </cell>
          <cell r="C5520" t="str">
            <v>EZ_139_</v>
          </cell>
          <cell r="D5520" t="str">
            <v>Rancho Estanzuela No. 139</v>
          </cell>
          <cell r="E5520" t="str">
            <v xml:space="preserve">Ortiz   </v>
          </cell>
          <cell r="F5520">
            <v>300</v>
          </cell>
          <cell r="G5520">
            <v>5</v>
          </cell>
          <cell r="H5520">
            <v>20</v>
          </cell>
          <cell r="I5520">
            <v>41958</v>
          </cell>
          <cell r="J5520" t="str">
            <v>NO SUMA</v>
          </cell>
          <cell r="W5520">
            <v>0</v>
          </cell>
          <cell r="AJ5520">
            <v>0</v>
          </cell>
          <cell r="AW5520">
            <v>0</v>
          </cell>
        </row>
        <row r="5521">
          <cell r="B5521">
            <v>8396</v>
          </cell>
          <cell r="C5521" t="str">
            <v>UP_74_</v>
          </cell>
          <cell r="D5521" t="str">
            <v>Rancho Upácuaro No. 74</v>
          </cell>
          <cell r="E5521" t="str">
            <v>Flores</v>
          </cell>
          <cell r="F5521">
            <v>300</v>
          </cell>
          <cell r="G5521">
            <v>1</v>
          </cell>
          <cell r="H5521">
            <v>400</v>
          </cell>
          <cell r="I5521">
            <v>41961</v>
          </cell>
          <cell r="J5521">
            <v>0</v>
          </cell>
          <cell r="W5521">
            <v>0</v>
          </cell>
          <cell r="AJ5521">
            <v>0</v>
          </cell>
          <cell r="AU5521">
            <v>400</v>
          </cell>
          <cell r="AW5521">
            <v>400</v>
          </cell>
        </row>
        <row r="5522">
          <cell r="B5522">
            <v>8396</v>
          </cell>
          <cell r="C5522" t="str">
            <v>UP_74_</v>
          </cell>
          <cell r="D5522" t="str">
            <v>Rancho Upácuaro No. 74</v>
          </cell>
          <cell r="E5522" t="str">
            <v>Flores</v>
          </cell>
          <cell r="F5522">
            <v>300</v>
          </cell>
          <cell r="G5522">
            <v>5</v>
          </cell>
          <cell r="H5522">
            <v>80</v>
          </cell>
          <cell r="I5522">
            <v>41961</v>
          </cell>
          <cell r="J5522" t="str">
            <v>NO SUMA</v>
          </cell>
          <cell r="W5522">
            <v>0</v>
          </cell>
          <cell r="AJ5522">
            <v>0</v>
          </cell>
          <cell r="AW5522">
            <v>0</v>
          </cell>
        </row>
        <row r="5523">
          <cell r="B5523">
            <v>8397</v>
          </cell>
          <cell r="C5523" t="str">
            <v>LD_1_A</v>
          </cell>
          <cell r="D5523" t="str">
            <v>Rancho Landero No. 1, A</v>
          </cell>
          <cell r="E5523" t="str">
            <v>Ebysos</v>
          </cell>
          <cell r="F5523">
            <v>300</v>
          </cell>
          <cell r="G5523">
            <v>1</v>
          </cell>
          <cell r="H5523">
            <v>600</v>
          </cell>
          <cell r="I5523">
            <v>41963</v>
          </cell>
          <cell r="J5523">
            <v>0</v>
          </cell>
          <cell r="W5523">
            <v>0</v>
          </cell>
          <cell r="AJ5523">
            <v>0</v>
          </cell>
          <cell r="AT5523">
            <v>300</v>
          </cell>
          <cell r="AU5523">
            <v>300</v>
          </cell>
          <cell r="AW5523">
            <v>600</v>
          </cell>
        </row>
        <row r="5524">
          <cell r="B5524">
            <v>8398</v>
          </cell>
          <cell r="C5524" t="str">
            <v>UP_74_</v>
          </cell>
          <cell r="D5524" t="str">
            <v>Rancho Upácuaro No. 74</v>
          </cell>
          <cell r="E5524" t="str">
            <v>Flores</v>
          </cell>
          <cell r="F5524">
            <v>300</v>
          </cell>
          <cell r="G5524">
            <v>4</v>
          </cell>
          <cell r="H5524">
            <v>160</v>
          </cell>
          <cell r="I5524">
            <v>41964</v>
          </cell>
          <cell r="J5524" t="str">
            <v>NO SUMA</v>
          </cell>
          <cell r="W5524">
            <v>0</v>
          </cell>
          <cell r="AJ5524">
            <v>0</v>
          </cell>
          <cell r="AW5524">
            <v>0</v>
          </cell>
        </row>
        <row r="5525">
          <cell r="B5525">
            <v>8399</v>
          </cell>
          <cell r="C5525" t="str">
            <v>CL_117_</v>
          </cell>
          <cell r="D5525" t="str">
            <v>Rancho La Cuchilla No. 117</v>
          </cell>
          <cell r="E5525" t="str">
            <v>Gómez</v>
          </cell>
          <cell r="F5525">
            <v>300</v>
          </cell>
          <cell r="G5525">
            <v>1</v>
          </cell>
          <cell r="H5525">
            <v>400</v>
          </cell>
          <cell r="I5525">
            <v>41966</v>
          </cell>
          <cell r="J5525">
            <v>0</v>
          </cell>
          <cell r="W5525">
            <v>0</v>
          </cell>
          <cell r="AJ5525">
            <v>0</v>
          </cell>
          <cell r="AT5525">
            <v>400</v>
          </cell>
          <cell r="AW5525">
            <v>400</v>
          </cell>
        </row>
        <row r="5526">
          <cell r="B5526">
            <v>8400</v>
          </cell>
          <cell r="C5526" t="str">
            <v>LD_77_</v>
          </cell>
          <cell r="D5526" t="str">
            <v>Rancho Landero No. 77</v>
          </cell>
          <cell r="E5526" t="str">
            <v>Muñoz</v>
          </cell>
          <cell r="F5526">
            <v>300</v>
          </cell>
          <cell r="G5526">
            <v>1</v>
          </cell>
          <cell r="H5526">
            <v>800</v>
          </cell>
          <cell r="I5526">
            <v>41966</v>
          </cell>
          <cell r="J5526">
            <v>0</v>
          </cell>
          <cell r="W5526">
            <v>0</v>
          </cell>
          <cell r="AJ5526">
            <v>0</v>
          </cell>
          <cell r="AT5526">
            <v>400</v>
          </cell>
          <cell r="AU5526">
            <v>400</v>
          </cell>
          <cell r="AW5526">
            <v>800</v>
          </cell>
        </row>
        <row r="5527">
          <cell r="B5527">
            <v>8401</v>
          </cell>
          <cell r="C5527" t="str">
            <v>CL_127_</v>
          </cell>
          <cell r="D5527" t="str">
            <v>Rancho La Cuchilla No. 127</v>
          </cell>
          <cell r="E5527" t="str">
            <v>Quiñones</v>
          </cell>
          <cell r="F5527">
            <v>300</v>
          </cell>
          <cell r="G5527">
            <v>1</v>
          </cell>
          <cell r="H5527">
            <v>1200</v>
          </cell>
          <cell r="I5527">
            <v>41966</v>
          </cell>
          <cell r="J5527">
            <v>0</v>
          </cell>
          <cell r="W5527">
            <v>0</v>
          </cell>
          <cell r="AJ5527">
            <v>0</v>
          </cell>
          <cell r="AS5527">
            <v>400</v>
          </cell>
          <cell r="AT5527">
            <v>400</v>
          </cell>
          <cell r="AU5527">
            <v>400</v>
          </cell>
          <cell r="AW5527">
            <v>1200</v>
          </cell>
        </row>
        <row r="5528">
          <cell r="B5528">
            <v>8402</v>
          </cell>
          <cell r="C5528" t="str">
            <v>CL_132_</v>
          </cell>
          <cell r="D5528" t="str">
            <v>Rancho La Cuchilla No. 132</v>
          </cell>
          <cell r="E5528" t="str">
            <v>Téllez Girón</v>
          </cell>
          <cell r="F5528">
            <v>300</v>
          </cell>
          <cell r="G5528">
            <v>1</v>
          </cell>
          <cell r="H5528">
            <v>300</v>
          </cell>
          <cell r="I5528">
            <v>41966</v>
          </cell>
          <cell r="J5528">
            <v>0</v>
          </cell>
          <cell r="W5528">
            <v>0</v>
          </cell>
          <cell r="AJ5528">
            <v>0</v>
          </cell>
          <cell r="AU5528">
            <v>300</v>
          </cell>
          <cell r="AW5528">
            <v>300</v>
          </cell>
        </row>
        <row r="5529">
          <cell r="B5529">
            <v>8403</v>
          </cell>
          <cell r="C5529" t="str">
            <v>LD_47_</v>
          </cell>
          <cell r="D5529" t="str">
            <v>Rancho Landero No. 47</v>
          </cell>
          <cell r="E5529" t="str">
            <v>García González</v>
          </cell>
          <cell r="F5529">
            <v>300</v>
          </cell>
          <cell r="G5529">
            <v>5</v>
          </cell>
          <cell r="H5529">
            <v>20</v>
          </cell>
          <cell r="I5529">
            <v>41966</v>
          </cell>
          <cell r="J5529" t="str">
            <v>NO SUMA</v>
          </cell>
          <cell r="W5529">
            <v>0</v>
          </cell>
          <cell r="AJ5529">
            <v>0</v>
          </cell>
          <cell r="AW5529">
            <v>0</v>
          </cell>
        </row>
        <row r="5530">
          <cell r="B5530">
            <v>8404</v>
          </cell>
          <cell r="C5530" t="str">
            <v>UP_54_</v>
          </cell>
          <cell r="D5530" t="str">
            <v>Rancho Upácuaro No. 54</v>
          </cell>
          <cell r="E5530" t="str">
            <v>García Rueda</v>
          </cell>
          <cell r="F5530">
            <v>200</v>
          </cell>
          <cell r="G5530">
            <v>1</v>
          </cell>
          <cell r="H5530">
            <v>400</v>
          </cell>
          <cell r="I5530">
            <v>41966</v>
          </cell>
          <cell r="J5530">
            <v>0</v>
          </cell>
          <cell r="W5530">
            <v>0</v>
          </cell>
          <cell r="AJ5530">
            <v>0</v>
          </cell>
          <cell r="AU5530">
            <v>200</v>
          </cell>
          <cell r="AV5530">
            <v>200</v>
          </cell>
          <cell r="AW5530">
            <v>400</v>
          </cell>
        </row>
        <row r="5531">
          <cell r="B5531">
            <v>8405</v>
          </cell>
          <cell r="C5531" t="str">
            <v>ZB_82_</v>
          </cell>
          <cell r="D5531" t="str">
            <v>Rancho Zinamba No. 82</v>
          </cell>
          <cell r="E5531" t="str">
            <v>Morán Carmona</v>
          </cell>
          <cell r="F5531">
            <v>150</v>
          </cell>
          <cell r="G5531">
            <v>5</v>
          </cell>
          <cell r="H5531">
            <v>80</v>
          </cell>
          <cell r="I5531">
            <v>41966</v>
          </cell>
          <cell r="J5531" t="str">
            <v>NO SUMA</v>
          </cell>
          <cell r="W5531">
            <v>0</v>
          </cell>
          <cell r="AJ5531">
            <v>0</v>
          </cell>
          <cell r="AW5531">
            <v>0</v>
          </cell>
        </row>
        <row r="5532">
          <cell r="B5532">
            <v>8406</v>
          </cell>
          <cell r="C5532" t="str">
            <v>CL_19_</v>
          </cell>
          <cell r="D5532" t="str">
            <v>Rancho La Cuchilla No. 19</v>
          </cell>
          <cell r="E5532" t="str">
            <v>Tapia Vázquez</v>
          </cell>
          <cell r="F5532">
            <v>300</v>
          </cell>
          <cell r="G5532">
            <v>1</v>
          </cell>
          <cell r="H5532">
            <v>300</v>
          </cell>
          <cell r="I5532">
            <v>41966</v>
          </cell>
          <cell r="J5532">
            <v>0</v>
          </cell>
          <cell r="W5532">
            <v>0</v>
          </cell>
          <cell r="AJ5532">
            <v>0</v>
          </cell>
          <cell r="AU5532">
            <v>300</v>
          </cell>
          <cell r="AW5532">
            <v>300</v>
          </cell>
        </row>
        <row r="5533">
          <cell r="B5533">
            <v>8407</v>
          </cell>
          <cell r="C5533" t="str">
            <v>CL_117_</v>
          </cell>
          <cell r="D5533" t="str">
            <v>Rancho La Cuchilla No. 117</v>
          </cell>
          <cell r="E5533" t="str">
            <v>Gómez</v>
          </cell>
          <cell r="F5533">
            <v>300</v>
          </cell>
          <cell r="G5533">
            <v>1</v>
          </cell>
          <cell r="H5533">
            <v>400</v>
          </cell>
          <cell r="I5533">
            <v>41966</v>
          </cell>
          <cell r="J5533">
            <v>0</v>
          </cell>
          <cell r="W5533">
            <v>0</v>
          </cell>
          <cell r="AJ5533">
            <v>0</v>
          </cell>
          <cell r="AU5533">
            <v>400</v>
          </cell>
          <cell r="AW5533">
            <v>400</v>
          </cell>
        </row>
        <row r="5534">
          <cell r="B5534">
            <v>8408</v>
          </cell>
          <cell r="C5534" t="str">
            <v>UP_87_</v>
          </cell>
          <cell r="D5534" t="str">
            <v>Rancho Upácuaro No. 87</v>
          </cell>
          <cell r="E5534" t="str">
            <v>Rodríguez Parés</v>
          </cell>
          <cell r="F5534">
            <v>300</v>
          </cell>
          <cell r="G5534">
            <v>1</v>
          </cell>
          <cell r="H5534">
            <v>400</v>
          </cell>
          <cell r="I5534">
            <v>41966</v>
          </cell>
          <cell r="J5534">
            <v>0</v>
          </cell>
          <cell r="W5534">
            <v>0</v>
          </cell>
          <cell r="AJ5534">
            <v>0</v>
          </cell>
          <cell r="AU5534">
            <v>400</v>
          </cell>
          <cell r="AW5534">
            <v>400</v>
          </cell>
        </row>
        <row r="5535">
          <cell r="B5535">
            <v>8409</v>
          </cell>
          <cell r="C5535" t="str">
            <v>LD_90_</v>
          </cell>
          <cell r="D5535" t="str">
            <v>Rancho Landero No. 90</v>
          </cell>
          <cell r="E5535" t="str">
            <v>Córdova Reséndiz</v>
          </cell>
          <cell r="F5535">
            <v>300</v>
          </cell>
          <cell r="G5535">
            <v>1</v>
          </cell>
          <cell r="H5535">
            <v>300</v>
          </cell>
          <cell r="I5535">
            <v>41966</v>
          </cell>
          <cell r="J5535">
            <v>0</v>
          </cell>
          <cell r="W5535">
            <v>0</v>
          </cell>
          <cell r="AJ5535">
            <v>0</v>
          </cell>
          <cell r="AU5535">
            <v>300</v>
          </cell>
          <cell r="AW5535">
            <v>300</v>
          </cell>
        </row>
        <row r="5536">
          <cell r="B5536">
            <v>8410</v>
          </cell>
          <cell r="C5536" t="str">
            <v>RM_23_A</v>
          </cell>
          <cell r="D5536" t="str">
            <v>Rancho Romeral No. 23, A</v>
          </cell>
          <cell r="E5536" t="str">
            <v>Miranda</v>
          </cell>
          <cell r="F5536">
            <v>300</v>
          </cell>
          <cell r="G5536">
            <v>5</v>
          </cell>
          <cell r="H5536">
            <v>40</v>
          </cell>
          <cell r="I5536">
            <v>41966</v>
          </cell>
          <cell r="J5536" t="str">
            <v>NO SUMA</v>
          </cell>
          <cell r="W5536">
            <v>0</v>
          </cell>
          <cell r="AJ5536">
            <v>0</v>
          </cell>
          <cell r="AW5536">
            <v>0</v>
          </cell>
        </row>
        <row r="5537">
          <cell r="B5537">
            <v>8411</v>
          </cell>
          <cell r="C5537" t="str">
            <v>LD_10_</v>
          </cell>
          <cell r="D5537" t="str">
            <v>Rancho Landero No. 10</v>
          </cell>
          <cell r="E5537" t="str">
            <v>Gómez Facio</v>
          </cell>
          <cell r="F5537">
            <v>300</v>
          </cell>
          <cell r="G5537">
            <v>5</v>
          </cell>
          <cell r="H5537">
            <v>40</v>
          </cell>
          <cell r="I5537">
            <v>41966</v>
          </cell>
          <cell r="J5537" t="str">
            <v>NO SUMA</v>
          </cell>
          <cell r="W5537">
            <v>0</v>
          </cell>
          <cell r="AJ5537">
            <v>0</v>
          </cell>
          <cell r="AW5537">
            <v>0</v>
          </cell>
        </row>
        <row r="5538">
          <cell r="B5538">
            <v>8412</v>
          </cell>
          <cell r="C5538" t="str">
            <v>EZ_133_</v>
          </cell>
          <cell r="D5538" t="str">
            <v>Rancho Estanzuela No. 133</v>
          </cell>
          <cell r="E5538" t="str">
            <v>Hernández Salazar</v>
          </cell>
          <cell r="F5538">
            <v>250</v>
          </cell>
          <cell r="G5538">
            <v>1</v>
          </cell>
          <cell r="H5538">
            <v>600</v>
          </cell>
          <cell r="I5538">
            <v>41966</v>
          </cell>
          <cell r="J5538">
            <v>0</v>
          </cell>
          <cell r="W5538">
            <v>0</v>
          </cell>
          <cell r="AJ5538">
            <v>0</v>
          </cell>
          <cell r="AS5538">
            <v>300</v>
          </cell>
          <cell r="AT5538">
            <v>300</v>
          </cell>
          <cell r="AW5538">
            <v>600</v>
          </cell>
        </row>
        <row r="5539">
          <cell r="B5539">
            <v>8413</v>
          </cell>
          <cell r="C5539" t="str">
            <v>EZ_77_</v>
          </cell>
          <cell r="D5539" t="str">
            <v>Rancho Estanzuela No. 77</v>
          </cell>
          <cell r="E5539" t="str">
            <v>De la Rosa Rico</v>
          </cell>
          <cell r="F5539">
            <v>300</v>
          </cell>
          <cell r="G5539">
            <v>1</v>
          </cell>
          <cell r="H5539">
            <v>400</v>
          </cell>
          <cell r="I5539">
            <v>41966</v>
          </cell>
          <cell r="J5539">
            <v>0</v>
          </cell>
          <cell r="W5539">
            <v>0</v>
          </cell>
          <cell r="AJ5539">
            <v>0</v>
          </cell>
          <cell r="AT5539">
            <v>400</v>
          </cell>
          <cell r="AW5539">
            <v>400</v>
          </cell>
        </row>
        <row r="5540">
          <cell r="B5540">
            <v>8414</v>
          </cell>
          <cell r="C5540" t="str">
            <v>UP_21_</v>
          </cell>
          <cell r="D5540" t="str">
            <v>Rancho Upácuaro No. 21</v>
          </cell>
          <cell r="E5540" t="str">
            <v>Fierro Betancourt</v>
          </cell>
          <cell r="F5540">
            <v>150</v>
          </cell>
          <cell r="G5540">
            <v>1</v>
          </cell>
          <cell r="H5540">
            <v>200</v>
          </cell>
          <cell r="I5540">
            <v>41966</v>
          </cell>
          <cell r="J5540">
            <v>0</v>
          </cell>
          <cell r="W5540">
            <v>0</v>
          </cell>
          <cell r="AJ5540">
            <v>0</v>
          </cell>
          <cell r="AU5540">
            <v>200</v>
          </cell>
          <cell r="AW5540">
            <v>200</v>
          </cell>
        </row>
        <row r="5541">
          <cell r="B5541">
            <v>8415</v>
          </cell>
          <cell r="C5541" t="str">
            <v>UP_108_</v>
          </cell>
          <cell r="D5541" t="str">
            <v>Rancho Upácuaro No. 108</v>
          </cell>
          <cell r="E5541" t="str">
            <v>Mejía</v>
          </cell>
          <cell r="F5541">
            <v>300</v>
          </cell>
          <cell r="G5541">
            <v>1</v>
          </cell>
          <cell r="H5541">
            <v>300</v>
          </cell>
          <cell r="I5541">
            <v>41966</v>
          </cell>
          <cell r="J5541">
            <v>0</v>
          </cell>
          <cell r="W5541">
            <v>0</v>
          </cell>
          <cell r="AJ5541">
            <v>0</v>
          </cell>
          <cell r="AT5541">
            <v>300</v>
          </cell>
          <cell r="AW5541">
            <v>300</v>
          </cell>
        </row>
        <row r="5542">
          <cell r="B5542">
            <v>8416</v>
          </cell>
          <cell r="C5542" t="str">
            <v>ZB_24_</v>
          </cell>
          <cell r="D5542" t="str">
            <v>Rancho Zinamba No. 24</v>
          </cell>
          <cell r="E5542" t="str">
            <v>Monroy García</v>
          </cell>
          <cell r="F5542">
            <v>300</v>
          </cell>
          <cell r="G5542">
            <v>1</v>
          </cell>
          <cell r="H5542">
            <v>400</v>
          </cell>
          <cell r="I5542">
            <v>41966</v>
          </cell>
          <cell r="J5542">
            <v>0</v>
          </cell>
          <cell r="W5542">
            <v>0</v>
          </cell>
          <cell r="AJ5542">
            <v>0</v>
          </cell>
          <cell r="AU5542">
            <v>400</v>
          </cell>
          <cell r="AW5542">
            <v>400</v>
          </cell>
        </row>
        <row r="5543">
          <cell r="B5543">
            <v>8417</v>
          </cell>
          <cell r="C5543" t="str">
            <v>LD_93_</v>
          </cell>
          <cell r="D5543" t="str">
            <v>Rancho Landero No. 93</v>
          </cell>
          <cell r="E5543" t="str">
            <v>Ortega López</v>
          </cell>
          <cell r="F5543">
            <v>300</v>
          </cell>
          <cell r="G5543">
            <v>1</v>
          </cell>
          <cell r="H5543">
            <v>1600</v>
          </cell>
          <cell r="I5543">
            <v>41966</v>
          </cell>
          <cell r="J5543">
            <v>0</v>
          </cell>
          <cell r="W5543">
            <v>0</v>
          </cell>
          <cell r="AJ5543">
            <v>0</v>
          </cell>
          <cell r="AR5543">
            <v>400</v>
          </cell>
          <cell r="AS5543">
            <v>400</v>
          </cell>
          <cell r="AT5543">
            <v>400</v>
          </cell>
          <cell r="AU5543">
            <v>400</v>
          </cell>
          <cell r="AW5543">
            <v>1600</v>
          </cell>
        </row>
        <row r="5544">
          <cell r="B5544">
            <v>8417</v>
          </cell>
          <cell r="C5544" t="str">
            <v>LD_93_</v>
          </cell>
          <cell r="D5544" t="str">
            <v>Rancho Landero No. 93</v>
          </cell>
          <cell r="E5544" t="str">
            <v>Ortega López</v>
          </cell>
          <cell r="F5544">
            <v>300</v>
          </cell>
          <cell r="G5544">
            <v>5</v>
          </cell>
          <cell r="H5544">
            <v>60</v>
          </cell>
          <cell r="I5544">
            <v>41966</v>
          </cell>
          <cell r="J5544" t="str">
            <v>NO SUMA</v>
          </cell>
          <cell r="W5544">
            <v>0</v>
          </cell>
          <cell r="AJ5544">
            <v>0</v>
          </cell>
          <cell r="AW5544">
            <v>0</v>
          </cell>
        </row>
        <row r="5545">
          <cell r="B5545">
            <v>8418</v>
          </cell>
          <cell r="C5545" t="str">
            <v>CL_7_202</v>
          </cell>
          <cell r="D5545" t="str">
            <v>Rancho La Cuchilla No. 7, 202</v>
          </cell>
          <cell r="E5545" t="str">
            <v>Carbajal Zayas</v>
          </cell>
          <cell r="F5545">
            <v>100</v>
          </cell>
          <cell r="G5545">
            <v>1</v>
          </cell>
          <cell r="H5545">
            <v>200</v>
          </cell>
          <cell r="I5545">
            <v>41966</v>
          </cell>
          <cell r="J5545">
            <v>0</v>
          </cell>
          <cell r="W5545">
            <v>0</v>
          </cell>
          <cell r="AJ5545">
            <v>0</v>
          </cell>
          <cell r="AT5545">
            <v>100</v>
          </cell>
          <cell r="AU5545">
            <v>100</v>
          </cell>
          <cell r="AW5545">
            <v>200</v>
          </cell>
        </row>
        <row r="5546">
          <cell r="B5546">
            <v>8419</v>
          </cell>
          <cell r="C5546" t="str">
            <v>CL_54_</v>
          </cell>
          <cell r="D5546" t="str">
            <v>Rancho La Cuchilla No. 54</v>
          </cell>
          <cell r="E5546" t="str">
            <v>Mendoza León</v>
          </cell>
          <cell r="F5546">
            <v>300</v>
          </cell>
          <cell r="G5546">
            <v>1</v>
          </cell>
          <cell r="H5546">
            <v>400</v>
          </cell>
          <cell r="I5546">
            <v>41966</v>
          </cell>
          <cell r="J5546">
            <v>0</v>
          </cell>
          <cell r="W5546">
            <v>0</v>
          </cell>
          <cell r="AJ5546">
            <v>0</v>
          </cell>
          <cell r="AU5546">
            <v>400</v>
          </cell>
          <cell r="AW5546">
            <v>400</v>
          </cell>
        </row>
        <row r="5547">
          <cell r="B5547">
            <v>8420</v>
          </cell>
          <cell r="C5547" t="str">
            <v>EZ_11_A</v>
          </cell>
          <cell r="D5547" t="str">
            <v>Rancho Estanzuela No. 11, A</v>
          </cell>
          <cell r="E5547" t="str">
            <v>Evans González</v>
          </cell>
          <cell r="F5547">
            <v>300</v>
          </cell>
          <cell r="G5547">
            <v>1</v>
          </cell>
          <cell r="H5547">
            <v>600</v>
          </cell>
          <cell r="I5547">
            <v>41966</v>
          </cell>
          <cell r="J5547">
            <v>0</v>
          </cell>
          <cell r="W5547">
            <v>0</v>
          </cell>
          <cell r="AJ5547">
            <v>0</v>
          </cell>
          <cell r="AT5547">
            <v>300</v>
          </cell>
          <cell r="AU5547">
            <v>300</v>
          </cell>
          <cell r="AW5547">
            <v>600</v>
          </cell>
        </row>
        <row r="5548">
          <cell r="B5548">
            <v>8420</v>
          </cell>
          <cell r="C5548" t="str">
            <v>EZ_11_A</v>
          </cell>
          <cell r="D5548" t="str">
            <v>Rancho Estanzuela No. 11, A</v>
          </cell>
          <cell r="E5548" t="str">
            <v>Evans González</v>
          </cell>
          <cell r="F5548">
            <v>300</v>
          </cell>
          <cell r="G5548">
            <v>5</v>
          </cell>
          <cell r="H5548">
            <v>20</v>
          </cell>
          <cell r="I5548">
            <v>41966</v>
          </cell>
          <cell r="J5548" t="str">
            <v>NO SUMA</v>
          </cell>
          <cell r="W5548">
            <v>0</v>
          </cell>
          <cell r="AJ5548">
            <v>0</v>
          </cell>
          <cell r="AW5548">
            <v>0</v>
          </cell>
        </row>
        <row r="5549">
          <cell r="B5549">
            <v>8421</v>
          </cell>
          <cell r="C5549" t="str">
            <v>RM_9_A</v>
          </cell>
          <cell r="D5549" t="str">
            <v>Rancho Romeral No. 9, A</v>
          </cell>
          <cell r="E5549" t="str">
            <v>Quiñones Hernández</v>
          </cell>
          <cell r="F5549">
            <v>300</v>
          </cell>
          <cell r="G5549">
            <v>5</v>
          </cell>
          <cell r="H5549">
            <v>40</v>
          </cell>
          <cell r="I5549">
            <v>41966</v>
          </cell>
          <cell r="J5549" t="str">
            <v>NO SUMA</v>
          </cell>
          <cell r="W5549">
            <v>0</v>
          </cell>
          <cell r="AJ5549">
            <v>0</v>
          </cell>
          <cell r="AW5549">
            <v>0</v>
          </cell>
        </row>
        <row r="5550">
          <cell r="B5550">
            <v>8422</v>
          </cell>
          <cell r="C5550" t="str">
            <v>CL_94_</v>
          </cell>
          <cell r="D5550" t="str">
            <v>Rancho La Cuchilla No. 94</v>
          </cell>
          <cell r="E5550" t="str">
            <v>Sánchez Márquez</v>
          </cell>
          <cell r="F5550">
            <v>300</v>
          </cell>
          <cell r="G5550">
            <v>1</v>
          </cell>
          <cell r="H5550">
            <v>400</v>
          </cell>
          <cell r="I5550">
            <v>41966</v>
          </cell>
          <cell r="J5550">
            <v>0</v>
          </cell>
          <cell r="W5550">
            <v>0</v>
          </cell>
          <cell r="AJ5550">
            <v>0</v>
          </cell>
          <cell r="AU5550">
            <v>400</v>
          </cell>
          <cell r="AW5550">
            <v>400</v>
          </cell>
        </row>
        <row r="5551">
          <cell r="B5551">
            <v>8423</v>
          </cell>
          <cell r="C5551" t="str">
            <v>LD_22_</v>
          </cell>
          <cell r="D5551" t="str">
            <v>Rancho Landero No. 22</v>
          </cell>
          <cell r="E5551" t="str">
            <v>Reyes</v>
          </cell>
          <cell r="F5551">
            <v>150</v>
          </cell>
          <cell r="G5551">
            <v>1</v>
          </cell>
          <cell r="H5551">
            <v>400</v>
          </cell>
          <cell r="I5551">
            <v>41966</v>
          </cell>
          <cell r="J5551">
            <v>0</v>
          </cell>
          <cell r="W5551">
            <v>0</v>
          </cell>
          <cell r="AJ5551">
            <v>0</v>
          </cell>
          <cell r="AU5551">
            <v>400</v>
          </cell>
          <cell r="AW5551">
            <v>400</v>
          </cell>
        </row>
        <row r="5552">
          <cell r="B5552">
            <v>8423</v>
          </cell>
          <cell r="C5552" t="str">
            <v>LD_22_</v>
          </cell>
          <cell r="D5552" t="str">
            <v>Rancho Landero No. 22</v>
          </cell>
          <cell r="E5552" t="str">
            <v>Reyes</v>
          </cell>
          <cell r="F5552">
            <v>150</v>
          </cell>
          <cell r="G5552">
            <v>5</v>
          </cell>
          <cell r="H5552">
            <v>20</v>
          </cell>
          <cell r="I5552">
            <v>41966</v>
          </cell>
          <cell r="J5552" t="str">
            <v>NO SUMA</v>
          </cell>
          <cell r="W5552">
            <v>0</v>
          </cell>
          <cell r="AJ5552">
            <v>0</v>
          </cell>
          <cell r="AW5552">
            <v>0</v>
          </cell>
        </row>
        <row r="5553">
          <cell r="B5553">
            <v>8424</v>
          </cell>
          <cell r="C5553" t="str">
            <v>EZ_63_</v>
          </cell>
          <cell r="D5553" t="str">
            <v>Rancho Estanzuela No. 63</v>
          </cell>
          <cell r="E5553" t="str">
            <v>Mendoza Q.</v>
          </cell>
          <cell r="F5553">
            <v>200</v>
          </cell>
          <cell r="G5553">
            <v>5</v>
          </cell>
          <cell r="H5553">
            <v>80</v>
          </cell>
          <cell r="I5553">
            <v>41966</v>
          </cell>
          <cell r="J5553" t="str">
            <v>NO SUMA</v>
          </cell>
          <cell r="W5553">
            <v>0</v>
          </cell>
          <cell r="AJ5553">
            <v>0</v>
          </cell>
          <cell r="AW5553">
            <v>0</v>
          </cell>
        </row>
        <row r="5554">
          <cell r="B5554">
            <v>8425</v>
          </cell>
          <cell r="C5554" t="str">
            <v>LD_2_3</v>
          </cell>
          <cell r="D5554" t="str">
            <v>Rancho Landero No. 2, 3</v>
          </cell>
          <cell r="E5554" t="str">
            <v>Pineda Laura</v>
          </cell>
          <cell r="F5554">
            <v>150</v>
          </cell>
          <cell r="G5554">
            <v>1</v>
          </cell>
          <cell r="H5554">
            <v>600</v>
          </cell>
          <cell r="I5554">
            <v>41967</v>
          </cell>
          <cell r="J5554">
            <v>0</v>
          </cell>
          <cell r="W5554">
            <v>0</v>
          </cell>
          <cell r="AJ5554">
            <v>0</v>
          </cell>
          <cell r="AR5554">
            <v>150</v>
          </cell>
          <cell r="AS5554">
            <v>150</v>
          </cell>
          <cell r="AT5554">
            <v>150</v>
          </cell>
          <cell r="AU5554">
            <v>150</v>
          </cell>
          <cell r="AW5554">
            <v>600</v>
          </cell>
        </row>
        <row r="5555">
          <cell r="B5555">
            <v>8426</v>
          </cell>
          <cell r="C5555" t="str">
            <v>LD_2_3</v>
          </cell>
          <cell r="D5555" t="str">
            <v>Rancho Landero No. 2, 3</v>
          </cell>
          <cell r="E5555" t="str">
            <v>Pineda Laura</v>
          </cell>
          <cell r="F5555">
            <v>150</v>
          </cell>
          <cell r="G5555">
            <v>5</v>
          </cell>
          <cell r="H5555">
            <v>20</v>
          </cell>
          <cell r="I5555">
            <v>41967</v>
          </cell>
          <cell r="J5555" t="str">
            <v>NO SUMA</v>
          </cell>
          <cell r="W5555">
            <v>0</v>
          </cell>
          <cell r="AJ5555">
            <v>0</v>
          </cell>
          <cell r="AW5555">
            <v>0</v>
          </cell>
        </row>
        <row r="5556">
          <cell r="B5556">
            <v>8427</v>
          </cell>
          <cell r="C5556" t="str">
            <v>EZ_103_A</v>
          </cell>
          <cell r="D5556" t="str">
            <v>Rancho Estanzuela No. 103, A</v>
          </cell>
          <cell r="E5556" t="str">
            <v>Valencia Aranda</v>
          </cell>
          <cell r="F5556">
            <v>300</v>
          </cell>
          <cell r="G5556">
            <v>1</v>
          </cell>
          <cell r="H5556">
            <v>200</v>
          </cell>
          <cell r="I5556">
            <v>41967</v>
          </cell>
          <cell r="J5556">
            <v>0</v>
          </cell>
          <cell r="W5556">
            <v>0</v>
          </cell>
          <cell r="AJ5556">
            <v>0</v>
          </cell>
          <cell r="AU5556">
            <v>200</v>
          </cell>
          <cell r="AW5556">
            <v>200</v>
          </cell>
        </row>
        <row r="5557">
          <cell r="B5557">
            <v>8427</v>
          </cell>
          <cell r="C5557" t="str">
            <v>EZ_103_A</v>
          </cell>
          <cell r="D5557" t="str">
            <v>Rancho Estanzuela No. 103, A</v>
          </cell>
          <cell r="E5557" t="str">
            <v>Valencia Aranda</v>
          </cell>
          <cell r="F5557">
            <v>300</v>
          </cell>
          <cell r="G5557">
            <v>5</v>
          </cell>
          <cell r="H5557">
            <v>40</v>
          </cell>
          <cell r="I5557">
            <v>41967</v>
          </cell>
          <cell r="J5557" t="str">
            <v>NO SUMA</v>
          </cell>
          <cell r="W5557">
            <v>0</v>
          </cell>
          <cell r="AJ5557">
            <v>0</v>
          </cell>
          <cell r="AW5557">
            <v>0</v>
          </cell>
        </row>
        <row r="5558">
          <cell r="B5558">
            <v>8428</v>
          </cell>
          <cell r="C5558" t="str">
            <v>CM_130_A</v>
          </cell>
          <cell r="D5558" t="str">
            <v>Rancho Estanzuela No. 130, A</v>
          </cell>
          <cell r="E5558" t="str">
            <v>Colegio Carmel</v>
          </cell>
          <cell r="F5558">
            <v>10000</v>
          </cell>
          <cell r="G5558">
            <v>3</v>
          </cell>
          <cell r="H5558">
            <v>160</v>
          </cell>
          <cell r="I5558">
            <v>41969</v>
          </cell>
          <cell r="J5558" t="str">
            <v>NO SUMA</v>
          </cell>
          <cell r="W5558">
            <v>0</v>
          </cell>
          <cell r="AJ5558">
            <v>0</v>
          </cell>
          <cell r="AW5558">
            <v>0</v>
          </cell>
        </row>
        <row r="5559">
          <cell r="B5559">
            <v>8429</v>
          </cell>
          <cell r="C5559" t="str">
            <v>RV_3_</v>
          </cell>
          <cell r="D5559" t="str">
            <v>Rancho Recoveco No. 3</v>
          </cell>
          <cell r="E5559" t="str">
            <v>Garduño</v>
          </cell>
          <cell r="F5559">
            <v>300</v>
          </cell>
          <cell r="G5559">
            <v>1</v>
          </cell>
          <cell r="H5559">
            <v>600</v>
          </cell>
          <cell r="I5559">
            <v>41971</v>
          </cell>
          <cell r="J5559">
            <v>0</v>
          </cell>
          <cell r="W5559">
            <v>0</v>
          </cell>
          <cell r="AJ5559">
            <v>0</v>
          </cell>
          <cell r="AU5559">
            <v>300</v>
          </cell>
          <cell r="AV5559">
            <v>300</v>
          </cell>
          <cell r="AW5559">
            <v>600</v>
          </cell>
        </row>
        <row r="5560">
          <cell r="B5560">
            <v>8429</v>
          </cell>
          <cell r="C5560" t="str">
            <v>RV_3_</v>
          </cell>
          <cell r="D5560" t="str">
            <v>Rancho Recoveco No. 3</v>
          </cell>
          <cell r="E5560" t="str">
            <v>Garduño</v>
          </cell>
          <cell r="F5560">
            <v>300</v>
          </cell>
          <cell r="G5560">
            <v>5</v>
          </cell>
          <cell r="H5560">
            <v>80</v>
          </cell>
          <cell r="I5560">
            <v>41971</v>
          </cell>
          <cell r="J5560" t="str">
            <v>NO SUMA</v>
          </cell>
          <cell r="W5560">
            <v>0</v>
          </cell>
          <cell r="AJ5560">
            <v>0</v>
          </cell>
          <cell r="AW5560">
            <v>0</v>
          </cell>
        </row>
        <row r="5561">
          <cell r="B5561">
            <v>8430</v>
          </cell>
          <cell r="C5561" t="str">
            <v>ZB_82_</v>
          </cell>
          <cell r="D5561" t="str">
            <v>Rancho Zinamba No. 82</v>
          </cell>
          <cell r="E5561" t="str">
            <v>Morán Carmona</v>
          </cell>
          <cell r="F5561">
            <v>150</v>
          </cell>
          <cell r="G5561">
            <v>1</v>
          </cell>
          <cell r="H5561">
            <v>1000</v>
          </cell>
          <cell r="I5561">
            <v>41973</v>
          </cell>
          <cell r="J5561">
            <v>0</v>
          </cell>
          <cell r="W5561">
            <v>0</v>
          </cell>
          <cell r="AJ5561">
            <v>0</v>
          </cell>
          <cell r="AQ5561">
            <v>200</v>
          </cell>
          <cell r="AR5561">
            <v>200</v>
          </cell>
          <cell r="AS5561">
            <v>200</v>
          </cell>
          <cell r="AT5561">
            <v>200</v>
          </cell>
          <cell r="AU5561">
            <v>200</v>
          </cell>
          <cell r="AW5561">
            <v>1000</v>
          </cell>
        </row>
        <row r="5562">
          <cell r="B5562">
            <v>8431</v>
          </cell>
          <cell r="C5562" t="str">
            <v>CL_107_</v>
          </cell>
          <cell r="D5562" t="str">
            <v>Rancho La Cuchilla No. 107</v>
          </cell>
          <cell r="E5562" t="str">
            <v>Olivares Rivera</v>
          </cell>
          <cell r="F5562">
            <v>300</v>
          </cell>
          <cell r="G5562">
            <v>1</v>
          </cell>
          <cell r="H5562">
            <v>400</v>
          </cell>
          <cell r="I5562">
            <v>41973</v>
          </cell>
          <cell r="J5562">
            <v>0</v>
          </cell>
          <cell r="W5562">
            <v>0</v>
          </cell>
          <cell r="AJ5562">
            <v>0</v>
          </cell>
          <cell r="AU5562">
            <v>400</v>
          </cell>
          <cell r="AW5562">
            <v>400</v>
          </cell>
        </row>
        <row r="5563">
          <cell r="B5563">
            <v>8432</v>
          </cell>
          <cell r="C5563" t="str">
            <v>LD_71_</v>
          </cell>
          <cell r="D5563" t="str">
            <v>Rancho Landero No. 71</v>
          </cell>
          <cell r="E5563" t="str">
            <v>Cabrera Balcázar</v>
          </cell>
          <cell r="F5563">
            <v>300</v>
          </cell>
          <cell r="G5563">
            <v>1</v>
          </cell>
          <cell r="H5563">
            <v>400</v>
          </cell>
          <cell r="I5563">
            <v>41973</v>
          </cell>
          <cell r="J5563">
            <v>0</v>
          </cell>
          <cell r="W5563">
            <v>0</v>
          </cell>
          <cell r="AJ5563">
            <v>0</v>
          </cell>
          <cell r="AV5563">
            <v>400</v>
          </cell>
          <cell r="AW5563">
            <v>400</v>
          </cell>
        </row>
        <row r="5564">
          <cell r="B5564">
            <v>8433</v>
          </cell>
          <cell r="C5564" t="str">
            <v>UP_146_</v>
          </cell>
          <cell r="D5564" t="str">
            <v>Rancho Upácuaro No. 146</v>
          </cell>
          <cell r="E5564" t="str">
            <v>Islas</v>
          </cell>
          <cell r="F5564">
            <v>300</v>
          </cell>
          <cell r="G5564">
            <v>1</v>
          </cell>
          <cell r="H5564">
            <v>800</v>
          </cell>
          <cell r="I5564">
            <v>41973</v>
          </cell>
          <cell r="J5564">
            <v>0</v>
          </cell>
          <cell r="W5564">
            <v>0</v>
          </cell>
          <cell r="AJ5564">
            <v>0</v>
          </cell>
          <cell r="AT5564">
            <v>400</v>
          </cell>
          <cell r="AU5564">
            <v>400</v>
          </cell>
          <cell r="AW5564">
            <v>800</v>
          </cell>
        </row>
        <row r="5565">
          <cell r="B5565">
            <v>8434</v>
          </cell>
          <cell r="C5565" t="str">
            <v>CL_139_</v>
          </cell>
          <cell r="D5565" t="str">
            <v>Rancho La Cuchilla No. 139</v>
          </cell>
          <cell r="E5565" t="str">
            <v>Garcia</v>
          </cell>
          <cell r="F5565">
            <v>200</v>
          </cell>
          <cell r="G5565">
            <v>1</v>
          </cell>
          <cell r="H5565">
            <v>200</v>
          </cell>
          <cell r="I5565">
            <v>41973</v>
          </cell>
          <cell r="J5565">
            <v>0</v>
          </cell>
          <cell r="W5565">
            <v>0</v>
          </cell>
          <cell r="AJ5565">
            <v>0</v>
          </cell>
          <cell r="AV5565">
            <v>200</v>
          </cell>
          <cell r="AW5565">
            <v>200</v>
          </cell>
        </row>
        <row r="5566">
          <cell r="B5566">
            <v>8435</v>
          </cell>
          <cell r="C5566" t="str">
            <v>LD_18_</v>
          </cell>
          <cell r="D5566" t="str">
            <v>Rancho Landero No. 18</v>
          </cell>
          <cell r="E5566" t="str">
            <v>Rosado</v>
          </cell>
          <cell r="F5566">
            <v>250</v>
          </cell>
          <cell r="G5566">
            <v>1</v>
          </cell>
          <cell r="H5566">
            <v>300</v>
          </cell>
          <cell r="I5566">
            <v>41973</v>
          </cell>
          <cell r="J5566">
            <v>0</v>
          </cell>
          <cell r="W5566">
            <v>0</v>
          </cell>
          <cell r="AJ5566">
            <v>0</v>
          </cell>
          <cell r="AU5566">
            <v>300</v>
          </cell>
          <cell r="AW5566">
            <v>300</v>
          </cell>
        </row>
        <row r="5567">
          <cell r="B5567">
            <v>8436</v>
          </cell>
          <cell r="C5567" t="str">
            <v>RV_181_</v>
          </cell>
          <cell r="D5567" t="str">
            <v>Rancho Recoveco No. 181</v>
          </cell>
          <cell r="E5567" t="str">
            <v>Rubio</v>
          </cell>
          <cell r="F5567">
            <v>300</v>
          </cell>
          <cell r="G5567">
            <v>1</v>
          </cell>
          <cell r="H5567">
            <v>2000</v>
          </cell>
          <cell r="I5567">
            <v>41973</v>
          </cell>
          <cell r="J5567">
            <v>0</v>
          </cell>
          <cell r="W5567">
            <v>0</v>
          </cell>
          <cell r="AJ5567">
            <v>0</v>
          </cell>
          <cell r="AQ5567">
            <v>400</v>
          </cell>
          <cell r="AR5567">
            <v>400</v>
          </cell>
          <cell r="AS5567">
            <v>400</v>
          </cell>
          <cell r="AT5567">
            <v>400</v>
          </cell>
          <cell r="AU5567">
            <v>400</v>
          </cell>
          <cell r="AW5567">
            <v>2000</v>
          </cell>
        </row>
        <row r="5568">
          <cell r="B5568">
            <v>8437</v>
          </cell>
          <cell r="C5568" t="str">
            <v>UP_70_</v>
          </cell>
          <cell r="D5568" t="str">
            <v>Rancho Upácuaro No. 70</v>
          </cell>
          <cell r="E5568" t="str">
            <v>Ramírez Tejeda</v>
          </cell>
          <cell r="F5568">
            <v>300</v>
          </cell>
          <cell r="G5568">
            <v>1</v>
          </cell>
          <cell r="H5568">
            <v>300</v>
          </cell>
          <cell r="I5568">
            <v>41973</v>
          </cell>
          <cell r="J5568">
            <v>0</v>
          </cell>
          <cell r="W5568">
            <v>0</v>
          </cell>
          <cell r="AJ5568">
            <v>0</v>
          </cell>
          <cell r="AV5568">
            <v>300</v>
          </cell>
          <cell r="AW5568">
            <v>300</v>
          </cell>
        </row>
        <row r="5569">
          <cell r="B5569">
            <v>8438</v>
          </cell>
          <cell r="C5569" t="str">
            <v>UP_34_</v>
          </cell>
          <cell r="D5569" t="str">
            <v>Rancho Upácuaro No. 34</v>
          </cell>
          <cell r="E5569" t="str">
            <v>Gómez González</v>
          </cell>
          <cell r="F5569">
            <v>300</v>
          </cell>
          <cell r="G5569">
            <v>1</v>
          </cell>
          <cell r="H5569">
            <v>900</v>
          </cell>
          <cell r="I5569">
            <v>41973</v>
          </cell>
          <cell r="J5569">
            <v>0</v>
          </cell>
          <cell r="W5569">
            <v>0</v>
          </cell>
          <cell r="AJ5569">
            <v>0</v>
          </cell>
          <cell r="AR5569">
            <v>300</v>
          </cell>
          <cell r="AS5569">
            <v>300</v>
          </cell>
          <cell r="AT5569">
            <v>300</v>
          </cell>
          <cell r="AW5569">
            <v>900</v>
          </cell>
        </row>
        <row r="5570">
          <cell r="B5570">
            <v>8439</v>
          </cell>
          <cell r="C5570" t="str">
            <v>ZB_36_</v>
          </cell>
          <cell r="D5570" t="str">
            <v>Rancho Zinamba No. 36</v>
          </cell>
          <cell r="E5570" t="str">
            <v>Rodríguez Ortiz</v>
          </cell>
          <cell r="F5570">
            <v>300</v>
          </cell>
          <cell r="G5570">
            <v>1</v>
          </cell>
          <cell r="H5570">
            <v>400</v>
          </cell>
          <cell r="I5570">
            <v>41973</v>
          </cell>
          <cell r="J5570">
            <v>0</v>
          </cell>
          <cell r="W5570">
            <v>0</v>
          </cell>
          <cell r="AJ5570">
            <v>0</v>
          </cell>
          <cell r="AU5570">
            <v>400</v>
          </cell>
          <cell r="AW5570">
            <v>400</v>
          </cell>
        </row>
        <row r="5571">
          <cell r="B5571">
            <v>8440</v>
          </cell>
          <cell r="C5571" t="str">
            <v>LD_96_</v>
          </cell>
          <cell r="D5571" t="str">
            <v>Rancho Landero No. 96</v>
          </cell>
          <cell r="E5571" t="str">
            <v>Espinoza Aguirre</v>
          </cell>
          <cell r="F5571">
            <v>300</v>
          </cell>
          <cell r="G5571">
            <v>1</v>
          </cell>
          <cell r="H5571">
            <v>300</v>
          </cell>
          <cell r="I5571">
            <v>41973</v>
          </cell>
          <cell r="J5571">
            <v>0</v>
          </cell>
          <cell r="W5571">
            <v>0</v>
          </cell>
          <cell r="AJ5571">
            <v>0</v>
          </cell>
          <cell r="AT5571">
            <v>150</v>
          </cell>
          <cell r="AU5571">
            <v>150</v>
          </cell>
          <cell r="AV5571">
            <v>0</v>
          </cell>
          <cell r="AW5571">
            <v>300</v>
          </cell>
        </row>
        <row r="5572">
          <cell r="B5572">
            <v>8441</v>
          </cell>
          <cell r="C5572" t="str">
            <v>LD_94_</v>
          </cell>
          <cell r="D5572" t="str">
            <v>Rancho Landero No. 94</v>
          </cell>
          <cell r="E5572" t="str">
            <v>Medina</v>
          </cell>
          <cell r="F5572">
            <v>150</v>
          </cell>
          <cell r="G5572">
            <v>5</v>
          </cell>
          <cell r="H5572">
            <v>20</v>
          </cell>
          <cell r="I5572">
            <v>41973</v>
          </cell>
          <cell r="J5572" t="str">
            <v>NO SUMA</v>
          </cell>
          <cell r="W5572">
            <v>0</v>
          </cell>
          <cell r="AJ5572">
            <v>0</v>
          </cell>
          <cell r="AW5572">
            <v>0</v>
          </cell>
        </row>
        <row r="5573">
          <cell r="B5573">
            <v>8442</v>
          </cell>
          <cell r="C5573" t="str">
            <v>UP_14_</v>
          </cell>
          <cell r="D5573" t="str">
            <v>Rancho Upácuaro No. 14</v>
          </cell>
          <cell r="E5573" t="str">
            <v>Castillo Hernández</v>
          </cell>
          <cell r="F5573">
            <v>300</v>
          </cell>
          <cell r="G5573">
            <v>1</v>
          </cell>
          <cell r="H5573">
            <v>800</v>
          </cell>
          <cell r="I5573">
            <v>41973</v>
          </cell>
          <cell r="J5573">
            <v>0</v>
          </cell>
          <cell r="W5573">
            <v>0</v>
          </cell>
          <cell r="AJ5573">
            <v>0</v>
          </cell>
          <cell r="AU5573">
            <v>400</v>
          </cell>
          <cell r="AV5573">
            <v>400</v>
          </cell>
          <cell r="AW5573">
            <v>800</v>
          </cell>
        </row>
        <row r="5574">
          <cell r="B5574">
            <v>8443</v>
          </cell>
          <cell r="C5574" t="str">
            <v>CL_55_</v>
          </cell>
          <cell r="D5574" t="str">
            <v>Rancho La Cuchilla No. 55</v>
          </cell>
          <cell r="E5574" t="str">
            <v>López Velázquez</v>
          </cell>
          <cell r="F5574">
            <v>300</v>
          </cell>
          <cell r="G5574">
            <v>1</v>
          </cell>
          <cell r="H5574">
            <v>400</v>
          </cell>
          <cell r="I5574">
            <v>41973</v>
          </cell>
          <cell r="J5574">
            <v>0</v>
          </cell>
          <cell r="W5574">
            <v>0</v>
          </cell>
          <cell r="AJ5574">
            <v>0</v>
          </cell>
          <cell r="AU5574">
            <v>400</v>
          </cell>
          <cell r="AW5574">
            <v>400</v>
          </cell>
        </row>
        <row r="5575">
          <cell r="B5575">
            <v>8444</v>
          </cell>
          <cell r="C5575" t="str">
            <v>EZ_19_</v>
          </cell>
          <cell r="D5575" t="str">
            <v>Rancho Estanzuela No. 19</v>
          </cell>
          <cell r="E5575" t="str">
            <v>Robles</v>
          </cell>
          <cell r="F5575">
            <v>300</v>
          </cell>
          <cell r="G5575">
            <v>1</v>
          </cell>
          <cell r="H5575">
            <v>800</v>
          </cell>
          <cell r="I5575">
            <v>41973</v>
          </cell>
          <cell r="J5575">
            <v>0</v>
          </cell>
          <cell r="W5575">
            <v>0</v>
          </cell>
          <cell r="AJ5575">
            <v>0</v>
          </cell>
          <cell r="AU5575">
            <v>400</v>
          </cell>
          <cell r="AV5575">
            <v>400</v>
          </cell>
          <cell r="AW5575">
            <v>800</v>
          </cell>
        </row>
        <row r="5576">
          <cell r="B5576">
            <v>8445</v>
          </cell>
          <cell r="C5576" t="str">
            <v>LD_73_</v>
          </cell>
          <cell r="D5576" t="str">
            <v>Rancho Landero No. 73</v>
          </cell>
          <cell r="E5576" t="str">
            <v>Islas Palacios</v>
          </cell>
          <cell r="F5576">
            <v>300</v>
          </cell>
          <cell r="G5576">
            <v>1</v>
          </cell>
          <cell r="H5576">
            <v>400</v>
          </cell>
          <cell r="I5576">
            <v>41973</v>
          </cell>
          <cell r="J5576">
            <v>0</v>
          </cell>
          <cell r="W5576">
            <v>0</v>
          </cell>
          <cell r="AJ5576">
            <v>0</v>
          </cell>
          <cell r="AU5576">
            <v>400</v>
          </cell>
          <cell r="AW5576">
            <v>400</v>
          </cell>
        </row>
        <row r="5577">
          <cell r="B5577">
            <v>8446</v>
          </cell>
          <cell r="C5577" t="str">
            <v>CL_12_</v>
          </cell>
          <cell r="D5577" t="str">
            <v>Rancho La Cuchilla No. 12</v>
          </cell>
          <cell r="E5577" t="str">
            <v>Rivera Flores</v>
          </cell>
          <cell r="F5577">
            <v>300</v>
          </cell>
          <cell r="G5577">
            <v>1</v>
          </cell>
          <cell r="H5577">
            <v>300</v>
          </cell>
          <cell r="I5577">
            <v>41973</v>
          </cell>
          <cell r="J5577">
            <v>0</v>
          </cell>
          <cell r="W5577">
            <v>0</v>
          </cell>
          <cell r="AJ5577">
            <v>0</v>
          </cell>
          <cell r="AU5577">
            <v>300</v>
          </cell>
          <cell r="AW5577">
            <v>300</v>
          </cell>
        </row>
        <row r="5578">
          <cell r="B5578">
            <v>8447</v>
          </cell>
          <cell r="C5578" t="str">
            <v>CL_112_PB</v>
          </cell>
          <cell r="D5578" t="str">
            <v>Rancho La Cuchilla No. 112, PB</v>
          </cell>
          <cell r="E5578" t="str">
            <v>Soreque</v>
          </cell>
          <cell r="F5578">
            <v>150</v>
          </cell>
          <cell r="G5578">
            <v>1</v>
          </cell>
          <cell r="H5578">
            <v>400</v>
          </cell>
          <cell r="I5578">
            <v>41973</v>
          </cell>
          <cell r="J5578">
            <v>0</v>
          </cell>
          <cell r="W5578">
            <v>0</v>
          </cell>
          <cell r="AJ5578">
            <v>0</v>
          </cell>
          <cell r="AU5578">
            <v>200</v>
          </cell>
          <cell r="AV5578">
            <v>200</v>
          </cell>
          <cell r="AW5578">
            <v>400</v>
          </cell>
        </row>
        <row r="5579">
          <cell r="B5579">
            <v>8448</v>
          </cell>
          <cell r="C5579" t="str">
            <v>CL_69_</v>
          </cell>
          <cell r="D5579" t="str">
            <v>Rancho La Cuchilla No. 69</v>
          </cell>
          <cell r="E5579" t="str">
            <v>Romero</v>
          </cell>
          <cell r="F5579">
            <v>300</v>
          </cell>
          <cell r="G5579">
            <v>1</v>
          </cell>
          <cell r="H5579">
            <v>400</v>
          </cell>
          <cell r="I5579">
            <v>41973</v>
          </cell>
          <cell r="J5579">
            <v>0</v>
          </cell>
          <cell r="W5579">
            <v>0</v>
          </cell>
          <cell r="AJ5579">
            <v>0</v>
          </cell>
          <cell r="AU5579">
            <v>400</v>
          </cell>
          <cell r="AW5579">
            <v>400</v>
          </cell>
        </row>
        <row r="5580">
          <cell r="B5580">
            <v>8449</v>
          </cell>
          <cell r="C5580" t="str">
            <v>LD_76_</v>
          </cell>
          <cell r="D5580" t="str">
            <v>Rancho Landero No. 76</v>
          </cell>
          <cell r="E5580" t="str">
            <v>Ugarte</v>
          </cell>
          <cell r="F5580">
            <v>300</v>
          </cell>
          <cell r="G5580">
            <v>1</v>
          </cell>
          <cell r="H5580">
            <v>400</v>
          </cell>
          <cell r="I5580">
            <v>41973</v>
          </cell>
          <cell r="J5580">
            <v>0</v>
          </cell>
          <cell r="W5580">
            <v>0</v>
          </cell>
          <cell r="AJ5580">
            <v>0</v>
          </cell>
          <cell r="AV5580">
            <v>400</v>
          </cell>
          <cell r="AW5580">
            <v>400</v>
          </cell>
        </row>
        <row r="5581">
          <cell r="B5581">
            <v>8450</v>
          </cell>
          <cell r="C5581" t="str">
            <v>LD_45_</v>
          </cell>
          <cell r="D5581" t="str">
            <v>Rancho Landero No. 45</v>
          </cell>
          <cell r="E5581" t="str">
            <v>Solano</v>
          </cell>
          <cell r="F5581">
            <v>250</v>
          </cell>
          <cell r="G5581">
            <v>1</v>
          </cell>
          <cell r="H5581">
            <v>800</v>
          </cell>
          <cell r="I5581">
            <v>41973</v>
          </cell>
          <cell r="J5581">
            <v>0</v>
          </cell>
          <cell r="W5581">
            <v>0</v>
          </cell>
          <cell r="AJ5581">
            <v>0</v>
          </cell>
          <cell r="AU5581">
            <v>400</v>
          </cell>
          <cell r="AV5581">
            <v>400</v>
          </cell>
          <cell r="AW5581">
            <v>800</v>
          </cell>
        </row>
        <row r="5582">
          <cell r="B5582">
            <v>8451</v>
          </cell>
          <cell r="C5582" t="str">
            <v>LD_45_</v>
          </cell>
          <cell r="D5582" t="str">
            <v>Rancho Landero No. 45</v>
          </cell>
          <cell r="E5582" t="str">
            <v>Solano</v>
          </cell>
          <cell r="F5582">
            <v>250</v>
          </cell>
          <cell r="G5582">
            <v>1</v>
          </cell>
          <cell r="H5582">
            <v>1200</v>
          </cell>
          <cell r="I5582">
            <v>41973</v>
          </cell>
          <cell r="J5582">
            <v>0</v>
          </cell>
          <cell r="W5582">
            <v>0</v>
          </cell>
          <cell r="AJ5582">
            <v>0</v>
          </cell>
          <cell r="AW5582">
            <v>0</v>
          </cell>
        </row>
        <row r="5583">
          <cell r="B5583">
            <v>8452</v>
          </cell>
          <cell r="C5583" t="str">
            <v>LD_45_</v>
          </cell>
          <cell r="D5583" t="str">
            <v>Rancho Landero No. 45</v>
          </cell>
          <cell r="E5583" t="str">
            <v>Solano</v>
          </cell>
          <cell r="F5583">
            <v>250</v>
          </cell>
          <cell r="G5583">
            <v>5</v>
          </cell>
          <cell r="H5583">
            <v>20</v>
          </cell>
          <cell r="I5583">
            <v>41973</v>
          </cell>
          <cell r="J5583" t="str">
            <v>NO SUMA</v>
          </cell>
          <cell r="W5583">
            <v>0</v>
          </cell>
          <cell r="AJ5583">
            <v>0</v>
          </cell>
          <cell r="AW5583">
            <v>0</v>
          </cell>
        </row>
        <row r="5584">
          <cell r="B5584">
            <v>8453</v>
          </cell>
          <cell r="C5584" t="str">
            <v>CL_69_</v>
          </cell>
          <cell r="D5584" t="str">
            <v>Rancho La Cuchilla No. 69</v>
          </cell>
          <cell r="E5584" t="str">
            <v>Romero</v>
          </cell>
          <cell r="F5584">
            <v>300</v>
          </cell>
          <cell r="G5584">
            <v>5</v>
          </cell>
          <cell r="H5584">
            <v>40</v>
          </cell>
          <cell r="I5584">
            <v>41973</v>
          </cell>
          <cell r="J5584" t="str">
            <v>NO SUMA</v>
          </cell>
          <cell r="W5584">
            <v>0</v>
          </cell>
          <cell r="AJ5584">
            <v>0</v>
          </cell>
          <cell r="AW5584">
            <v>0</v>
          </cell>
        </row>
        <row r="5585">
          <cell r="B5585">
            <v>8454</v>
          </cell>
          <cell r="C5585" t="str">
            <v>LD_51_</v>
          </cell>
          <cell r="D5585" t="str">
            <v>Rancho Landero No. 51</v>
          </cell>
          <cell r="E5585" t="str">
            <v>H. Robles Tamayo</v>
          </cell>
          <cell r="F5585">
            <v>300</v>
          </cell>
          <cell r="G5585">
            <v>1</v>
          </cell>
          <cell r="H5585">
            <v>800</v>
          </cell>
          <cell r="I5585">
            <v>41973</v>
          </cell>
          <cell r="J5585">
            <v>0</v>
          </cell>
          <cell r="W5585">
            <v>0</v>
          </cell>
          <cell r="AJ5585">
            <v>0</v>
          </cell>
          <cell r="AT5585">
            <v>400</v>
          </cell>
          <cell r="AU5585">
            <v>400</v>
          </cell>
          <cell r="AW5585">
            <v>800</v>
          </cell>
        </row>
        <row r="5586">
          <cell r="B5586">
            <v>8455</v>
          </cell>
          <cell r="C5586" t="str">
            <v>EZ_7_A</v>
          </cell>
          <cell r="D5586" t="str">
            <v>Rancho Estanzuela No. 7, A</v>
          </cell>
          <cell r="E5586" t="str">
            <v>Herrera Izquierdo</v>
          </cell>
          <cell r="F5586">
            <v>150</v>
          </cell>
          <cell r="G5586">
            <v>1</v>
          </cell>
          <cell r="H5586">
            <v>200</v>
          </cell>
          <cell r="I5586">
            <v>41973</v>
          </cell>
          <cell r="J5586">
            <v>0</v>
          </cell>
          <cell r="W5586">
            <v>0</v>
          </cell>
          <cell r="AJ5586">
            <v>0</v>
          </cell>
          <cell r="AU5586">
            <v>200</v>
          </cell>
          <cell r="AW5586">
            <v>200</v>
          </cell>
        </row>
        <row r="5587">
          <cell r="B5587">
            <v>8456</v>
          </cell>
          <cell r="C5587" t="str">
            <v>LD_68_</v>
          </cell>
          <cell r="D5587" t="str">
            <v>Rancho Landero No. 68</v>
          </cell>
          <cell r="E5587" t="str">
            <v>Moreno</v>
          </cell>
          <cell r="F5587">
            <v>300</v>
          </cell>
          <cell r="G5587">
            <v>1</v>
          </cell>
          <cell r="H5587">
            <v>800</v>
          </cell>
          <cell r="I5587">
            <v>41973</v>
          </cell>
          <cell r="J5587">
            <v>0</v>
          </cell>
          <cell r="W5587">
            <v>0</v>
          </cell>
          <cell r="AJ5587">
            <v>0</v>
          </cell>
          <cell r="AS5587">
            <v>400</v>
          </cell>
          <cell r="AT5587">
            <v>400</v>
          </cell>
          <cell r="AW5587">
            <v>800</v>
          </cell>
        </row>
        <row r="5588">
          <cell r="B5588">
            <v>8457</v>
          </cell>
          <cell r="C5588" t="str">
            <v>CL_110_</v>
          </cell>
          <cell r="D5588" t="str">
            <v>Rancho La Cuchilla No. 110</v>
          </cell>
          <cell r="E5588" t="str">
            <v>Domínguez Canudas</v>
          </cell>
          <cell r="F5588">
            <v>300</v>
          </cell>
          <cell r="G5588">
            <v>1</v>
          </cell>
          <cell r="H5588">
            <v>1200</v>
          </cell>
          <cell r="I5588">
            <v>41973</v>
          </cell>
          <cell r="J5588">
            <v>0</v>
          </cell>
          <cell r="W5588">
            <v>0</v>
          </cell>
          <cell r="AJ5588">
            <v>0</v>
          </cell>
          <cell r="AT5588">
            <v>400</v>
          </cell>
          <cell r="AU5588">
            <v>400</v>
          </cell>
          <cell r="AV5588">
            <v>400</v>
          </cell>
          <cell r="AW5588">
            <v>1200</v>
          </cell>
        </row>
        <row r="5589">
          <cell r="B5589">
            <v>8458</v>
          </cell>
          <cell r="C5589" t="str">
            <v>EZ_65_</v>
          </cell>
          <cell r="D5589" t="str">
            <v>Rancho Estanzuela No. 65</v>
          </cell>
          <cell r="E5589" t="str">
            <v>López Becerril</v>
          </cell>
          <cell r="F5589">
            <v>300</v>
          </cell>
          <cell r="G5589">
            <v>1</v>
          </cell>
          <cell r="H5589">
            <v>400</v>
          </cell>
          <cell r="I5589">
            <v>41973</v>
          </cell>
          <cell r="J5589">
            <v>0</v>
          </cell>
          <cell r="W5589">
            <v>0</v>
          </cell>
          <cell r="AJ5589">
            <v>0</v>
          </cell>
          <cell r="AU5589">
            <v>400</v>
          </cell>
          <cell r="AW5589">
            <v>400</v>
          </cell>
        </row>
        <row r="5590">
          <cell r="B5590">
            <v>8459</v>
          </cell>
          <cell r="C5590" t="str">
            <v>LD_84_</v>
          </cell>
          <cell r="D5590" t="str">
            <v>Rancho Landero No. 84</v>
          </cell>
          <cell r="E5590" t="str">
            <v>Alcántara</v>
          </cell>
          <cell r="F5590">
            <v>300</v>
          </cell>
          <cell r="G5590">
            <v>1</v>
          </cell>
          <cell r="H5590">
            <v>800</v>
          </cell>
          <cell r="I5590">
            <v>41973</v>
          </cell>
          <cell r="J5590">
            <v>0</v>
          </cell>
          <cell r="W5590">
            <v>0</v>
          </cell>
          <cell r="AJ5590">
            <v>0</v>
          </cell>
          <cell r="AU5590">
            <v>400</v>
          </cell>
          <cell r="AV5590">
            <v>400</v>
          </cell>
          <cell r="AW5590">
            <v>800</v>
          </cell>
        </row>
        <row r="5591">
          <cell r="B5591">
            <v>8460</v>
          </cell>
          <cell r="C5591" t="str">
            <v>EZ_143_B</v>
          </cell>
          <cell r="D5591" t="str">
            <v>Rancho Estanzuela No. 143, B</v>
          </cell>
          <cell r="E5591" t="str">
            <v>López</v>
          </cell>
          <cell r="F5591">
            <v>300</v>
          </cell>
          <cell r="G5591">
            <v>1</v>
          </cell>
          <cell r="H5591">
            <v>800</v>
          </cell>
          <cell r="I5591">
            <v>41973</v>
          </cell>
          <cell r="J5591">
            <v>0</v>
          </cell>
          <cell r="W5591">
            <v>0</v>
          </cell>
          <cell r="AJ5591">
            <v>0</v>
          </cell>
          <cell r="AU5591">
            <v>400</v>
          </cell>
          <cell r="AV5591">
            <v>400</v>
          </cell>
          <cell r="AW5591">
            <v>800</v>
          </cell>
        </row>
        <row r="5592">
          <cell r="B5592">
            <v>8461</v>
          </cell>
          <cell r="C5592" t="str">
            <v>EZ_55_</v>
          </cell>
          <cell r="D5592" t="str">
            <v>Rancho Estanzuela No. 55</v>
          </cell>
          <cell r="E5592" t="str">
            <v>Rodríguez Acevedo</v>
          </cell>
          <cell r="F5592">
            <v>300</v>
          </cell>
          <cell r="G5592">
            <v>3</v>
          </cell>
          <cell r="H5592">
            <v>160</v>
          </cell>
          <cell r="I5592">
            <v>41973</v>
          </cell>
          <cell r="J5592" t="str">
            <v>NO SUMA</v>
          </cell>
          <cell r="W5592">
            <v>0</v>
          </cell>
          <cell r="AJ5592">
            <v>0</v>
          </cell>
          <cell r="AW5592">
            <v>0</v>
          </cell>
        </row>
        <row r="5593">
          <cell r="B5593">
            <v>8462</v>
          </cell>
          <cell r="C5593" t="str">
            <v>CL_72_</v>
          </cell>
          <cell r="D5593" t="str">
            <v>Rancho La Cuchilla No. 72</v>
          </cell>
          <cell r="E5593" t="str">
            <v>Ortiz González</v>
          </cell>
          <cell r="F5593">
            <v>300</v>
          </cell>
          <cell r="G5593">
            <v>1</v>
          </cell>
          <cell r="H5593">
            <v>400</v>
          </cell>
          <cell r="I5593">
            <v>41973</v>
          </cell>
          <cell r="J5593">
            <v>0</v>
          </cell>
          <cell r="W5593">
            <v>0</v>
          </cell>
          <cell r="AJ5593">
            <v>0</v>
          </cell>
          <cell r="AV5593">
            <v>400</v>
          </cell>
          <cell r="AW5593">
            <v>400</v>
          </cell>
        </row>
        <row r="5594">
          <cell r="B5594">
            <v>8463</v>
          </cell>
          <cell r="C5594" t="str">
            <v>CL_63_</v>
          </cell>
          <cell r="D5594" t="str">
            <v>Rancho La Cuchilla No. 63</v>
          </cell>
          <cell r="E5594" t="str">
            <v>Díaz de la Rosa</v>
          </cell>
          <cell r="F5594">
            <v>300</v>
          </cell>
          <cell r="G5594">
            <v>1</v>
          </cell>
          <cell r="H5594">
            <v>600</v>
          </cell>
          <cell r="I5594">
            <v>41973</v>
          </cell>
          <cell r="J5594">
            <v>0</v>
          </cell>
          <cell r="W5594">
            <v>0</v>
          </cell>
          <cell r="AJ5594">
            <v>0</v>
          </cell>
          <cell r="AU5594">
            <v>300</v>
          </cell>
          <cell r="AV5594">
            <v>300</v>
          </cell>
          <cell r="AW5594">
            <v>600</v>
          </cell>
        </row>
        <row r="5595">
          <cell r="B5595">
            <v>8464</v>
          </cell>
          <cell r="C5595" t="str">
            <v>RV_175_A</v>
          </cell>
          <cell r="D5595" t="str">
            <v>Rancho Recoveco No. 175, A</v>
          </cell>
          <cell r="E5595" t="str">
            <v>Pérez</v>
          </cell>
          <cell r="F5595">
            <v>300</v>
          </cell>
          <cell r="G5595">
            <v>1</v>
          </cell>
          <cell r="H5595">
            <v>400</v>
          </cell>
          <cell r="I5595">
            <v>41973</v>
          </cell>
          <cell r="J5595">
            <v>0</v>
          </cell>
          <cell r="W5595">
            <v>0</v>
          </cell>
          <cell r="AJ5595">
            <v>0</v>
          </cell>
          <cell r="AU5595">
            <v>400</v>
          </cell>
          <cell r="AW5595">
            <v>400</v>
          </cell>
        </row>
        <row r="5596">
          <cell r="B5596">
            <v>8465</v>
          </cell>
          <cell r="C5596" t="str">
            <v>EZ_61_</v>
          </cell>
          <cell r="D5596" t="str">
            <v>Rancho Estanzuela No. 61</v>
          </cell>
          <cell r="E5596" t="str">
            <v>González Almazán</v>
          </cell>
          <cell r="F5596">
            <v>300</v>
          </cell>
          <cell r="G5596">
            <v>1</v>
          </cell>
          <cell r="H5596">
            <v>600</v>
          </cell>
          <cell r="I5596">
            <v>41973</v>
          </cell>
          <cell r="J5596">
            <v>0</v>
          </cell>
          <cell r="W5596">
            <v>0</v>
          </cell>
          <cell r="AJ5596">
            <v>0</v>
          </cell>
          <cell r="AU5596">
            <v>300</v>
          </cell>
          <cell r="AV5596">
            <v>300</v>
          </cell>
          <cell r="AW5596">
            <v>600</v>
          </cell>
        </row>
        <row r="5597">
          <cell r="B5597">
            <v>8466</v>
          </cell>
          <cell r="C5597" t="str">
            <v>LD_88_</v>
          </cell>
          <cell r="D5597" t="str">
            <v>Rancho Landero No. 88</v>
          </cell>
          <cell r="E5597" t="str">
            <v>Torres Raúl</v>
          </cell>
          <cell r="F5597">
            <v>300</v>
          </cell>
          <cell r="G5597">
            <v>1</v>
          </cell>
          <cell r="H5597">
            <v>1500</v>
          </cell>
          <cell r="I5597">
            <v>41973</v>
          </cell>
          <cell r="J5597">
            <v>0</v>
          </cell>
          <cell r="W5597">
            <v>0</v>
          </cell>
          <cell r="AJ5597">
            <v>0</v>
          </cell>
          <cell r="AP5597">
            <v>300</v>
          </cell>
          <cell r="AQ5597">
            <v>300</v>
          </cell>
          <cell r="AR5597">
            <v>300</v>
          </cell>
          <cell r="AS5597">
            <v>300</v>
          </cell>
          <cell r="AT5597">
            <v>300</v>
          </cell>
          <cell r="AW5597">
            <v>1500</v>
          </cell>
        </row>
        <row r="5598">
          <cell r="B5598">
            <v>8466</v>
          </cell>
          <cell r="C5598" t="str">
            <v>LD_88_</v>
          </cell>
          <cell r="D5598" t="str">
            <v>Rancho Landero No. 88</v>
          </cell>
          <cell r="E5598" t="str">
            <v>Torres Raúl</v>
          </cell>
          <cell r="F5598">
            <v>300</v>
          </cell>
          <cell r="G5598">
            <v>5</v>
          </cell>
          <cell r="H5598">
            <v>80</v>
          </cell>
          <cell r="I5598">
            <v>41973</v>
          </cell>
          <cell r="J5598" t="str">
            <v>NO SUMA</v>
          </cell>
          <cell r="W5598">
            <v>0</v>
          </cell>
          <cell r="AJ5598">
            <v>0</v>
          </cell>
          <cell r="AW5598">
            <v>0</v>
          </cell>
        </row>
        <row r="5599">
          <cell r="B5599">
            <v>8467</v>
          </cell>
          <cell r="C5599" t="str">
            <v>EP_22_A</v>
          </cell>
          <cell r="D5599" t="str">
            <v>Rancho Estopila No. 22, A</v>
          </cell>
          <cell r="E5599" t="str">
            <v>Ayala Carranza</v>
          </cell>
          <cell r="F5599">
            <v>150</v>
          </cell>
          <cell r="G5599">
            <v>1</v>
          </cell>
          <cell r="H5599">
            <v>200</v>
          </cell>
          <cell r="I5599">
            <v>41973</v>
          </cell>
          <cell r="J5599">
            <v>0</v>
          </cell>
          <cell r="W5599">
            <v>0</v>
          </cell>
          <cell r="AJ5599">
            <v>0</v>
          </cell>
          <cell r="AU5599">
            <v>200</v>
          </cell>
          <cell r="AW5599">
            <v>200</v>
          </cell>
        </row>
        <row r="5600">
          <cell r="B5600">
            <v>8468</v>
          </cell>
          <cell r="C5600" t="str">
            <v>LD_24_</v>
          </cell>
          <cell r="D5600" t="str">
            <v>Rancho Landero No. 24</v>
          </cell>
          <cell r="E5600" t="str">
            <v>Vázquez Peralta</v>
          </cell>
          <cell r="F5600">
            <v>300</v>
          </cell>
          <cell r="G5600">
            <v>1</v>
          </cell>
          <cell r="H5600">
            <v>400</v>
          </cell>
          <cell r="I5600">
            <v>41973</v>
          </cell>
          <cell r="J5600">
            <v>0</v>
          </cell>
          <cell r="W5600">
            <v>0</v>
          </cell>
          <cell r="AJ5600">
            <v>0</v>
          </cell>
          <cell r="AU5600">
            <v>400</v>
          </cell>
          <cell r="AW5600">
            <v>400</v>
          </cell>
        </row>
        <row r="5601">
          <cell r="B5601">
            <v>8469</v>
          </cell>
          <cell r="C5601" t="str">
            <v>CL_115_</v>
          </cell>
          <cell r="D5601" t="str">
            <v>Rancho La Cuchilla No. 115</v>
          </cell>
          <cell r="E5601" t="str">
            <v>Alfaro</v>
          </cell>
          <cell r="F5601">
            <v>300</v>
          </cell>
          <cell r="G5601">
            <v>1</v>
          </cell>
          <cell r="H5601">
            <v>400</v>
          </cell>
          <cell r="I5601">
            <v>41973</v>
          </cell>
          <cell r="J5601">
            <v>0</v>
          </cell>
          <cell r="W5601">
            <v>0</v>
          </cell>
          <cell r="AJ5601">
            <v>0</v>
          </cell>
          <cell r="AT5601">
            <v>400</v>
          </cell>
          <cell r="AW5601">
            <v>400</v>
          </cell>
        </row>
        <row r="5602">
          <cell r="B5602">
            <v>8470</v>
          </cell>
          <cell r="C5602" t="str">
            <v>EZ_143_B</v>
          </cell>
          <cell r="D5602" t="str">
            <v>Rancho Estanzuela No. 143, B</v>
          </cell>
          <cell r="E5602" t="str">
            <v>López</v>
          </cell>
          <cell r="F5602">
            <v>300</v>
          </cell>
          <cell r="G5602">
            <v>4</v>
          </cell>
          <cell r="H5602">
            <v>160</v>
          </cell>
          <cell r="I5602">
            <v>41973</v>
          </cell>
          <cell r="J5602" t="str">
            <v>NO SUMA</v>
          </cell>
          <cell r="W5602">
            <v>0</v>
          </cell>
          <cell r="AJ5602">
            <v>0</v>
          </cell>
          <cell r="AW5602">
            <v>0</v>
          </cell>
        </row>
        <row r="5603">
          <cell r="B5603">
            <v>8471</v>
          </cell>
          <cell r="C5603" t="str">
            <v>CL_118_</v>
          </cell>
          <cell r="D5603" t="str">
            <v>Rancho La Cuchilla No. 118</v>
          </cell>
          <cell r="E5603" t="str">
            <v>Astorga Ruiz</v>
          </cell>
          <cell r="F5603">
            <v>300</v>
          </cell>
          <cell r="G5603">
            <v>5</v>
          </cell>
          <cell r="H5603">
            <v>40</v>
          </cell>
          <cell r="I5603">
            <v>41973</v>
          </cell>
          <cell r="J5603" t="str">
            <v>NO SUMA</v>
          </cell>
          <cell r="W5603">
            <v>0</v>
          </cell>
          <cell r="AJ5603">
            <v>0</v>
          </cell>
          <cell r="AW5603">
            <v>0</v>
          </cell>
        </row>
        <row r="5604">
          <cell r="B5604">
            <v>8472</v>
          </cell>
          <cell r="C5604" t="str">
            <v>CL_118_</v>
          </cell>
          <cell r="D5604" t="str">
            <v>Rancho La Cuchilla No. 118</v>
          </cell>
          <cell r="E5604" t="str">
            <v>Astorga Ruiz</v>
          </cell>
          <cell r="F5604">
            <v>300</v>
          </cell>
          <cell r="G5604">
            <v>4</v>
          </cell>
          <cell r="H5604">
            <v>160</v>
          </cell>
          <cell r="I5604">
            <v>41973</v>
          </cell>
          <cell r="J5604" t="str">
            <v>NO SUMA</v>
          </cell>
          <cell r="W5604">
            <v>0</v>
          </cell>
          <cell r="AJ5604">
            <v>0</v>
          </cell>
          <cell r="AW5604">
            <v>0</v>
          </cell>
        </row>
        <row r="5605">
          <cell r="B5605">
            <v>8473</v>
          </cell>
          <cell r="C5605" t="str">
            <v>EZ_103_B</v>
          </cell>
          <cell r="D5605" t="str">
            <v>Rancho Estanzuela No. 103, B</v>
          </cell>
          <cell r="E5605" t="str">
            <v>Olivares Flores</v>
          </cell>
          <cell r="F5605">
            <v>300</v>
          </cell>
          <cell r="G5605">
            <v>3</v>
          </cell>
          <cell r="H5605">
            <v>320</v>
          </cell>
          <cell r="I5605">
            <v>41973</v>
          </cell>
          <cell r="J5605" t="str">
            <v>NO SUMA</v>
          </cell>
          <cell r="W5605">
            <v>0</v>
          </cell>
          <cell r="AJ5605">
            <v>0</v>
          </cell>
          <cell r="AW5605">
            <v>0</v>
          </cell>
        </row>
        <row r="5606">
          <cell r="B5606">
            <v>8474</v>
          </cell>
          <cell r="C5606" t="str">
            <v>UP_68_</v>
          </cell>
          <cell r="D5606" t="str">
            <v>Rancho Upácuaro No. 68</v>
          </cell>
          <cell r="E5606" t="str">
            <v>Colin Guerrero</v>
          </cell>
          <cell r="F5606">
            <v>300</v>
          </cell>
          <cell r="G5606">
            <v>1</v>
          </cell>
          <cell r="H5606">
            <v>200</v>
          </cell>
          <cell r="I5606">
            <v>41973</v>
          </cell>
          <cell r="J5606">
            <v>0</v>
          </cell>
          <cell r="W5606">
            <v>0</v>
          </cell>
          <cell r="AJ5606">
            <v>0</v>
          </cell>
          <cell r="AU5606">
            <v>200</v>
          </cell>
          <cell r="AW5606">
            <v>200</v>
          </cell>
        </row>
        <row r="5607">
          <cell r="C5607" t="str">
            <v>CM_130_A</v>
          </cell>
          <cell r="D5607" t="str">
            <v>Rancho Estanzuela No. 130, A</v>
          </cell>
          <cell r="E5607" t="str">
            <v>Colegio Carmel</v>
          </cell>
          <cell r="F5607">
            <v>10000</v>
          </cell>
          <cell r="G5607">
            <v>1</v>
          </cell>
          <cell r="H5607">
            <v>10000</v>
          </cell>
          <cell r="I5607">
            <v>41948</v>
          </cell>
          <cell r="J5607">
            <v>0</v>
          </cell>
          <cell r="W5607">
            <v>0</v>
          </cell>
          <cell r="AJ5607">
            <v>0</v>
          </cell>
          <cell r="AT5607">
            <v>10000</v>
          </cell>
          <cell r="AW5607">
            <v>10000</v>
          </cell>
        </row>
        <row r="5608">
          <cell r="B5608">
            <v>8573</v>
          </cell>
          <cell r="C5608" t="str">
            <v>UP_46_</v>
          </cell>
          <cell r="D5608" t="str">
            <v>Rancho Upácuaro No. 46</v>
          </cell>
          <cell r="E5608" t="str">
            <v>Fuentes</v>
          </cell>
          <cell r="F5608">
            <v>300</v>
          </cell>
          <cell r="G5608">
            <v>1</v>
          </cell>
          <cell r="H5608">
            <v>300</v>
          </cell>
          <cell r="I5608">
            <v>41951</v>
          </cell>
          <cell r="J5608">
            <v>0</v>
          </cell>
          <cell r="W5608">
            <v>0</v>
          </cell>
          <cell r="AJ5608">
            <v>0</v>
          </cell>
          <cell r="AU5608">
            <v>300</v>
          </cell>
          <cell r="AW5608">
            <v>300</v>
          </cell>
        </row>
        <row r="5609">
          <cell r="B5609">
            <v>8574</v>
          </cell>
          <cell r="C5609" t="str">
            <v>CL_29_</v>
          </cell>
          <cell r="D5609" t="str">
            <v>Rancho La Cuchilla No. 29</v>
          </cell>
          <cell r="E5609" t="str">
            <v>Vega Sánchez C.</v>
          </cell>
          <cell r="F5609">
            <v>300</v>
          </cell>
          <cell r="G5609">
            <v>1</v>
          </cell>
          <cell r="H5609">
            <v>400</v>
          </cell>
          <cell r="I5609">
            <v>41957</v>
          </cell>
          <cell r="J5609">
            <v>0</v>
          </cell>
          <cell r="W5609">
            <v>0</v>
          </cell>
          <cell r="AJ5609">
            <v>0</v>
          </cell>
          <cell r="AU5609">
            <v>400</v>
          </cell>
          <cell r="AW5609">
            <v>400</v>
          </cell>
        </row>
        <row r="5610">
          <cell r="B5610" t="str">
            <v>NÚMERO</v>
          </cell>
          <cell r="C5610" t="str">
            <v>CASA</v>
          </cell>
          <cell r="D5610" t="str">
            <v>DOMICILIO</v>
          </cell>
          <cell r="E5610" t="str">
            <v>FAMILIA</v>
          </cell>
          <cell r="F5610" t="str">
            <v>CUOTA</v>
          </cell>
          <cell r="G5610" t="str">
            <v>C_ING</v>
          </cell>
          <cell r="H5610" t="str">
            <v>IMPORTE</v>
          </cell>
          <cell r="I5610" t="str">
            <v>FECHA</v>
          </cell>
          <cell r="J5610" t="str">
            <v>CHK</v>
          </cell>
          <cell r="K5610" t="str">
            <v>ENE
2012</v>
          </cell>
          <cell r="L5610" t="str">
            <v>FEB
2012</v>
          </cell>
          <cell r="M5610" t="str">
            <v>MAR
2012</v>
          </cell>
          <cell r="N5610" t="str">
            <v>ABR
2012</v>
          </cell>
          <cell r="O5610" t="str">
            <v>MAY
2012</v>
          </cell>
          <cell r="P5610" t="str">
            <v>JUN
2012</v>
          </cell>
          <cell r="Q5610" t="str">
            <v>JUL
2012</v>
          </cell>
          <cell r="R5610" t="str">
            <v>AGO
2012</v>
          </cell>
          <cell r="S5610" t="str">
            <v>SEP
2012</v>
          </cell>
          <cell r="T5610" t="str">
            <v>OCT
2012</v>
          </cell>
          <cell r="U5610" t="str">
            <v>NOV
2012</v>
          </cell>
          <cell r="V5610" t="str">
            <v>DIC
2012</v>
          </cell>
          <cell r="W5610" t="str">
            <v>SUMA
2012</v>
          </cell>
          <cell r="X5610" t="str">
            <v>ENE
2013</v>
          </cell>
          <cell r="Y5610" t="str">
            <v>FEB
2013</v>
          </cell>
          <cell r="Z5610" t="str">
            <v>MAR
2013</v>
          </cell>
          <cell r="AA5610" t="str">
            <v>ABR
2013</v>
          </cell>
          <cell r="AB5610" t="str">
            <v>MAY
2013</v>
          </cell>
          <cell r="AC5610" t="str">
            <v>JUN
2013</v>
          </cell>
          <cell r="AD5610" t="str">
            <v>JUL
2013</v>
          </cell>
          <cell r="AE5610" t="str">
            <v>AGO
2013</v>
          </cell>
          <cell r="AF5610" t="str">
            <v>SEP
2013</v>
          </cell>
          <cell r="AG5610" t="str">
            <v>OCT
2013</v>
          </cell>
          <cell r="AH5610" t="str">
            <v>NOV
2013</v>
          </cell>
          <cell r="AI5610" t="str">
            <v>DIC
2013</v>
          </cell>
          <cell r="AJ5610" t="str">
            <v>SUMA
2013</v>
          </cell>
          <cell r="AK5610" t="str">
            <v>ENE
2014</v>
          </cell>
          <cell r="AL5610" t="str">
            <v>FEB
2014</v>
          </cell>
          <cell r="AM5610" t="str">
            <v>MAR
2014</v>
          </cell>
          <cell r="AN5610" t="str">
            <v>ABR
2014</v>
          </cell>
          <cell r="AO5610" t="str">
            <v>MAY
2014</v>
          </cell>
          <cell r="AP5610" t="str">
            <v>JUN
2014</v>
          </cell>
          <cell r="AQ5610" t="str">
            <v>JUL
2014</v>
          </cell>
          <cell r="AR5610" t="str">
            <v>AGO
2014</v>
          </cell>
          <cell r="AS5610" t="str">
            <v>SEP
2014</v>
          </cell>
          <cell r="AT5610" t="str">
            <v>OCT
2014</v>
          </cell>
          <cell r="AU5610" t="str">
            <v>NOV
2014</v>
          </cell>
          <cell r="AV5610" t="str">
            <v>DIC
2014</v>
          </cell>
          <cell r="AW5610" t="str">
            <v>SUMA
2014</v>
          </cell>
        </row>
        <row r="5611">
          <cell r="B5611">
            <v>8475</v>
          </cell>
          <cell r="C5611" t="str">
            <v>EZ_111_</v>
          </cell>
          <cell r="D5611" t="str">
            <v>Rancho Estanzuela No. 111</v>
          </cell>
          <cell r="E5611" t="str">
            <v>Flores Pérez</v>
          </cell>
          <cell r="F5611">
            <v>300</v>
          </cell>
          <cell r="G5611">
            <v>1</v>
          </cell>
          <cell r="H5611">
            <v>800</v>
          </cell>
          <cell r="I5611">
            <v>41973</v>
          </cell>
          <cell r="J5611">
            <v>0</v>
          </cell>
          <cell r="W5611">
            <v>0</v>
          </cell>
          <cell r="AJ5611">
            <v>0</v>
          </cell>
          <cell r="AT5611">
            <v>400</v>
          </cell>
          <cell r="AU5611">
            <v>400</v>
          </cell>
          <cell r="AW5611">
            <v>800</v>
          </cell>
        </row>
        <row r="5612">
          <cell r="B5612">
            <v>8476</v>
          </cell>
          <cell r="C5612" t="str">
            <v>UP_73_B</v>
          </cell>
          <cell r="D5612" t="str">
            <v>Rancho Upácuaro No. 73, B</v>
          </cell>
          <cell r="E5612" t="str">
            <v>Chávez</v>
          </cell>
          <cell r="F5612">
            <v>200</v>
          </cell>
          <cell r="G5612">
            <v>1</v>
          </cell>
          <cell r="H5612">
            <v>200</v>
          </cell>
          <cell r="I5612">
            <v>41975</v>
          </cell>
          <cell r="J5612">
            <v>0</v>
          </cell>
          <cell r="W5612">
            <v>0</v>
          </cell>
          <cell r="AJ5612">
            <v>0</v>
          </cell>
          <cell r="AW5612">
            <v>0</v>
          </cell>
        </row>
        <row r="5613">
          <cell r="B5613">
            <v>8476</v>
          </cell>
          <cell r="C5613" t="str">
            <v>UP_73_B</v>
          </cell>
          <cell r="D5613" t="str">
            <v>Rancho Upácuaro No. 73, B</v>
          </cell>
          <cell r="E5613" t="str">
            <v>Chávez</v>
          </cell>
          <cell r="F5613">
            <v>200</v>
          </cell>
          <cell r="G5613">
            <v>5</v>
          </cell>
          <cell r="H5613">
            <v>60</v>
          </cell>
          <cell r="I5613">
            <v>41975</v>
          </cell>
          <cell r="J5613" t="str">
            <v>NO SUMA</v>
          </cell>
          <cell r="W5613">
            <v>0</v>
          </cell>
          <cell r="AJ5613">
            <v>0</v>
          </cell>
          <cell r="AW5613">
            <v>0</v>
          </cell>
        </row>
        <row r="5614">
          <cell r="B5614">
            <v>8477</v>
          </cell>
          <cell r="C5614" t="str">
            <v>CL_93_</v>
          </cell>
          <cell r="D5614" t="str">
            <v>Rancho La Cuchilla No. 93</v>
          </cell>
          <cell r="E5614" t="str">
            <v>Alcántara Silva</v>
          </cell>
          <cell r="F5614">
            <v>300</v>
          </cell>
          <cell r="G5614">
            <v>1</v>
          </cell>
          <cell r="H5614">
            <v>2400</v>
          </cell>
          <cell r="I5614">
            <v>41980</v>
          </cell>
          <cell r="J5614">
            <v>0</v>
          </cell>
          <cell r="W5614">
            <v>0</v>
          </cell>
          <cell r="AQ5614">
            <v>400</v>
          </cell>
          <cell r="AR5614">
            <v>400</v>
          </cell>
          <cell r="AS5614">
            <v>400</v>
          </cell>
          <cell r="AT5614">
            <v>400</v>
          </cell>
          <cell r="AU5614">
            <v>400</v>
          </cell>
          <cell r="AV5614">
            <v>400</v>
          </cell>
          <cell r="AW5614">
            <v>2400</v>
          </cell>
        </row>
        <row r="5615">
          <cell r="B5615">
            <v>8478</v>
          </cell>
          <cell r="C5615" t="str">
            <v>CL_63_</v>
          </cell>
          <cell r="D5615" t="str">
            <v>Rancho La Cuchilla No. 63</v>
          </cell>
          <cell r="E5615" t="str">
            <v>Díaz de la Rosa</v>
          </cell>
          <cell r="F5615">
            <v>300</v>
          </cell>
          <cell r="G5615">
            <v>3</v>
          </cell>
          <cell r="H5615">
            <v>320</v>
          </cell>
          <cell r="I5615">
            <v>41980</v>
          </cell>
          <cell r="J5615" t="str">
            <v>NO SUMA</v>
          </cell>
          <cell r="W5615">
            <v>0</v>
          </cell>
          <cell r="AJ5615">
            <v>0</v>
          </cell>
          <cell r="AW5615">
            <v>0</v>
          </cell>
        </row>
        <row r="5616">
          <cell r="B5616">
            <v>8478</v>
          </cell>
          <cell r="C5616" t="str">
            <v>CL_63_</v>
          </cell>
          <cell r="D5616" t="str">
            <v>Rancho La Cuchilla No. 63</v>
          </cell>
          <cell r="E5616" t="str">
            <v>Díaz de la Rosa</v>
          </cell>
          <cell r="F5616">
            <v>300</v>
          </cell>
          <cell r="G5616">
            <v>4</v>
          </cell>
          <cell r="H5616">
            <v>160</v>
          </cell>
          <cell r="I5616">
            <v>41980</v>
          </cell>
          <cell r="J5616" t="str">
            <v>NO SUMA</v>
          </cell>
          <cell r="W5616">
            <v>0</v>
          </cell>
          <cell r="AJ5616">
            <v>0</v>
          </cell>
          <cell r="AW5616">
            <v>0</v>
          </cell>
        </row>
        <row r="5617">
          <cell r="B5617">
            <v>8478</v>
          </cell>
          <cell r="C5617" t="str">
            <v>CL_63_</v>
          </cell>
          <cell r="D5617" t="str">
            <v>Rancho La Cuchilla No. 63</v>
          </cell>
          <cell r="E5617" t="str">
            <v>Díaz de la Rosa</v>
          </cell>
          <cell r="F5617">
            <v>300</v>
          </cell>
          <cell r="G5617">
            <v>5</v>
          </cell>
          <cell r="H5617">
            <v>20</v>
          </cell>
          <cell r="I5617">
            <v>41980</v>
          </cell>
          <cell r="J5617" t="str">
            <v>NO SUMA</v>
          </cell>
          <cell r="W5617">
            <v>0</v>
          </cell>
          <cell r="AJ5617">
            <v>0</v>
          </cell>
          <cell r="AW5617">
            <v>0</v>
          </cell>
        </row>
        <row r="5618">
          <cell r="B5618">
            <v>8479</v>
          </cell>
          <cell r="C5618" t="str">
            <v>CL_66_</v>
          </cell>
          <cell r="D5618" t="str">
            <v>Rancho La Cuchilla No. 66</v>
          </cell>
          <cell r="E5618" t="str">
            <v>Prieto</v>
          </cell>
          <cell r="F5618">
            <v>300</v>
          </cell>
          <cell r="G5618">
            <v>1</v>
          </cell>
          <cell r="H5618">
            <v>400</v>
          </cell>
          <cell r="I5618">
            <v>41980</v>
          </cell>
          <cell r="J5618">
            <v>0</v>
          </cell>
          <cell r="W5618">
            <v>0</v>
          </cell>
          <cell r="AJ5618">
            <v>0</v>
          </cell>
          <cell r="AU5618">
            <v>400</v>
          </cell>
          <cell r="AW5618">
            <v>400</v>
          </cell>
        </row>
        <row r="5619">
          <cell r="B5619">
            <v>8480</v>
          </cell>
          <cell r="C5619" t="str">
            <v>CL_41_</v>
          </cell>
          <cell r="D5619" t="str">
            <v>Rancho La Cuchilla No. 41</v>
          </cell>
          <cell r="E5619" t="str">
            <v>Arriaga Lemus</v>
          </cell>
          <cell r="F5619">
            <v>250</v>
          </cell>
          <cell r="G5619">
            <v>1</v>
          </cell>
          <cell r="H5619">
            <v>400</v>
          </cell>
          <cell r="I5619">
            <v>41980</v>
          </cell>
          <cell r="J5619">
            <v>0</v>
          </cell>
          <cell r="W5619">
            <v>0</v>
          </cell>
          <cell r="AJ5619">
            <v>0</v>
          </cell>
          <cell r="AV5619">
            <v>400</v>
          </cell>
          <cell r="AW5619">
            <v>400</v>
          </cell>
        </row>
        <row r="5620">
          <cell r="B5620">
            <v>8481</v>
          </cell>
          <cell r="C5620" t="str">
            <v>EZ_151_</v>
          </cell>
          <cell r="D5620" t="str">
            <v>Rancho Estanzuela No. 151</v>
          </cell>
          <cell r="E5620" t="str">
            <v>Pérez Salazar</v>
          </cell>
          <cell r="F5620">
            <v>300</v>
          </cell>
          <cell r="G5620">
            <v>1</v>
          </cell>
          <cell r="H5620">
            <v>400</v>
          </cell>
          <cell r="I5620">
            <v>41980</v>
          </cell>
          <cell r="J5620">
            <v>0</v>
          </cell>
          <cell r="W5620">
            <v>0</v>
          </cell>
          <cell r="AJ5620">
            <v>0</v>
          </cell>
          <cell r="AV5620">
            <v>400</v>
          </cell>
          <cell r="AW5620">
            <v>400</v>
          </cell>
        </row>
        <row r="5621">
          <cell r="B5621">
            <v>8481</v>
          </cell>
          <cell r="C5621" t="str">
            <v>EZ_151_</v>
          </cell>
          <cell r="D5621" t="str">
            <v>Rancho Estanzuela No. 151</v>
          </cell>
          <cell r="E5621" t="str">
            <v>Pérez Salazar</v>
          </cell>
          <cell r="F5621">
            <v>300</v>
          </cell>
          <cell r="G5621">
            <v>4</v>
          </cell>
          <cell r="H5621">
            <v>160</v>
          </cell>
          <cell r="I5621">
            <v>41980</v>
          </cell>
          <cell r="J5621" t="str">
            <v>NO SUMA</v>
          </cell>
          <cell r="W5621">
            <v>0</v>
          </cell>
          <cell r="AJ5621">
            <v>0</v>
          </cell>
          <cell r="AW5621">
            <v>0</v>
          </cell>
        </row>
        <row r="5622">
          <cell r="B5622">
            <v>8482</v>
          </cell>
          <cell r="C5622" t="str">
            <v>EZ_139_</v>
          </cell>
          <cell r="D5622" t="str">
            <v>Rancho Estanzuela No. 139</v>
          </cell>
          <cell r="E5622" t="str">
            <v xml:space="preserve">Ortiz   </v>
          </cell>
          <cell r="F5622">
            <v>300</v>
          </cell>
          <cell r="G5622">
            <v>1</v>
          </cell>
          <cell r="H5622">
            <v>800</v>
          </cell>
          <cell r="I5622">
            <v>41980</v>
          </cell>
          <cell r="J5622">
            <v>0</v>
          </cell>
          <cell r="W5622">
            <v>0</v>
          </cell>
          <cell r="AJ5622">
            <v>0</v>
          </cell>
          <cell r="AT5622">
            <v>400</v>
          </cell>
          <cell r="AU5622">
            <v>400</v>
          </cell>
          <cell r="AW5622">
            <v>800</v>
          </cell>
        </row>
        <row r="5623">
          <cell r="B5623">
            <v>8483</v>
          </cell>
          <cell r="C5623" t="str">
            <v>CL_90_</v>
          </cell>
          <cell r="D5623" t="str">
            <v>Rancho La Cuchilla No. 90</v>
          </cell>
          <cell r="E5623" t="str">
            <v>Porras Fuentes</v>
          </cell>
          <cell r="F5623">
            <v>150</v>
          </cell>
          <cell r="G5623">
            <v>1</v>
          </cell>
          <cell r="H5623">
            <v>200</v>
          </cell>
          <cell r="I5623">
            <v>41980</v>
          </cell>
          <cell r="J5623">
            <v>0</v>
          </cell>
          <cell r="W5623">
            <v>0</v>
          </cell>
          <cell r="AJ5623">
            <v>0</v>
          </cell>
          <cell r="AU5623">
            <v>200</v>
          </cell>
          <cell r="AW5623">
            <v>200</v>
          </cell>
        </row>
        <row r="5624">
          <cell r="B5624">
            <v>8484</v>
          </cell>
          <cell r="C5624" t="str">
            <v>LD_42_</v>
          </cell>
          <cell r="D5624" t="str">
            <v>Rancho Landero No. 42</v>
          </cell>
          <cell r="E5624" t="str">
            <v>Ávila Fidel</v>
          </cell>
          <cell r="F5624">
            <v>300</v>
          </cell>
          <cell r="G5624">
            <v>1</v>
          </cell>
          <cell r="H5624">
            <v>400</v>
          </cell>
          <cell r="I5624">
            <v>41980</v>
          </cell>
          <cell r="J5624">
            <v>0</v>
          </cell>
          <cell r="W5624">
            <v>0</v>
          </cell>
          <cell r="AJ5624">
            <v>0</v>
          </cell>
          <cell r="AV5624">
            <v>400</v>
          </cell>
          <cell r="AW5624">
            <v>400</v>
          </cell>
        </row>
        <row r="5625">
          <cell r="B5625">
            <v>8485</v>
          </cell>
          <cell r="C5625" t="str">
            <v>CL_43_B</v>
          </cell>
          <cell r="D5625" t="str">
            <v>Rancho La Cuchilla No. 43, B</v>
          </cell>
          <cell r="E5625" t="str">
            <v>Luna Albertano</v>
          </cell>
          <cell r="F5625">
            <v>125</v>
          </cell>
          <cell r="G5625">
            <v>1</v>
          </cell>
          <cell r="H5625">
            <v>125</v>
          </cell>
          <cell r="I5625">
            <v>41980</v>
          </cell>
          <cell r="J5625">
            <v>0</v>
          </cell>
          <cell r="W5625">
            <v>0</v>
          </cell>
          <cell r="AJ5625">
            <v>0</v>
          </cell>
          <cell r="AV5625">
            <v>125</v>
          </cell>
          <cell r="AW5625">
            <v>125</v>
          </cell>
        </row>
        <row r="5626">
          <cell r="B5626">
            <v>8486</v>
          </cell>
          <cell r="C5626" t="str">
            <v>CL_14_</v>
          </cell>
          <cell r="D5626" t="str">
            <v>Rancho La Cuchilla No. 14</v>
          </cell>
          <cell r="E5626" t="str">
            <v>Chávez Lara</v>
          </cell>
          <cell r="F5626">
            <v>300</v>
          </cell>
          <cell r="G5626">
            <v>1</v>
          </cell>
          <cell r="H5626">
            <v>800</v>
          </cell>
          <cell r="I5626">
            <v>41980</v>
          </cell>
          <cell r="J5626">
            <v>0</v>
          </cell>
          <cell r="W5626">
            <v>0</v>
          </cell>
          <cell r="AJ5626">
            <v>0</v>
          </cell>
          <cell r="AW5626">
            <v>0</v>
          </cell>
        </row>
        <row r="5627">
          <cell r="B5627">
            <v>8487</v>
          </cell>
          <cell r="C5627" t="str">
            <v>CL_82_</v>
          </cell>
          <cell r="D5627" t="str">
            <v>Rancho La Cuchilla No. 82</v>
          </cell>
          <cell r="E5627" t="str">
            <v>Cruz</v>
          </cell>
          <cell r="F5627">
            <v>300</v>
          </cell>
          <cell r="G5627">
            <v>1</v>
          </cell>
          <cell r="H5627">
            <v>800</v>
          </cell>
          <cell r="I5627">
            <v>41980</v>
          </cell>
          <cell r="J5627">
            <v>0</v>
          </cell>
          <cell r="W5627">
            <v>0</v>
          </cell>
          <cell r="AJ5627">
            <v>0</v>
          </cell>
          <cell r="AU5627">
            <v>400</v>
          </cell>
          <cell r="AV5627">
            <v>400</v>
          </cell>
          <cell r="AW5627">
            <v>800</v>
          </cell>
        </row>
        <row r="5628">
          <cell r="B5628">
            <v>8487</v>
          </cell>
          <cell r="C5628" t="str">
            <v>CL_82_</v>
          </cell>
          <cell r="D5628" t="str">
            <v>Rancho La Cuchilla No. 82</v>
          </cell>
          <cell r="E5628" t="str">
            <v>Cruz</v>
          </cell>
          <cell r="F5628">
            <v>300</v>
          </cell>
          <cell r="G5628">
            <v>5</v>
          </cell>
          <cell r="H5628">
            <v>20</v>
          </cell>
          <cell r="I5628">
            <v>41980</v>
          </cell>
          <cell r="J5628" t="str">
            <v>NO SUMA</v>
          </cell>
          <cell r="W5628">
            <v>0</v>
          </cell>
          <cell r="AJ5628">
            <v>0</v>
          </cell>
          <cell r="AW5628">
            <v>0</v>
          </cell>
        </row>
        <row r="5629">
          <cell r="B5629">
            <v>8488</v>
          </cell>
          <cell r="C5629" t="str">
            <v>ZB_72_</v>
          </cell>
          <cell r="D5629" t="str">
            <v>Rancho Zinamba No. 72</v>
          </cell>
          <cell r="E5629" t="str">
            <v>Romo de Vivar</v>
          </cell>
          <cell r="F5629">
            <v>300</v>
          </cell>
          <cell r="G5629">
            <v>1</v>
          </cell>
          <cell r="H5629">
            <v>600</v>
          </cell>
          <cell r="I5629">
            <v>41980</v>
          </cell>
          <cell r="J5629">
            <v>0</v>
          </cell>
          <cell r="W5629">
            <v>0</v>
          </cell>
          <cell r="AJ5629">
            <v>0</v>
          </cell>
          <cell r="AS5629">
            <v>200</v>
          </cell>
          <cell r="AT5629">
            <v>200</v>
          </cell>
          <cell r="AU5629">
            <v>200</v>
          </cell>
          <cell r="AW5629">
            <v>600</v>
          </cell>
        </row>
        <row r="5630">
          <cell r="B5630">
            <v>8489</v>
          </cell>
          <cell r="C5630" t="str">
            <v>EZ_49_</v>
          </cell>
          <cell r="D5630" t="str">
            <v>Rancho Estanzuela No. 49</v>
          </cell>
          <cell r="E5630" t="str">
            <v>Sánchez Zamora</v>
          </cell>
          <cell r="F5630">
            <v>300</v>
          </cell>
          <cell r="G5630">
            <v>1</v>
          </cell>
          <cell r="H5630">
            <v>200</v>
          </cell>
          <cell r="I5630">
            <v>41980</v>
          </cell>
          <cell r="J5630">
            <v>0</v>
          </cell>
          <cell r="W5630">
            <v>0</v>
          </cell>
          <cell r="AJ5630">
            <v>0</v>
          </cell>
          <cell r="AR5630">
            <v>200</v>
          </cell>
          <cell r="AW5630">
            <v>200</v>
          </cell>
        </row>
        <row r="5631">
          <cell r="B5631">
            <v>8490</v>
          </cell>
          <cell r="C5631" t="str">
            <v>EZ_31_</v>
          </cell>
          <cell r="D5631" t="str">
            <v>Rancho Estanzuela No. 31</v>
          </cell>
          <cell r="E5631" t="str">
            <v>Chávez Valdés</v>
          </cell>
          <cell r="F5631">
            <v>300</v>
          </cell>
          <cell r="G5631">
            <v>1</v>
          </cell>
          <cell r="H5631">
            <v>400</v>
          </cell>
          <cell r="I5631">
            <v>41980</v>
          </cell>
          <cell r="J5631">
            <v>0</v>
          </cell>
          <cell r="W5631">
            <v>0</v>
          </cell>
          <cell r="AJ5631">
            <v>0</v>
          </cell>
          <cell r="AU5631">
            <v>400</v>
          </cell>
          <cell r="AW5631">
            <v>400</v>
          </cell>
        </row>
        <row r="5632">
          <cell r="B5632">
            <v>8491</v>
          </cell>
          <cell r="C5632" t="str">
            <v>CL_40_</v>
          </cell>
          <cell r="D5632" t="str">
            <v>Rancho La Cuchilla No. 40</v>
          </cell>
          <cell r="E5632" t="str">
            <v>López Pico</v>
          </cell>
          <cell r="F5632">
            <v>300</v>
          </cell>
          <cell r="G5632">
            <v>1</v>
          </cell>
          <cell r="H5632">
            <v>400</v>
          </cell>
          <cell r="I5632">
            <v>41980</v>
          </cell>
          <cell r="J5632">
            <v>0</v>
          </cell>
          <cell r="W5632">
            <v>0</v>
          </cell>
          <cell r="AJ5632">
            <v>0</v>
          </cell>
          <cell r="AV5632">
            <v>400</v>
          </cell>
          <cell r="AW5632">
            <v>400</v>
          </cell>
        </row>
        <row r="5633">
          <cell r="B5633">
            <v>8492</v>
          </cell>
          <cell r="C5633" t="str">
            <v>CL_147_1</v>
          </cell>
          <cell r="D5633" t="str">
            <v>Rancho La Cuchilla No. 147, 1</v>
          </cell>
          <cell r="E5633" t="str">
            <v>Mena</v>
          </cell>
          <cell r="F5633">
            <v>300</v>
          </cell>
          <cell r="G5633">
            <v>1</v>
          </cell>
          <cell r="H5633">
            <v>400</v>
          </cell>
          <cell r="I5633">
            <v>41980</v>
          </cell>
          <cell r="J5633">
            <v>0</v>
          </cell>
          <cell r="W5633">
            <v>0</v>
          </cell>
          <cell r="AJ5633">
            <v>0</v>
          </cell>
          <cell r="AU5633">
            <v>200</v>
          </cell>
          <cell r="AV5633">
            <v>200</v>
          </cell>
          <cell r="AW5633">
            <v>400</v>
          </cell>
        </row>
        <row r="5634">
          <cell r="B5634">
            <v>8493</v>
          </cell>
          <cell r="C5634" t="str">
            <v>UP_120_</v>
          </cell>
          <cell r="D5634" t="str">
            <v>Rancho Upácuaro No. 120</v>
          </cell>
          <cell r="E5634" t="str">
            <v>Rayas Rivera</v>
          </cell>
          <cell r="F5634">
            <v>300</v>
          </cell>
          <cell r="G5634">
            <v>1</v>
          </cell>
          <cell r="H5634">
            <v>400</v>
          </cell>
          <cell r="I5634">
            <v>41980</v>
          </cell>
          <cell r="J5634">
            <v>0</v>
          </cell>
          <cell r="W5634">
            <v>0</v>
          </cell>
          <cell r="AJ5634">
            <v>0</v>
          </cell>
          <cell r="AV5634">
            <v>400</v>
          </cell>
          <cell r="AW5634">
            <v>400</v>
          </cell>
        </row>
        <row r="5635">
          <cell r="B5635">
            <v>8494</v>
          </cell>
          <cell r="C5635" t="str">
            <v>RV_179_</v>
          </cell>
          <cell r="D5635" t="str">
            <v>Rancho Recoveco No. 179</v>
          </cell>
          <cell r="E5635" t="str">
            <v>Flores Delgado</v>
          </cell>
          <cell r="F5635">
            <v>300</v>
          </cell>
          <cell r="G5635">
            <v>1</v>
          </cell>
          <cell r="H5635">
            <v>400</v>
          </cell>
          <cell r="I5635">
            <v>41980</v>
          </cell>
          <cell r="J5635">
            <v>0</v>
          </cell>
          <cell r="W5635">
            <v>0</v>
          </cell>
          <cell r="AJ5635">
            <v>0</v>
          </cell>
          <cell r="AV5635">
            <v>400</v>
          </cell>
          <cell r="AW5635">
            <v>400</v>
          </cell>
        </row>
        <row r="5636">
          <cell r="B5636">
            <v>8495</v>
          </cell>
          <cell r="C5636" t="str">
            <v>EZ_49_</v>
          </cell>
          <cell r="D5636" t="str">
            <v>Rancho Estanzuela No. 49</v>
          </cell>
          <cell r="E5636" t="str">
            <v>Sánchez Zamora</v>
          </cell>
          <cell r="F5636">
            <v>300</v>
          </cell>
          <cell r="G5636">
            <v>5</v>
          </cell>
          <cell r="H5636">
            <v>60</v>
          </cell>
          <cell r="I5636">
            <v>41980</v>
          </cell>
          <cell r="J5636" t="str">
            <v>NO SUMA</v>
          </cell>
          <cell r="W5636">
            <v>0</v>
          </cell>
          <cell r="AJ5636">
            <v>0</v>
          </cell>
          <cell r="AW5636">
            <v>0</v>
          </cell>
        </row>
        <row r="5637">
          <cell r="B5637">
            <v>8496</v>
          </cell>
          <cell r="C5637" t="str">
            <v>CL_19_</v>
          </cell>
          <cell r="D5637" t="str">
            <v>Rancho La Cuchilla No. 19</v>
          </cell>
          <cell r="E5637" t="str">
            <v>Tapia Vázquez</v>
          </cell>
          <cell r="F5637">
            <v>300</v>
          </cell>
          <cell r="G5637">
            <v>1</v>
          </cell>
          <cell r="H5637">
            <v>300</v>
          </cell>
          <cell r="I5637">
            <v>41980</v>
          </cell>
          <cell r="J5637">
            <v>0</v>
          </cell>
          <cell r="W5637">
            <v>0</v>
          </cell>
          <cell r="AJ5637">
            <v>0</v>
          </cell>
          <cell r="AV5637">
            <v>300</v>
          </cell>
          <cell r="AW5637">
            <v>300</v>
          </cell>
        </row>
        <row r="5638">
          <cell r="B5638">
            <v>8497</v>
          </cell>
          <cell r="C5638" t="str">
            <v>UP_120_</v>
          </cell>
          <cell r="D5638" t="str">
            <v>Rancho Upácuaro No. 120</v>
          </cell>
          <cell r="E5638" t="str">
            <v>Rayas Rivera</v>
          </cell>
          <cell r="F5638">
            <v>300</v>
          </cell>
          <cell r="G5638">
            <v>5</v>
          </cell>
          <cell r="H5638">
            <v>20</v>
          </cell>
          <cell r="I5638">
            <v>41980</v>
          </cell>
          <cell r="J5638" t="str">
            <v>NO SUMA</v>
          </cell>
          <cell r="W5638">
            <v>0</v>
          </cell>
          <cell r="AJ5638">
            <v>0</v>
          </cell>
          <cell r="AW5638">
            <v>0</v>
          </cell>
        </row>
        <row r="5639">
          <cell r="B5639">
            <v>8498</v>
          </cell>
          <cell r="C5639" t="str">
            <v>ZB_72_</v>
          </cell>
          <cell r="D5639" t="str">
            <v>Rancho Zinamba No. 72</v>
          </cell>
          <cell r="E5639" t="str">
            <v>Romo de Vivar</v>
          </cell>
          <cell r="F5639">
            <v>300</v>
          </cell>
          <cell r="G5639">
            <v>4</v>
          </cell>
          <cell r="H5639">
            <v>160</v>
          </cell>
          <cell r="I5639">
            <v>41980</v>
          </cell>
          <cell r="J5639" t="str">
            <v>NO SUMA</v>
          </cell>
          <cell r="W5639">
            <v>0</v>
          </cell>
          <cell r="AJ5639">
            <v>0</v>
          </cell>
          <cell r="AW5639">
            <v>0</v>
          </cell>
        </row>
        <row r="5640">
          <cell r="B5640">
            <v>8498</v>
          </cell>
          <cell r="C5640" t="str">
            <v>ZB_72_</v>
          </cell>
          <cell r="D5640" t="str">
            <v>Rancho Zinamba No. 72</v>
          </cell>
          <cell r="E5640" t="str">
            <v>Romo de Vivar</v>
          </cell>
          <cell r="F5640">
            <v>300</v>
          </cell>
          <cell r="G5640">
            <v>5</v>
          </cell>
          <cell r="H5640">
            <v>60</v>
          </cell>
          <cell r="I5640">
            <v>41980</v>
          </cell>
          <cell r="J5640" t="str">
            <v>NO SUMA</v>
          </cell>
          <cell r="W5640">
            <v>0</v>
          </cell>
          <cell r="AJ5640">
            <v>0</v>
          </cell>
          <cell r="AW5640">
            <v>0</v>
          </cell>
        </row>
        <row r="5641">
          <cell r="B5641">
            <v>8499</v>
          </cell>
          <cell r="C5641" t="str">
            <v>CL_120_</v>
          </cell>
          <cell r="D5641" t="str">
            <v>Rancho La Cuchilla No. 120</v>
          </cell>
          <cell r="E5641" t="str">
            <v>Pozos Vilchis</v>
          </cell>
          <cell r="F5641">
            <v>300</v>
          </cell>
          <cell r="G5641">
            <v>1</v>
          </cell>
          <cell r="H5641">
            <v>400</v>
          </cell>
          <cell r="I5641">
            <v>41980</v>
          </cell>
          <cell r="J5641">
            <v>0</v>
          </cell>
          <cell r="W5641">
            <v>0</v>
          </cell>
          <cell r="AJ5641">
            <v>0</v>
          </cell>
          <cell r="AV5641">
            <v>400</v>
          </cell>
          <cell r="AW5641">
            <v>400</v>
          </cell>
        </row>
        <row r="5642">
          <cell r="B5642">
            <v>8500</v>
          </cell>
          <cell r="C5642" t="str">
            <v>ZB_34_</v>
          </cell>
          <cell r="D5642" t="str">
            <v>Rancho Zinamba No. 34</v>
          </cell>
          <cell r="E5642" t="str">
            <v>Torres Zavala</v>
          </cell>
          <cell r="F5642">
            <v>300</v>
          </cell>
          <cell r="G5642">
            <v>1</v>
          </cell>
          <cell r="H5642">
            <v>800</v>
          </cell>
          <cell r="I5642">
            <v>41980</v>
          </cell>
          <cell r="J5642">
            <v>0</v>
          </cell>
          <cell r="W5642">
            <v>0</v>
          </cell>
          <cell r="AJ5642">
            <v>0</v>
          </cell>
          <cell r="AU5642">
            <v>400</v>
          </cell>
          <cell r="AV5642">
            <v>400</v>
          </cell>
          <cell r="AW5642">
            <v>800</v>
          </cell>
        </row>
        <row r="5643">
          <cell r="B5643">
            <v>8501</v>
          </cell>
          <cell r="C5643" t="str">
            <v>UP_96_</v>
          </cell>
          <cell r="D5643" t="str">
            <v>Rancho Upácuaro No. 96</v>
          </cell>
          <cell r="E5643" t="str">
            <v>Daza Gutiérrez</v>
          </cell>
          <cell r="F5643">
            <v>300</v>
          </cell>
          <cell r="G5643">
            <v>1</v>
          </cell>
          <cell r="H5643">
            <v>1600</v>
          </cell>
          <cell r="I5643">
            <v>41980</v>
          </cell>
          <cell r="J5643">
            <v>0</v>
          </cell>
          <cell r="W5643">
            <v>0</v>
          </cell>
          <cell r="AJ5643">
            <v>0</v>
          </cell>
          <cell r="AS5643">
            <v>400</v>
          </cell>
          <cell r="AT5643">
            <v>400</v>
          </cell>
          <cell r="AU5643">
            <v>400</v>
          </cell>
          <cell r="AV5643">
            <v>400</v>
          </cell>
          <cell r="AW5643">
            <v>1600</v>
          </cell>
        </row>
        <row r="5644">
          <cell r="B5644">
            <v>8501</v>
          </cell>
          <cell r="C5644" t="str">
            <v>UP_96_</v>
          </cell>
          <cell r="D5644" t="str">
            <v>Rancho Upácuaro No. 96</v>
          </cell>
          <cell r="E5644" t="str">
            <v>Daza Gutiérrez</v>
          </cell>
          <cell r="F5644">
            <v>300</v>
          </cell>
          <cell r="G5644">
            <v>5</v>
          </cell>
          <cell r="H5644">
            <v>20</v>
          </cell>
          <cell r="I5644">
            <v>41980</v>
          </cell>
          <cell r="J5644" t="str">
            <v>NO SUMA</v>
          </cell>
          <cell r="W5644">
            <v>0</v>
          </cell>
          <cell r="AJ5644">
            <v>0</v>
          </cell>
          <cell r="AW5644">
            <v>0</v>
          </cell>
        </row>
        <row r="5645">
          <cell r="B5645">
            <v>8502</v>
          </cell>
          <cell r="C5645" t="str">
            <v>CL_112_PA</v>
          </cell>
          <cell r="D5645" t="str">
            <v>Rancho La Cuchilla No. 112, PA</v>
          </cell>
          <cell r="E5645" t="str">
            <v>Villalpando Pineda</v>
          </cell>
          <cell r="F5645">
            <v>150</v>
          </cell>
          <cell r="G5645">
            <v>4</v>
          </cell>
          <cell r="H5645">
            <v>160</v>
          </cell>
          <cell r="I5645">
            <v>41980</v>
          </cell>
          <cell r="J5645" t="str">
            <v>NO SUMA</v>
          </cell>
          <cell r="W5645">
            <v>0</v>
          </cell>
          <cell r="AJ5645">
            <v>0</v>
          </cell>
          <cell r="AW5645">
            <v>0</v>
          </cell>
        </row>
        <row r="5646">
          <cell r="B5646">
            <v>8502</v>
          </cell>
          <cell r="C5646" t="str">
            <v>CL_112_PA</v>
          </cell>
          <cell r="D5646" t="str">
            <v>Rancho La Cuchilla No. 112, PA</v>
          </cell>
          <cell r="E5646" t="str">
            <v>Villalpando Pineda</v>
          </cell>
          <cell r="F5646">
            <v>150</v>
          </cell>
          <cell r="G5646">
            <v>5</v>
          </cell>
          <cell r="H5646">
            <v>20</v>
          </cell>
          <cell r="I5646">
            <v>41980</v>
          </cell>
          <cell r="J5646" t="str">
            <v>NO SUMA</v>
          </cell>
          <cell r="W5646">
            <v>0</v>
          </cell>
          <cell r="AJ5646">
            <v>0</v>
          </cell>
          <cell r="AW5646">
            <v>0</v>
          </cell>
        </row>
        <row r="5647">
          <cell r="B5647">
            <v>8503</v>
          </cell>
          <cell r="C5647" t="str">
            <v>UP_32_</v>
          </cell>
          <cell r="D5647" t="str">
            <v>Rancho Upácuaro No. 32</v>
          </cell>
          <cell r="E5647" t="str">
            <v>Sairafi Carmen</v>
          </cell>
          <cell r="F5647">
            <v>300</v>
          </cell>
          <cell r="G5647">
            <v>1</v>
          </cell>
          <cell r="H5647">
            <v>400</v>
          </cell>
          <cell r="I5647">
            <v>41980</v>
          </cell>
          <cell r="J5647">
            <v>0</v>
          </cell>
          <cell r="W5647">
            <v>0</v>
          </cell>
          <cell r="AJ5647">
            <v>0</v>
          </cell>
          <cell r="AV5647">
            <v>400</v>
          </cell>
          <cell r="AW5647">
            <v>400</v>
          </cell>
        </row>
        <row r="5648">
          <cell r="B5648">
            <v>8504</v>
          </cell>
          <cell r="C5648" t="str">
            <v>LD_25_</v>
          </cell>
          <cell r="D5648" t="str">
            <v>Rancho Landero No. 25</v>
          </cell>
          <cell r="E5648" t="str">
            <v>Escamilla Martínez</v>
          </cell>
          <cell r="F5648">
            <v>300</v>
          </cell>
          <cell r="G5648">
            <v>1</v>
          </cell>
          <cell r="H5648">
            <v>800</v>
          </cell>
          <cell r="I5648">
            <v>41980</v>
          </cell>
          <cell r="J5648">
            <v>0</v>
          </cell>
          <cell r="W5648">
            <v>0</v>
          </cell>
          <cell r="AJ5648">
            <v>0</v>
          </cell>
          <cell r="AU5648">
            <v>400</v>
          </cell>
          <cell r="AV5648">
            <v>400</v>
          </cell>
          <cell r="AW5648">
            <v>800</v>
          </cell>
        </row>
        <row r="5649">
          <cell r="B5649">
            <v>8505</v>
          </cell>
          <cell r="C5649" t="str">
            <v>CL_131_</v>
          </cell>
          <cell r="D5649" t="str">
            <v>Rancho La Cuchilla No. 131</v>
          </cell>
          <cell r="E5649" t="str">
            <v>Cabrera Marquez</v>
          </cell>
          <cell r="F5649">
            <v>300</v>
          </cell>
          <cell r="G5649">
            <v>1</v>
          </cell>
          <cell r="H5649">
            <v>400</v>
          </cell>
          <cell r="I5649">
            <v>41980</v>
          </cell>
          <cell r="J5649">
            <v>0</v>
          </cell>
          <cell r="W5649">
            <v>0</v>
          </cell>
          <cell r="AJ5649">
            <v>0</v>
          </cell>
          <cell r="AU5649">
            <v>400</v>
          </cell>
          <cell r="AW5649">
            <v>400</v>
          </cell>
        </row>
        <row r="5650">
          <cell r="B5650">
            <v>8506</v>
          </cell>
          <cell r="C5650" t="str">
            <v>CL_45_</v>
          </cell>
          <cell r="D5650" t="str">
            <v>Rancho La Cuchilla No. 45</v>
          </cell>
          <cell r="E5650" t="str">
            <v>Estévez Hernández</v>
          </cell>
          <cell r="F5650">
            <v>300</v>
          </cell>
          <cell r="G5650">
            <v>1</v>
          </cell>
          <cell r="H5650">
            <v>400</v>
          </cell>
          <cell r="I5650">
            <v>41980</v>
          </cell>
          <cell r="J5650">
            <v>0</v>
          </cell>
          <cell r="W5650">
            <v>0</v>
          </cell>
          <cell r="AJ5650">
            <v>0</v>
          </cell>
          <cell r="AV5650">
            <v>400</v>
          </cell>
          <cell r="AW5650">
            <v>400</v>
          </cell>
        </row>
        <row r="5651">
          <cell r="B5651">
            <v>8507</v>
          </cell>
          <cell r="C5651" t="str">
            <v>EZ_89_</v>
          </cell>
          <cell r="D5651" t="str">
            <v>Rancho Estanzuela No. 89</v>
          </cell>
          <cell r="E5651" t="str">
            <v>Romero Ortiz</v>
          </cell>
          <cell r="F5651">
            <v>300</v>
          </cell>
          <cell r="G5651">
            <v>1</v>
          </cell>
          <cell r="H5651">
            <v>400</v>
          </cell>
          <cell r="I5651">
            <v>41980</v>
          </cell>
          <cell r="J5651">
            <v>0</v>
          </cell>
          <cell r="W5651">
            <v>0</v>
          </cell>
          <cell r="AJ5651">
            <v>0</v>
          </cell>
          <cell r="AV5651">
            <v>400</v>
          </cell>
          <cell r="AW5651">
            <v>400</v>
          </cell>
        </row>
        <row r="5652">
          <cell r="B5652">
            <v>8508</v>
          </cell>
          <cell r="C5652" t="str">
            <v>ZB_82_</v>
          </cell>
          <cell r="D5652" t="str">
            <v>Rancho Zinamba No. 82</v>
          </cell>
          <cell r="E5652" t="str">
            <v>Morán Carmona</v>
          </cell>
          <cell r="F5652">
            <v>150</v>
          </cell>
          <cell r="G5652">
            <v>5</v>
          </cell>
          <cell r="H5652">
            <v>20</v>
          </cell>
          <cell r="I5652">
            <v>41980</v>
          </cell>
          <cell r="J5652" t="str">
            <v>NO SUMA</v>
          </cell>
          <cell r="W5652">
            <v>0</v>
          </cell>
          <cell r="AJ5652">
            <v>0</v>
          </cell>
          <cell r="AW5652">
            <v>0</v>
          </cell>
        </row>
        <row r="5653">
          <cell r="B5653">
            <v>8509</v>
          </cell>
          <cell r="C5653" t="str">
            <v>RV_175_B</v>
          </cell>
          <cell r="D5653" t="str">
            <v>Rancho Recoveco No. 175, B</v>
          </cell>
          <cell r="E5653" t="str">
            <v>García Calderón</v>
          </cell>
          <cell r="F5653">
            <v>150</v>
          </cell>
          <cell r="G5653">
            <v>1</v>
          </cell>
          <cell r="H5653">
            <v>200</v>
          </cell>
          <cell r="I5653">
            <v>38328</v>
          </cell>
          <cell r="J5653">
            <v>0</v>
          </cell>
          <cell r="W5653">
            <v>0</v>
          </cell>
          <cell r="AJ5653">
            <v>0</v>
          </cell>
          <cell r="AV5653">
            <v>200</v>
          </cell>
          <cell r="AW5653">
            <v>200</v>
          </cell>
        </row>
        <row r="5654">
          <cell r="B5654">
            <v>8510</v>
          </cell>
          <cell r="C5654" t="str">
            <v>UP_85_</v>
          </cell>
          <cell r="D5654" t="str">
            <v>Rancho Upácuaro No. 85</v>
          </cell>
          <cell r="E5654" t="str">
            <v>Del Toro Huerta</v>
          </cell>
          <cell r="F5654">
            <v>300</v>
          </cell>
          <cell r="G5654">
            <v>1</v>
          </cell>
          <cell r="H5654">
            <v>400</v>
          </cell>
          <cell r="I5654">
            <v>41980</v>
          </cell>
          <cell r="J5654">
            <v>0</v>
          </cell>
          <cell r="W5654">
            <v>0</v>
          </cell>
          <cell r="AJ5654">
            <v>0</v>
          </cell>
          <cell r="AV5654">
            <v>400</v>
          </cell>
          <cell r="AW5654">
            <v>400</v>
          </cell>
        </row>
        <row r="5655">
          <cell r="B5655">
            <v>8511</v>
          </cell>
          <cell r="C5655" t="str">
            <v>UP_140_</v>
          </cell>
          <cell r="D5655" t="str">
            <v>Rancho Upácuaro No. 140</v>
          </cell>
          <cell r="E5655" t="str">
            <v>Gozain</v>
          </cell>
          <cell r="F5655">
            <v>300</v>
          </cell>
          <cell r="G5655">
            <v>1</v>
          </cell>
          <cell r="H5655">
            <v>400</v>
          </cell>
          <cell r="I5655">
            <v>41980</v>
          </cell>
          <cell r="J5655">
            <v>0</v>
          </cell>
          <cell r="W5655">
            <v>0</v>
          </cell>
          <cell r="AJ5655">
            <v>0</v>
          </cell>
          <cell r="AV5655">
            <v>400</v>
          </cell>
          <cell r="AW5655">
            <v>400</v>
          </cell>
        </row>
        <row r="5656">
          <cell r="B5656">
            <v>8512</v>
          </cell>
          <cell r="C5656" t="str">
            <v>RV_195_</v>
          </cell>
          <cell r="D5656" t="str">
            <v>Rancho Recoveco No. 195</v>
          </cell>
          <cell r="E5656" t="str">
            <v>Sandoval</v>
          </cell>
          <cell r="F5656">
            <v>300</v>
          </cell>
          <cell r="G5656">
            <v>1</v>
          </cell>
          <cell r="H5656">
            <v>400</v>
          </cell>
          <cell r="I5656">
            <v>41980</v>
          </cell>
          <cell r="J5656">
            <v>0</v>
          </cell>
          <cell r="W5656">
            <v>0</v>
          </cell>
          <cell r="AJ5656">
            <v>0</v>
          </cell>
          <cell r="AV5656">
            <v>400</v>
          </cell>
          <cell r="AW5656">
            <v>400</v>
          </cell>
        </row>
        <row r="5657">
          <cell r="B5657">
            <v>8513</v>
          </cell>
          <cell r="C5657" t="str">
            <v>UP_76_</v>
          </cell>
          <cell r="D5657" t="str">
            <v>Rancho Upácuaro No. 76</v>
          </cell>
          <cell r="E5657" t="str">
            <v>Ruiz de San Pedro</v>
          </cell>
          <cell r="F5657">
            <v>300</v>
          </cell>
          <cell r="G5657">
            <v>1</v>
          </cell>
          <cell r="H5657">
            <v>400</v>
          </cell>
          <cell r="I5657">
            <v>41980</v>
          </cell>
          <cell r="J5657">
            <v>0</v>
          </cell>
          <cell r="W5657">
            <v>0</v>
          </cell>
          <cell r="AJ5657">
            <v>0</v>
          </cell>
          <cell r="AV5657">
            <v>400</v>
          </cell>
          <cell r="AW5657">
            <v>400</v>
          </cell>
        </row>
        <row r="5658">
          <cell r="B5658">
            <v>8514</v>
          </cell>
          <cell r="C5658" t="str">
            <v>CL_129_</v>
          </cell>
          <cell r="D5658" t="str">
            <v>Rancho La Cuchilla No. 129</v>
          </cell>
          <cell r="E5658" t="str">
            <v>Gamboa Rueda</v>
          </cell>
          <cell r="F5658">
            <v>200</v>
          </cell>
          <cell r="G5658">
            <v>1</v>
          </cell>
          <cell r="H5658">
            <v>300</v>
          </cell>
          <cell r="I5658">
            <v>41980</v>
          </cell>
          <cell r="J5658">
            <v>0</v>
          </cell>
          <cell r="W5658">
            <v>0</v>
          </cell>
          <cell r="AJ5658">
            <v>0</v>
          </cell>
          <cell r="AV5658">
            <v>300</v>
          </cell>
          <cell r="AW5658">
            <v>300</v>
          </cell>
        </row>
        <row r="5659">
          <cell r="B5659">
            <v>8515</v>
          </cell>
          <cell r="C5659" t="str">
            <v>RV_1_</v>
          </cell>
          <cell r="D5659" t="str">
            <v>Rancho Recoveco No. 1</v>
          </cell>
          <cell r="E5659" t="str">
            <v>Díaz</v>
          </cell>
          <cell r="F5659">
            <v>300</v>
          </cell>
          <cell r="G5659">
            <v>1</v>
          </cell>
          <cell r="H5659">
            <v>600</v>
          </cell>
          <cell r="I5659">
            <v>41980</v>
          </cell>
          <cell r="J5659">
            <v>0</v>
          </cell>
          <cell r="W5659">
            <v>0</v>
          </cell>
          <cell r="AJ5659">
            <v>0</v>
          </cell>
          <cell r="AU5659">
            <v>300</v>
          </cell>
          <cell r="AV5659">
            <v>300</v>
          </cell>
          <cell r="AW5659">
            <v>600</v>
          </cell>
        </row>
        <row r="5660">
          <cell r="B5660">
            <v>8516</v>
          </cell>
          <cell r="C5660" t="str">
            <v>RV_1_</v>
          </cell>
          <cell r="D5660" t="str">
            <v>Rancho Recoveco No. 1</v>
          </cell>
          <cell r="E5660" t="str">
            <v>Díaz</v>
          </cell>
          <cell r="F5660">
            <v>300</v>
          </cell>
          <cell r="G5660">
            <v>5</v>
          </cell>
          <cell r="H5660">
            <v>20</v>
          </cell>
          <cell r="I5660">
            <v>41980</v>
          </cell>
          <cell r="J5660" t="str">
            <v>NO SUMA</v>
          </cell>
          <cell r="W5660">
            <v>0</v>
          </cell>
          <cell r="AJ5660">
            <v>0</v>
          </cell>
          <cell r="AW5660">
            <v>0</v>
          </cell>
        </row>
        <row r="5661">
          <cell r="B5661">
            <v>8517</v>
          </cell>
          <cell r="C5661" t="str">
            <v>EZ_55_</v>
          </cell>
          <cell r="D5661" t="str">
            <v>Rancho Estanzuela No. 55</v>
          </cell>
          <cell r="E5661" t="str">
            <v>Rodríguez Acevedo</v>
          </cell>
          <cell r="F5661">
            <v>300</v>
          </cell>
          <cell r="G5661">
            <v>1</v>
          </cell>
          <cell r="H5661">
            <v>400</v>
          </cell>
          <cell r="I5661">
            <v>41980</v>
          </cell>
          <cell r="J5661">
            <v>0</v>
          </cell>
          <cell r="W5661">
            <v>0</v>
          </cell>
          <cell r="AJ5661">
            <v>0</v>
          </cell>
          <cell r="AV5661">
            <v>400</v>
          </cell>
          <cell r="AW5661">
            <v>400</v>
          </cell>
        </row>
        <row r="5662">
          <cell r="B5662">
            <v>8518</v>
          </cell>
          <cell r="C5662" t="str">
            <v>RM_10_A</v>
          </cell>
          <cell r="D5662" t="str">
            <v>Rancho Romeral No. 10, A</v>
          </cell>
          <cell r="E5662" t="str">
            <v>Casillas Álvarez</v>
          </cell>
          <cell r="F5662">
            <v>150</v>
          </cell>
          <cell r="G5662">
            <v>1</v>
          </cell>
          <cell r="H5662">
            <v>400</v>
          </cell>
          <cell r="I5662">
            <v>41980</v>
          </cell>
          <cell r="J5662">
            <v>0</v>
          </cell>
          <cell r="W5662">
            <v>0</v>
          </cell>
          <cell r="AJ5662">
            <v>0</v>
          </cell>
          <cell r="AW5662">
            <v>0</v>
          </cell>
        </row>
        <row r="5663">
          <cell r="B5663">
            <v>8519</v>
          </cell>
          <cell r="C5663" t="str">
            <v>UP_60_</v>
          </cell>
          <cell r="D5663" t="str">
            <v>Rancho Upácuaro No. 60</v>
          </cell>
          <cell r="E5663" t="str">
            <v>Zavala</v>
          </cell>
          <cell r="F5663">
            <v>300</v>
          </cell>
          <cell r="G5663">
            <v>1</v>
          </cell>
          <cell r="H5663">
            <v>400</v>
          </cell>
          <cell r="I5663">
            <v>41980</v>
          </cell>
          <cell r="J5663">
            <v>0</v>
          </cell>
          <cell r="W5663">
            <v>0</v>
          </cell>
          <cell r="AJ5663">
            <v>0</v>
          </cell>
          <cell r="AV5663">
            <v>400</v>
          </cell>
          <cell r="AW5663">
            <v>400</v>
          </cell>
        </row>
        <row r="5664">
          <cell r="B5664">
            <v>8520</v>
          </cell>
          <cell r="C5664" t="str">
            <v>CL_33_</v>
          </cell>
          <cell r="D5664" t="str">
            <v>Rancho La Cuchilla No. 33</v>
          </cell>
          <cell r="E5664" t="str">
            <v>Tanús</v>
          </cell>
          <cell r="F5664">
            <v>300</v>
          </cell>
          <cell r="G5664">
            <v>1</v>
          </cell>
          <cell r="H5664">
            <v>400</v>
          </cell>
          <cell r="I5664">
            <v>41980</v>
          </cell>
          <cell r="J5664">
            <v>0</v>
          </cell>
          <cell r="W5664">
            <v>0</v>
          </cell>
          <cell r="AJ5664">
            <v>0</v>
          </cell>
          <cell r="AV5664">
            <v>400</v>
          </cell>
          <cell r="AW5664">
            <v>400</v>
          </cell>
        </row>
        <row r="5665">
          <cell r="B5665">
            <v>8521</v>
          </cell>
          <cell r="C5665" t="str">
            <v>EZ_99_</v>
          </cell>
          <cell r="D5665" t="str">
            <v>Rancho Estanzuela No. 99</v>
          </cell>
          <cell r="E5665" t="str">
            <v>García López</v>
          </cell>
          <cell r="F5665">
            <v>300</v>
          </cell>
          <cell r="G5665">
            <v>1</v>
          </cell>
          <cell r="H5665">
            <v>800</v>
          </cell>
          <cell r="I5665">
            <v>41980</v>
          </cell>
          <cell r="J5665">
            <v>0</v>
          </cell>
          <cell r="W5665">
            <v>0</v>
          </cell>
          <cell r="AJ5665">
            <v>0</v>
          </cell>
          <cell r="AU5665">
            <v>400</v>
          </cell>
          <cell r="AV5665">
            <v>400</v>
          </cell>
          <cell r="AW5665">
            <v>800</v>
          </cell>
        </row>
        <row r="5666">
          <cell r="B5666">
            <v>8522</v>
          </cell>
          <cell r="C5666" t="str">
            <v>EZ_103_B</v>
          </cell>
          <cell r="D5666" t="str">
            <v>Rancho Estanzuela No. 103, B</v>
          </cell>
          <cell r="E5666" t="str">
            <v>Olivares Flores</v>
          </cell>
          <cell r="F5666">
            <v>300</v>
          </cell>
          <cell r="G5666">
            <v>1</v>
          </cell>
          <cell r="H5666">
            <v>400</v>
          </cell>
          <cell r="I5666">
            <v>41980</v>
          </cell>
          <cell r="J5666">
            <v>0</v>
          </cell>
          <cell r="W5666">
            <v>0</v>
          </cell>
          <cell r="AJ5666">
            <v>0</v>
          </cell>
          <cell r="AV5666">
            <v>400</v>
          </cell>
          <cell r="AW5666">
            <v>400</v>
          </cell>
        </row>
        <row r="5667">
          <cell r="B5667">
            <v>8523</v>
          </cell>
          <cell r="C5667" t="str">
            <v>CL_89_</v>
          </cell>
          <cell r="D5667" t="str">
            <v>Rancho La Cuchilla No. 89</v>
          </cell>
          <cell r="E5667" t="str">
            <v>Gálvez</v>
          </cell>
          <cell r="F5667">
            <v>300</v>
          </cell>
          <cell r="G5667">
            <v>1</v>
          </cell>
          <cell r="H5667">
            <v>400</v>
          </cell>
          <cell r="I5667">
            <v>41980</v>
          </cell>
          <cell r="J5667">
            <v>0</v>
          </cell>
          <cell r="W5667">
            <v>0</v>
          </cell>
          <cell r="AJ5667">
            <v>0</v>
          </cell>
          <cell r="AV5667">
            <v>400</v>
          </cell>
          <cell r="AW5667">
            <v>400</v>
          </cell>
        </row>
        <row r="5668">
          <cell r="B5668">
            <v>8524</v>
          </cell>
          <cell r="C5668" t="str">
            <v>UP_101_</v>
          </cell>
          <cell r="D5668" t="str">
            <v>Rancho Upácuaro No. 101</v>
          </cell>
          <cell r="E5668" t="str">
            <v>Chávez, Arturo</v>
          </cell>
          <cell r="F5668">
            <v>300</v>
          </cell>
          <cell r="G5668">
            <v>1</v>
          </cell>
          <cell r="H5668">
            <v>400</v>
          </cell>
          <cell r="I5668">
            <v>41980</v>
          </cell>
          <cell r="J5668">
            <v>0</v>
          </cell>
          <cell r="W5668">
            <v>0</v>
          </cell>
          <cell r="AJ5668">
            <v>0</v>
          </cell>
          <cell r="AV5668">
            <v>400</v>
          </cell>
          <cell r="AW5668">
            <v>400</v>
          </cell>
        </row>
        <row r="5669">
          <cell r="B5669">
            <v>8525</v>
          </cell>
          <cell r="C5669" t="str">
            <v>ZB_44_</v>
          </cell>
          <cell r="D5669" t="str">
            <v>Rancho Zinamba No. 44</v>
          </cell>
          <cell r="E5669" t="str">
            <v>Canales</v>
          </cell>
          <cell r="F5669">
            <v>300</v>
          </cell>
          <cell r="G5669">
            <v>1</v>
          </cell>
          <cell r="H5669">
            <v>400</v>
          </cell>
          <cell r="I5669">
            <v>41980</v>
          </cell>
          <cell r="J5669">
            <v>0</v>
          </cell>
          <cell r="W5669">
            <v>0</v>
          </cell>
          <cell r="AJ5669">
            <v>0</v>
          </cell>
          <cell r="AV5669">
            <v>400</v>
          </cell>
          <cell r="AW5669">
            <v>400</v>
          </cell>
        </row>
        <row r="5670">
          <cell r="B5670">
            <v>8526</v>
          </cell>
          <cell r="C5670" t="str">
            <v>RV_197_</v>
          </cell>
          <cell r="D5670" t="str">
            <v>Rancho Recoveco No. 197</v>
          </cell>
          <cell r="E5670" t="str">
            <v>Colín González</v>
          </cell>
          <cell r="F5670">
            <v>300</v>
          </cell>
          <cell r="G5670">
            <v>1</v>
          </cell>
          <cell r="H5670">
            <v>400</v>
          </cell>
          <cell r="I5670">
            <v>41980</v>
          </cell>
          <cell r="J5670">
            <v>0</v>
          </cell>
          <cell r="W5670">
            <v>0</v>
          </cell>
          <cell r="AJ5670">
            <v>0</v>
          </cell>
          <cell r="AV5670">
            <v>400</v>
          </cell>
          <cell r="AW5670">
            <v>400</v>
          </cell>
        </row>
        <row r="5671">
          <cell r="B5671">
            <v>8527</v>
          </cell>
          <cell r="C5671" t="str">
            <v>CL_80_</v>
          </cell>
          <cell r="D5671" t="str">
            <v>Rancho La Cuchilla No. 80</v>
          </cell>
          <cell r="E5671" t="str">
            <v>Aparicio</v>
          </cell>
          <cell r="F5671">
            <v>300</v>
          </cell>
          <cell r="G5671">
            <v>5</v>
          </cell>
          <cell r="H5671">
            <v>20</v>
          </cell>
          <cell r="I5671">
            <v>41980</v>
          </cell>
          <cell r="J5671" t="str">
            <v>NO SUMA</v>
          </cell>
          <cell r="W5671">
            <v>0</v>
          </cell>
          <cell r="AJ5671">
            <v>0</v>
          </cell>
          <cell r="AW5671">
            <v>0</v>
          </cell>
        </row>
        <row r="5672">
          <cell r="B5672">
            <v>8528</v>
          </cell>
          <cell r="C5672" t="str">
            <v>UP_18_</v>
          </cell>
          <cell r="D5672" t="str">
            <v>Rancho Upácuaro No. 18</v>
          </cell>
          <cell r="E5672" t="str">
            <v>Guzmán</v>
          </cell>
          <cell r="F5672">
            <v>300</v>
          </cell>
          <cell r="G5672">
            <v>1</v>
          </cell>
          <cell r="H5672">
            <v>300</v>
          </cell>
          <cell r="I5672">
            <v>41980</v>
          </cell>
          <cell r="J5672">
            <v>0</v>
          </cell>
          <cell r="W5672">
            <v>0</v>
          </cell>
          <cell r="AJ5672">
            <v>0</v>
          </cell>
          <cell r="AV5672">
            <v>300</v>
          </cell>
          <cell r="AW5672">
            <v>300</v>
          </cell>
        </row>
        <row r="5673">
          <cell r="B5673">
            <v>8529</v>
          </cell>
          <cell r="C5673" t="str">
            <v>LD_81_</v>
          </cell>
          <cell r="D5673" t="str">
            <v>Rancho Landero No. 81</v>
          </cell>
          <cell r="E5673" t="str">
            <v>Cebrían Saldaña</v>
          </cell>
          <cell r="F5673">
            <v>300</v>
          </cell>
          <cell r="G5673">
            <v>1</v>
          </cell>
          <cell r="H5673">
            <v>200</v>
          </cell>
          <cell r="I5673">
            <v>41980</v>
          </cell>
          <cell r="J5673">
            <v>0</v>
          </cell>
          <cell r="W5673">
            <v>0</v>
          </cell>
          <cell r="AJ5673">
            <v>0</v>
          </cell>
          <cell r="AU5673">
            <v>200</v>
          </cell>
          <cell r="AW5673">
            <v>200</v>
          </cell>
        </row>
        <row r="5674">
          <cell r="B5674">
            <v>8530</v>
          </cell>
          <cell r="C5674" t="str">
            <v>LD_21_</v>
          </cell>
          <cell r="D5674" t="str">
            <v>Rancho Landero No. 21</v>
          </cell>
          <cell r="E5674" t="str">
            <v>Meza</v>
          </cell>
          <cell r="F5674">
            <v>300</v>
          </cell>
          <cell r="G5674">
            <v>1</v>
          </cell>
          <cell r="H5674">
            <v>400</v>
          </cell>
          <cell r="I5674">
            <v>41980</v>
          </cell>
          <cell r="J5674">
            <v>0</v>
          </cell>
          <cell r="W5674">
            <v>0</v>
          </cell>
          <cell r="AJ5674">
            <v>0</v>
          </cell>
          <cell r="AV5674">
            <v>400</v>
          </cell>
          <cell r="AW5674">
            <v>400</v>
          </cell>
        </row>
        <row r="5675">
          <cell r="B5675">
            <v>8531</v>
          </cell>
          <cell r="C5675" t="str">
            <v>LD_99_</v>
          </cell>
          <cell r="D5675" t="str">
            <v>Rancho Landero No. 99</v>
          </cell>
          <cell r="E5675" t="str">
            <v>Rangel</v>
          </cell>
          <cell r="F5675">
            <v>300</v>
          </cell>
          <cell r="G5675">
            <v>1</v>
          </cell>
          <cell r="H5675">
            <v>300</v>
          </cell>
          <cell r="I5675">
            <v>41980</v>
          </cell>
          <cell r="J5675">
            <v>0</v>
          </cell>
          <cell r="W5675">
            <v>0</v>
          </cell>
          <cell r="AJ5675">
            <v>0</v>
          </cell>
          <cell r="AT5675">
            <v>300</v>
          </cell>
          <cell r="AW5675">
            <v>300</v>
          </cell>
        </row>
        <row r="5676">
          <cell r="B5676">
            <v>8532</v>
          </cell>
          <cell r="C5676" t="str">
            <v>LD_91_</v>
          </cell>
          <cell r="D5676" t="str">
            <v>Rancho Landero No. 91</v>
          </cell>
          <cell r="E5676" t="str">
            <v>Llaca</v>
          </cell>
          <cell r="F5676">
            <v>300</v>
          </cell>
          <cell r="G5676">
            <v>1</v>
          </cell>
          <cell r="H5676">
            <v>400</v>
          </cell>
          <cell r="I5676">
            <v>41980</v>
          </cell>
          <cell r="J5676">
            <v>0</v>
          </cell>
          <cell r="W5676">
            <v>0</v>
          </cell>
          <cell r="AJ5676">
            <v>0</v>
          </cell>
          <cell r="AV5676">
            <v>400</v>
          </cell>
          <cell r="AW5676">
            <v>400</v>
          </cell>
        </row>
        <row r="5677">
          <cell r="B5677">
            <v>8532</v>
          </cell>
          <cell r="C5677" t="str">
            <v>LD_91_</v>
          </cell>
          <cell r="D5677" t="str">
            <v>Rancho Landero No. 91</v>
          </cell>
          <cell r="E5677" t="str">
            <v>Llaca</v>
          </cell>
          <cell r="F5677">
            <v>300</v>
          </cell>
          <cell r="G5677">
            <v>5</v>
          </cell>
          <cell r="H5677">
            <v>60</v>
          </cell>
          <cell r="I5677">
            <v>41980</v>
          </cell>
          <cell r="J5677" t="str">
            <v>NO SUMA</v>
          </cell>
          <cell r="W5677">
            <v>0</v>
          </cell>
          <cell r="AJ5677">
            <v>0</v>
          </cell>
          <cell r="AW5677">
            <v>0</v>
          </cell>
        </row>
        <row r="5678">
          <cell r="B5678">
            <v>8533</v>
          </cell>
          <cell r="C5678" t="str">
            <v>LD_99_</v>
          </cell>
          <cell r="D5678" t="str">
            <v>Rancho Landero No. 99</v>
          </cell>
          <cell r="E5678" t="str">
            <v>Rangel</v>
          </cell>
          <cell r="F5678">
            <v>300</v>
          </cell>
          <cell r="G5678">
            <v>5</v>
          </cell>
          <cell r="H5678">
            <v>40</v>
          </cell>
          <cell r="I5678">
            <v>41980</v>
          </cell>
          <cell r="J5678" t="str">
            <v>NO SUMA</v>
          </cell>
          <cell r="W5678">
            <v>0</v>
          </cell>
          <cell r="AJ5678">
            <v>0</v>
          </cell>
          <cell r="AW5678">
            <v>0</v>
          </cell>
        </row>
        <row r="5679">
          <cell r="B5679">
            <v>8534</v>
          </cell>
          <cell r="C5679" t="str">
            <v>UP_23_</v>
          </cell>
          <cell r="D5679" t="str">
            <v>Rancho Upácuaro No. 23</v>
          </cell>
          <cell r="E5679" t="str">
            <v>Arredondo</v>
          </cell>
          <cell r="F5679">
            <v>300</v>
          </cell>
          <cell r="G5679">
            <v>1</v>
          </cell>
          <cell r="H5679">
            <v>350</v>
          </cell>
          <cell r="I5679">
            <v>41980</v>
          </cell>
          <cell r="J5679">
            <v>0</v>
          </cell>
          <cell r="W5679">
            <v>0</v>
          </cell>
          <cell r="AJ5679">
            <v>0</v>
          </cell>
          <cell r="AV5679">
            <v>350</v>
          </cell>
          <cell r="AW5679">
            <v>350</v>
          </cell>
        </row>
        <row r="5680">
          <cell r="B5680">
            <v>8535</v>
          </cell>
          <cell r="C5680" t="str">
            <v>UP_33_</v>
          </cell>
          <cell r="D5680" t="str">
            <v>Rancho Upácuaro No. 33</v>
          </cell>
          <cell r="E5680" t="str">
            <v>Ulloa Miranda</v>
          </cell>
          <cell r="F5680">
            <v>300</v>
          </cell>
          <cell r="G5680">
            <v>1</v>
          </cell>
          <cell r="H5680">
            <v>400</v>
          </cell>
          <cell r="I5680">
            <v>41983</v>
          </cell>
          <cell r="J5680">
            <v>0</v>
          </cell>
          <cell r="W5680">
            <v>0</v>
          </cell>
          <cell r="AJ5680">
            <v>0</v>
          </cell>
          <cell r="AU5680">
            <v>400</v>
          </cell>
          <cell r="AW5680">
            <v>400</v>
          </cell>
        </row>
        <row r="5681">
          <cell r="B5681">
            <v>8536</v>
          </cell>
          <cell r="C5681" t="str">
            <v>CL_61_</v>
          </cell>
          <cell r="D5681" t="str">
            <v>Rancho La Cuchilla No. 61</v>
          </cell>
          <cell r="E5681" t="str">
            <v>Rivera</v>
          </cell>
          <cell r="F5681">
            <v>300</v>
          </cell>
          <cell r="G5681">
            <v>1</v>
          </cell>
          <cell r="H5681">
            <v>400</v>
          </cell>
          <cell r="I5681">
            <v>41985</v>
          </cell>
          <cell r="J5681">
            <v>0</v>
          </cell>
          <cell r="W5681">
            <v>0</v>
          </cell>
          <cell r="AJ5681">
            <v>0</v>
          </cell>
          <cell r="AU5681">
            <v>200</v>
          </cell>
          <cell r="AV5681">
            <v>200</v>
          </cell>
          <cell r="AW5681">
            <v>400</v>
          </cell>
        </row>
        <row r="5682">
          <cell r="B5682">
            <v>8537</v>
          </cell>
          <cell r="C5682" t="str">
            <v>UP_33_</v>
          </cell>
          <cell r="D5682" t="str">
            <v>Rancho Upácuaro No. 33</v>
          </cell>
          <cell r="E5682" t="str">
            <v>Ulloa Miranda</v>
          </cell>
          <cell r="F5682">
            <v>300</v>
          </cell>
          <cell r="G5682">
            <v>1</v>
          </cell>
          <cell r="H5682">
            <v>400</v>
          </cell>
          <cell r="I5682">
            <v>41983</v>
          </cell>
          <cell r="J5682">
            <v>0</v>
          </cell>
          <cell r="W5682">
            <v>0</v>
          </cell>
          <cell r="AJ5682">
            <v>0</v>
          </cell>
          <cell r="AV5682">
            <v>400</v>
          </cell>
          <cell r="AW5682">
            <v>400</v>
          </cell>
        </row>
        <row r="5683">
          <cell r="B5683">
            <v>8538</v>
          </cell>
          <cell r="C5683" t="str">
            <v>UP_33_</v>
          </cell>
          <cell r="D5683" t="str">
            <v>Rancho Upácuaro No. 33</v>
          </cell>
          <cell r="E5683" t="str">
            <v>Ulloa Miranda</v>
          </cell>
          <cell r="F5683">
            <v>300</v>
          </cell>
          <cell r="G5683">
            <v>5</v>
          </cell>
          <cell r="H5683">
            <v>20</v>
          </cell>
          <cell r="I5683">
            <v>41983</v>
          </cell>
          <cell r="J5683" t="str">
            <v>NO SUMA</v>
          </cell>
          <cell r="W5683">
            <v>0</v>
          </cell>
          <cell r="AJ5683">
            <v>0</v>
          </cell>
          <cell r="AW5683">
            <v>0</v>
          </cell>
        </row>
        <row r="5684">
          <cell r="B5684">
            <v>8539</v>
          </cell>
          <cell r="C5684" t="str">
            <v>UP_69_</v>
          </cell>
          <cell r="D5684" t="str">
            <v>Rancho Upácuaro No. 69</v>
          </cell>
          <cell r="E5684" t="str">
            <v>Gómez</v>
          </cell>
          <cell r="F5684">
            <v>300</v>
          </cell>
          <cell r="G5684">
            <v>1</v>
          </cell>
          <cell r="H5684">
            <v>1200</v>
          </cell>
          <cell r="I5684">
            <v>41987</v>
          </cell>
          <cell r="J5684">
            <v>0</v>
          </cell>
          <cell r="W5684">
            <v>0</v>
          </cell>
          <cell r="AJ5684">
            <v>0</v>
          </cell>
          <cell r="AT5684">
            <v>400</v>
          </cell>
          <cell r="AU5684">
            <v>400</v>
          </cell>
          <cell r="AV5684">
            <v>400</v>
          </cell>
          <cell r="AW5684">
            <v>1200</v>
          </cell>
        </row>
        <row r="5685">
          <cell r="B5685">
            <v>8540</v>
          </cell>
          <cell r="C5685" t="str">
            <v>LD_14_</v>
          </cell>
          <cell r="D5685" t="str">
            <v>Rancho Landero No. 14</v>
          </cell>
          <cell r="E5685" t="str">
            <v xml:space="preserve">Castrejón  </v>
          </cell>
          <cell r="F5685">
            <v>300</v>
          </cell>
          <cell r="G5685">
            <v>1</v>
          </cell>
          <cell r="H5685">
            <v>1600</v>
          </cell>
          <cell r="I5685">
            <v>41987</v>
          </cell>
          <cell r="J5685">
            <v>0</v>
          </cell>
          <cell r="W5685">
            <v>0</v>
          </cell>
          <cell r="AJ5685">
            <v>0</v>
          </cell>
          <cell r="AU5685">
            <v>400</v>
          </cell>
          <cell r="AV5685">
            <v>400</v>
          </cell>
          <cell r="AW5685">
            <v>800</v>
          </cell>
        </row>
        <row r="5686">
          <cell r="B5686">
            <v>8541</v>
          </cell>
          <cell r="C5686" t="str">
            <v>RV_193_</v>
          </cell>
          <cell r="D5686" t="str">
            <v>Rancho Recoveco No. 193</v>
          </cell>
          <cell r="E5686" t="str">
            <v>Salazar Pérez</v>
          </cell>
          <cell r="F5686">
            <v>300</v>
          </cell>
          <cell r="G5686">
            <v>1</v>
          </cell>
          <cell r="H5686">
            <v>400</v>
          </cell>
          <cell r="I5686">
            <v>41987</v>
          </cell>
          <cell r="J5686">
            <v>0</v>
          </cell>
          <cell r="W5686">
            <v>0</v>
          </cell>
          <cell r="AJ5686">
            <v>0</v>
          </cell>
          <cell r="AV5686">
            <v>400</v>
          </cell>
          <cell r="AW5686">
            <v>400</v>
          </cell>
        </row>
        <row r="5687">
          <cell r="B5687">
            <v>8542</v>
          </cell>
          <cell r="C5687" t="str">
            <v>UP_73_A</v>
          </cell>
          <cell r="D5687" t="str">
            <v>Rancho Upácuaro No. 73, A</v>
          </cell>
          <cell r="E5687" t="str">
            <v>Ortega</v>
          </cell>
          <cell r="F5687">
            <v>150</v>
          </cell>
          <cell r="G5687">
            <v>1</v>
          </cell>
          <cell r="H5687">
            <v>200</v>
          </cell>
          <cell r="I5687">
            <v>41987</v>
          </cell>
          <cell r="J5687">
            <v>0</v>
          </cell>
          <cell r="W5687">
            <v>0</v>
          </cell>
          <cell r="AJ5687">
            <v>0</v>
          </cell>
          <cell r="AU5687">
            <v>200</v>
          </cell>
          <cell r="AW5687">
            <v>200</v>
          </cell>
        </row>
        <row r="5688">
          <cell r="B5688">
            <v>8543</v>
          </cell>
          <cell r="C5688" t="str">
            <v>EZ_161_1</v>
          </cell>
          <cell r="D5688" t="str">
            <v>Rancho Estanzuela No. 161, 1</v>
          </cell>
          <cell r="E5688" t="str">
            <v>Guevara</v>
          </cell>
          <cell r="F5688">
            <v>150</v>
          </cell>
          <cell r="G5688">
            <v>1</v>
          </cell>
          <cell r="H5688">
            <v>200</v>
          </cell>
          <cell r="I5688">
            <v>41987</v>
          </cell>
          <cell r="J5688">
            <v>0</v>
          </cell>
          <cell r="W5688">
            <v>0</v>
          </cell>
          <cell r="AJ5688">
            <v>0</v>
          </cell>
          <cell r="AV5688">
            <v>200</v>
          </cell>
          <cell r="AW5688">
            <v>200</v>
          </cell>
        </row>
        <row r="5689">
          <cell r="B5689">
            <v>8544</v>
          </cell>
          <cell r="C5689" t="str">
            <v>EP_18_</v>
          </cell>
          <cell r="D5689" t="str">
            <v>Rancho Estopila No. 18</v>
          </cell>
          <cell r="E5689" t="str">
            <v>Aguilar Zarmeño</v>
          </cell>
          <cell r="F5689">
            <v>300</v>
          </cell>
          <cell r="G5689">
            <v>1</v>
          </cell>
          <cell r="H5689">
            <v>1200</v>
          </cell>
          <cell r="I5689">
            <v>41987</v>
          </cell>
          <cell r="J5689">
            <v>0</v>
          </cell>
          <cell r="W5689">
            <v>0</v>
          </cell>
          <cell r="AJ5689">
            <v>0</v>
          </cell>
          <cell r="AV5689">
            <v>400</v>
          </cell>
          <cell r="AW5689">
            <v>400</v>
          </cell>
        </row>
        <row r="5690">
          <cell r="B5690">
            <v>8545</v>
          </cell>
          <cell r="C5690" t="str">
            <v>EZ_47_</v>
          </cell>
          <cell r="D5690" t="str">
            <v>Rancho Estanzuela No. 47</v>
          </cell>
          <cell r="E5690" t="str">
            <v>Bussey García</v>
          </cell>
          <cell r="F5690">
            <v>300</v>
          </cell>
          <cell r="G5690">
            <v>1</v>
          </cell>
          <cell r="H5690">
            <v>400</v>
          </cell>
          <cell r="I5690">
            <v>41987</v>
          </cell>
          <cell r="J5690">
            <v>0</v>
          </cell>
          <cell r="W5690">
            <v>0</v>
          </cell>
          <cell r="AJ5690">
            <v>0</v>
          </cell>
          <cell r="AV5690">
            <v>400</v>
          </cell>
          <cell r="AW5690">
            <v>400</v>
          </cell>
        </row>
        <row r="5691">
          <cell r="B5691">
            <v>8546</v>
          </cell>
          <cell r="C5691" t="str">
            <v>UP_79_</v>
          </cell>
          <cell r="D5691" t="str">
            <v>Rancho Upácuaro No. 79</v>
          </cell>
          <cell r="E5691" t="str">
            <v>Macías</v>
          </cell>
          <cell r="F5691">
            <v>300</v>
          </cell>
          <cell r="G5691">
            <v>1</v>
          </cell>
          <cell r="H5691">
            <v>1200</v>
          </cell>
          <cell r="I5691">
            <v>41987</v>
          </cell>
          <cell r="J5691">
            <v>0</v>
          </cell>
          <cell r="W5691">
            <v>0</v>
          </cell>
          <cell r="AJ5691">
            <v>0</v>
          </cell>
          <cell r="AU5691">
            <v>400</v>
          </cell>
          <cell r="AV5691">
            <v>400</v>
          </cell>
          <cell r="AW5691">
            <v>800</v>
          </cell>
        </row>
        <row r="5692">
          <cell r="B5692">
            <v>8547</v>
          </cell>
          <cell r="C5692" t="str">
            <v>UP_108_</v>
          </cell>
          <cell r="D5692" t="str">
            <v>Rancho Upácuaro No. 108</v>
          </cell>
          <cell r="E5692" t="str">
            <v>Mejía</v>
          </cell>
          <cell r="F5692">
            <v>300</v>
          </cell>
          <cell r="G5692">
            <v>1</v>
          </cell>
          <cell r="H5692">
            <v>300</v>
          </cell>
          <cell r="I5692">
            <v>41987</v>
          </cell>
          <cell r="J5692">
            <v>0</v>
          </cell>
          <cell r="W5692">
            <v>0</v>
          </cell>
          <cell r="AJ5692">
            <v>0</v>
          </cell>
          <cell r="AU5692">
            <v>300</v>
          </cell>
          <cell r="AW5692">
            <v>300</v>
          </cell>
        </row>
        <row r="5693">
          <cell r="B5693">
            <v>8548</v>
          </cell>
          <cell r="C5693" t="str">
            <v>UP_108_</v>
          </cell>
          <cell r="D5693" t="str">
            <v>Rancho Upácuaro No. 108</v>
          </cell>
          <cell r="E5693" t="str">
            <v>Mejía</v>
          </cell>
          <cell r="F5693">
            <v>300</v>
          </cell>
          <cell r="G5693">
            <v>5</v>
          </cell>
          <cell r="H5693">
            <v>60</v>
          </cell>
          <cell r="I5693">
            <v>41987</v>
          </cell>
          <cell r="J5693" t="str">
            <v>NO SUMA</v>
          </cell>
          <cell r="W5693">
            <v>0</v>
          </cell>
          <cell r="AJ5693">
            <v>0</v>
          </cell>
          <cell r="AW5693">
            <v>0</v>
          </cell>
        </row>
        <row r="5694">
          <cell r="B5694">
            <v>8549</v>
          </cell>
          <cell r="C5694" t="str">
            <v>LD_90_</v>
          </cell>
          <cell r="D5694" t="str">
            <v>Rancho Landero No. 90</v>
          </cell>
          <cell r="E5694" t="str">
            <v>Córdova Reséndiz</v>
          </cell>
          <cell r="F5694">
            <v>300</v>
          </cell>
          <cell r="G5694">
            <v>1</v>
          </cell>
          <cell r="H5694">
            <v>300</v>
          </cell>
          <cell r="I5694">
            <v>41987</v>
          </cell>
          <cell r="J5694">
            <v>0</v>
          </cell>
          <cell r="W5694">
            <v>0</v>
          </cell>
          <cell r="AJ5694">
            <v>0</v>
          </cell>
          <cell r="AV5694">
            <v>300</v>
          </cell>
          <cell r="AW5694">
            <v>300</v>
          </cell>
        </row>
        <row r="5695">
          <cell r="B5695">
            <v>8550</v>
          </cell>
          <cell r="C5695" t="str">
            <v>ZB_80_</v>
          </cell>
          <cell r="D5695" t="str">
            <v>Rancho Zinamba No. 80</v>
          </cell>
          <cell r="E5695" t="str">
            <v>Vázquez</v>
          </cell>
          <cell r="F5695">
            <v>250</v>
          </cell>
          <cell r="G5695">
            <v>1</v>
          </cell>
          <cell r="H5695">
            <v>300</v>
          </cell>
          <cell r="I5695">
            <v>41987</v>
          </cell>
          <cell r="J5695">
            <v>0</v>
          </cell>
          <cell r="W5695">
            <v>0</v>
          </cell>
          <cell r="AJ5695">
            <v>0</v>
          </cell>
          <cell r="AV5695">
            <v>300</v>
          </cell>
          <cell r="AW5695">
            <v>300</v>
          </cell>
        </row>
        <row r="5696">
          <cell r="B5696">
            <v>8551</v>
          </cell>
          <cell r="C5696" t="str">
            <v>LD_89_</v>
          </cell>
          <cell r="D5696" t="str">
            <v>Rancho Landero No. 89</v>
          </cell>
          <cell r="E5696" t="str">
            <v>Del Pozo Solís</v>
          </cell>
          <cell r="F5696">
            <v>300</v>
          </cell>
          <cell r="G5696">
            <v>1</v>
          </cell>
          <cell r="H5696">
            <v>300</v>
          </cell>
          <cell r="I5696">
            <v>41987</v>
          </cell>
          <cell r="J5696">
            <v>0</v>
          </cell>
          <cell r="W5696">
            <v>0</v>
          </cell>
          <cell r="AJ5696">
            <v>0</v>
          </cell>
          <cell r="AU5696">
            <v>300</v>
          </cell>
          <cell r="AW5696">
            <v>300</v>
          </cell>
        </row>
        <row r="5697">
          <cell r="B5697">
            <v>8551</v>
          </cell>
          <cell r="C5697" t="str">
            <v>LD_89_</v>
          </cell>
          <cell r="D5697" t="str">
            <v>Rancho Landero No. 89</v>
          </cell>
          <cell r="E5697" t="str">
            <v>Del Pozo Solís</v>
          </cell>
          <cell r="F5697">
            <v>300</v>
          </cell>
          <cell r="G5697">
            <v>5</v>
          </cell>
          <cell r="H5697">
            <v>20</v>
          </cell>
          <cell r="I5697">
            <v>41987</v>
          </cell>
          <cell r="J5697" t="str">
            <v>NO SUMA</v>
          </cell>
          <cell r="W5697">
            <v>0</v>
          </cell>
          <cell r="AJ5697">
            <v>0</v>
          </cell>
          <cell r="AW5697">
            <v>0</v>
          </cell>
        </row>
        <row r="5698">
          <cell r="B5698">
            <v>8552</v>
          </cell>
          <cell r="C5698" t="str">
            <v>UP_100_</v>
          </cell>
          <cell r="D5698" t="str">
            <v>Rancho Upácuaro No. 100</v>
          </cell>
          <cell r="E5698" t="str">
            <v>Mancera Rodríguez</v>
          </cell>
          <cell r="F5698">
            <v>300</v>
          </cell>
          <cell r="G5698">
            <v>1</v>
          </cell>
          <cell r="H5698">
            <v>400</v>
          </cell>
          <cell r="I5698">
            <v>41987</v>
          </cell>
          <cell r="J5698">
            <v>0</v>
          </cell>
          <cell r="W5698">
            <v>0</v>
          </cell>
          <cell r="AJ5698">
            <v>0</v>
          </cell>
          <cell r="AV5698">
            <v>400</v>
          </cell>
          <cell r="AW5698">
            <v>400</v>
          </cell>
        </row>
        <row r="5699">
          <cell r="B5699">
            <v>8553</v>
          </cell>
          <cell r="C5699" t="str">
            <v>ZB_68_</v>
          </cell>
          <cell r="D5699" t="str">
            <v>Rancho Zinamba No. 68</v>
          </cell>
          <cell r="E5699" t="str">
            <v>Rivera Villicaña</v>
          </cell>
          <cell r="F5699">
            <v>300</v>
          </cell>
          <cell r="G5699">
            <v>1</v>
          </cell>
          <cell r="H5699">
            <v>300</v>
          </cell>
          <cell r="I5699">
            <v>41987</v>
          </cell>
          <cell r="J5699">
            <v>0</v>
          </cell>
          <cell r="W5699">
            <v>0</v>
          </cell>
          <cell r="AJ5699">
            <v>0</v>
          </cell>
          <cell r="AV5699">
            <v>300</v>
          </cell>
          <cell r="AW5699">
            <v>300</v>
          </cell>
        </row>
        <row r="5700">
          <cell r="B5700">
            <v>8554</v>
          </cell>
          <cell r="C5700" t="str">
            <v>LD_52_</v>
          </cell>
          <cell r="D5700" t="str">
            <v>Rancho Landero No. 52</v>
          </cell>
          <cell r="E5700" t="str">
            <v>Rangel</v>
          </cell>
          <cell r="F5700">
            <v>300</v>
          </cell>
          <cell r="G5700">
            <v>1</v>
          </cell>
          <cell r="H5700">
            <v>400</v>
          </cell>
          <cell r="I5700">
            <v>41987</v>
          </cell>
          <cell r="J5700">
            <v>0</v>
          </cell>
          <cell r="W5700">
            <v>0</v>
          </cell>
          <cell r="AJ5700">
            <v>0</v>
          </cell>
          <cell r="AV5700">
            <v>400</v>
          </cell>
          <cell r="AW5700">
            <v>400</v>
          </cell>
        </row>
        <row r="5701">
          <cell r="B5701">
            <v>8554</v>
          </cell>
          <cell r="C5701" t="str">
            <v>LD_52_</v>
          </cell>
          <cell r="D5701" t="str">
            <v>Rancho Landero No. 52</v>
          </cell>
          <cell r="E5701" t="str">
            <v>Rangel</v>
          </cell>
          <cell r="F5701">
            <v>300</v>
          </cell>
          <cell r="G5701">
            <v>3</v>
          </cell>
          <cell r="H5701">
            <v>160</v>
          </cell>
          <cell r="I5701">
            <v>41987</v>
          </cell>
          <cell r="J5701" t="str">
            <v>NO SUMA</v>
          </cell>
          <cell r="W5701">
            <v>0</v>
          </cell>
          <cell r="AJ5701">
            <v>0</v>
          </cell>
          <cell r="AW5701">
            <v>0</v>
          </cell>
        </row>
        <row r="5702">
          <cell r="B5702">
            <v>8554</v>
          </cell>
          <cell r="C5702" t="str">
            <v>LD_52_</v>
          </cell>
          <cell r="D5702" t="str">
            <v>Rancho Landero No. 52</v>
          </cell>
          <cell r="E5702" t="str">
            <v>Rangel</v>
          </cell>
          <cell r="F5702">
            <v>300</v>
          </cell>
          <cell r="G5702">
            <v>4</v>
          </cell>
          <cell r="H5702">
            <v>160</v>
          </cell>
          <cell r="I5702">
            <v>41987</v>
          </cell>
          <cell r="J5702" t="str">
            <v>NO SUMA</v>
          </cell>
          <cell r="W5702">
            <v>0</v>
          </cell>
          <cell r="AJ5702">
            <v>0</v>
          </cell>
          <cell r="AW5702">
            <v>0</v>
          </cell>
        </row>
        <row r="5703">
          <cell r="B5703">
            <v>8554</v>
          </cell>
          <cell r="C5703" t="str">
            <v>LD_52_</v>
          </cell>
          <cell r="D5703" t="str">
            <v>Rancho Landero No. 52</v>
          </cell>
          <cell r="E5703" t="str">
            <v>Rangel</v>
          </cell>
          <cell r="F5703">
            <v>300</v>
          </cell>
          <cell r="G5703">
            <v>5</v>
          </cell>
          <cell r="H5703">
            <v>20</v>
          </cell>
          <cell r="I5703">
            <v>41987</v>
          </cell>
          <cell r="J5703" t="str">
            <v>NO SUMA</v>
          </cell>
          <cell r="W5703">
            <v>0</v>
          </cell>
          <cell r="AJ5703">
            <v>0</v>
          </cell>
          <cell r="AW5703">
            <v>0</v>
          </cell>
        </row>
        <row r="5704">
          <cell r="B5704">
            <v>8555</v>
          </cell>
          <cell r="C5704" t="str">
            <v>LD_52_</v>
          </cell>
          <cell r="D5704" t="str">
            <v>Rancho Landero No. 52</v>
          </cell>
          <cell r="E5704" t="str">
            <v>Rangel</v>
          </cell>
          <cell r="F5704">
            <v>300</v>
          </cell>
          <cell r="G5704">
            <v>3</v>
          </cell>
          <cell r="H5704">
            <v>160</v>
          </cell>
          <cell r="I5704">
            <v>41987</v>
          </cell>
          <cell r="J5704" t="str">
            <v>NO SUMA</v>
          </cell>
          <cell r="W5704">
            <v>0</v>
          </cell>
          <cell r="AJ5704">
            <v>0</v>
          </cell>
          <cell r="AW5704">
            <v>0</v>
          </cell>
        </row>
        <row r="5705">
          <cell r="B5705">
            <v>8556</v>
          </cell>
          <cell r="C5705" t="str">
            <v>EZ_11_B</v>
          </cell>
          <cell r="D5705" t="str">
            <v>Rancho Estanzuela No. 11, B</v>
          </cell>
          <cell r="E5705" t="str">
            <v>Gómez Miguel</v>
          </cell>
          <cell r="F5705">
            <v>200</v>
          </cell>
          <cell r="G5705">
            <v>1</v>
          </cell>
          <cell r="H5705">
            <v>600</v>
          </cell>
          <cell r="I5705">
            <v>41987</v>
          </cell>
          <cell r="J5705">
            <v>0</v>
          </cell>
          <cell r="W5705">
            <v>0</v>
          </cell>
          <cell r="AJ5705">
            <v>0</v>
          </cell>
          <cell r="AT5705">
            <v>200</v>
          </cell>
          <cell r="AU5705">
            <v>200</v>
          </cell>
          <cell r="AV5705">
            <v>200</v>
          </cell>
          <cell r="AW5705">
            <v>600</v>
          </cell>
        </row>
        <row r="5706">
          <cell r="B5706">
            <v>8556</v>
          </cell>
          <cell r="C5706" t="str">
            <v>EZ_11_B</v>
          </cell>
          <cell r="D5706" t="str">
            <v>Rancho Estanzuela No. 11, B</v>
          </cell>
          <cell r="E5706" t="str">
            <v>Gómez Miguel</v>
          </cell>
          <cell r="F5706">
            <v>200</v>
          </cell>
          <cell r="G5706">
            <v>5</v>
          </cell>
          <cell r="H5706">
            <v>40</v>
          </cell>
          <cell r="I5706">
            <v>41987</v>
          </cell>
          <cell r="J5706" t="str">
            <v>NO SUMA</v>
          </cell>
          <cell r="W5706">
            <v>0</v>
          </cell>
          <cell r="AJ5706">
            <v>0</v>
          </cell>
          <cell r="AW5706">
            <v>0</v>
          </cell>
        </row>
        <row r="5707">
          <cell r="B5707">
            <v>8557</v>
          </cell>
          <cell r="C5707" t="str">
            <v>UP_64_</v>
          </cell>
          <cell r="D5707" t="str">
            <v>Rancho Upácuaro No. 64</v>
          </cell>
          <cell r="E5707" t="str">
            <v>Méndez Oliva</v>
          </cell>
          <cell r="F5707">
            <v>300</v>
          </cell>
          <cell r="G5707">
            <v>1</v>
          </cell>
          <cell r="H5707">
            <v>300</v>
          </cell>
          <cell r="I5707">
            <v>41987</v>
          </cell>
          <cell r="J5707">
            <v>0</v>
          </cell>
          <cell r="W5707">
            <v>0</v>
          </cell>
          <cell r="AJ5707">
            <v>0</v>
          </cell>
          <cell r="AV5707">
            <v>300</v>
          </cell>
          <cell r="AW5707">
            <v>300</v>
          </cell>
        </row>
        <row r="5708">
          <cell r="B5708">
            <v>8558</v>
          </cell>
          <cell r="C5708" t="str">
            <v>CL_111_</v>
          </cell>
          <cell r="D5708" t="str">
            <v>Rancho La Cuchilla No. 111</v>
          </cell>
          <cell r="E5708" t="str">
            <v>García Santos Ofelia</v>
          </cell>
          <cell r="F5708">
            <v>150</v>
          </cell>
          <cell r="G5708">
            <v>1</v>
          </cell>
          <cell r="H5708">
            <v>200</v>
          </cell>
          <cell r="I5708">
            <v>41987</v>
          </cell>
          <cell r="J5708">
            <v>0</v>
          </cell>
          <cell r="W5708">
            <v>0</v>
          </cell>
          <cell r="AJ5708">
            <v>0</v>
          </cell>
          <cell r="AV5708">
            <v>200</v>
          </cell>
          <cell r="AW5708">
            <v>200</v>
          </cell>
        </row>
        <row r="5709">
          <cell r="B5709">
            <v>8559</v>
          </cell>
          <cell r="C5709" t="str">
            <v>EP_22_A</v>
          </cell>
          <cell r="D5709" t="str">
            <v>Rancho Estopila No. 22, A</v>
          </cell>
          <cell r="E5709" t="str">
            <v>Ayala Carranza</v>
          </cell>
          <cell r="F5709">
            <v>150</v>
          </cell>
          <cell r="G5709">
            <v>1</v>
          </cell>
          <cell r="H5709">
            <v>200</v>
          </cell>
          <cell r="I5709">
            <v>41987</v>
          </cell>
          <cell r="J5709">
            <v>0</v>
          </cell>
          <cell r="W5709">
            <v>0</v>
          </cell>
          <cell r="AJ5709">
            <v>0</v>
          </cell>
          <cell r="AV5709">
            <v>200</v>
          </cell>
          <cell r="AW5709">
            <v>200</v>
          </cell>
        </row>
        <row r="5710">
          <cell r="B5710">
            <v>8560</v>
          </cell>
          <cell r="C5710" t="str">
            <v>EZ_35_</v>
          </cell>
          <cell r="D5710" t="str">
            <v>Rancho Estanzuela No. 35</v>
          </cell>
          <cell r="E5710" t="str">
            <v>Rodríguez</v>
          </cell>
          <cell r="F5710">
            <v>300</v>
          </cell>
          <cell r="G5710">
            <v>1</v>
          </cell>
          <cell r="H5710">
            <v>800</v>
          </cell>
          <cell r="I5710">
            <v>41987</v>
          </cell>
          <cell r="J5710">
            <v>0</v>
          </cell>
          <cell r="W5710">
            <v>0</v>
          </cell>
          <cell r="AJ5710">
            <v>0</v>
          </cell>
          <cell r="AT5710">
            <v>400</v>
          </cell>
          <cell r="AU5710">
            <v>400</v>
          </cell>
          <cell r="AW5710">
            <v>800</v>
          </cell>
        </row>
        <row r="5711">
          <cell r="B5711">
            <v>8561</v>
          </cell>
          <cell r="C5711" t="str">
            <v>LD_65_</v>
          </cell>
          <cell r="D5711" t="str">
            <v>Rancho Landero No. 65</v>
          </cell>
          <cell r="E5711" t="str">
            <v>Alpizar</v>
          </cell>
          <cell r="F5711">
            <v>300</v>
          </cell>
          <cell r="G5711">
            <v>1</v>
          </cell>
          <cell r="H5711">
            <v>800</v>
          </cell>
          <cell r="I5711">
            <v>41987</v>
          </cell>
          <cell r="J5711">
            <v>0</v>
          </cell>
          <cell r="W5711">
            <v>0</v>
          </cell>
          <cell r="AJ5711">
            <v>0</v>
          </cell>
          <cell r="AU5711">
            <v>400</v>
          </cell>
          <cell r="AV5711">
            <v>400</v>
          </cell>
          <cell r="AW5711">
            <v>800</v>
          </cell>
        </row>
        <row r="5712">
          <cell r="B5712">
            <v>8562</v>
          </cell>
          <cell r="C5712" t="str">
            <v>LD_7_</v>
          </cell>
          <cell r="D5712" t="str">
            <v>Rancho Landero No. 7</v>
          </cell>
          <cell r="E5712" t="str">
            <v>Robles</v>
          </cell>
          <cell r="F5712">
            <v>150</v>
          </cell>
          <cell r="G5712">
            <v>1</v>
          </cell>
          <cell r="H5712">
            <v>150</v>
          </cell>
          <cell r="I5712">
            <v>41987</v>
          </cell>
          <cell r="J5712">
            <v>0</v>
          </cell>
          <cell r="W5712">
            <v>0</v>
          </cell>
          <cell r="AJ5712">
            <v>0</v>
          </cell>
          <cell r="AV5712">
            <v>150</v>
          </cell>
          <cell r="AW5712">
            <v>150</v>
          </cell>
        </row>
        <row r="5713">
          <cell r="B5713">
            <v>8563</v>
          </cell>
          <cell r="C5713" t="str">
            <v>LD_80_</v>
          </cell>
          <cell r="D5713" t="str">
            <v>Rancho Landero No. 80</v>
          </cell>
          <cell r="E5713" t="str">
            <v>Villaseñor Sánchez</v>
          </cell>
          <cell r="F5713">
            <v>300</v>
          </cell>
          <cell r="G5713">
            <v>1</v>
          </cell>
          <cell r="H5713">
            <v>400</v>
          </cell>
          <cell r="I5713">
            <v>41987</v>
          </cell>
          <cell r="J5713">
            <v>0</v>
          </cell>
          <cell r="W5713">
            <v>0</v>
          </cell>
          <cell r="AJ5713">
            <v>0</v>
          </cell>
          <cell r="AV5713">
            <v>400</v>
          </cell>
          <cell r="AW5713">
            <v>400</v>
          </cell>
        </row>
        <row r="5714">
          <cell r="B5714">
            <v>8563</v>
          </cell>
          <cell r="C5714" t="str">
            <v>LD_80_</v>
          </cell>
          <cell r="D5714" t="str">
            <v>Rancho Landero No. 80</v>
          </cell>
          <cell r="E5714" t="str">
            <v>Villaseñor Sánchez</v>
          </cell>
          <cell r="F5714">
            <v>300</v>
          </cell>
          <cell r="G5714">
            <v>5</v>
          </cell>
          <cell r="H5714">
            <v>20</v>
          </cell>
          <cell r="I5714">
            <v>41987</v>
          </cell>
          <cell r="J5714" t="str">
            <v>NO SUMA</v>
          </cell>
          <cell r="W5714">
            <v>0</v>
          </cell>
          <cell r="AJ5714">
            <v>0</v>
          </cell>
          <cell r="AW5714">
            <v>0</v>
          </cell>
        </row>
        <row r="5715">
          <cell r="B5715">
            <v>8564</v>
          </cell>
          <cell r="C5715" t="str">
            <v>UP_71_</v>
          </cell>
          <cell r="D5715" t="str">
            <v>Rancho Upácuaro No. 71</v>
          </cell>
          <cell r="E5715" t="str">
            <v>Trejo Méndez</v>
          </cell>
          <cell r="F5715">
            <v>300</v>
          </cell>
          <cell r="G5715">
            <v>1</v>
          </cell>
          <cell r="H5715">
            <v>400</v>
          </cell>
          <cell r="I5715">
            <v>41987</v>
          </cell>
          <cell r="J5715">
            <v>0</v>
          </cell>
          <cell r="W5715">
            <v>0</v>
          </cell>
          <cell r="AJ5715">
            <v>0</v>
          </cell>
          <cell r="AV5715">
            <v>400</v>
          </cell>
          <cell r="AW5715">
            <v>400</v>
          </cell>
        </row>
        <row r="5716">
          <cell r="B5716">
            <v>8565</v>
          </cell>
          <cell r="C5716" t="str">
            <v>LD_101_</v>
          </cell>
          <cell r="D5716" t="str">
            <v>Rancho Landero No. 101</v>
          </cell>
          <cell r="E5716" t="str">
            <v>Ramírez</v>
          </cell>
          <cell r="F5716">
            <v>300</v>
          </cell>
          <cell r="G5716">
            <v>1</v>
          </cell>
          <cell r="H5716">
            <v>400</v>
          </cell>
          <cell r="I5716">
            <v>41987</v>
          </cell>
          <cell r="J5716">
            <v>0</v>
          </cell>
          <cell r="W5716">
            <v>0</v>
          </cell>
          <cell r="AJ5716">
            <v>0</v>
          </cell>
          <cell r="AV5716">
            <v>400</v>
          </cell>
          <cell r="AW5716">
            <v>400</v>
          </cell>
        </row>
        <row r="5717">
          <cell r="B5717">
            <v>8566</v>
          </cell>
          <cell r="C5717" t="str">
            <v>UP_8_</v>
          </cell>
          <cell r="D5717" t="str">
            <v>Rancho Upácuaro No. 8</v>
          </cell>
          <cell r="E5717" t="str">
            <v>Ibarra</v>
          </cell>
          <cell r="F5717">
            <v>250</v>
          </cell>
          <cell r="G5717">
            <v>5</v>
          </cell>
          <cell r="H5717">
            <v>40</v>
          </cell>
          <cell r="I5717">
            <v>41987</v>
          </cell>
          <cell r="J5717" t="str">
            <v>NO SUMA</v>
          </cell>
          <cell r="W5717">
            <v>0</v>
          </cell>
          <cell r="AJ5717">
            <v>0</v>
          </cell>
          <cell r="AW5717">
            <v>0</v>
          </cell>
        </row>
        <row r="5718">
          <cell r="B5718">
            <v>8567</v>
          </cell>
          <cell r="C5718" t="str">
            <v>ZB_42_</v>
          </cell>
          <cell r="D5718" t="str">
            <v>Rancho Zinamba No. 42</v>
          </cell>
          <cell r="E5718" t="str">
            <v>López Aldave</v>
          </cell>
          <cell r="F5718">
            <v>250</v>
          </cell>
          <cell r="G5718">
            <v>1</v>
          </cell>
          <cell r="H5718">
            <v>300</v>
          </cell>
          <cell r="I5718">
            <v>41987</v>
          </cell>
          <cell r="J5718">
            <v>0</v>
          </cell>
          <cell r="W5718">
            <v>0</v>
          </cell>
          <cell r="AJ5718">
            <v>0</v>
          </cell>
          <cell r="AV5718">
            <v>300</v>
          </cell>
          <cell r="AW5718">
            <v>300</v>
          </cell>
        </row>
        <row r="5719">
          <cell r="B5719">
            <v>8568</v>
          </cell>
          <cell r="C5719" t="str">
            <v>LD_19_</v>
          </cell>
          <cell r="D5719" t="str">
            <v>Rancho Landero No. 19</v>
          </cell>
          <cell r="E5719" t="str">
            <v>Jiménez Guadarrama</v>
          </cell>
          <cell r="F5719">
            <v>300</v>
          </cell>
          <cell r="G5719">
            <v>1</v>
          </cell>
          <cell r="H5719">
            <v>300</v>
          </cell>
          <cell r="I5719">
            <v>41987</v>
          </cell>
          <cell r="J5719">
            <v>0</v>
          </cell>
          <cell r="W5719">
            <v>0</v>
          </cell>
          <cell r="AJ5719">
            <v>0</v>
          </cell>
          <cell r="AV5719">
            <v>300</v>
          </cell>
          <cell r="AW5719">
            <v>300</v>
          </cell>
        </row>
        <row r="5720">
          <cell r="B5720">
            <v>8568</v>
          </cell>
          <cell r="C5720" t="str">
            <v>LD_19_</v>
          </cell>
          <cell r="D5720" t="str">
            <v>Rancho Landero No. 19</v>
          </cell>
          <cell r="E5720" t="str">
            <v>Jiménez Guadarrama</v>
          </cell>
          <cell r="F5720">
            <v>300</v>
          </cell>
          <cell r="G5720">
            <v>5</v>
          </cell>
          <cell r="H5720">
            <v>40</v>
          </cell>
          <cell r="I5720">
            <v>41987</v>
          </cell>
          <cell r="J5720" t="str">
            <v>NO SUMA</v>
          </cell>
          <cell r="W5720">
            <v>0</v>
          </cell>
          <cell r="AJ5720">
            <v>0</v>
          </cell>
          <cell r="AW5720">
            <v>0</v>
          </cell>
        </row>
        <row r="5721">
          <cell r="B5721">
            <v>8569</v>
          </cell>
          <cell r="C5721" t="str">
            <v>RM_17_</v>
          </cell>
          <cell r="D5721" t="str">
            <v>Rancho Romeral No. 17</v>
          </cell>
          <cell r="E5721" t="str">
            <v>Aguilar Lomelí</v>
          </cell>
          <cell r="F5721">
            <v>300</v>
          </cell>
          <cell r="G5721">
            <v>1</v>
          </cell>
          <cell r="H5721">
            <v>400</v>
          </cell>
          <cell r="I5721">
            <v>41987</v>
          </cell>
          <cell r="J5721">
            <v>0</v>
          </cell>
          <cell r="W5721">
            <v>0</v>
          </cell>
          <cell r="AJ5721">
            <v>0</v>
          </cell>
          <cell r="AV5721">
            <v>400</v>
          </cell>
          <cell r="AW5721">
            <v>400</v>
          </cell>
        </row>
        <row r="5722">
          <cell r="B5722">
            <v>8570</v>
          </cell>
          <cell r="C5722" t="str">
            <v>CL_112_PA</v>
          </cell>
          <cell r="D5722" t="str">
            <v>Rancho La Cuchilla No. 112, PA</v>
          </cell>
          <cell r="E5722" t="str">
            <v>Villalpando Pineda</v>
          </cell>
          <cell r="F5722">
            <v>150</v>
          </cell>
          <cell r="G5722">
            <v>1</v>
          </cell>
          <cell r="H5722">
            <v>600</v>
          </cell>
          <cell r="I5722">
            <v>41987</v>
          </cell>
          <cell r="J5722">
            <v>0</v>
          </cell>
          <cell r="W5722">
            <v>0</v>
          </cell>
          <cell r="AJ5722">
            <v>0</v>
          </cell>
          <cell r="AQ5722">
            <v>200</v>
          </cell>
          <cell r="AR5722">
            <v>200</v>
          </cell>
          <cell r="AS5722">
            <v>200</v>
          </cell>
          <cell r="AW5722">
            <v>600</v>
          </cell>
        </row>
        <row r="5723">
          <cell r="B5723">
            <v>8571</v>
          </cell>
          <cell r="C5723" t="str">
            <v>LD_83_</v>
          </cell>
          <cell r="D5723" t="str">
            <v>Rancho Landero No. 83</v>
          </cell>
          <cell r="E5723" t="str">
            <v>Aguilar</v>
          </cell>
          <cell r="F5723">
            <v>300</v>
          </cell>
          <cell r="G5723">
            <v>1</v>
          </cell>
          <cell r="H5723">
            <v>350</v>
          </cell>
          <cell r="I5723">
            <v>41989</v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  <cell r="O5723">
            <v>0</v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>
            <v>0</v>
          </cell>
          <cell r="V5723">
            <v>0</v>
          </cell>
          <cell r="W5723">
            <v>0</v>
          </cell>
          <cell r="X5723">
            <v>0</v>
          </cell>
          <cell r="Y5723">
            <v>0</v>
          </cell>
          <cell r="Z5723">
            <v>0</v>
          </cell>
          <cell r="AA5723">
            <v>0</v>
          </cell>
          <cell r="AB5723">
            <v>0</v>
          </cell>
          <cell r="AC5723">
            <v>0</v>
          </cell>
          <cell r="AD5723">
            <v>0</v>
          </cell>
          <cell r="AE5723">
            <v>0</v>
          </cell>
          <cell r="AF5723">
            <v>0</v>
          </cell>
          <cell r="AG5723">
            <v>0</v>
          </cell>
          <cell r="AH5723">
            <v>0</v>
          </cell>
          <cell r="AI5723">
            <v>0</v>
          </cell>
          <cell r="AJ5723">
            <v>0</v>
          </cell>
          <cell r="AK5723">
            <v>0</v>
          </cell>
          <cell r="AL5723">
            <v>0</v>
          </cell>
          <cell r="AM5723">
            <v>0</v>
          </cell>
          <cell r="AN5723">
            <v>0</v>
          </cell>
          <cell r="AO5723">
            <v>0</v>
          </cell>
          <cell r="AP5723">
            <v>0</v>
          </cell>
          <cell r="AQ5723">
            <v>0</v>
          </cell>
          <cell r="AR5723">
            <v>0</v>
          </cell>
          <cell r="AS5723">
            <v>0</v>
          </cell>
          <cell r="AT5723">
            <v>0</v>
          </cell>
          <cell r="AU5723">
            <v>0</v>
          </cell>
          <cell r="AV5723">
            <v>350</v>
          </cell>
          <cell r="AW5723">
            <v>350</v>
          </cell>
        </row>
        <row r="5724">
          <cell r="B5724">
            <v>8572</v>
          </cell>
          <cell r="C5724">
            <v>0</v>
          </cell>
          <cell r="D5724" t="str">
            <v/>
          </cell>
          <cell r="E5724" t="str">
            <v/>
          </cell>
          <cell r="F5724" t="str">
            <v/>
          </cell>
          <cell r="G5724">
            <v>8</v>
          </cell>
          <cell r="H5724">
            <v>0</v>
          </cell>
          <cell r="I5724">
            <v>0</v>
          </cell>
          <cell r="J5724" t="str">
            <v>NO SUMA</v>
          </cell>
          <cell r="K5724">
            <v>0</v>
          </cell>
          <cell r="L5724">
            <v>0</v>
          </cell>
          <cell r="M5724">
            <v>0</v>
          </cell>
          <cell r="N5724">
            <v>0</v>
          </cell>
          <cell r="O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>
            <v>0</v>
          </cell>
          <cell r="V5724">
            <v>0</v>
          </cell>
          <cell r="W5724">
            <v>0</v>
          </cell>
          <cell r="X5724">
            <v>0</v>
          </cell>
          <cell r="Y5724">
            <v>0</v>
          </cell>
          <cell r="Z5724">
            <v>0</v>
          </cell>
          <cell r="AA5724">
            <v>0</v>
          </cell>
          <cell r="AB5724">
            <v>0</v>
          </cell>
          <cell r="AC5724">
            <v>0</v>
          </cell>
          <cell r="AD5724">
            <v>0</v>
          </cell>
          <cell r="AE5724">
            <v>0</v>
          </cell>
          <cell r="AF5724">
            <v>0</v>
          </cell>
          <cell r="AG5724">
            <v>0</v>
          </cell>
          <cell r="AH5724">
            <v>0</v>
          </cell>
          <cell r="AI5724">
            <v>0</v>
          </cell>
          <cell r="AJ5724">
            <v>0</v>
          </cell>
          <cell r="AK5724">
            <v>0</v>
          </cell>
          <cell r="AL5724">
            <v>0</v>
          </cell>
          <cell r="AM5724">
            <v>0</v>
          </cell>
          <cell r="AN5724">
            <v>0</v>
          </cell>
          <cell r="AO5724">
            <v>0</v>
          </cell>
          <cell r="AP5724">
            <v>0</v>
          </cell>
          <cell r="AQ5724">
            <v>0</v>
          </cell>
          <cell r="AR5724">
            <v>0</v>
          </cell>
          <cell r="AS5724">
            <v>0</v>
          </cell>
          <cell r="AT5724">
            <v>0</v>
          </cell>
          <cell r="AU5724">
            <v>0</v>
          </cell>
          <cell r="AV5724">
            <v>0</v>
          </cell>
          <cell r="AW5724">
            <v>0</v>
          </cell>
        </row>
        <row r="5725">
          <cell r="B5725">
            <v>8573</v>
          </cell>
          <cell r="C5725" t="str">
            <v>UP_46_</v>
          </cell>
          <cell r="D5725" t="str">
            <v>Rancho Upácuaro No. 46</v>
          </cell>
          <cell r="E5725" t="str">
            <v>Fuentes</v>
          </cell>
          <cell r="F5725">
            <v>300</v>
          </cell>
          <cell r="G5725">
            <v>0</v>
          </cell>
          <cell r="H5725">
            <v>0</v>
          </cell>
          <cell r="I5725">
            <v>0</v>
          </cell>
          <cell r="J5725" t="str">
            <v>NO SUMA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>
            <v>0</v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>
            <v>0</v>
          </cell>
          <cell r="V5725">
            <v>0</v>
          </cell>
          <cell r="W5725">
            <v>0</v>
          </cell>
          <cell r="X5725">
            <v>0</v>
          </cell>
          <cell r="Y5725">
            <v>0</v>
          </cell>
          <cell r="Z5725">
            <v>0</v>
          </cell>
          <cell r="AA5725">
            <v>0</v>
          </cell>
          <cell r="AB5725">
            <v>0</v>
          </cell>
          <cell r="AC5725">
            <v>0</v>
          </cell>
          <cell r="AD5725">
            <v>0</v>
          </cell>
          <cell r="AE5725">
            <v>0</v>
          </cell>
          <cell r="AF5725">
            <v>0</v>
          </cell>
          <cell r="AG5725">
            <v>0</v>
          </cell>
          <cell r="AH5725">
            <v>0</v>
          </cell>
          <cell r="AI5725">
            <v>0</v>
          </cell>
          <cell r="AJ5725">
            <v>0</v>
          </cell>
          <cell r="AK5725">
            <v>0</v>
          </cell>
          <cell r="AL5725">
            <v>0</v>
          </cell>
          <cell r="AM5725">
            <v>0</v>
          </cell>
          <cell r="AN5725">
            <v>0</v>
          </cell>
          <cell r="AO5725">
            <v>0</v>
          </cell>
          <cell r="AP5725">
            <v>0</v>
          </cell>
          <cell r="AQ5725">
            <v>0</v>
          </cell>
          <cell r="AR5725">
            <v>0</v>
          </cell>
          <cell r="AS5725">
            <v>0</v>
          </cell>
          <cell r="AT5725">
            <v>0</v>
          </cell>
          <cell r="AU5725">
            <v>0</v>
          </cell>
          <cell r="AV5725">
            <v>0</v>
          </cell>
          <cell r="AW5725">
            <v>0</v>
          </cell>
        </row>
        <row r="5726">
          <cell r="B5726">
            <v>8574</v>
          </cell>
          <cell r="C5726" t="str">
            <v>CL_29_</v>
          </cell>
          <cell r="D5726" t="str">
            <v>Rancho La Cuchilla No. 29</v>
          </cell>
          <cell r="E5726" t="str">
            <v>Vega Sánchez C.</v>
          </cell>
          <cell r="F5726">
            <v>300</v>
          </cell>
          <cell r="G5726">
            <v>0</v>
          </cell>
          <cell r="H5726">
            <v>0</v>
          </cell>
          <cell r="I5726">
            <v>0</v>
          </cell>
          <cell r="J5726" t="str">
            <v>NO SUMA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>
            <v>0</v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>
            <v>0</v>
          </cell>
          <cell r="V5726">
            <v>0</v>
          </cell>
          <cell r="W5726">
            <v>0</v>
          </cell>
          <cell r="X5726">
            <v>0</v>
          </cell>
          <cell r="Y5726">
            <v>0</v>
          </cell>
          <cell r="Z5726">
            <v>0</v>
          </cell>
          <cell r="AA5726">
            <v>0</v>
          </cell>
          <cell r="AB5726">
            <v>0</v>
          </cell>
          <cell r="AC5726">
            <v>0</v>
          </cell>
          <cell r="AD5726">
            <v>0</v>
          </cell>
          <cell r="AE5726">
            <v>0</v>
          </cell>
          <cell r="AF5726">
            <v>0</v>
          </cell>
          <cell r="AG5726">
            <v>0</v>
          </cell>
          <cell r="AH5726">
            <v>0</v>
          </cell>
          <cell r="AI5726">
            <v>0</v>
          </cell>
          <cell r="AJ5726">
            <v>0</v>
          </cell>
          <cell r="AK5726">
            <v>0</v>
          </cell>
          <cell r="AL5726">
            <v>0</v>
          </cell>
          <cell r="AM5726">
            <v>0</v>
          </cell>
          <cell r="AN5726">
            <v>0</v>
          </cell>
          <cell r="AO5726">
            <v>0</v>
          </cell>
          <cell r="AP5726">
            <v>0</v>
          </cell>
          <cell r="AQ5726">
            <v>0</v>
          </cell>
          <cell r="AR5726">
            <v>0</v>
          </cell>
          <cell r="AS5726">
            <v>0</v>
          </cell>
          <cell r="AT5726">
            <v>0</v>
          </cell>
          <cell r="AU5726">
            <v>0</v>
          </cell>
          <cell r="AV5726">
            <v>0</v>
          </cell>
          <cell r="AW5726">
            <v>0</v>
          </cell>
        </row>
        <row r="5727">
          <cell r="B5727">
            <v>8575</v>
          </cell>
          <cell r="C5727" t="str">
            <v>UP_46_</v>
          </cell>
          <cell r="D5727" t="str">
            <v>Rancho Upácuaro No. 46</v>
          </cell>
          <cell r="E5727" t="str">
            <v>Fuentes</v>
          </cell>
          <cell r="F5727">
            <v>300</v>
          </cell>
          <cell r="G5727">
            <v>1</v>
          </cell>
          <cell r="H5727">
            <v>300</v>
          </cell>
          <cell r="I5727">
            <v>41989</v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>
            <v>0</v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>
            <v>0</v>
          </cell>
          <cell r="V5727">
            <v>0</v>
          </cell>
          <cell r="W5727">
            <v>0</v>
          </cell>
          <cell r="X5727">
            <v>0</v>
          </cell>
          <cell r="Y5727">
            <v>0</v>
          </cell>
          <cell r="Z5727">
            <v>0</v>
          </cell>
          <cell r="AA5727">
            <v>0</v>
          </cell>
          <cell r="AB5727">
            <v>0</v>
          </cell>
          <cell r="AC5727">
            <v>0</v>
          </cell>
          <cell r="AD5727">
            <v>0</v>
          </cell>
          <cell r="AE5727">
            <v>0</v>
          </cell>
          <cell r="AF5727">
            <v>0</v>
          </cell>
          <cell r="AG5727">
            <v>0</v>
          </cell>
          <cell r="AH5727">
            <v>0</v>
          </cell>
          <cell r="AI5727">
            <v>0</v>
          </cell>
          <cell r="AJ5727">
            <v>0</v>
          </cell>
          <cell r="AK5727">
            <v>0</v>
          </cell>
          <cell r="AL5727">
            <v>0</v>
          </cell>
          <cell r="AM5727">
            <v>0</v>
          </cell>
          <cell r="AN5727">
            <v>0</v>
          </cell>
          <cell r="AO5727">
            <v>0</v>
          </cell>
          <cell r="AP5727">
            <v>0</v>
          </cell>
          <cell r="AQ5727">
            <v>0</v>
          </cell>
          <cell r="AR5727">
            <v>0</v>
          </cell>
          <cell r="AS5727">
            <v>0</v>
          </cell>
          <cell r="AT5727">
            <v>0</v>
          </cell>
          <cell r="AU5727">
            <v>0</v>
          </cell>
          <cell r="AV5727">
            <v>300</v>
          </cell>
          <cell r="AW5727">
            <v>300</v>
          </cell>
        </row>
        <row r="5728">
          <cell r="B5728">
            <v>8576</v>
          </cell>
          <cell r="C5728" t="str">
            <v>LD_70_</v>
          </cell>
          <cell r="D5728" t="str">
            <v>Rancho Landero No. 70</v>
          </cell>
          <cell r="E5728" t="str">
            <v>Olguín</v>
          </cell>
          <cell r="F5728">
            <v>100</v>
          </cell>
          <cell r="G5728">
            <v>1</v>
          </cell>
          <cell r="H5728">
            <v>100</v>
          </cell>
          <cell r="I5728">
            <v>41991</v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>
            <v>0</v>
          </cell>
          <cell r="V5728">
            <v>0</v>
          </cell>
          <cell r="W5728">
            <v>0</v>
          </cell>
          <cell r="X5728">
            <v>0</v>
          </cell>
          <cell r="Y5728">
            <v>0</v>
          </cell>
          <cell r="Z5728">
            <v>0</v>
          </cell>
          <cell r="AA5728">
            <v>0</v>
          </cell>
          <cell r="AB5728">
            <v>0</v>
          </cell>
          <cell r="AC5728">
            <v>0</v>
          </cell>
          <cell r="AD5728">
            <v>0</v>
          </cell>
          <cell r="AE5728">
            <v>0</v>
          </cell>
          <cell r="AF5728">
            <v>0</v>
          </cell>
          <cell r="AG5728">
            <v>0</v>
          </cell>
          <cell r="AH5728">
            <v>0</v>
          </cell>
          <cell r="AI5728">
            <v>0</v>
          </cell>
          <cell r="AJ5728">
            <v>0</v>
          </cell>
          <cell r="AK5728">
            <v>0</v>
          </cell>
          <cell r="AL5728">
            <v>0</v>
          </cell>
          <cell r="AM5728">
            <v>0</v>
          </cell>
          <cell r="AN5728">
            <v>0</v>
          </cell>
          <cell r="AO5728">
            <v>0</v>
          </cell>
          <cell r="AP5728">
            <v>0</v>
          </cell>
          <cell r="AQ5728">
            <v>0</v>
          </cell>
          <cell r="AR5728">
            <v>0</v>
          </cell>
          <cell r="AS5728">
            <v>0</v>
          </cell>
          <cell r="AT5728">
            <v>0</v>
          </cell>
          <cell r="AU5728">
            <v>0</v>
          </cell>
          <cell r="AV5728">
            <v>100</v>
          </cell>
          <cell r="AW5728">
            <v>100</v>
          </cell>
        </row>
        <row r="5729">
          <cell r="B5729">
            <v>8576</v>
          </cell>
          <cell r="C5729" t="str">
            <v>LD_70_</v>
          </cell>
          <cell r="D5729" t="str">
            <v>Rancho Landero No. 70</v>
          </cell>
          <cell r="E5729" t="str">
            <v>Olguín</v>
          </cell>
          <cell r="F5729">
            <v>100</v>
          </cell>
          <cell r="G5729">
            <v>5</v>
          </cell>
          <cell r="H5729">
            <v>20</v>
          </cell>
          <cell r="I5729">
            <v>41991</v>
          </cell>
          <cell r="J5729" t="str">
            <v>NO SUMA</v>
          </cell>
          <cell r="K5729">
            <v>0</v>
          </cell>
          <cell r="L5729">
            <v>0</v>
          </cell>
          <cell r="M5729">
            <v>0</v>
          </cell>
          <cell r="N5729">
            <v>0</v>
          </cell>
          <cell r="O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  <cell r="V5729">
            <v>0</v>
          </cell>
          <cell r="W5729">
            <v>0</v>
          </cell>
          <cell r="X5729">
            <v>0</v>
          </cell>
          <cell r="Y5729">
            <v>0</v>
          </cell>
          <cell r="Z5729">
            <v>0</v>
          </cell>
          <cell r="AA5729">
            <v>0</v>
          </cell>
          <cell r="AB5729">
            <v>0</v>
          </cell>
          <cell r="AC5729">
            <v>0</v>
          </cell>
          <cell r="AD5729">
            <v>0</v>
          </cell>
          <cell r="AE5729">
            <v>0</v>
          </cell>
          <cell r="AF5729">
            <v>0</v>
          </cell>
          <cell r="AG5729">
            <v>0</v>
          </cell>
          <cell r="AH5729">
            <v>0</v>
          </cell>
          <cell r="AI5729">
            <v>0</v>
          </cell>
          <cell r="AJ5729">
            <v>0</v>
          </cell>
          <cell r="AK5729">
            <v>0</v>
          </cell>
          <cell r="AL5729">
            <v>0</v>
          </cell>
          <cell r="AM5729">
            <v>0</v>
          </cell>
          <cell r="AN5729">
            <v>0</v>
          </cell>
          <cell r="AO5729">
            <v>0</v>
          </cell>
          <cell r="AP5729">
            <v>0</v>
          </cell>
          <cell r="AQ5729">
            <v>0</v>
          </cell>
          <cell r="AR5729">
            <v>0</v>
          </cell>
          <cell r="AS5729">
            <v>0</v>
          </cell>
          <cell r="AT5729">
            <v>0</v>
          </cell>
          <cell r="AU5729">
            <v>0</v>
          </cell>
          <cell r="AV5729">
            <v>0</v>
          </cell>
          <cell r="AW5729">
            <v>0</v>
          </cell>
        </row>
        <row r="5730">
          <cell r="B5730">
            <v>8577</v>
          </cell>
          <cell r="C5730" t="str">
            <v>LD_72_</v>
          </cell>
          <cell r="D5730" t="str">
            <v>Rancho Landero No. 72</v>
          </cell>
          <cell r="E5730" t="str">
            <v>Olguín</v>
          </cell>
          <cell r="F5730">
            <v>300</v>
          </cell>
          <cell r="G5730">
            <v>1</v>
          </cell>
          <cell r="H5730">
            <v>200</v>
          </cell>
          <cell r="I5730">
            <v>41991</v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>
            <v>0</v>
          </cell>
          <cell r="V5730">
            <v>0</v>
          </cell>
          <cell r="W5730">
            <v>0</v>
          </cell>
          <cell r="X5730">
            <v>0</v>
          </cell>
          <cell r="Y5730">
            <v>0</v>
          </cell>
          <cell r="Z5730">
            <v>0</v>
          </cell>
          <cell r="AA5730">
            <v>0</v>
          </cell>
          <cell r="AB5730">
            <v>0</v>
          </cell>
          <cell r="AC5730">
            <v>0</v>
          </cell>
          <cell r="AD5730">
            <v>0</v>
          </cell>
          <cell r="AE5730">
            <v>0</v>
          </cell>
          <cell r="AF5730">
            <v>0</v>
          </cell>
          <cell r="AG5730">
            <v>0</v>
          </cell>
          <cell r="AH5730">
            <v>0</v>
          </cell>
          <cell r="AI5730">
            <v>0</v>
          </cell>
          <cell r="AJ5730">
            <v>0</v>
          </cell>
          <cell r="AK5730">
            <v>0</v>
          </cell>
          <cell r="AL5730">
            <v>0</v>
          </cell>
          <cell r="AM5730">
            <v>0</v>
          </cell>
          <cell r="AN5730">
            <v>0</v>
          </cell>
          <cell r="AO5730">
            <v>0</v>
          </cell>
          <cell r="AP5730">
            <v>0</v>
          </cell>
          <cell r="AQ5730">
            <v>0</v>
          </cell>
          <cell r="AR5730">
            <v>0</v>
          </cell>
          <cell r="AS5730">
            <v>0</v>
          </cell>
          <cell r="AT5730">
            <v>0</v>
          </cell>
          <cell r="AU5730">
            <v>0</v>
          </cell>
          <cell r="AV5730">
            <v>200</v>
          </cell>
          <cell r="AW5730">
            <v>200</v>
          </cell>
        </row>
        <row r="5731">
          <cell r="B5731">
            <v>8577</v>
          </cell>
          <cell r="C5731" t="str">
            <v>LD_72_</v>
          </cell>
          <cell r="D5731" t="str">
            <v>Rancho Landero No. 72</v>
          </cell>
          <cell r="E5731" t="str">
            <v>Olguín</v>
          </cell>
          <cell r="F5731">
            <v>300</v>
          </cell>
          <cell r="G5731">
            <v>5</v>
          </cell>
          <cell r="H5731">
            <v>40</v>
          </cell>
          <cell r="I5731">
            <v>41991</v>
          </cell>
          <cell r="J5731" t="str">
            <v>NO SUMA</v>
          </cell>
          <cell r="K5731">
            <v>0</v>
          </cell>
          <cell r="L5731">
            <v>0</v>
          </cell>
          <cell r="M5731">
            <v>0</v>
          </cell>
          <cell r="N5731">
            <v>0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>
            <v>0</v>
          </cell>
          <cell r="V5731">
            <v>0</v>
          </cell>
          <cell r="W5731">
            <v>0</v>
          </cell>
          <cell r="X5731">
            <v>0</v>
          </cell>
          <cell r="Y5731">
            <v>0</v>
          </cell>
          <cell r="Z5731">
            <v>0</v>
          </cell>
          <cell r="AA5731">
            <v>0</v>
          </cell>
          <cell r="AB5731">
            <v>0</v>
          </cell>
          <cell r="AC5731">
            <v>0</v>
          </cell>
          <cell r="AD5731">
            <v>0</v>
          </cell>
          <cell r="AE5731">
            <v>0</v>
          </cell>
          <cell r="AF5731">
            <v>0</v>
          </cell>
          <cell r="AG5731">
            <v>0</v>
          </cell>
          <cell r="AH5731">
            <v>0</v>
          </cell>
          <cell r="AI5731">
            <v>0</v>
          </cell>
          <cell r="AJ5731">
            <v>0</v>
          </cell>
          <cell r="AK5731">
            <v>0</v>
          </cell>
          <cell r="AL5731">
            <v>0</v>
          </cell>
          <cell r="AM5731">
            <v>0</v>
          </cell>
          <cell r="AN5731">
            <v>0</v>
          </cell>
          <cell r="AO5731">
            <v>0</v>
          </cell>
          <cell r="AP5731">
            <v>0</v>
          </cell>
          <cell r="AQ5731">
            <v>0</v>
          </cell>
          <cell r="AR5731">
            <v>0</v>
          </cell>
          <cell r="AS5731">
            <v>0</v>
          </cell>
          <cell r="AT5731">
            <v>0</v>
          </cell>
          <cell r="AU5731">
            <v>0</v>
          </cell>
          <cell r="AV5731">
            <v>0</v>
          </cell>
          <cell r="AW5731">
            <v>0</v>
          </cell>
        </row>
        <row r="5732">
          <cell r="B5732">
            <v>8578</v>
          </cell>
          <cell r="C5732" t="str">
            <v>LD_70_</v>
          </cell>
          <cell r="D5732" t="str">
            <v>Rancho Landero No. 70</v>
          </cell>
          <cell r="E5732" t="str">
            <v>Olguín</v>
          </cell>
          <cell r="F5732">
            <v>100</v>
          </cell>
          <cell r="G5732">
            <v>5</v>
          </cell>
          <cell r="H5732">
            <v>40</v>
          </cell>
          <cell r="I5732">
            <v>41991</v>
          </cell>
          <cell r="J5732" t="str">
            <v>NO SUMA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>
            <v>0</v>
          </cell>
          <cell r="V5732">
            <v>0</v>
          </cell>
          <cell r="W5732">
            <v>0</v>
          </cell>
          <cell r="X5732">
            <v>0</v>
          </cell>
          <cell r="Y5732">
            <v>0</v>
          </cell>
          <cell r="Z5732">
            <v>0</v>
          </cell>
          <cell r="AA5732">
            <v>0</v>
          </cell>
          <cell r="AB5732">
            <v>0</v>
          </cell>
          <cell r="AC5732">
            <v>0</v>
          </cell>
          <cell r="AD5732">
            <v>0</v>
          </cell>
          <cell r="AE5732">
            <v>0</v>
          </cell>
          <cell r="AF5732">
            <v>0</v>
          </cell>
          <cell r="AG5732">
            <v>0</v>
          </cell>
          <cell r="AH5732">
            <v>0</v>
          </cell>
          <cell r="AI5732">
            <v>0</v>
          </cell>
          <cell r="AJ5732">
            <v>0</v>
          </cell>
          <cell r="AK5732">
            <v>0</v>
          </cell>
          <cell r="AL5732">
            <v>0</v>
          </cell>
          <cell r="AM5732">
            <v>0</v>
          </cell>
          <cell r="AN5732">
            <v>0</v>
          </cell>
          <cell r="AO5732">
            <v>0</v>
          </cell>
          <cell r="AP5732">
            <v>0</v>
          </cell>
          <cell r="AQ5732">
            <v>0</v>
          </cell>
          <cell r="AR5732">
            <v>0</v>
          </cell>
          <cell r="AS5732">
            <v>0</v>
          </cell>
          <cell r="AT5732">
            <v>0</v>
          </cell>
          <cell r="AU5732">
            <v>0</v>
          </cell>
          <cell r="AV5732">
            <v>0</v>
          </cell>
          <cell r="AW5732">
            <v>0</v>
          </cell>
        </row>
        <row r="5733">
          <cell r="B5733">
            <v>8579</v>
          </cell>
          <cell r="C5733" t="str">
            <v>LD_70_</v>
          </cell>
          <cell r="D5733" t="str">
            <v>Rancho Landero No. 70</v>
          </cell>
          <cell r="E5733" t="str">
            <v>Olguín</v>
          </cell>
          <cell r="F5733">
            <v>100</v>
          </cell>
          <cell r="G5733">
            <v>3</v>
          </cell>
          <cell r="H5733">
            <v>160</v>
          </cell>
          <cell r="I5733">
            <v>41991</v>
          </cell>
          <cell r="J5733" t="str">
            <v>NO SUMA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>
            <v>0</v>
          </cell>
          <cell r="V5733">
            <v>0</v>
          </cell>
          <cell r="W5733">
            <v>0</v>
          </cell>
          <cell r="X5733">
            <v>0</v>
          </cell>
          <cell r="Y5733">
            <v>0</v>
          </cell>
          <cell r="Z5733">
            <v>0</v>
          </cell>
          <cell r="AA5733">
            <v>0</v>
          </cell>
          <cell r="AB5733">
            <v>0</v>
          </cell>
          <cell r="AC5733">
            <v>0</v>
          </cell>
          <cell r="AD5733">
            <v>0</v>
          </cell>
          <cell r="AE5733">
            <v>0</v>
          </cell>
          <cell r="AF5733">
            <v>0</v>
          </cell>
          <cell r="AG5733">
            <v>0</v>
          </cell>
          <cell r="AH5733">
            <v>0</v>
          </cell>
          <cell r="AI5733">
            <v>0</v>
          </cell>
          <cell r="AJ5733">
            <v>0</v>
          </cell>
          <cell r="AK5733">
            <v>0</v>
          </cell>
          <cell r="AL5733">
            <v>0</v>
          </cell>
          <cell r="AM5733">
            <v>0</v>
          </cell>
          <cell r="AN5733">
            <v>0</v>
          </cell>
          <cell r="AO5733">
            <v>0</v>
          </cell>
          <cell r="AP5733">
            <v>0</v>
          </cell>
          <cell r="AQ5733">
            <v>0</v>
          </cell>
          <cell r="AR5733">
            <v>0</v>
          </cell>
          <cell r="AS5733">
            <v>0</v>
          </cell>
          <cell r="AT5733">
            <v>0</v>
          </cell>
          <cell r="AU5733">
            <v>0</v>
          </cell>
          <cell r="AV5733">
            <v>0</v>
          </cell>
          <cell r="AW5733">
            <v>0</v>
          </cell>
        </row>
        <row r="5734">
          <cell r="B5734">
            <v>8579</v>
          </cell>
          <cell r="C5734" t="str">
            <v>LD_70_</v>
          </cell>
          <cell r="D5734" t="str">
            <v>Rancho Landero No. 70</v>
          </cell>
          <cell r="E5734" t="str">
            <v>Olguín</v>
          </cell>
          <cell r="F5734">
            <v>100</v>
          </cell>
          <cell r="G5734">
            <v>4</v>
          </cell>
          <cell r="H5734">
            <v>160</v>
          </cell>
          <cell r="I5734">
            <v>41991</v>
          </cell>
          <cell r="J5734" t="str">
            <v>NO SUMA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0</v>
          </cell>
          <cell r="V5734">
            <v>0</v>
          </cell>
          <cell r="W5734">
            <v>0</v>
          </cell>
          <cell r="X5734">
            <v>0</v>
          </cell>
          <cell r="Y5734">
            <v>0</v>
          </cell>
          <cell r="Z5734">
            <v>0</v>
          </cell>
          <cell r="AA5734">
            <v>0</v>
          </cell>
          <cell r="AB5734">
            <v>0</v>
          </cell>
          <cell r="AC5734">
            <v>0</v>
          </cell>
          <cell r="AD5734">
            <v>0</v>
          </cell>
          <cell r="AE5734">
            <v>0</v>
          </cell>
          <cell r="AF5734">
            <v>0</v>
          </cell>
          <cell r="AG5734">
            <v>0</v>
          </cell>
          <cell r="AH5734">
            <v>0</v>
          </cell>
          <cell r="AI5734">
            <v>0</v>
          </cell>
          <cell r="AJ5734">
            <v>0</v>
          </cell>
          <cell r="AK5734">
            <v>0</v>
          </cell>
          <cell r="AL5734">
            <v>0</v>
          </cell>
          <cell r="AM5734">
            <v>0</v>
          </cell>
          <cell r="AN5734">
            <v>0</v>
          </cell>
          <cell r="AO5734">
            <v>0</v>
          </cell>
          <cell r="AP5734">
            <v>0</v>
          </cell>
          <cell r="AQ5734">
            <v>0</v>
          </cell>
          <cell r="AR5734">
            <v>0</v>
          </cell>
          <cell r="AS5734">
            <v>0</v>
          </cell>
          <cell r="AT5734">
            <v>0</v>
          </cell>
          <cell r="AU5734">
            <v>0</v>
          </cell>
          <cell r="AV5734">
            <v>0</v>
          </cell>
          <cell r="AW5734">
            <v>0</v>
          </cell>
        </row>
        <row r="5735">
          <cell r="B5735">
            <v>8580</v>
          </cell>
          <cell r="C5735" t="str">
            <v>EZ_37_</v>
          </cell>
          <cell r="D5735" t="str">
            <v>Rancho Estanzuela No. 37</v>
          </cell>
          <cell r="E5735" t="str">
            <v>Cabello Eduardo</v>
          </cell>
          <cell r="F5735">
            <v>300</v>
          </cell>
          <cell r="G5735">
            <v>1</v>
          </cell>
          <cell r="H5735">
            <v>1200</v>
          </cell>
          <cell r="I5735">
            <v>41994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>
            <v>0</v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>
            <v>0</v>
          </cell>
          <cell r="V5735">
            <v>0</v>
          </cell>
          <cell r="W5735">
            <v>0</v>
          </cell>
          <cell r="X5735">
            <v>0</v>
          </cell>
          <cell r="Y5735">
            <v>0</v>
          </cell>
          <cell r="Z5735">
            <v>0</v>
          </cell>
          <cell r="AA5735">
            <v>0</v>
          </cell>
          <cell r="AB5735">
            <v>0</v>
          </cell>
          <cell r="AC5735">
            <v>0</v>
          </cell>
          <cell r="AD5735">
            <v>0</v>
          </cell>
          <cell r="AE5735">
            <v>0</v>
          </cell>
          <cell r="AF5735">
            <v>0</v>
          </cell>
          <cell r="AG5735">
            <v>0</v>
          </cell>
          <cell r="AH5735">
            <v>0</v>
          </cell>
          <cell r="AI5735">
            <v>0</v>
          </cell>
          <cell r="AJ5735">
            <v>0</v>
          </cell>
          <cell r="AK5735">
            <v>0</v>
          </cell>
          <cell r="AL5735">
            <v>0</v>
          </cell>
          <cell r="AM5735">
            <v>0</v>
          </cell>
          <cell r="AN5735">
            <v>0</v>
          </cell>
          <cell r="AO5735">
            <v>0</v>
          </cell>
          <cell r="AP5735">
            <v>0</v>
          </cell>
          <cell r="AQ5735">
            <v>0</v>
          </cell>
          <cell r="AR5735">
            <v>0</v>
          </cell>
          <cell r="AS5735">
            <v>0</v>
          </cell>
          <cell r="AT5735">
            <v>400</v>
          </cell>
          <cell r="AU5735">
            <v>400</v>
          </cell>
          <cell r="AV5735">
            <v>400</v>
          </cell>
          <cell r="AW5735">
            <v>1200</v>
          </cell>
        </row>
        <row r="5736">
          <cell r="B5736">
            <v>8580</v>
          </cell>
          <cell r="C5736" t="str">
            <v>EZ_37_</v>
          </cell>
          <cell r="D5736" t="str">
            <v>Rancho Estanzuela No. 37</v>
          </cell>
          <cell r="E5736" t="str">
            <v>Cabello Eduardo</v>
          </cell>
          <cell r="F5736">
            <v>300</v>
          </cell>
          <cell r="G5736">
            <v>5</v>
          </cell>
          <cell r="H5736">
            <v>60</v>
          </cell>
          <cell r="I5736">
            <v>41994</v>
          </cell>
          <cell r="J5736" t="str">
            <v>NO SUMA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>
            <v>0</v>
          </cell>
          <cell r="V5736">
            <v>0</v>
          </cell>
          <cell r="W5736">
            <v>0</v>
          </cell>
          <cell r="X5736">
            <v>0</v>
          </cell>
          <cell r="Y5736">
            <v>0</v>
          </cell>
          <cell r="Z5736">
            <v>0</v>
          </cell>
          <cell r="AA5736">
            <v>0</v>
          </cell>
          <cell r="AB5736">
            <v>0</v>
          </cell>
          <cell r="AC5736">
            <v>0</v>
          </cell>
          <cell r="AD5736">
            <v>0</v>
          </cell>
          <cell r="AE5736">
            <v>0</v>
          </cell>
          <cell r="AF5736">
            <v>0</v>
          </cell>
          <cell r="AG5736">
            <v>0</v>
          </cell>
          <cell r="AH5736">
            <v>0</v>
          </cell>
          <cell r="AI5736">
            <v>0</v>
          </cell>
          <cell r="AJ5736">
            <v>0</v>
          </cell>
          <cell r="AK5736">
            <v>0</v>
          </cell>
          <cell r="AL5736">
            <v>0</v>
          </cell>
          <cell r="AM5736">
            <v>0</v>
          </cell>
          <cell r="AN5736">
            <v>0</v>
          </cell>
          <cell r="AO5736">
            <v>0</v>
          </cell>
          <cell r="AP5736">
            <v>0</v>
          </cell>
          <cell r="AQ5736">
            <v>0</v>
          </cell>
          <cell r="AR5736">
            <v>0</v>
          </cell>
          <cell r="AS5736">
            <v>0</v>
          </cell>
          <cell r="AT5736">
            <v>0</v>
          </cell>
          <cell r="AU5736">
            <v>0</v>
          </cell>
          <cell r="AV5736">
            <v>0</v>
          </cell>
          <cell r="AW5736">
            <v>0</v>
          </cell>
        </row>
        <row r="5737">
          <cell r="B5737">
            <v>8581</v>
          </cell>
          <cell r="C5737" t="str">
            <v>LD_85_</v>
          </cell>
          <cell r="D5737" t="str">
            <v>Rancho Landero No. 85</v>
          </cell>
          <cell r="E5737" t="str">
            <v>Martínez Olague</v>
          </cell>
          <cell r="F5737">
            <v>300</v>
          </cell>
          <cell r="G5737">
            <v>1</v>
          </cell>
          <cell r="H5737">
            <v>400</v>
          </cell>
          <cell r="I5737">
            <v>41994</v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  <cell r="V5737">
            <v>0</v>
          </cell>
          <cell r="W5737">
            <v>0</v>
          </cell>
          <cell r="X5737">
            <v>0</v>
          </cell>
          <cell r="Y5737">
            <v>0</v>
          </cell>
          <cell r="Z5737">
            <v>0</v>
          </cell>
          <cell r="AA5737">
            <v>0</v>
          </cell>
          <cell r="AB5737">
            <v>0</v>
          </cell>
          <cell r="AC5737">
            <v>0</v>
          </cell>
          <cell r="AD5737">
            <v>0</v>
          </cell>
          <cell r="AE5737">
            <v>0</v>
          </cell>
          <cell r="AF5737">
            <v>0</v>
          </cell>
          <cell r="AG5737">
            <v>0</v>
          </cell>
          <cell r="AH5737">
            <v>0</v>
          </cell>
          <cell r="AI5737">
            <v>0</v>
          </cell>
          <cell r="AJ5737">
            <v>0</v>
          </cell>
          <cell r="AK5737">
            <v>0</v>
          </cell>
          <cell r="AL5737">
            <v>0</v>
          </cell>
          <cell r="AM5737">
            <v>0</v>
          </cell>
          <cell r="AN5737">
            <v>0</v>
          </cell>
          <cell r="AO5737">
            <v>0</v>
          </cell>
          <cell r="AP5737">
            <v>0</v>
          </cell>
          <cell r="AQ5737">
            <v>0</v>
          </cell>
          <cell r="AR5737">
            <v>0</v>
          </cell>
          <cell r="AS5737">
            <v>0</v>
          </cell>
          <cell r="AT5737">
            <v>0</v>
          </cell>
          <cell r="AU5737">
            <v>0</v>
          </cell>
          <cell r="AV5737">
            <v>400</v>
          </cell>
          <cell r="AW5737">
            <v>400</v>
          </cell>
        </row>
        <row r="5738">
          <cell r="B5738">
            <v>8582</v>
          </cell>
          <cell r="C5738" t="str">
            <v>EZ_101_</v>
          </cell>
          <cell r="D5738" t="str">
            <v>Rancho Estanzuela No. 101</v>
          </cell>
          <cell r="E5738" t="str">
            <v>Calderón Celis</v>
          </cell>
          <cell r="F5738">
            <v>300</v>
          </cell>
          <cell r="G5738">
            <v>1</v>
          </cell>
          <cell r="H5738">
            <v>800</v>
          </cell>
          <cell r="I5738">
            <v>41994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>
            <v>0</v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>
            <v>0</v>
          </cell>
          <cell r="V5738">
            <v>0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  <cell r="AA5738">
            <v>0</v>
          </cell>
          <cell r="AB5738">
            <v>0</v>
          </cell>
          <cell r="AC5738">
            <v>0</v>
          </cell>
          <cell r="AD5738">
            <v>0</v>
          </cell>
          <cell r="AE5738">
            <v>0</v>
          </cell>
          <cell r="AF5738">
            <v>0</v>
          </cell>
          <cell r="AG5738">
            <v>0</v>
          </cell>
          <cell r="AH5738">
            <v>0</v>
          </cell>
          <cell r="AI5738">
            <v>0</v>
          </cell>
          <cell r="AJ5738">
            <v>0</v>
          </cell>
          <cell r="AK5738">
            <v>0</v>
          </cell>
          <cell r="AL5738">
            <v>0</v>
          </cell>
          <cell r="AM5738">
            <v>0</v>
          </cell>
          <cell r="AN5738">
            <v>0</v>
          </cell>
          <cell r="AO5738">
            <v>0</v>
          </cell>
          <cell r="AP5738">
            <v>0</v>
          </cell>
          <cell r="AQ5738">
            <v>0</v>
          </cell>
          <cell r="AR5738">
            <v>0</v>
          </cell>
          <cell r="AS5738">
            <v>0</v>
          </cell>
          <cell r="AT5738">
            <v>0</v>
          </cell>
          <cell r="AU5738">
            <v>400</v>
          </cell>
          <cell r="AV5738">
            <v>400</v>
          </cell>
          <cell r="AW5738">
            <v>800</v>
          </cell>
        </row>
        <row r="5739">
          <cell r="B5739">
            <v>8583</v>
          </cell>
          <cell r="C5739" t="str">
            <v>UP_99_</v>
          </cell>
          <cell r="D5739" t="str">
            <v>Rancho Upácuaro No. 99</v>
          </cell>
          <cell r="E5739" t="str">
            <v>Frías</v>
          </cell>
          <cell r="F5739">
            <v>300</v>
          </cell>
          <cell r="G5739">
            <v>1</v>
          </cell>
          <cell r="H5739">
            <v>400</v>
          </cell>
          <cell r="I5739">
            <v>41994</v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  <cell r="N5739">
            <v>0</v>
          </cell>
          <cell r="O5739">
            <v>0</v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  <cell r="V5739">
            <v>0</v>
          </cell>
          <cell r="W5739">
            <v>0</v>
          </cell>
          <cell r="X5739">
            <v>0</v>
          </cell>
          <cell r="Y5739">
            <v>0</v>
          </cell>
          <cell r="Z5739">
            <v>0</v>
          </cell>
          <cell r="AA5739">
            <v>0</v>
          </cell>
          <cell r="AB5739">
            <v>0</v>
          </cell>
          <cell r="AC5739">
            <v>0</v>
          </cell>
          <cell r="AD5739">
            <v>0</v>
          </cell>
          <cell r="AE5739">
            <v>0</v>
          </cell>
          <cell r="AF5739">
            <v>0</v>
          </cell>
          <cell r="AG5739">
            <v>0</v>
          </cell>
          <cell r="AH5739">
            <v>0</v>
          </cell>
          <cell r="AI5739">
            <v>0</v>
          </cell>
          <cell r="AJ5739">
            <v>0</v>
          </cell>
          <cell r="AK5739">
            <v>0</v>
          </cell>
          <cell r="AL5739">
            <v>0</v>
          </cell>
          <cell r="AM5739">
            <v>0</v>
          </cell>
          <cell r="AN5739">
            <v>0</v>
          </cell>
          <cell r="AO5739">
            <v>0</v>
          </cell>
          <cell r="AP5739">
            <v>0</v>
          </cell>
          <cell r="AQ5739">
            <v>0</v>
          </cell>
          <cell r="AR5739">
            <v>0</v>
          </cell>
          <cell r="AS5739">
            <v>0</v>
          </cell>
          <cell r="AT5739">
            <v>0</v>
          </cell>
          <cell r="AU5739">
            <v>200</v>
          </cell>
          <cell r="AV5739">
            <v>200</v>
          </cell>
          <cell r="AW5739">
            <v>400</v>
          </cell>
        </row>
        <row r="5740">
          <cell r="B5740">
            <v>8584</v>
          </cell>
          <cell r="C5740" t="str">
            <v>LD_18_</v>
          </cell>
          <cell r="D5740" t="str">
            <v>Rancho Landero No. 18</v>
          </cell>
          <cell r="E5740" t="str">
            <v>Rosado</v>
          </cell>
          <cell r="F5740">
            <v>250</v>
          </cell>
          <cell r="G5740">
            <v>1</v>
          </cell>
          <cell r="H5740">
            <v>300</v>
          </cell>
          <cell r="I5740">
            <v>41994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>
            <v>0</v>
          </cell>
          <cell r="V5740">
            <v>0</v>
          </cell>
          <cell r="W5740">
            <v>0</v>
          </cell>
          <cell r="X5740">
            <v>0</v>
          </cell>
          <cell r="Y5740">
            <v>0</v>
          </cell>
          <cell r="Z5740">
            <v>0</v>
          </cell>
          <cell r="AA5740">
            <v>0</v>
          </cell>
          <cell r="AB5740">
            <v>0</v>
          </cell>
          <cell r="AC5740">
            <v>0</v>
          </cell>
          <cell r="AD5740">
            <v>0</v>
          </cell>
          <cell r="AE5740">
            <v>0</v>
          </cell>
          <cell r="AF5740">
            <v>0</v>
          </cell>
          <cell r="AG5740">
            <v>0</v>
          </cell>
          <cell r="AH5740">
            <v>0</v>
          </cell>
          <cell r="AI5740">
            <v>0</v>
          </cell>
          <cell r="AJ5740">
            <v>0</v>
          </cell>
          <cell r="AK5740">
            <v>0</v>
          </cell>
          <cell r="AL5740">
            <v>0</v>
          </cell>
          <cell r="AM5740">
            <v>0</v>
          </cell>
          <cell r="AN5740">
            <v>0</v>
          </cell>
          <cell r="AO5740">
            <v>0</v>
          </cell>
          <cell r="AP5740">
            <v>0</v>
          </cell>
          <cell r="AQ5740">
            <v>0</v>
          </cell>
          <cell r="AR5740">
            <v>0</v>
          </cell>
          <cell r="AS5740">
            <v>0</v>
          </cell>
          <cell r="AT5740">
            <v>0</v>
          </cell>
          <cell r="AU5740">
            <v>0</v>
          </cell>
          <cell r="AV5740">
            <v>300</v>
          </cell>
          <cell r="AW5740">
            <v>300</v>
          </cell>
        </row>
        <row r="5741">
          <cell r="B5741">
            <v>8585</v>
          </cell>
          <cell r="C5741" t="str">
            <v>LD_20_</v>
          </cell>
          <cell r="D5741" t="str">
            <v>Rancho Landero No. 20</v>
          </cell>
          <cell r="E5741" t="str">
            <v>Velasco</v>
          </cell>
          <cell r="F5741">
            <v>300</v>
          </cell>
          <cell r="G5741">
            <v>1</v>
          </cell>
          <cell r="H5741">
            <v>900</v>
          </cell>
          <cell r="I5741">
            <v>41994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>
            <v>0</v>
          </cell>
          <cell r="V5741">
            <v>0</v>
          </cell>
          <cell r="W5741">
            <v>0</v>
          </cell>
          <cell r="X5741">
            <v>0</v>
          </cell>
          <cell r="Y5741">
            <v>0</v>
          </cell>
          <cell r="Z5741">
            <v>0</v>
          </cell>
          <cell r="AA5741">
            <v>0</v>
          </cell>
          <cell r="AB5741">
            <v>0</v>
          </cell>
          <cell r="AC5741">
            <v>0</v>
          </cell>
          <cell r="AD5741">
            <v>0</v>
          </cell>
          <cell r="AE5741">
            <v>0</v>
          </cell>
          <cell r="AF5741">
            <v>0</v>
          </cell>
          <cell r="AG5741">
            <v>0</v>
          </cell>
          <cell r="AH5741">
            <v>0</v>
          </cell>
          <cell r="AI5741">
            <v>0</v>
          </cell>
          <cell r="AJ5741">
            <v>0</v>
          </cell>
          <cell r="AK5741">
            <v>0</v>
          </cell>
          <cell r="AL5741">
            <v>0</v>
          </cell>
          <cell r="AM5741">
            <v>0</v>
          </cell>
          <cell r="AN5741">
            <v>0</v>
          </cell>
          <cell r="AO5741">
            <v>0</v>
          </cell>
          <cell r="AP5741">
            <v>0</v>
          </cell>
          <cell r="AQ5741">
            <v>0</v>
          </cell>
          <cell r="AR5741">
            <v>0</v>
          </cell>
          <cell r="AS5741">
            <v>0</v>
          </cell>
          <cell r="AT5741">
            <v>300</v>
          </cell>
          <cell r="AU5741">
            <v>300</v>
          </cell>
          <cell r="AV5741">
            <v>300</v>
          </cell>
          <cell r="AW5741">
            <v>900</v>
          </cell>
        </row>
        <row r="5742">
          <cell r="B5742">
            <v>8586</v>
          </cell>
          <cell r="C5742" t="str">
            <v>LD_89_</v>
          </cell>
          <cell r="D5742" t="str">
            <v>Rancho Landero No. 89</v>
          </cell>
          <cell r="E5742" t="str">
            <v>Del Pozo Solís</v>
          </cell>
          <cell r="F5742">
            <v>300</v>
          </cell>
          <cell r="G5742">
            <v>1</v>
          </cell>
          <cell r="H5742">
            <v>300</v>
          </cell>
          <cell r="I5742">
            <v>41994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>
            <v>0</v>
          </cell>
          <cell r="V5742">
            <v>0</v>
          </cell>
          <cell r="W5742">
            <v>0</v>
          </cell>
          <cell r="X5742">
            <v>0</v>
          </cell>
          <cell r="Y5742">
            <v>0</v>
          </cell>
          <cell r="Z5742">
            <v>0</v>
          </cell>
          <cell r="AA5742">
            <v>0</v>
          </cell>
          <cell r="AB5742">
            <v>0</v>
          </cell>
          <cell r="AC5742">
            <v>0</v>
          </cell>
          <cell r="AD5742">
            <v>0</v>
          </cell>
          <cell r="AE5742">
            <v>0</v>
          </cell>
          <cell r="AF5742">
            <v>0</v>
          </cell>
          <cell r="AG5742">
            <v>0</v>
          </cell>
          <cell r="AH5742">
            <v>0</v>
          </cell>
          <cell r="AI5742">
            <v>0</v>
          </cell>
          <cell r="AJ5742">
            <v>0</v>
          </cell>
          <cell r="AK5742">
            <v>0</v>
          </cell>
          <cell r="AL5742">
            <v>0</v>
          </cell>
          <cell r="AM5742">
            <v>0</v>
          </cell>
          <cell r="AN5742">
            <v>0</v>
          </cell>
          <cell r="AO5742">
            <v>0</v>
          </cell>
          <cell r="AP5742">
            <v>0</v>
          </cell>
          <cell r="AQ5742">
            <v>0</v>
          </cell>
          <cell r="AR5742">
            <v>0</v>
          </cell>
          <cell r="AS5742">
            <v>0</v>
          </cell>
          <cell r="AT5742">
            <v>0</v>
          </cell>
          <cell r="AU5742">
            <v>0</v>
          </cell>
          <cell r="AV5742">
            <v>300</v>
          </cell>
          <cell r="AW5742">
            <v>300</v>
          </cell>
        </row>
        <row r="5743">
          <cell r="B5743">
            <v>8587</v>
          </cell>
          <cell r="C5743" t="str">
            <v>UP_63_</v>
          </cell>
          <cell r="D5743" t="str">
            <v>Rancho Upácuaro No. 63</v>
          </cell>
          <cell r="E5743" t="str">
            <v>González Benavides</v>
          </cell>
          <cell r="F5743">
            <v>300</v>
          </cell>
          <cell r="G5743">
            <v>4</v>
          </cell>
          <cell r="H5743">
            <v>160</v>
          </cell>
          <cell r="I5743">
            <v>41994</v>
          </cell>
          <cell r="J5743" t="str">
            <v>NO SUMA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>
            <v>0</v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  <cell r="V5743">
            <v>0</v>
          </cell>
          <cell r="W5743">
            <v>0</v>
          </cell>
          <cell r="X5743">
            <v>0</v>
          </cell>
          <cell r="Y5743">
            <v>0</v>
          </cell>
          <cell r="Z5743">
            <v>0</v>
          </cell>
          <cell r="AA5743">
            <v>0</v>
          </cell>
          <cell r="AB5743">
            <v>0</v>
          </cell>
          <cell r="AC5743">
            <v>0</v>
          </cell>
          <cell r="AD5743">
            <v>0</v>
          </cell>
          <cell r="AE5743">
            <v>0</v>
          </cell>
          <cell r="AF5743">
            <v>0</v>
          </cell>
          <cell r="AG5743">
            <v>0</v>
          </cell>
          <cell r="AH5743">
            <v>0</v>
          </cell>
          <cell r="AI5743">
            <v>0</v>
          </cell>
          <cell r="AJ5743">
            <v>0</v>
          </cell>
          <cell r="AK5743">
            <v>0</v>
          </cell>
          <cell r="AL5743">
            <v>0</v>
          </cell>
          <cell r="AM5743">
            <v>0</v>
          </cell>
          <cell r="AN5743">
            <v>0</v>
          </cell>
          <cell r="AO5743">
            <v>0</v>
          </cell>
          <cell r="AP5743">
            <v>0</v>
          </cell>
          <cell r="AQ5743">
            <v>0</v>
          </cell>
          <cell r="AR5743">
            <v>0</v>
          </cell>
          <cell r="AS5743">
            <v>0</v>
          </cell>
          <cell r="AT5743">
            <v>0</v>
          </cell>
          <cell r="AU5743">
            <v>0</v>
          </cell>
          <cell r="AV5743">
            <v>0</v>
          </cell>
          <cell r="AW5743">
            <v>0</v>
          </cell>
        </row>
        <row r="5744">
          <cell r="B5744">
            <v>8588</v>
          </cell>
          <cell r="C5744" t="str">
            <v>CL_87_</v>
          </cell>
          <cell r="D5744" t="str">
            <v>Rancho La Cuchilla No. 87</v>
          </cell>
          <cell r="E5744" t="str">
            <v>Villanueva S.</v>
          </cell>
          <cell r="F5744">
            <v>300</v>
          </cell>
          <cell r="G5744">
            <v>1</v>
          </cell>
          <cell r="H5744">
            <v>400</v>
          </cell>
          <cell r="I5744">
            <v>41994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>
            <v>0</v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>
            <v>0</v>
          </cell>
          <cell r="V5744">
            <v>0</v>
          </cell>
          <cell r="W5744">
            <v>0</v>
          </cell>
          <cell r="X5744">
            <v>0</v>
          </cell>
          <cell r="Y5744">
            <v>0</v>
          </cell>
          <cell r="Z5744">
            <v>0</v>
          </cell>
          <cell r="AA5744">
            <v>0</v>
          </cell>
          <cell r="AB5744">
            <v>0</v>
          </cell>
          <cell r="AC5744">
            <v>0</v>
          </cell>
          <cell r="AD5744">
            <v>0</v>
          </cell>
          <cell r="AE5744">
            <v>0</v>
          </cell>
          <cell r="AF5744">
            <v>0</v>
          </cell>
          <cell r="AG5744">
            <v>0</v>
          </cell>
          <cell r="AH5744">
            <v>0</v>
          </cell>
          <cell r="AI5744">
            <v>0</v>
          </cell>
          <cell r="AJ5744">
            <v>0</v>
          </cell>
          <cell r="AK5744">
            <v>0</v>
          </cell>
          <cell r="AL5744">
            <v>0</v>
          </cell>
          <cell r="AM5744">
            <v>0</v>
          </cell>
          <cell r="AN5744">
            <v>0</v>
          </cell>
          <cell r="AO5744">
            <v>0</v>
          </cell>
          <cell r="AP5744">
            <v>0</v>
          </cell>
          <cell r="AQ5744">
            <v>0</v>
          </cell>
          <cell r="AR5744">
            <v>0</v>
          </cell>
          <cell r="AS5744">
            <v>0</v>
          </cell>
          <cell r="AT5744">
            <v>0</v>
          </cell>
          <cell r="AU5744">
            <v>0</v>
          </cell>
          <cell r="AV5744">
            <v>400</v>
          </cell>
          <cell r="AW5744">
            <v>400</v>
          </cell>
        </row>
        <row r="5745">
          <cell r="B5745">
            <v>8589</v>
          </cell>
          <cell r="C5745" t="str">
            <v>CL_55_</v>
          </cell>
          <cell r="D5745" t="str">
            <v>Rancho La Cuchilla No. 55</v>
          </cell>
          <cell r="E5745" t="str">
            <v>López Velázquez</v>
          </cell>
          <cell r="F5745">
            <v>300</v>
          </cell>
          <cell r="G5745">
            <v>1</v>
          </cell>
          <cell r="H5745">
            <v>400</v>
          </cell>
          <cell r="I5745">
            <v>41994</v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  <cell r="N5745">
            <v>0</v>
          </cell>
          <cell r="O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  <cell r="V5745">
            <v>0</v>
          </cell>
          <cell r="W5745">
            <v>0</v>
          </cell>
          <cell r="X5745">
            <v>0</v>
          </cell>
          <cell r="Y5745">
            <v>0</v>
          </cell>
          <cell r="Z5745">
            <v>0</v>
          </cell>
          <cell r="AA5745">
            <v>0</v>
          </cell>
          <cell r="AB5745">
            <v>0</v>
          </cell>
          <cell r="AC5745">
            <v>0</v>
          </cell>
          <cell r="AD5745">
            <v>0</v>
          </cell>
          <cell r="AE5745">
            <v>0</v>
          </cell>
          <cell r="AF5745">
            <v>0</v>
          </cell>
          <cell r="AG5745">
            <v>0</v>
          </cell>
          <cell r="AH5745">
            <v>0</v>
          </cell>
          <cell r="AI5745">
            <v>0</v>
          </cell>
          <cell r="AJ5745">
            <v>0</v>
          </cell>
          <cell r="AK5745">
            <v>0</v>
          </cell>
          <cell r="AL5745">
            <v>0</v>
          </cell>
          <cell r="AM5745">
            <v>0</v>
          </cell>
          <cell r="AN5745">
            <v>0</v>
          </cell>
          <cell r="AO5745">
            <v>0</v>
          </cell>
          <cell r="AP5745">
            <v>0</v>
          </cell>
          <cell r="AQ5745">
            <v>0</v>
          </cell>
          <cell r="AR5745">
            <v>0</v>
          </cell>
          <cell r="AS5745">
            <v>0</v>
          </cell>
          <cell r="AT5745">
            <v>0</v>
          </cell>
          <cell r="AU5745">
            <v>0</v>
          </cell>
          <cell r="AV5745">
            <v>400</v>
          </cell>
          <cell r="AW5745">
            <v>400</v>
          </cell>
        </row>
        <row r="5746">
          <cell r="B5746">
            <v>8590</v>
          </cell>
          <cell r="C5746" t="str">
            <v>RV_181_</v>
          </cell>
          <cell r="D5746" t="str">
            <v>Rancho Recoveco No. 181</v>
          </cell>
          <cell r="E5746" t="str">
            <v>Castillo</v>
          </cell>
          <cell r="F5746">
            <v>300</v>
          </cell>
          <cell r="G5746">
            <v>1</v>
          </cell>
          <cell r="H5746">
            <v>400</v>
          </cell>
          <cell r="I5746">
            <v>41994</v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>
            <v>0</v>
          </cell>
          <cell r="V5746">
            <v>0</v>
          </cell>
          <cell r="W5746">
            <v>0</v>
          </cell>
          <cell r="X5746">
            <v>0</v>
          </cell>
          <cell r="Y5746">
            <v>0</v>
          </cell>
          <cell r="Z5746">
            <v>0</v>
          </cell>
          <cell r="AA5746">
            <v>0</v>
          </cell>
          <cell r="AB5746">
            <v>0</v>
          </cell>
          <cell r="AC5746">
            <v>0</v>
          </cell>
          <cell r="AD5746">
            <v>0</v>
          </cell>
          <cell r="AE5746">
            <v>0</v>
          </cell>
          <cell r="AF5746">
            <v>0</v>
          </cell>
          <cell r="AG5746">
            <v>0</v>
          </cell>
          <cell r="AH5746">
            <v>0</v>
          </cell>
          <cell r="AI5746">
            <v>0</v>
          </cell>
          <cell r="AJ5746">
            <v>0</v>
          </cell>
          <cell r="AK5746">
            <v>0</v>
          </cell>
          <cell r="AL5746">
            <v>0</v>
          </cell>
          <cell r="AM5746">
            <v>0</v>
          </cell>
          <cell r="AN5746">
            <v>0</v>
          </cell>
          <cell r="AO5746">
            <v>0</v>
          </cell>
          <cell r="AP5746">
            <v>0</v>
          </cell>
          <cell r="AQ5746">
            <v>0</v>
          </cell>
          <cell r="AR5746">
            <v>0</v>
          </cell>
          <cell r="AS5746">
            <v>0</v>
          </cell>
          <cell r="AT5746">
            <v>0</v>
          </cell>
          <cell r="AU5746">
            <v>0</v>
          </cell>
          <cell r="AV5746">
            <v>400</v>
          </cell>
          <cell r="AW5746">
            <v>400</v>
          </cell>
        </row>
        <row r="5747">
          <cell r="B5747">
            <v>8590</v>
          </cell>
          <cell r="C5747" t="str">
            <v>RV_181_</v>
          </cell>
          <cell r="D5747" t="str">
            <v>Rancho Recoveco No. 181</v>
          </cell>
          <cell r="E5747" t="str">
            <v>Castillo</v>
          </cell>
          <cell r="F5747">
            <v>300</v>
          </cell>
          <cell r="G5747">
            <v>4</v>
          </cell>
          <cell r="H5747">
            <v>320</v>
          </cell>
          <cell r="I5747">
            <v>41994</v>
          </cell>
          <cell r="J5747" t="str">
            <v>NO SUMA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>
            <v>0</v>
          </cell>
          <cell r="V5747">
            <v>0</v>
          </cell>
          <cell r="W5747">
            <v>0</v>
          </cell>
          <cell r="X5747">
            <v>0</v>
          </cell>
          <cell r="Y5747">
            <v>0</v>
          </cell>
          <cell r="Z5747">
            <v>0</v>
          </cell>
          <cell r="AA5747">
            <v>0</v>
          </cell>
          <cell r="AB5747">
            <v>0</v>
          </cell>
          <cell r="AC5747">
            <v>0</v>
          </cell>
          <cell r="AD5747">
            <v>0</v>
          </cell>
          <cell r="AE5747">
            <v>0</v>
          </cell>
          <cell r="AF5747">
            <v>0</v>
          </cell>
          <cell r="AG5747">
            <v>0</v>
          </cell>
          <cell r="AH5747">
            <v>0</v>
          </cell>
          <cell r="AI5747">
            <v>0</v>
          </cell>
          <cell r="AJ5747">
            <v>0</v>
          </cell>
          <cell r="AK5747">
            <v>0</v>
          </cell>
          <cell r="AL5747">
            <v>0</v>
          </cell>
          <cell r="AM5747">
            <v>0</v>
          </cell>
          <cell r="AN5747">
            <v>0</v>
          </cell>
          <cell r="AO5747">
            <v>0</v>
          </cell>
          <cell r="AP5747">
            <v>0</v>
          </cell>
          <cell r="AQ5747">
            <v>0</v>
          </cell>
          <cell r="AR5747">
            <v>0</v>
          </cell>
          <cell r="AS5747">
            <v>0</v>
          </cell>
          <cell r="AT5747">
            <v>0</v>
          </cell>
          <cell r="AU5747">
            <v>0</v>
          </cell>
          <cell r="AV5747">
            <v>0</v>
          </cell>
          <cell r="AW5747">
            <v>0</v>
          </cell>
        </row>
        <row r="5748">
          <cell r="B5748">
            <v>8591</v>
          </cell>
          <cell r="C5748" t="str">
            <v>EZ_9_B</v>
          </cell>
          <cell r="D5748" t="str">
            <v>Rancho Estanzuela No. 9, B</v>
          </cell>
          <cell r="E5748" t="str">
            <v>Velasco Rojas</v>
          </cell>
          <cell r="F5748">
            <v>200</v>
          </cell>
          <cell r="G5748">
            <v>1</v>
          </cell>
          <cell r="H5748">
            <v>600</v>
          </cell>
          <cell r="I5748">
            <v>41994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  <cell r="V5748">
            <v>0</v>
          </cell>
          <cell r="W5748">
            <v>0</v>
          </cell>
          <cell r="X5748">
            <v>0</v>
          </cell>
          <cell r="Y5748">
            <v>0</v>
          </cell>
          <cell r="Z5748">
            <v>0</v>
          </cell>
          <cell r="AA5748">
            <v>0</v>
          </cell>
          <cell r="AB5748">
            <v>0</v>
          </cell>
          <cell r="AC5748">
            <v>0</v>
          </cell>
          <cell r="AD5748">
            <v>0</v>
          </cell>
          <cell r="AE5748">
            <v>0</v>
          </cell>
          <cell r="AF5748">
            <v>0</v>
          </cell>
          <cell r="AG5748">
            <v>0</v>
          </cell>
          <cell r="AH5748">
            <v>0</v>
          </cell>
          <cell r="AI5748">
            <v>0</v>
          </cell>
          <cell r="AJ5748">
            <v>0</v>
          </cell>
          <cell r="AK5748">
            <v>0</v>
          </cell>
          <cell r="AL5748">
            <v>0</v>
          </cell>
          <cell r="AM5748">
            <v>0</v>
          </cell>
          <cell r="AN5748">
            <v>0</v>
          </cell>
          <cell r="AO5748">
            <v>0</v>
          </cell>
          <cell r="AP5748">
            <v>0</v>
          </cell>
          <cell r="AQ5748">
            <v>0</v>
          </cell>
          <cell r="AR5748">
            <v>0</v>
          </cell>
          <cell r="AS5748">
            <v>0</v>
          </cell>
          <cell r="AT5748">
            <v>200</v>
          </cell>
          <cell r="AU5748">
            <v>200</v>
          </cell>
          <cell r="AV5748">
            <v>200</v>
          </cell>
          <cell r="AW5748">
            <v>600</v>
          </cell>
        </row>
        <row r="5749">
          <cell r="B5749">
            <v>8592</v>
          </cell>
          <cell r="C5749" t="str">
            <v>RV_195_</v>
          </cell>
          <cell r="D5749" t="str">
            <v>Rancho Recoveco No. 195</v>
          </cell>
          <cell r="E5749" t="str">
            <v>Sandoval</v>
          </cell>
          <cell r="F5749">
            <v>300</v>
          </cell>
          <cell r="G5749">
            <v>3</v>
          </cell>
          <cell r="H5749">
            <v>160</v>
          </cell>
          <cell r="I5749">
            <v>41994</v>
          </cell>
          <cell r="J5749" t="str">
            <v>NO SUMA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>
            <v>0</v>
          </cell>
          <cell r="V5749">
            <v>0</v>
          </cell>
          <cell r="W5749">
            <v>0</v>
          </cell>
          <cell r="X5749">
            <v>0</v>
          </cell>
          <cell r="Y5749">
            <v>0</v>
          </cell>
          <cell r="Z5749">
            <v>0</v>
          </cell>
          <cell r="AA5749">
            <v>0</v>
          </cell>
          <cell r="AB5749">
            <v>0</v>
          </cell>
          <cell r="AC5749">
            <v>0</v>
          </cell>
          <cell r="AD5749">
            <v>0</v>
          </cell>
          <cell r="AE5749">
            <v>0</v>
          </cell>
          <cell r="AF5749">
            <v>0</v>
          </cell>
          <cell r="AG5749">
            <v>0</v>
          </cell>
          <cell r="AH5749">
            <v>0</v>
          </cell>
          <cell r="AI5749">
            <v>0</v>
          </cell>
          <cell r="AJ5749">
            <v>0</v>
          </cell>
          <cell r="AK5749">
            <v>0</v>
          </cell>
          <cell r="AL5749">
            <v>0</v>
          </cell>
          <cell r="AM5749">
            <v>0</v>
          </cell>
          <cell r="AN5749">
            <v>0</v>
          </cell>
          <cell r="AO5749">
            <v>0</v>
          </cell>
          <cell r="AP5749">
            <v>0</v>
          </cell>
          <cell r="AQ5749">
            <v>0</v>
          </cell>
          <cell r="AR5749">
            <v>0</v>
          </cell>
          <cell r="AS5749">
            <v>0</v>
          </cell>
          <cell r="AT5749">
            <v>0</v>
          </cell>
          <cell r="AU5749">
            <v>0</v>
          </cell>
          <cell r="AV5749">
            <v>0</v>
          </cell>
          <cell r="AW5749">
            <v>0</v>
          </cell>
        </row>
        <row r="5750">
          <cell r="B5750">
            <v>8593</v>
          </cell>
          <cell r="C5750" t="str">
            <v>CL_31_</v>
          </cell>
          <cell r="D5750" t="str">
            <v>Rancho La Cuchilla No. 31</v>
          </cell>
          <cell r="E5750" t="str">
            <v>Lince</v>
          </cell>
          <cell r="F5750">
            <v>300</v>
          </cell>
          <cell r="G5750">
            <v>3</v>
          </cell>
          <cell r="H5750">
            <v>160</v>
          </cell>
          <cell r="I5750">
            <v>41994</v>
          </cell>
          <cell r="J5750" t="str">
            <v>NO SUMA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>
            <v>0</v>
          </cell>
          <cell r="V5750">
            <v>0</v>
          </cell>
          <cell r="W5750">
            <v>0</v>
          </cell>
          <cell r="X5750">
            <v>0</v>
          </cell>
          <cell r="Y5750">
            <v>0</v>
          </cell>
          <cell r="Z5750">
            <v>0</v>
          </cell>
          <cell r="AA5750">
            <v>0</v>
          </cell>
          <cell r="AB5750">
            <v>0</v>
          </cell>
          <cell r="AC5750">
            <v>0</v>
          </cell>
          <cell r="AD5750">
            <v>0</v>
          </cell>
          <cell r="AE5750">
            <v>0</v>
          </cell>
          <cell r="AF5750">
            <v>0</v>
          </cell>
          <cell r="AG5750">
            <v>0</v>
          </cell>
          <cell r="AH5750">
            <v>0</v>
          </cell>
          <cell r="AI5750">
            <v>0</v>
          </cell>
          <cell r="AJ5750">
            <v>0</v>
          </cell>
          <cell r="AK5750">
            <v>0</v>
          </cell>
          <cell r="AL5750">
            <v>0</v>
          </cell>
          <cell r="AM5750">
            <v>0</v>
          </cell>
          <cell r="AN5750">
            <v>0</v>
          </cell>
          <cell r="AO5750">
            <v>0</v>
          </cell>
          <cell r="AP5750">
            <v>0</v>
          </cell>
          <cell r="AQ5750">
            <v>0</v>
          </cell>
          <cell r="AR5750">
            <v>0</v>
          </cell>
          <cell r="AS5750">
            <v>0</v>
          </cell>
          <cell r="AT5750">
            <v>0</v>
          </cell>
          <cell r="AU5750">
            <v>0</v>
          </cell>
          <cell r="AV5750">
            <v>0</v>
          </cell>
          <cell r="AW5750">
            <v>0</v>
          </cell>
        </row>
        <row r="5751">
          <cell r="B5751">
            <v>8594</v>
          </cell>
          <cell r="C5751" t="str">
            <v>ZB_62_</v>
          </cell>
          <cell r="D5751" t="str">
            <v>Rancho Zinamba No. 62</v>
          </cell>
          <cell r="E5751" t="str">
            <v>Martínez León</v>
          </cell>
          <cell r="F5751">
            <v>250</v>
          </cell>
          <cell r="G5751">
            <v>1</v>
          </cell>
          <cell r="H5751">
            <v>1000</v>
          </cell>
          <cell r="I5751">
            <v>41994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>
            <v>0</v>
          </cell>
          <cell r="V5751">
            <v>0</v>
          </cell>
          <cell r="W5751">
            <v>0</v>
          </cell>
          <cell r="X5751">
            <v>0</v>
          </cell>
          <cell r="Y5751">
            <v>0</v>
          </cell>
          <cell r="Z5751">
            <v>0</v>
          </cell>
          <cell r="AA5751">
            <v>0</v>
          </cell>
          <cell r="AB5751">
            <v>0</v>
          </cell>
          <cell r="AC5751">
            <v>0</v>
          </cell>
          <cell r="AD5751">
            <v>0</v>
          </cell>
          <cell r="AE5751">
            <v>0</v>
          </cell>
          <cell r="AF5751">
            <v>0</v>
          </cell>
          <cell r="AG5751">
            <v>0</v>
          </cell>
          <cell r="AH5751">
            <v>0</v>
          </cell>
          <cell r="AI5751">
            <v>0</v>
          </cell>
          <cell r="AJ5751">
            <v>0</v>
          </cell>
          <cell r="AK5751">
            <v>0</v>
          </cell>
          <cell r="AL5751">
            <v>0</v>
          </cell>
          <cell r="AM5751">
            <v>0</v>
          </cell>
          <cell r="AN5751">
            <v>0</v>
          </cell>
          <cell r="AO5751">
            <v>0</v>
          </cell>
          <cell r="AP5751">
            <v>0</v>
          </cell>
          <cell r="AQ5751">
            <v>0</v>
          </cell>
          <cell r="AR5751">
            <v>0</v>
          </cell>
          <cell r="AS5751">
            <v>250</v>
          </cell>
          <cell r="AT5751">
            <v>250</v>
          </cell>
          <cell r="AU5751">
            <v>250</v>
          </cell>
          <cell r="AV5751">
            <v>250</v>
          </cell>
          <cell r="AW5751">
            <v>1000</v>
          </cell>
        </row>
        <row r="5752">
          <cell r="B5752">
            <v>8595</v>
          </cell>
          <cell r="C5752" t="str">
            <v>ZB_88_</v>
          </cell>
          <cell r="D5752" t="str">
            <v>Rancho Zinamba No. 88</v>
          </cell>
          <cell r="E5752" t="str">
            <v>Martínez</v>
          </cell>
          <cell r="F5752">
            <v>250</v>
          </cell>
          <cell r="G5752">
            <v>1</v>
          </cell>
          <cell r="H5752">
            <v>350</v>
          </cell>
          <cell r="I5752">
            <v>41994</v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>
            <v>0</v>
          </cell>
          <cell r="V5752">
            <v>0</v>
          </cell>
          <cell r="W5752">
            <v>0</v>
          </cell>
          <cell r="X5752">
            <v>0</v>
          </cell>
          <cell r="Y5752">
            <v>0</v>
          </cell>
          <cell r="Z5752">
            <v>0</v>
          </cell>
          <cell r="AA5752">
            <v>0</v>
          </cell>
          <cell r="AB5752">
            <v>0</v>
          </cell>
          <cell r="AC5752">
            <v>0</v>
          </cell>
          <cell r="AD5752">
            <v>0</v>
          </cell>
          <cell r="AE5752">
            <v>0</v>
          </cell>
          <cell r="AF5752">
            <v>0</v>
          </cell>
          <cell r="AG5752">
            <v>0</v>
          </cell>
          <cell r="AH5752">
            <v>0</v>
          </cell>
          <cell r="AI5752">
            <v>0</v>
          </cell>
          <cell r="AJ5752">
            <v>0</v>
          </cell>
          <cell r="AK5752">
            <v>0</v>
          </cell>
          <cell r="AL5752">
            <v>0</v>
          </cell>
          <cell r="AM5752">
            <v>0</v>
          </cell>
          <cell r="AN5752">
            <v>0</v>
          </cell>
          <cell r="AO5752">
            <v>0</v>
          </cell>
          <cell r="AP5752">
            <v>0</v>
          </cell>
          <cell r="AQ5752">
            <v>0</v>
          </cell>
          <cell r="AR5752">
            <v>0</v>
          </cell>
          <cell r="AS5752">
            <v>0</v>
          </cell>
          <cell r="AT5752">
            <v>0</v>
          </cell>
          <cell r="AU5752">
            <v>0</v>
          </cell>
          <cell r="AV5752">
            <v>350</v>
          </cell>
          <cell r="AW5752">
            <v>350</v>
          </cell>
        </row>
        <row r="5753">
          <cell r="B5753">
            <v>8596</v>
          </cell>
          <cell r="C5753" t="str">
            <v>UP_19_</v>
          </cell>
          <cell r="D5753" t="str">
            <v>Rancho Upácuaro No. 19</v>
          </cell>
          <cell r="E5753" t="str">
            <v>Peña Inclán</v>
          </cell>
          <cell r="F5753">
            <v>200</v>
          </cell>
          <cell r="G5753">
            <v>1</v>
          </cell>
          <cell r="H5753">
            <v>300</v>
          </cell>
          <cell r="I5753">
            <v>41994</v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>
            <v>0</v>
          </cell>
          <cell r="V5753">
            <v>0</v>
          </cell>
          <cell r="W5753">
            <v>0</v>
          </cell>
          <cell r="X5753">
            <v>0</v>
          </cell>
          <cell r="Y5753">
            <v>0</v>
          </cell>
          <cell r="Z5753">
            <v>0</v>
          </cell>
          <cell r="AA5753">
            <v>0</v>
          </cell>
          <cell r="AB5753">
            <v>0</v>
          </cell>
          <cell r="AC5753">
            <v>0</v>
          </cell>
          <cell r="AD5753">
            <v>0</v>
          </cell>
          <cell r="AE5753">
            <v>0</v>
          </cell>
          <cell r="AF5753">
            <v>0</v>
          </cell>
          <cell r="AG5753">
            <v>0</v>
          </cell>
          <cell r="AH5753">
            <v>0</v>
          </cell>
          <cell r="AI5753">
            <v>0</v>
          </cell>
          <cell r="AJ5753">
            <v>0</v>
          </cell>
          <cell r="AK5753">
            <v>0</v>
          </cell>
          <cell r="AL5753">
            <v>0</v>
          </cell>
          <cell r="AM5753">
            <v>0</v>
          </cell>
          <cell r="AN5753">
            <v>0</v>
          </cell>
          <cell r="AO5753">
            <v>0</v>
          </cell>
          <cell r="AP5753">
            <v>0</v>
          </cell>
          <cell r="AQ5753">
            <v>0</v>
          </cell>
          <cell r="AR5753">
            <v>0</v>
          </cell>
          <cell r="AS5753">
            <v>0</v>
          </cell>
          <cell r="AT5753">
            <v>0</v>
          </cell>
          <cell r="AU5753">
            <v>0</v>
          </cell>
          <cell r="AV5753">
            <v>300</v>
          </cell>
          <cell r="AW5753">
            <v>300</v>
          </cell>
        </row>
        <row r="5754">
          <cell r="B5754">
            <v>8597</v>
          </cell>
          <cell r="C5754" t="str">
            <v>CL_18_</v>
          </cell>
          <cell r="D5754" t="str">
            <v>Rancho La Cuchilla No. 18</v>
          </cell>
          <cell r="E5754" t="str">
            <v>Aldana Sánchez</v>
          </cell>
          <cell r="F5754">
            <v>300</v>
          </cell>
          <cell r="G5754">
            <v>1</v>
          </cell>
          <cell r="H5754">
            <v>400</v>
          </cell>
          <cell r="I5754">
            <v>41994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>
            <v>0</v>
          </cell>
          <cell r="V5754">
            <v>0</v>
          </cell>
          <cell r="W5754">
            <v>0</v>
          </cell>
          <cell r="X5754">
            <v>0</v>
          </cell>
          <cell r="Y5754">
            <v>0</v>
          </cell>
          <cell r="Z5754">
            <v>0</v>
          </cell>
          <cell r="AA5754">
            <v>0</v>
          </cell>
          <cell r="AB5754">
            <v>0</v>
          </cell>
          <cell r="AC5754">
            <v>0</v>
          </cell>
          <cell r="AD5754">
            <v>0</v>
          </cell>
          <cell r="AE5754">
            <v>0</v>
          </cell>
          <cell r="AF5754">
            <v>0</v>
          </cell>
          <cell r="AG5754">
            <v>0</v>
          </cell>
          <cell r="AH5754">
            <v>0</v>
          </cell>
          <cell r="AI5754">
            <v>0</v>
          </cell>
          <cell r="AJ5754">
            <v>0</v>
          </cell>
          <cell r="AK5754">
            <v>0</v>
          </cell>
          <cell r="AL5754">
            <v>0</v>
          </cell>
          <cell r="AM5754">
            <v>0</v>
          </cell>
          <cell r="AN5754">
            <v>0</v>
          </cell>
          <cell r="AO5754">
            <v>0</v>
          </cell>
          <cell r="AP5754">
            <v>0</v>
          </cell>
          <cell r="AQ5754">
            <v>0</v>
          </cell>
          <cell r="AR5754">
            <v>0</v>
          </cell>
          <cell r="AS5754">
            <v>0</v>
          </cell>
          <cell r="AT5754">
            <v>0</v>
          </cell>
          <cell r="AU5754">
            <v>0</v>
          </cell>
          <cell r="AV5754">
            <v>400</v>
          </cell>
          <cell r="AW5754">
            <v>400</v>
          </cell>
        </row>
        <row r="5755">
          <cell r="B5755">
            <v>8598</v>
          </cell>
          <cell r="C5755" t="str">
            <v>LD_73_</v>
          </cell>
          <cell r="D5755" t="str">
            <v>Rancho Landero No. 73</v>
          </cell>
          <cell r="E5755" t="str">
            <v>Islas Palacios</v>
          </cell>
          <cell r="F5755">
            <v>300</v>
          </cell>
          <cell r="G5755">
            <v>1</v>
          </cell>
          <cell r="H5755">
            <v>400</v>
          </cell>
          <cell r="I5755">
            <v>41994</v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>
            <v>0</v>
          </cell>
          <cell r="P5755">
            <v>0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>
            <v>0</v>
          </cell>
          <cell r="V5755">
            <v>0</v>
          </cell>
          <cell r="W5755">
            <v>0</v>
          </cell>
          <cell r="X5755">
            <v>0</v>
          </cell>
          <cell r="Y5755">
            <v>0</v>
          </cell>
          <cell r="Z5755">
            <v>0</v>
          </cell>
          <cell r="AA5755">
            <v>0</v>
          </cell>
          <cell r="AB5755">
            <v>0</v>
          </cell>
          <cell r="AC5755">
            <v>0</v>
          </cell>
          <cell r="AD5755">
            <v>0</v>
          </cell>
          <cell r="AE5755">
            <v>0</v>
          </cell>
          <cell r="AF5755">
            <v>0</v>
          </cell>
          <cell r="AG5755">
            <v>0</v>
          </cell>
          <cell r="AH5755">
            <v>0</v>
          </cell>
          <cell r="AI5755">
            <v>0</v>
          </cell>
          <cell r="AJ5755">
            <v>0</v>
          </cell>
          <cell r="AK5755">
            <v>0</v>
          </cell>
          <cell r="AL5755">
            <v>0</v>
          </cell>
          <cell r="AM5755">
            <v>0</v>
          </cell>
          <cell r="AN5755">
            <v>0</v>
          </cell>
          <cell r="AO5755">
            <v>0</v>
          </cell>
          <cell r="AP5755">
            <v>0</v>
          </cell>
          <cell r="AQ5755">
            <v>0</v>
          </cell>
          <cell r="AR5755">
            <v>0</v>
          </cell>
          <cell r="AS5755">
            <v>0</v>
          </cell>
          <cell r="AT5755">
            <v>0</v>
          </cell>
          <cell r="AU5755">
            <v>0</v>
          </cell>
          <cell r="AV5755">
            <v>400</v>
          </cell>
          <cell r="AW5755">
            <v>400</v>
          </cell>
        </row>
        <row r="5756">
          <cell r="B5756">
            <v>8599</v>
          </cell>
          <cell r="C5756" t="str">
            <v>ZB_38_</v>
          </cell>
          <cell r="D5756" t="str">
            <v>Rancho Zinamba No. 38</v>
          </cell>
          <cell r="E5756" t="str">
            <v>Ramírez Díaz</v>
          </cell>
          <cell r="F5756">
            <v>300</v>
          </cell>
          <cell r="G5756">
            <v>1</v>
          </cell>
          <cell r="H5756">
            <v>400</v>
          </cell>
          <cell r="I5756">
            <v>41994</v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>
            <v>0</v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  <cell r="V5756">
            <v>0</v>
          </cell>
          <cell r="W5756">
            <v>0</v>
          </cell>
          <cell r="X5756">
            <v>0</v>
          </cell>
          <cell r="Y5756">
            <v>0</v>
          </cell>
          <cell r="Z5756">
            <v>0</v>
          </cell>
          <cell r="AA5756">
            <v>0</v>
          </cell>
          <cell r="AB5756">
            <v>0</v>
          </cell>
          <cell r="AC5756">
            <v>0</v>
          </cell>
          <cell r="AD5756">
            <v>0</v>
          </cell>
          <cell r="AE5756">
            <v>0</v>
          </cell>
          <cell r="AF5756">
            <v>0</v>
          </cell>
          <cell r="AG5756">
            <v>0</v>
          </cell>
          <cell r="AH5756">
            <v>0</v>
          </cell>
          <cell r="AI5756">
            <v>0</v>
          </cell>
          <cell r="AJ5756">
            <v>0</v>
          </cell>
          <cell r="AK5756">
            <v>0</v>
          </cell>
          <cell r="AL5756">
            <v>0</v>
          </cell>
          <cell r="AM5756">
            <v>0</v>
          </cell>
          <cell r="AN5756">
            <v>0</v>
          </cell>
          <cell r="AO5756">
            <v>0</v>
          </cell>
          <cell r="AP5756">
            <v>0</v>
          </cell>
          <cell r="AQ5756">
            <v>0</v>
          </cell>
          <cell r="AR5756">
            <v>0</v>
          </cell>
          <cell r="AS5756">
            <v>0</v>
          </cell>
          <cell r="AT5756">
            <v>0</v>
          </cell>
          <cell r="AU5756">
            <v>0</v>
          </cell>
          <cell r="AV5756">
            <v>0</v>
          </cell>
          <cell r="AW5756">
            <v>0</v>
          </cell>
        </row>
        <row r="5757">
          <cell r="B5757">
            <v>8600</v>
          </cell>
          <cell r="C5757" t="str">
            <v>RM_9_B</v>
          </cell>
          <cell r="D5757" t="str">
            <v>Rancho Romeral No. 9, B</v>
          </cell>
          <cell r="E5757" t="str">
            <v>Morales Macías</v>
          </cell>
          <cell r="F5757">
            <v>100</v>
          </cell>
          <cell r="G5757">
            <v>1</v>
          </cell>
          <cell r="H5757">
            <v>100</v>
          </cell>
          <cell r="I5757">
            <v>41994</v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>
            <v>0</v>
          </cell>
          <cell r="V5757">
            <v>0</v>
          </cell>
          <cell r="W5757">
            <v>0</v>
          </cell>
          <cell r="X5757">
            <v>0</v>
          </cell>
          <cell r="Y5757">
            <v>0</v>
          </cell>
          <cell r="Z5757">
            <v>0</v>
          </cell>
          <cell r="AA5757">
            <v>0</v>
          </cell>
          <cell r="AB5757">
            <v>0</v>
          </cell>
          <cell r="AC5757">
            <v>0</v>
          </cell>
          <cell r="AD5757">
            <v>0</v>
          </cell>
          <cell r="AE5757">
            <v>0</v>
          </cell>
          <cell r="AF5757">
            <v>0</v>
          </cell>
          <cell r="AG5757">
            <v>0</v>
          </cell>
          <cell r="AH5757">
            <v>0</v>
          </cell>
          <cell r="AI5757">
            <v>0</v>
          </cell>
          <cell r="AJ5757">
            <v>0</v>
          </cell>
          <cell r="AK5757">
            <v>0</v>
          </cell>
          <cell r="AL5757">
            <v>0</v>
          </cell>
          <cell r="AM5757">
            <v>0</v>
          </cell>
          <cell r="AN5757">
            <v>0</v>
          </cell>
          <cell r="AO5757">
            <v>0</v>
          </cell>
          <cell r="AP5757">
            <v>0</v>
          </cell>
          <cell r="AQ5757">
            <v>0</v>
          </cell>
          <cell r="AR5757">
            <v>0</v>
          </cell>
          <cell r="AS5757">
            <v>0</v>
          </cell>
          <cell r="AT5757">
            <v>0</v>
          </cell>
          <cell r="AU5757">
            <v>0</v>
          </cell>
          <cell r="AV5757">
            <v>100</v>
          </cell>
          <cell r="AW5757">
            <v>100</v>
          </cell>
        </row>
        <row r="5758">
          <cell r="B5758">
            <v>8601</v>
          </cell>
          <cell r="C5758" t="str">
            <v>EZ_7_A</v>
          </cell>
          <cell r="D5758" t="str">
            <v>Rancho Estanzuela No. 7, A</v>
          </cell>
          <cell r="E5758" t="str">
            <v>Herrera Izquierdo</v>
          </cell>
          <cell r="F5758">
            <v>150</v>
          </cell>
          <cell r="G5758">
            <v>1</v>
          </cell>
          <cell r="H5758">
            <v>200</v>
          </cell>
          <cell r="I5758">
            <v>41994</v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>
            <v>0</v>
          </cell>
          <cell r="V5758">
            <v>0</v>
          </cell>
          <cell r="W5758">
            <v>0</v>
          </cell>
          <cell r="X5758">
            <v>0</v>
          </cell>
          <cell r="Y5758">
            <v>0</v>
          </cell>
          <cell r="Z5758">
            <v>0</v>
          </cell>
          <cell r="AA5758">
            <v>0</v>
          </cell>
          <cell r="AB5758">
            <v>0</v>
          </cell>
          <cell r="AC5758">
            <v>0</v>
          </cell>
          <cell r="AD5758">
            <v>0</v>
          </cell>
          <cell r="AE5758">
            <v>0</v>
          </cell>
          <cell r="AF5758">
            <v>0</v>
          </cell>
          <cell r="AG5758">
            <v>0</v>
          </cell>
          <cell r="AH5758">
            <v>0</v>
          </cell>
          <cell r="AI5758">
            <v>0</v>
          </cell>
          <cell r="AJ5758">
            <v>0</v>
          </cell>
          <cell r="AK5758">
            <v>0</v>
          </cell>
          <cell r="AL5758">
            <v>0</v>
          </cell>
          <cell r="AM5758">
            <v>0</v>
          </cell>
          <cell r="AN5758">
            <v>0</v>
          </cell>
          <cell r="AO5758">
            <v>0</v>
          </cell>
          <cell r="AP5758">
            <v>0</v>
          </cell>
          <cell r="AQ5758">
            <v>0</v>
          </cell>
          <cell r="AR5758">
            <v>0</v>
          </cell>
          <cell r="AS5758">
            <v>0</v>
          </cell>
          <cell r="AT5758">
            <v>0</v>
          </cell>
          <cell r="AU5758">
            <v>0</v>
          </cell>
          <cell r="AV5758">
            <v>200</v>
          </cell>
          <cell r="AW5758">
            <v>200</v>
          </cell>
        </row>
        <row r="5759">
          <cell r="B5759">
            <v>8602</v>
          </cell>
          <cell r="C5759" t="str">
            <v>EZ_69_</v>
          </cell>
          <cell r="D5759" t="str">
            <v>Rancho Estanzuela No. 69</v>
          </cell>
          <cell r="E5759" t="str">
            <v>Apaez</v>
          </cell>
          <cell r="F5759">
            <v>300</v>
          </cell>
          <cell r="G5759">
            <v>1</v>
          </cell>
          <cell r="H5759">
            <v>400</v>
          </cell>
          <cell r="I5759">
            <v>41994</v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>
            <v>0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>
            <v>0</v>
          </cell>
          <cell r="V5759">
            <v>0</v>
          </cell>
          <cell r="W5759">
            <v>0</v>
          </cell>
          <cell r="X5759">
            <v>0</v>
          </cell>
          <cell r="Y5759">
            <v>0</v>
          </cell>
          <cell r="Z5759">
            <v>0</v>
          </cell>
          <cell r="AA5759">
            <v>0</v>
          </cell>
          <cell r="AB5759">
            <v>0</v>
          </cell>
          <cell r="AC5759">
            <v>0</v>
          </cell>
          <cell r="AD5759">
            <v>0</v>
          </cell>
          <cell r="AE5759">
            <v>0</v>
          </cell>
          <cell r="AF5759">
            <v>0</v>
          </cell>
          <cell r="AG5759">
            <v>0</v>
          </cell>
          <cell r="AH5759">
            <v>0</v>
          </cell>
          <cell r="AI5759">
            <v>0</v>
          </cell>
          <cell r="AJ5759">
            <v>0</v>
          </cell>
          <cell r="AK5759">
            <v>0</v>
          </cell>
          <cell r="AL5759">
            <v>0</v>
          </cell>
          <cell r="AM5759">
            <v>0</v>
          </cell>
          <cell r="AN5759">
            <v>0</v>
          </cell>
          <cell r="AO5759">
            <v>0</v>
          </cell>
          <cell r="AP5759">
            <v>0</v>
          </cell>
          <cell r="AQ5759">
            <v>0</v>
          </cell>
          <cell r="AR5759">
            <v>0</v>
          </cell>
          <cell r="AS5759">
            <v>0</v>
          </cell>
          <cell r="AT5759">
            <v>0</v>
          </cell>
          <cell r="AU5759">
            <v>0</v>
          </cell>
          <cell r="AV5759">
            <v>400</v>
          </cell>
          <cell r="AW5759">
            <v>400</v>
          </cell>
        </row>
        <row r="5760">
          <cell r="B5760">
            <v>8603</v>
          </cell>
          <cell r="C5760" t="str">
            <v>CL_43_A</v>
          </cell>
          <cell r="D5760" t="str">
            <v>Rancho La Cuchilla No. 43, A</v>
          </cell>
          <cell r="E5760" t="str">
            <v>De la Rosa</v>
          </cell>
          <cell r="F5760">
            <v>200</v>
          </cell>
          <cell r="G5760">
            <v>1</v>
          </cell>
          <cell r="H5760">
            <v>800</v>
          </cell>
          <cell r="I5760">
            <v>41994</v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  <cell r="V5760">
            <v>0</v>
          </cell>
          <cell r="W5760">
            <v>0</v>
          </cell>
          <cell r="X5760">
            <v>0</v>
          </cell>
          <cell r="Y5760">
            <v>0</v>
          </cell>
          <cell r="Z5760">
            <v>0</v>
          </cell>
          <cell r="AA5760">
            <v>0</v>
          </cell>
          <cell r="AB5760">
            <v>0</v>
          </cell>
          <cell r="AC5760">
            <v>0</v>
          </cell>
          <cell r="AD5760">
            <v>0</v>
          </cell>
          <cell r="AE5760">
            <v>0</v>
          </cell>
          <cell r="AF5760">
            <v>0</v>
          </cell>
          <cell r="AG5760">
            <v>0</v>
          </cell>
          <cell r="AH5760">
            <v>0</v>
          </cell>
          <cell r="AI5760">
            <v>0</v>
          </cell>
          <cell r="AJ5760">
            <v>0</v>
          </cell>
          <cell r="AK5760">
            <v>0</v>
          </cell>
          <cell r="AL5760">
            <v>0</v>
          </cell>
          <cell r="AM5760">
            <v>0</v>
          </cell>
          <cell r="AN5760">
            <v>0</v>
          </cell>
          <cell r="AO5760">
            <v>0</v>
          </cell>
          <cell r="AP5760">
            <v>0</v>
          </cell>
          <cell r="AQ5760">
            <v>0</v>
          </cell>
          <cell r="AR5760">
            <v>0</v>
          </cell>
          <cell r="AS5760">
            <v>0</v>
          </cell>
          <cell r="AT5760">
            <v>0</v>
          </cell>
          <cell r="AU5760">
            <v>400</v>
          </cell>
          <cell r="AV5760">
            <v>400</v>
          </cell>
          <cell r="AW5760">
            <v>800</v>
          </cell>
        </row>
        <row r="5761">
          <cell r="B5761">
            <v>8604</v>
          </cell>
          <cell r="C5761" t="str">
            <v>UP_88_</v>
          </cell>
          <cell r="D5761" t="str">
            <v>Rancho Upácuaro No. 88</v>
          </cell>
          <cell r="E5761" t="str">
            <v>Millán Núñez</v>
          </cell>
          <cell r="F5761">
            <v>300</v>
          </cell>
          <cell r="G5761">
            <v>1</v>
          </cell>
          <cell r="H5761">
            <v>400</v>
          </cell>
          <cell r="I5761">
            <v>41994</v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0</v>
          </cell>
          <cell r="O5761">
            <v>0</v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  <cell r="V5761">
            <v>0</v>
          </cell>
          <cell r="W5761">
            <v>0</v>
          </cell>
          <cell r="X5761">
            <v>0</v>
          </cell>
          <cell r="Y5761">
            <v>0</v>
          </cell>
          <cell r="Z5761">
            <v>0</v>
          </cell>
          <cell r="AA5761">
            <v>0</v>
          </cell>
          <cell r="AB5761">
            <v>0</v>
          </cell>
          <cell r="AC5761">
            <v>0</v>
          </cell>
          <cell r="AD5761">
            <v>0</v>
          </cell>
          <cell r="AE5761">
            <v>0</v>
          </cell>
          <cell r="AF5761">
            <v>0</v>
          </cell>
          <cell r="AG5761">
            <v>0</v>
          </cell>
          <cell r="AH5761">
            <v>0</v>
          </cell>
          <cell r="AI5761">
            <v>0</v>
          </cell>
          <cell r="AJ5761">
            <v>0</v>
          </cell>
          <cell r="AK5761">
            <v>0</v>
          </cell>
          <cell r="AL5761">
            <v>0</v>
          </cell>
          <cell r="AM5761">
            <v>0</v>
          </cell>
          <cell r="AN5761">
            <v>0</v>
          </cell>
          <cell r="AO5761">
            <v>0</v>
          </cell>
          <cell r="AP5761">
            <v>0</v>
          </cell>
          <cell r="AQ5761">
            <v>0</v>
          </cell>
          <cell r="AR5761">
            <v>0</v>
          </cell>
          <cell r="AS5761">
            <v>0</v>
          </cell>
          <cell r="AT5761">
            <v>0</v>
          </cell>
          <cell r="AU5761">
            <v>0</v>
          </cell>
          <cell r="AV5761">
            <v>400</v>
          </cell>
          <cell r="AW5761">
            <v>400</v>
          </cell>
        </row>
        <row r="5762">
          <cell r="B5762">
            <v>8605</v>
          </cell>
          <cell r="C5762" t="str">
            <v>ZB_24_</v>
          </cell>
          <cell r="D5762" t="str">
            <v>Rancho Zinamba No. 24</v>
          </cell>
          <cell r="E5762" t="str">
            <v>Monroy García</v>
          </cell>
          <cell r="F5762">
            <v>300</v>
          </cell>
          <cell r="G5762">
            <v>1</v>
          </cell>
          <cell r="H5762">
            <v>400</v>
          </cell>
          <cell r="I5762">
            <v>41994</v>
          </cell>
          <cell r="J5762">
            <v>0</v>
          </cell>
          <cell r="K5762">
            <v>0</v>
          </cell>
          <cell r="L5762">
            <v>0</v>
          </cell>
          <cell r="M5762">
            <v>0</v>
          </cell>
          <cell r="N5762">
            <v>0</v>
          </cell>
          <cell r="O5762">
            <v>0</v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>
            <v>0</v>
          </cell>
          <cell r="V5762">
            <v>0</v>
          </cell>
          <cell r="W5762">
            <v>0</v>
          </cell>
          <cell r="X5762">
            <v>0</v>
          </cell>
          <cell r="Y5762">
            <v>0</v>
          </cell>
          <cell r="Z5762">
            <v>0</v>
          </cell>
          <cell r="AA5762">
            <v>0</v>
          </cell>
          <cell r="AB5762">
            <v>0</v>
          </cell>
          <cell r="AC5762">
            <v>0</v>
          </cell>
          <cell r="AD5762">
            <v>0</v>
          </cell>
          <cell r="AE5762">
            <v>0</v>
          </cell>
          <cell r="AF5762">
            <v>0</v>
          </cell>
          <cell r="AG5762">
            <v>0</v>
          </cell>
          <cell r="AH5762">
            <v>0</v>
          </cell>
          <cell r="AI5762">
            <v>0</v>
          </cell>
          <cell r="AJ5762">
            <v>0</v>
          </cell>
          <cell r="AK5762">
            <v>0</v>
          </cell>
          <cell r="AL5762">
            <v>0</v>
          </cell>
          <cell r="AM5762">
            <v>0</v>
          </cell>
          <cell r="AN5762">
            <v>0</v>
          </cell>
          <cell r="AO5762">
            <v>0</v>
          </cell>
          <cell r="AP5762">
            <v>0</v>
          </cell>
          <cell r="AQ5762">
            <v>0</v>
          </cell>
          <cell r="AR5762">
            <v>0</v>
          </cell>
          <cell r="AS5762">
            <v>0</v>
          </cell>
          <cell r="AT5762">
            <v>0</v>
          </cell>
          <cell r="AU5762">
            <v>0</v>
          </cell>
          <cell r="AV5762">
            <v>400</v>
          </cell>
          <cell r="AW5762">
            <v>400</v>
          </cell>
        </row>
        <row r="5763">
          <cell r="B5763">
            <v>8606</v>
          </cell>
          <cell r="C5763" t="str">
            <v>CL_78_</v>
          </cell>
          <cell r="D5763" t="str">
            <v>Rancho La Cuchilla No. 78</v>
          </cell>
          <cell r="E5763" t="str">
            <v>García</v>
          </cell>
          <cell r="F5763">
            <v>400</v>
          </cell>
          <cell r="G5763">
            <v>1</v>
          </cell>
          <cell r="H5763">
            <v>400</v>
          </cell>
          <cell r="I5763">
            <v>41994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  <cell r="O5763">
            <v>0</v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>
            <v>0</v>
          </cell>
          <cell r="V5763">
            <v>0</v>
          </cell>
          <cell r="W5763">
            <v>0</v>
          </cell>
          <cell r="X5763">
            <v>0</v>
          </cell>
          <cell r="Y5763">
            <v>0</v>
          </cell>
          <cell r="Z5763">
            <v>0</v>
          </cell>
          <cell r="AA5763">
            <v>0</v>
          </cell>
          <cell r="AB5763">
            <v>0</v>
          </cell>
          <cell r="AC5763">
            <v>0</v>
          </cell>
          <cell r="AD5763">
            <v>0</v>
          </cell>
          <cell r="AE5763">
            <v>0</v>
          </cell>
          <cell r="AF5763">
            <v>0</v>
          </cell>
          <cell r="AG5763">
            <v>0</v>
          </cell>
          <cell r="AH5763">
            <v>0</v>
          </cell>
          <cell r="AI5763">
            <v>0</v>
          </cell>
          <cell r="AJ5763">
            <v>0</v>
          </cell>
          <cell r="AK5763">
            <v>0</v>
          </cell>
          <cell r="AL5763">
            <v>0</v>
          </cell>
          <cell r="AM5763">
            <v>0</v>
          </cell>
          <cell r="AN5763">
            <v>0</v>
          </cell>
          <cell r="AO5763">
            <v>0</v>
          </cell>
          <cell r="AP5763">
            <v>0</v>
          </cell>
          <cell r="AQ5763">
            <v>0</v>
          </cell>
          <cell r="AR5763">
            <v>0</v>
          </cell>
          <cell r="AS5763">
            <v>0</v>
          </cell>
          <cell r="AT5763">
            <v>0</v>
          </cell>
          <cell r="AU5763">
            <v>0</v>
          </cell>
          <cell r="AV5763">
            <v>400</v>
          </cell>
          <cell r="AW5763">
            <v>400</v>
          </cell>
        </row>
        <row r="5764">
          <cell r="B5764">
            <v>8606</v>
          </cell>
          <cell r="C5764" t="str">
            <v>CL_78_</v>
          </cell>
          <cell r="D5764" t="str">
            <v>Rancho La Cuchilla No. 78</v>
          </cell>
          <cell r="E5764" t="str">
            <v>García</v>
          </cell>
          <cell r="F5764">
            <v>400</v>
          </cell>
          <cell r="G5764">
            <v>3</v>
          </cell>
          <cell r="H5764">
            <v>160</v>
          </cell>
          <cell r="I5764">
            <v>41994</v>
          </cell>
          <cell r="J5764" t="str">
            <v>NO SUMA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>
            <v>0</v>
          </cell>
          <cell r="V5764">
            <v>0</v>
          </cell>
          <cell r="W5764">
            <v>0</v>
          </cell>
          <cell r="X5764">
            <v>0</v>
          </cell>
          <cell r="Y5764">
            <v>0</v>
          </cell>
          <cell r="Z5764">
            <v>0</v>
          </cell>
          <cell r="AA5764">
            <v>0</v>
          </cell>
          <cell r="AB5764">
            <v>0</v>
          </cell>
          <cell r="AC5764">
            <v>0</v>
          </cell>
          <cell r="AD5764">
            <v>0</v>
          </cell>
          <cell r="AE5764">
            <v>0</v>
          </cell>
          <cell r="AF5764">
            <v>0</v>
          </cell>
          <cell r="AG5764">
            <v>0</v>
          </cell>
          <cell r="AH5764">
            <v>0</v>
          </cell>
          <cell r="AI5764">
            <v>0</v>
          </cell>
          <cell r="AJ5764">
            <v>0</v>
          </cell>
          <cell r="AK5764">
            <v>0</v>
          </cell>
          <cell r="AL5764">
            <v>0</v>
          </cell>
          <cell r="AM5764">
            <v>0</v>
          </cell>
          <cell r="AN5764">
            <v>0</v>
          </cell>
          <cell r="AO5764">
            <v>0</v>
          </cell>
          <cell r="AP5764">
            <v>0</v>
          </cell>
          <cell r="AQ5764">
            <v>0</v>
          </cell>
          <cell r="AR5764">
            <v>0</v>
          </cell>
          <cell r="AS5764">
            <v>0</v>
          </cell>
          <cell r="AT5764">
            <v>0</v>
          </cell>
          <cell r="AU5764">
            <v>0</v>
          </cell>
          <cell r="AV5764">
            <v>0</v>
          </cell>
          <cell r="AW5764">
            <v>0</v>
          </cell>
        </row>
        <row r="5765">
          <cell r="B5765">
            <v>8606</v>
          </cell>
          <cell r="C5765" t="str">
            <v>CL_78_</v>
          </cell>
          <cell r="D5765" t="str">
            <v>Rancho La Cuchilla No. 78</v>
          </cell>
          <cell r="E5765" t="str">
            <v>García</v>
          </cell>
          <cell r="F5765">
            <v>400</v>
          </cell>
          <cell r="G5765">
            <v>4</v>
          </cell>
          <cell r="H5765">
            <v>160</v>
          </cell>
          <cell r="I5765">
            <v>41994</v>
          </cell>
          <cell r="J5765" t="str">
            <v>NO SUMA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>
            <v>0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>
            <v>0</v>
          </cell>
          <cell r="V5765">
            <v>0</v>
          </cell>
          <cell r="W5765">
            <v>0</v>
          </cell>
          <cell r="X5765">
            <v>0</v>
          </cell>
          <cell r="Y5765">
            <v>0</v>
          </cell>
          <cell r="Z5765">
            <v>0</v>
          </cell>
          <cell r="AA5765">
            <v>0</v>
          </cell>
          <cell r="AB5765">
            <v>0</v>
          </cell>
          <cell r="AC5765">
            <v>0</v>
          </cell>
          <cell r="AD5765">
            <v>0</v>
          </cell>
          <cell r="AE5765">
            <v>0</v>
          </cell>
          <cell r="AF5765">
            <v>0</v>
          </cell>
          <cell r="AG5765">
            <v>0</v>
          </cell>
          <cell r="AH5765">
            <v>0</v>
          </cell>
          <cell r="AI5765">
            <v>0</v>
          </cell>
          <cell r="AJ5765">
            <v>0</v>
          </cell>
          <cell r="AK5765">
            <v>0</v>
          </cell>
          <cell r="AL5765">
            <v>0</v>
          </cell>
          <cell r="AM5765">
            <v>0</v>
          </cell>
          <cell r="AN5765">
            <v>0</v>
          </cell>
          <cell r="AO5765">
            <v>0</v>
          </cell>
          <cell r="AP5765">
            <v>0</v>
          </cell>
          <cell r="AQ5765">
            <v>0</v>
          </cell>
          <cell r="AR5765">
            <v>0</v>
          </cell>
          <cell r="AS5765">
            <v>0</v>
          </cell>
          <cell r="AT5765">
            <v>0</v>
          </cell>
          <cell r="AU5765">
            <v>0</v>
          </cell>
          <cell r="AV5765">
            <v>0</v>
          </cell>
          <cell r="AW5765">
            <v>0</v>
          </cell>
        </row>
        <row r="5766">
          <cell r="B5766">
            <v>8607</v>
          </cell>
          <cell r="C5766" t="str">
            <v>ZB_50_</v>
          </cell>
          <cell r="D5766" t="str">
            <v>Rancho Zinamba No. 50</v>
          </cell>
          <cell r="E5766" t="str">
            <v>Del Castillo</v>
          </cell>
          <cell r="F5766">
            <v>300</v>
          </cell>
          <cell r="G5766">
            <v>1</v>
          </cell>
          <cell r="H5766">
            <v>400</v>
          </cell>
          <cell r="I5766">
            <v>41994</v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>
            <v>0</v>
          </cell>
          <cell r="V5766">
            <v>0</v>
          </cell>
          <cell r="W5766">
            <v>0</v>
          </cell>
          <cell r="X5766">
            <v>0</v>
          </cell>
          <cell r="Y5766">
            <v>0</v>
          </cell>
          <cell r="Z5766">
            <v>0</v>
          </cell>
          <cell r="AA5766">
            <v>0</v>
          </cell>
          <cell r="AB5766">
            <v>0</v>
          </cell>
          <cell r="AC5766">
            <v>0</v>
          </cell>
          <cell r="AD5766">
            <v>0</v>
          </cell>
          <cell r="AE5766">
            <v>0</v>
          </cell>
          <cell r="AF5766">
            <v>0</v>
          </cell>
          <cell r="AG5766">
            <v>0</v>
          </cell>
          <cell r="AH5766">
            <v>0</v>
          </cell>
          <cell r="AI5766">
            <v>0</v>
          </cell>
          <cell r="AJ5766">
            <v>0</v>
          </cell>
          <cell r="AK5766">
            <v>0</v>
          </cell>
          <cell r="AL5766">
            <v>0</v>
          </cell>
          <cell r="AM5766">
            <v>0</v>
          </cell>
          <cell r="AN5766">
            <v>0</v>
          </cell>
          <cell r="AO5766">
            <v>0</v>
          </cell>
          <cell r="AP5766">
            <v>0</v>
          </cell>
          <cell r="AQ5766">
            <v>0</v>
          </cell>
          <cell r="AR5766">
            <v>0</v>
          </cell>
          <cell r="AS5766">
            <v>0</v>
          </cell>
          <cell r="AT5766">
            <v>0</v>
          </cell>
          <cell r="AU5766">
            <v>400</v>
          </cell>
          <cell r="AV5766">
            <v>0</v>
          </cell>
          <cell r="AW5766">
            <v>400</v>
          </cell>
        </row>
        <row r="5767">
          <cell r="B5767">
            <v>8608</v>
          </cell>
          <cell r="C5767" t="str">
            <v>UP_65_</v>
          </cell>
          <cell r="D5767" t="str">
            <v>Rancho Upácuaro No. 65</v>
          </cell>
          <cell r="E5767" t="str">
            <v>Cruz González</v>
          </cell>
          <cell r="F5767">
            <v>300</v>
          </cell>
          <cell r="G5767">
            <v>1</v>
          </cell>
          <cell r="H5767">
            <v>400</v>
          </cell>
          <cell r="I5767">
            <v>41994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  <cell r="V5767">
            <v>0</v>
          </cell>
          <cell r="W5767">
            <v>0</v>
          </cell>
          <cell r="X5767">
            <v>0</v>
          </cell>
          <cell r="Y5767">
            <v>0</v>
          </cell>
          <cell r="Z5767">
            <v>0</v>
          </cell>
          <cell r="AA5767">
            <v>0</v>
          </cell>
          <cell r="AB5767">
            <v>0</v>
          </cell>
          <cell r="AC5767">
            <v>0</v>
          </cell>
          <cell r="AD5767">
            <v>0</v>
          </cell>
          <cell r="AE5767">
            <v>0</v>
          </cell>
          <cell r="AF5767">
            <v>0</v>
          </cell>
          <cell r="AG5767">
            <v>0</v>
          </cell>
          <cell r="AH5767">
            <v>0</v>
          </cell>
          <cell r="AI5767">
            <v>0</v>
          </cell>
          <cell r="AJ5767">
            <v>0</v>
          </cell>
          <cell r="AK5767">
            <v>0</v>
          </cell>
          <cell r="AL5767">
            <v>0</v>
          </cell>
          <cell r="AM5767">
            <v>0</v>
          </cell>
          <cell r="AN5767">
            <v>0</v>
          </cell>
          <cell r="AO5767">
            <v>0</v>
          </cell>
          <cell r="AP5767">
            <v>0</v>
          </cell>
          <cell r="AQ5767">
            <v>0</v>
          </cell>
          <cell r="AR5767">
            <v>0</v>
          </cell>
          <cell r="AS5767">
            <v>0</v>
          </cell>
          <cell r="AT5767">
            <v>0</v>
          </cell>
          <cell r="AU5767">
            <v>0</v>
          </cell>
          <cell r="AV5767">
            <v>400</v>
          </cell>
          <cell r="AW5767">
            <v>400</v>
          </cell>
        </row>
        <row r="5768">
          <cell r="B5768">
            <v>8608</v>
          </cell>
          <cell r="C5768" t="str">
            <v>UP_65_</v>
          </cell>
          <cell r="D5768" t="str">
            <v>Rancho Upácuaro No. 65</v>
          </cell>
          <cell r="E5768" t="str">
            <v>Cruz González</v>
          </cell>
          <cell r="F5768">
            <v>300</v>
          </cell>
          <cell r="G5768">
            <v>3</v>
          </cell>
          <cell r="H5768">
            <v>160</v>
          </cell>
          <cell r="I5768">
            <v>41994</v>
          </cell>
          <cell r="J5768" t="str">
            <v>NO SUMA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>
            <v>0</v>
          </cell>
          <cell r="V5768">
            <v>0</v>
          </cell>
          <cell r="W5768">
            <v>0</v>
          </cell>
          <cell r="X5768">
            <v>0</v>
          </cell>
          <cell r="Y5768">
            <v>0</v>
          </cell>
          <cell r="Z5768">
            <v>0</v>
          </cell>
          <cell r="AA5768">
            <v>0</v>
          </cell>
          <cell r="AB5768">
            <v>0</v>
          </cell>
          <cell r="AC5768">
            <v>0</v>
          </cell>
          <cell r="AD5768">
            <v>0</v>
          </cell>
          <cell r="AE5768">
            <v>0</v>
          </cell>
          <cell r="AF5768">
            <v>0</v>
          </cell>
          <cell r="AG5768">
            <v>0</v>
          </cell>
          <cell r="AH5768">
            <v>0</v>
          </cell>
          <cell r="AI5768">
            <v>0</v>
          </cell>
          <cell r="AJ5768">
            <v>0</v>
          </cell>
          <cell r="AK5768">
            <v>0</v>
          </cell>
          <cell r="AL5768">
            <v>0</v>
          </cell>
          <cell r="AM5768">
            <v>0</v>
          </cell>
          <cell r="AN5768">
            <v>0</v>
          </cell>
          <cell r="AO5768">
            <v>0</v>
          </cell>
          <cell r="AP5768">
            <v>0</v>
          </cell>
          <cell r="AQ5768">
            <v>0</v>
          </cell>
          <cell r="AR5768">
            <v>0</v>
          </cell>
          <cell r="AS5768">
            <v>0</v>
          </cell>
          <cell r="AT5768">
            <v>0</v>
          </cell>
          <cell r="AU5768">
            <v>0</v>
          </cell>
          <cell r="AV5768">
            <v>0</v>
          </cell>
          <cell r="AW5768">
            <v>0</v>
          </cell>
        </row>
        <row r="5769">
          <cell r="B5769">
            <v>8609</v>
          </cell>
          <cell r="C5769" t="str">
            <v>UP_65_</v>
          </cell>
          <cell r="D5769" t="str">
            <v>Rancho Upácuaro No. 65</v>
          </cell>
          <cell r="E5769" t="str">
            <v>Cruz González</v>
          </cell>
          <cell r="F5769">
            <v>300</v>
          </cell>
          <cell r="G5769">
            <v>5</v>
          </cell>
          <cell r="H5769">
            <v>40</v>
          </cell>
          <cell r="I5769">
            <v>41997</v>
          </cell>
          <cell r="J5769" t="str">
            <v>NO SUMA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0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0</v>
          </cell>
          <cell r="Y5769">
            <v>0</v>
          </cell>
          <cell r="Z5769">
            <v>0</v>
          </cell>
          <cell r="AA5769">
            <v>0</v>
          </cell>
          <cell r="AB5769">
            <v>0</v>
          </cell>
          <cell r="AC5769">
            <v>0</v>
          </cell>
          <cell r="AD5769">
            <v>0</v>
          </cell>
          <cell r="AE5769">
            <v>0</v>
          </cell>
          <cell r="AF5769">
            <v>0</v>
          </cell>
          <cell r="AG5769">
            <v>0</v>
          </cell>
          <cell r="AH5769">
            <v>0</v>
          </cell>
          <cell r="AI5769">
            <v>0</v>
          </cell>
          <cell r="AJ5769">
            <v>0</v>
          </cell>
          <cell r="AK5769">
            <v>0</v>
          </cell>
          <cell r="AL5769">
            <v>0</v>
          </cell>
          <cell r="AM5769">
            <v>0</v>
          </cell>
          <cell r="AN5769">
            <v>0</v>
          </cell>
          <cell r="AO5769">
            <v>0</v>
          </cell>
          <cell r="AP5769">
            <v>0</v>
          </cell>
          <cell r="AQ5769">
            <v>0</v>
          </cell>
          <cell r="AR5769">
            <v>0</v>
          </cell>
          <cell r="AS5769">
            <v>0</v>
          </cell>
          <cell r="AT5769">
            <v>0</v>
          </cell>
          <cell r="AU5769">
            <v>0</v>
          </cell>
          <cell r="AV5769">
            <v>0</v>
          </cell>
          <cell r="AW5769">
            <v>0</v>
          </cell>
        </row>
        <row r="5770">
          <cell r="B5770">
            <v>8610</v>
          </cell>
          <cell r="C5770" t="str">
            <v>CL_20_</v>
          </cell>
          <cell r="D5770" t="str">
            <v>Rancho La Cuchilla No. 20</v>
          </cell>
          <cell r="E5770" t="str">
            <v>Sánchez López</v>
          </cell>
          <cell r="F5770">
            <v>300</v>
          </cell>
          <cell r="G5770">
            <v>1</v>
          </cell>
          <cell r="H5770">
            <v>800</v>
          </cell>
          <cell r="I5770">
            <v>42001</v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0</v>
          </cell>
          <cell r="Y5770">
            <v>0</v>
          </cell>
          <cell r="Z5770">
            <v>0</v>
          </cell>
          <cell r="AA5770">
            <v>0</v>
          </cell>
          <cell r="AB5770">
            <v>0</v>
          </cell>
          <cell r="AC5770">
            <v>0</v>
          </cell>
          <cell r="AD5770">
            <v>0</v>
          </cell>
          <cell r="AE5770">
            <v>0</v>
          </cell>
          <cell r="AF5770">
            <v>0</v>
          </cell>
          <cell r="AG5770">
            <v>0</v>
          </cell>
          <cell r="AH5770">
            <v>0</v>
          </cell>
          <cell r="AI5770">
            <v>0</v>
          </cell>
          <cell r="AJ5770">
            <v>0</v>
          </cell>
          <cell r="AK5770">
            <v>0</v>
          </cell>
          <cell r="AL5770">
            <v>0</v>
          </cell>
          <cell r="AM5770">
            <v>0</v>
          </cell>
          <cell r="AN5770">
            <v>0</v>
          </cell>
          <cell r="AO5770">
            <v>0</v>
          </cell>
          <cell r="AP5770">
            <v>0</v>
          </cell>
          <cell r="AQ5770">
            <v>0</v>
          </cell>
          <cell r="AR5770">
            <v>0</v>
          </cell>
          <cell r="AS5770">
            <v>0</v>
          </cell>
          <cell r="AT5770">
            <v>0</v>
          </cell>
          <cell r="AU5770">
            <v>0</v>
          </cell>
          <cell r="AV5770">
            <v>0</v>
          </cell>
          <cell r="AW5770">
            <v>0</v>
          </cell>
        </row>
        <row r="5771">
          <cell r="B5771">
            <v>8611</v>
          </cell>
          <cell r="C5771" t="str">
            <v>LD_62_</v>
          </cell>
          <cell r="D5771" t="str">
            <v>Rancho Landero No. 62</v>
          </cell>
          <cell r="E5771" t="str">
            <v>Narvaez Sara</v>
          </cell>
          <cell r="F5771">
            <v>300</v>
          </cell>
          <cell r="G5771">
            <v>1</v>
          </cell>
          <cell r="H5771">
            <v>1200</v>
          </cell>
          <cell r="I5771">
            <v>42001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0</v>
          </cell>
          <cell r="Y5771">
            <v>0</v>
          </cell>
          <cell r="Z5771">
            <v>0</v>
          </cell>
          <cell r="AA5771">
            <v>0</v>
          </cell>
          <cell r="AB5771">
            <v>0</v>
          </cell>
          <cell r="AC5771">
            <v>0</v>
          </cell>
          <cell r="AD5771">
            <v>0</v>
          </cell>
          <cell r="AE5771">
            <v>0</v>
          </cell>
          <cell r="AF5771">
            <v>0</v>
          </cell>
          <cell r="AG5771">
            <v>0</v>
          </cell>
          <cell r="AH5771">
            <v>0</v>
          </cell>
          <cell r="AI5771">
            <v>0</v>
          </cell>
          <cell r="AJ5771">
            <v>0</v>
          </cell>
          <cell r="AK5771">
            <v>0</v>
          </cell>
          <cell r="AL5771">
            <v>0</v>
          </cell>
          <cell r="AM5771">
            <v>0</v>
          </cell>
          <cell r="AN5771">
            <v>0</v>
          </cell>
          <cell r="AO5771">
            <v>0</v>
          </cell>
          <cell r="AP5771">
            <v>0</v>
          </cell>
          <cell r="AQ5771">
            <v>0</v>
          </cell>
          <cell r="AR5771">
            <v>0</v>
          </cell>
          <cell r="AS5771">
            <v>0</v>
          </cell>
          <cell r="AT5771">
            <v>400</v>
          </cell>
          <cell r="AU5771">
            <v>400</v>
          </cell>
          <cell r="AV5771">
            <v>400</v>
          </cell>
          <cell r="AW5771">
            <v>1200</v>
          </cell>
        </row>
        <row r="5772">
          <cell r="B5772">
            <v>8611</v>
          </cell>
          <cell r="C5772" t="str">
            <v>LD_62_</v>
          </cell>
          <cell r="D5772" t="str">
            <v>Rancho Landero No. 62</v>
          </cell>
          <cell r="E5772" t="str">
            <v>Narvaez Sara</v>
          </cell>
          <cell r="F5772">
            <v>300</v>
          </cell>
          <cell r="G5772">
            <v>5</v>
          </cell>
          <cell r="H5772">
            <v>20</v>
          </cell>
          <cell r="I5772">
            <v>42001</v>
          </cell>
          <cell r="J5772" t="str">
            <v>NO SUMA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0</v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0</v>
          </cell>
          <cell r="Y5772">
            <v>0</v>
          </cell>
          <cell r="Z5772">
            <v>0</v>
          </cell>
          <cell r="AA5772">
            <v>0</v>
          </cell>
          <cell r="AB5772">
            <v>0</v>
          </cell>
          <cell r="AC5772">
            <v>0</v>
          </cell>
          <cell r="AD5772">
            <v>0</v>
          </cell>
          <cell r="AE5772">
            <v>0</v>
          </cell>
          <cell r="AF5772">
            <v>0</v>
          </cell>
          <cell r="AG5772">
            <v>0</v>
          </cell>
          <cell r="AH5772">
            <v>0</v>
          </cell>
          <cell r="AI5772">
            <v>0</v>
          </cell>
          <cell r="AJ5772">
            <v>0</v>
          </cell>
          <cell r="AK5772">
            <v>0</v>
          </cell>
          <cell r="AL5772">
            <v>0</v>
          </cell>
          <cell r="AM5772">
            <v>0</v>
          </cell>
          <cell r="AN5772">
            <v>0</v>
          </cell>
          <cell r="AO5772">
            <v>0</v>
          </cell>
          <cell r="AP5772">
            <v>0</v>
          </cell>
          <cell r="AQ5772">
            <v>0</v>
          </cell>
          <cell r="AR5772">
            <v>0</v>
          </cell>
          <cell r="AS5772">
            <v>0</v>
          </cell>
          <cell r="AT5772">
            <v>0</v>
          </cell>
          <cell r="AU5772">
            <v>0</v>
          </cell>
          <cell r="AV5772">
            <v>0</v>
          </cell>
          <cell r="AW5772">
            <v>0</v>
          </cell>
        </row>
        <row r="5773">
          <cell r="B5773">
            <v>8612</v>
          </cell>
          <cell r="C5773" t="str">
            <v>EZ_31_</v>
          </cell>
          <cell r="D5773" t="str">
            <v>Rancho Estanzuela No. 31</v>
          </cell>
          <cell r="E5773" t="str">
            <v>Chávez Valdés</v>
          </cell>
          <cell r="F5773">
            <v>300</v>
          </cell>
          <cell r="G5773">
            <v>1</v>
          </cell>
          <cell r="H5773">
            <v>400</v>
          </cell>
          <cell r="I5773">
            <v>42001</v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0</v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>
            <v>0</v>
          </cell>
          <cell r="V5773">
            <v>0</v>
          </cell>
          <cell r="W5773">
            <v>0</v>
          </cell>
          <cell r="X5773">
            <v>0</v>
          </cell>
          <cell r="Y5773">
            <v>0</v>
          </cell>
          <cell r="Z5773">
            <v>0</v>
          </cell>
          <cell r="AA5773">
            <v>0</v>
          </cell>
          <cell r="AB5773">
            <v>0</v>
          </cell>
          <cell r="AC5773">
            <v>0</v>
          </cell>
          <cell r="AD5773">
            <v>0</v>
          </cell>
          <cell r="AE5773">
            <v>0</v>
          </cell>
          <cell r="AF5773">
            <v>0</v>
          </cell>
          <cell r="AG5773">
            <v>0</v>
          </cell>
          <cell r="AH5773">
            <v>0</v>
          </cell>
          <cell r="AI5773">
            <v>0</v>
          </cell>
          <cell r="AJ5773">
            <v>0</v>
          </cell>
          <cell r="AK5773">
            <v>0</v>
          </cell>
          <cell r="AL5773">
            <v>0</v>
          </cell>
          <cell r="AM5773">
            <v>0</v>
          </cell>
          <cell r="AN5773">
            <v>0</v>
          </cell>
          <cell r="AO5773">
            <v>0</v>
          </cell>
          <cell r="AP5773">
            <v>0</v>
          </cell>
          <cell r="AQ5773">
            <v>0</v>
          </cell>
          <cell r="AR5773">
            <v>0</v>
          </cell>
          <cell r="AS5773">
            <v>0</v>
          </cell>
          <cell r="AT5773">
            <v>0</v>
          </cell>
          <cell r="AU5773">
            <v>0</v>
          </cell>
          <cell r="AV5773">
            <v>400</v>
          </cell>
          <cell r="AW5773">
            <v>400</v>
          </cell>
        </row>
        <row r="5774">
          <cell r="B5774">
            <v>8612</v>
          </cell>
          <cell r="C5774" t="str">
            <v>EZ_31_</v>
          </cell>
          <cell r="D5774" t="str">
            <v>Rancho Estanzuela No. 31</v>
          </cell>
          <cell r="E5774" t="str">
            <v>Chávez Valdés</v>
          </cell>
          <cell r="F5774">
            <v>300</v>
          </cell>
          <cell r="G5774">
            <v>3</v>
          </cell>
          <cell r="H5774">
            <v>160</v>
          </cell>
          <cell r="I5774">
            <v>42001</v>
          </cell>
          <cell r="J5774" t="str">
            <v>NO SUMA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>
            <v>0</v>
          </cell>
          <cell r="V5774">
            <v>0</v>
          </cell>
          <cell r="W5774">
            <v>0</v>
          </cell>
          <cell r="X5774">
            <v>0</v>
          </cell>
          <cell r="Y5774">
            <v>0</v>
          </cell>
          <cell r="Z5774">
            <v>0</v>
          </cell>
          <cell r="AA5774">
            <v>0</v>
          </cell>
          <cell r="AB5774">
            <v>0</v>
          </cell>
          <cell r="AC5774">
            <v>0</v>
          </cell>
          <cell r="AD5774">
            <v>0</v>
          </cell>
          <cell r="AE5774">
            <v>0</v>
          </cell>
          <cell r="AF5774">
            <v>0</v>
          </cell>
          <cell r="AG5774">
            <v>0</v>
          </cell>
          <cell r="AH5774">
            <v>0</v>
          </cell>
          <cell r="AI5774">
            <v>0</v>
          </cell>
          <cell r="AJ5774">
            <v>0</v>
          </cell>
          <cell r="AK5774">
            <v>0</v>
          </cell>
          <cell r="AL5774">
            <v>0</v>
          </cell>
          <cell r="AM5774">
            <v>0</v>
          </cell>
          <cell r="AN5774">
            <v>0</v>
          </cell>
          <cell r="AO5774">
            <v>0</v>
          </cell>
          <cell r="AP5774">
            <v>0</v>
          </cell>
          <cell r="AQ5774">
            <v>0</v>
          </cell>
          <cell r="AR5774">
            <v>0</v>
          </cell>
          <cell r="AS5774">
            <v>0</v>
          </cell>
          <cell r="AT5774">
            <v>0</v>
          </cell>
          <cell r="AU5774">
            <v>0</v>
          </cell>
          <cell r="AV5774">
            <v>0</v>
          </cell>
          <cell r="AW5774">
            <v>0</v>
          </cell>
        </row>
        <row r="5775">
          <cell r="B5775">
            <v>8613</v>
          </cell>
          <cell r="C5775" t="str">
            <v>CL_66_</v>
          </cell>
          <cell r="D5775" t="str">
            <v>Rancho La Cuchilla No. 66</v>
          </cell>
          <cell r="E5775" t="str">
            <v>Prieto</v>
          </cell>
          <cell r="F5775">
            <v>300</v>
          </cell>
          <cell r="G5775">
            <v>1</v>
          </cell>
          <cell r="H5775">
            <v>400</v>
          </cell>
          <cell r="I5775">
            <v>42001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  <cell r="V5775">
            <v>0</v>
          </cell>
          <cell r="W5775">
            <v>0</v>
          </cell>
          <cell r="X5775">
            <v>0</v>
          </cell>
          <cell r="Y5775">
            <v>0</v>
          </cell>
          <cell r="Z5775">
            <v>0</v>
          </cell>
          <cell r="AA5775">
            <v>0</v>
          </cell>
          <cell r="AB5775">
            <v>0</v>
          </cell>
          <cell r="AC5775">
            <v>0</v>
          </cell>
          <cell r="AD5775">
            <v>0</v>
          </cell>
          <cell r="AE5775">
            <v>0</v>
          </cell>
          <cell r="AF5775">
            <v>0</v>
          </cell>
          <cell r="AG5775">
            <v>0</v>
          </cell>
          <cell r="AH5775">
            <v>0</v>
          </cell>
          <cell r="AI5775">
            <v>0</v>
          </cell>
          <cell r="AJ5775">
            <v>0</v>
          </cell>
          <cell r="AK5775">
            <v>0</v>
          </cell>
          <cell r="AL5775">
            <v>0</v>
          </cell>
          <cell r="AM5775">
            <v>0</v>
          </cell>
          <cell r="AN5775">
            <v>0</v>
          </cell>
          <cell r="AO5775">
            <v>0</v>
          </cell>
          <cell r="AP5775">
            <v>0</v>
          </cell>
          <cell r="AQ5775">
            <v>0</v>
          </cell>
          <cell r="AR5775">
            <v>0</v>
          </cell>
          <cell r="AS5775">
            <v>0</v>
          </cell>
          <cell r="AT5775">
            <v>0</v>
          </cell>
          <cell r="AU5775">
            <v>0</v>
          </cell>
          <cell r="AV5775">
            <v>400</v>
          </cell>
          <cell r="AW5775">
            <v>400</v>
          </cell>
        </row>
        <row r="5776">
          <cell r="B5776">
            <v>8614</v>
          </cell>
          <cell r="C5776" t="str">
            <v>UP_104_</v>
          </cell>
          <cell r="D5776" t="str">
            <v>Rancho Upácuaro No. 104</v>
          </cell>
          <cell r="E5776" t="str">
            <v>Jiménez Almazo</v>
          </cell>
          <cell r="F5776">
            <v>300</v>
          </cell>
          <cell r="G5776">
            <v>4</v>
          </cell>
          <cell r="H5776">
            <v>160</v>
          </cell>
          <cell r="I5776">
            <v>42001</v>
          </cell>
          <cell r="J5776" t="str">
            <v>NO SUMA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>
            <v>0</v>
          </cell>
          <cell r="V5776">
            <v>0</v>
          </cell>
          <cell r="W5776">
            <v>0</v>
          </cell>
          <cell r="X5776">
            <v>0</v>
          </cell>
          <cell r="Y5776">
            <v>0</v>
          </cell>
          <cell r="Z5776">
            <v>0</v>
          </cell>
          <cell r="AA5776">
            <v>0</v>
          </cell>
          <cell r="AB5776">
            <v>0</v>
          </cell>
          <cell r="AC5776">
            <v>0</v>
          </cell>
          <cell r="AD5776">
            <v>0</v>
          </cell>
          <cell r="AE5776">
            <v>0</v>
          </cell>
          <cell r="AF5776">
            <v>0</v>
          </cell>
          <cell r="AG5776">
            <v>0</v>
          </cell>
          <cell r="AH5776">
            <v>0</v>
          </cell>
          <cell r="AI5776">
            <v>0</v>
          </cell>
          <cell r="AJ5776">
            <v>0</v>
          </cell>
          <cell r="AK5776">
            <v>0</v>
          </cell>
          <cell r="AL5776">
            <v>0</v>
          </cell>
          <cell r="AM5776">
            <v>0</v>
          </cell>
          <cell r="AN5776">
            <v>0</v>
          </cell>
          <cell r="AO5776">
            <v>0</v>
          </cell>
          <cell r="AP5776">
            <v>0</v>
          </cell>
          <cell r="AQ5776">
            <v>0</v>
          </cell>
          <cell r="AR5776">
            <v>0</v>
          </cell>
          <cell r="AS5776">
            <v>0</v>
          </cell>
          <cell r="AT5776">
            <v>0</v>
          </cell>
          <cell r="AU5776">
            <v>0</v>
          </cell>
          <cell r="AV5776">
            <v>0</v>
          </cell>
          <cell r="AW5776">
            <v>0</v>
          </cell>
        </row>
        <row r="5777">
          <cell r="B5777">
            <v>8614</v>
          </cell>
          <cell r="C5777" t="str">
            <v>UP_104_</v>
          </cell>
          <cell r="D5777" t="str">
            <v>Rancho Upácuaro No. 104</v>
          </cell>
          <cell r="E5777" t="str">
            <v>Jiménez Almazo</v>
          </cell>
          <cell r="F5777">
            <v>300</v>
          </cell>
          <cell r="G5777">
            <v>5</v>
          </cell>
          <cell r="H5777">
            <v>20</v>
          </cell>
          <cell r="I5777">
            <v>42001</v>
          </cell>
          <cell r="J5777" t="str">
            <v>NO SUMA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>
            <v>0</v>
          </cell>
          <cell r="V5777">
            <v>0</v>
          </cell>
          <cell r="W5777">
            <v>0</v>
          </cell>
          <cell r="X5777">
            <v>0</v>
          </cell>
          <cell r="Y5777">
            <v>0</v>
          </cell>
          <cell r="Z5777">
            <v>0</v>
          </cell>
          <cell r="AA5777">
            <v>0</v>
          </cell>
          <cell r="AB5777">
            <v>0</v>
          </cell>
          <cell r="AC5777">
            <v>0</v>
          </cell>
          <cell r="AD5777">
            <v>0</v>
          </cell>
          <cell r="AE5777">
            <v>0</v>
          </cell>
          <cell r="AF5777">
            <v>0</v>
          </cell>
          <cell r="AG5777">
            <v>0</v>
          </cell>
          <cell r="AH5777">
            <v>0</v>
          </cell>
          <cell r="AI5777">
            <v>0</v>
          </cell>
          <cell r="AJ5777">
            <v>0</v>
          </cell>
          <cell r="AK5777">
            <v>0</v>
          </cell>
          <cell r="AL5777">
            <v>0</v>
          </cell>
          <cell r="AM5777">
            <v>0</v>
          </cell>
          <cell r="AN5777">
            <v>0</v>
          </cell>
          <cell r="AO5777">
            <v>0</v>
          </cell>
          <cell r="AP5777">
            <v>0</v>
          </cell>
          <cell r="AQ5777">
            <v>0</v>
          </cell>
          <cell r="AR5777">
            <v>0</v>
          </cell>
          <cell r="AS5777">
            <v>0</v>
          </cell>
          <cell r="AT5777">
            <v>0</v>
          </cell>
          <cell r="AU5777">
            <v>0</v>
          </cell>
          <cell r="AV5777">
            <v>0</v>
          </cell>
          <cell r="AW5777">
            <v>0</v>
          </cell>
        </row>
        <row r="5778">
          <cell r="B5778">
            <v>8615</v>
          </cell>
          <cell r="C5778" t="str">
            <v>CL_19_</v>
          </cell>
          <cell r="D5778" t="str">
            <v>Rancho La Cuchilla No. 19</v>
          </cell>
          <cell r="E5778" t="str">
            <v>Tapia Vázquez</v>
          </cell>
          <cell r="F5778">
            <v>300</v>
          </cell>
          <cell r="G5778">
            <v>5</v>
          </cell>
          <cell r="H5778">
            <v>20</v>
          </cell>
          <cell r="I5778">
            <v>42001</v>
          </cell>
          <cell r="J5778" t="str">
            <v>NO SUMA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>
            <v>0</v>
          </cell>
          <cell r="V5778">
            <v>0</v>
          </cell>
          <cell r="W5778">
            <v>0</v>
          </cell>
          <cell r="X5778">
            <v>0</v>
          </cell>
          <cell r="Y5778">
            <v>0</v>
          </cell>
          <cell r="Z5778">
            <v>0</v>
          </cell>
          <cell r="AA5778">
            <v>0</v>
          </cell>
          <cell r="AB5778">
            <v>0</v>
          </cell>
          <cell r="AC5778">
            <v>0</v>
          </cell>
          <cell r="AD5778">
            <v>0</v>
          </cell>
          <cell r="AE5778">
            <v>0</v>
          </cell>
          <cell r="AF5778">
            <v>0</v>
          </cell>
          <cell r="AG5778">
            <v>0</v>
          </cell>
          <cell r="AH5778">
            <v>0</v>
          </cell>
          <cell r="AI5778">
            <v>0</v>
          </cell>
          <cell r="AJ5778">
            <v>0</v>
          </cell>
          <cell r="AK5778">
            <v>0</v>
          </cell>
          <cell r="AL5778">
            <v>0</v>
          </cell>
          <cell r="AM5778">
            <v>0</v>
          </cell>
          <cell r="AN5778">
            <v>0</v>
          </cell>
          <cell r="AO5778">
            <v>0</v>
          </cell>
          <cell r="AP5778">
            <v>0</v>
          </cell>
          <cell r="AQ5778">
            <v>0</v>
          </cell>
          <cell r="AR5778">
            <v>0</v>
          </cell>
          <cell r="AS5778">
            <v>0</v>
          </cell>
          <cell r="AT5778">
            <v>0</v>
          </cell>
          <cell r="AU5778">
            <v>0</v>
          </cell>
          <cell r="AV5778">
            <v>0</v>
          </cell>
          <cell r="AW5778">
            <v>0</v>
          </cell>
        </row>
        <row r="5779">
          <cell r="B5779">
            <v>8616</v>
          </cell>
          <cell r="C5779" t="str">
            <v>CL_117_</v>
          </cell>
          <cell r="D5779" t="str">
            <v>Rancho La Cuchilla No. 117</v>
          </cell>
          <cell r="E5779" t="str">
            <v>Gómez</v>
          </cell>
          <cell r="F5779">
            <v>300</v>
          </cell>
          <cell r="G5779">
            <v>1</v>
          </cell>
          <cell r="H5779">
            <v>400</v>
          </cell>
          <cell r="I5779">
            <v>42001</v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>
            <v>0</v>
          </cell>
          <cell r="V5779">
            <v>0</v>
          </cell>
          <cell r="W5779">
            <v>0</v>
          </cell>
          <cell r="X5779">
            <v>0</v>
          </cell>
          <cell r="Y5779">
            <v>0</v>
          </cell>
          <cell r="Z5779">
            <v>0</v>
          </cell>
          <cell r="AA5779">
            <v>0</v>
          </cell>
          <cell r="AB5779">
            <v>0</v>
          </cell>
          <cell r="AC5779">
            <v>0</v>
          </cell>
          <cell r="AD5779">
            <v>0</v>
          </cell>
          <cell r="AE5779">
            <v>0</v>
          </cell>
          <cell r="AF5779">
            <v>0</v>
          </cell>
          <cell r="AG5779">
            <v>0</v>
          </cell>
          <cell r="AH5779">
            <v>0</v>
          </cell>
          <cell r="AI5779">
            <v>0</v>
          </cell>
          <cell r="AJ5779">
            <v>0</v>
          </cell>
          <cell r="AK5779">
            <v>0</v>
          </cell>
          <cell r="AL5779">
            <v>0</v>
          </cell>
          <cell r="AM5779">
            <v>0</v>
          </cell>
          <cell r="AN5779">
            <v>0</v>
          </cell>
          <cell r="AO5779">
            <v>0</v>
          </cell>
          <cell r="AP5779">
            <v>0</v>
          </cell>
          <cell r="AQ5779">
            <v>0</v>
          </cell>
          <cell r="AR5779">
            <v>0</v>
          </cell>
          <cell r="AS5779">
            <v>0</v>
          </cell>
          <cell r="AT5779">
            <v>0</v>
          </cell>
          <cell r="AU5779">
            <v>0</v>
          </cell>
          <cell r="AV5779">
            <v>400</v>
          </cell>
          <cell r="AW5779">
            <v>400</v>
          </cell>
        </row>
        <row r="5780">
          <cell r="B5780">
            <v>8617</v>
          </cell>
          <cell r="C5780" t="str">
            <v>UP_114_</v>
          </cell>
          <cell r="D5780" t="str">
            <v>Rancho Upácuaro No. 114</v>
          </cell>
          <cell r="E5780" t="str">
            <v>Hernández Cornejo</v>
          </cell>
          <cell r="F5780">
            <v>300</v>
          </cell>
          <cell r="G5780">
            <v>1</v>
          </cell>
          <cell r="H5780">
            <v>1200</v>
          </cell>
          <cell r="I5780">
            <v>42001</v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0</v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>
            <v>0</v>
          </cell>
          <cell r="V5780">
            <v>0</v>
          </cell>
          <cell r="W5780">
            <v>0</v>
          </cell>
          <cell r="X5780">
            <v>0</v>
          </cell>
          <cell r="Y5780">
            <v>0</v>
          </cell>
          <cell r="Z5780">
            <v>0</v>
          </cell>
          <cell r="AA5780">
            <v>0</v>
          </cell>
          <cell r="AB5780">
            <v>0</v>
          </cell>
          <cell r="AC5780">
            <v>0</v>
          </cell>
          <cell r="AD5780">
            <v>0</v>
          </cell>
          <cell r="AE5780">
            <v>0</v>
          </cell>
          <cell r="AF5780">
            <v>0</v>
          </cell>
          <cell r="AG5780">
            <v>0</v>
          </cell>
          <cell r="AH5780">
            <v>0</v>
          </cell>
          <cell r="AI5780">
            <v>0</v>
          </cell>
          <cell r="AJ5780">
            <v>0</v>
          </cell>
          <cell r="AK5780">
            <v>0</v>
          </cell>
          <cell r="AL5780">
            <v>0</v>
          </cell>
          <cell r="AM5780">
            <v>0</v>
          </cell>
          <cell r="AN5780">
            <v>0</v>
          </cell>
          <cell r="AO5780">
            <v>0</v>
          </cell>
          <cell r="AP5780">
            <v>0</v>
          </cell>
          <cell r="AQ5780">
            <v>0</v>
          </cell>
          <cell r="AR5780">
            <v>0</v>
          </cell>
          <cell r="AS5780">
            <v>0</v>
          </cell>
          <cell r="AT5780">
            <v>400</v>
          </cell>
          <cell r="AU5780">
            <v>400</v>
          </cell>
          <cell r="AV5780">
            <v>400</v>
          </cell>
          <cell r="AW5780">
            <v>1200</v>
          </cell>
        </row>
        <row r="5781">
          <cell r="B5781">
            <v>8618</v>
          </cell>
          <cell r="C5781" t="str">
            <v>CL_81_A</v>
          </cell>
          <cell r="D5781" t="str">
            <v>Rancho La Cuchilla No. 81, A</v>
          </cell>
          <cell r="E5781" t="str">
            <v>Barrientos López</v>
          </cell>
          <cell r="F5781">
            <v>300</v>
          </cell>
          <cell r="G5781">
            <v>1</v>
          </cell>
          <cell r="H5781">
            <v>400</v>
          </cell>
          <cell r="I5781">
            <v>42001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0</v>
          </cell>
          <cell r="X5781">
            <v>0</v>
          </cell>
          <cell r="Y5781">
            <v>0</v>
          </cell>
          <cell r="Z5781">
            <v>0</v>
          </cell>
          <cell r="AA5781">
            <v>0</v>
          </cell>
          <cell r="AB5781">
            <v>0</v>
          </cell>
          <cell r="AC5781">
            <v>0</v>
          </cell>
          <cell r="AD5781">
            <v>0</v>
          </cell>
          <cell r="AE5781">
            <v>0</v>
          </cell>
          <cell r="AF5781">
            <v>0</v>
          </cell>
          <cell r="AG5781">
            <v>0</v>
          </cell>
          <cell r="AH5781">
            <v>0</v>
          </cell>
          <cell r="AI5781">
            <v>0</v>
          </cell>
          <cell r="AJ5781">
            <v>0</v>
          </cell>
          <cell r="AK5781">
            <v>0</v>
          </cell>
          <cell r="AL5781">
            <v>0</v>
          </cell>
          <cell r="AM5781">
            <v>0</v>
          </cell>
          <cell r="AN5781">
            <v>0</v>
          </cell>
          <cell r="AO5781">
            <v>0</v>
          </cell>
          <cell r="AP5781">
            <v>0</v>
          </cell>
          <cell r="AQ5781">
            <v>0</v>
          </cell>
          <cell r="AR5781">
            <v>0</v>
          </cell>
          <cell r="AS5781">
            <v>0</v>
          </cell>
          <cell r="AT5781">
            <v>0</v>
          </cell>
          <cell r="AU5781">
            <v>0</v>
          </cell>
          <cell r="AV5781">
            <v>400</v>
          </cell>
          <cell r="AW5781">
            <v>400</v>
          </cell>
        </row>
        <row r="5782">
          <cell r="B5782">
            <v>8619</v>
          </cell>
          <cell r="C5782" t="str">
            <v>RM_10_B</v>
          </cell>
          <cell r="D5782" t="str">
            <v>Rancho Romeral No. 10, B</v>
          </cell>
          <cell r="E5782" t="str">
            <v>López Castellano</v>
          </cell>
          <cell r="F5782">
            <v>300</v>
          </cell>
          <cell r="G5782">
            <v>1</v>
          </cell>
          <cell r="H5782">
            <v>300</v>
          </cell>
          <cell r="I5782">
            <v>42001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>
            <v>0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0</v>
          </cell>
          <cell r="AC5782">
            <v>0</v>
          </cell>
          <cell r="AD5782">
            <v>0</v>
          </cell>
          <cell r="AE5782">
            <v>0</v>
          </cell>
          <cell r="AF5782">
            <v>0</v>
          </cell>
          <cell r="AG5782">
            <v>0</v>
          </cell>
          <cell r="AH5782">
            <v>0</v>
          </cell>
          <cell r="AI5782">
            <v>0</v>
          </cell>
          <cell r="AJ5782">
            <v>0</v>
          </cell>
          <cell r="AK5782">
            <v>0</v>
          </cell>
          <cell r="AL5782">
            <v>0</v>
          </cell>
          <cell r="AM5782">
            <v>0</v>
          </cell>
          <cell r="AN5782">
            <v>0</v>
          </cell>
          <cell r="AO5782">
            <v>0</v>
          </cell>
          <cell r="AP5782">
            <v>0</v>
          </cell>
          <cell r="AQ5782">
            <v>0</v>
          </cell>
          <cell r="AR5782">
            <v>0</v>
          </cell>
          <cell r="AS5782">
            <v>0</v>
          </cell>
          <cell r="AT5782">
            <v>0</v>
          </cell>
          <cell r="AU5782">
            <v>0</v>
          </cell>
          <cell r="AV5782">
            <v>300</v>
          </cell>
          <cell r="AW5782">
            <v>300</v>
          </cell>
        </row>
        <row r="5783">
          <cell r="B5783">
            <v>8619</v>
          </cell>
          <cell r="C5783" t="str">
            <v>RM_10_B</v>
          </cell>
          <cell r="D5783" t="str">
            <v>Rancho Romeral No. 10, B</v>
          </cell>
          <cell r="E5783" t="str">
            <v>López Castellano</v>
          </cell>
          <cell r="F5783">
            <v>300</v>
          </cell>
          <cell r="G5783">
            <v>4</v>
          </cell>
          <cell r="H5783">
            <v>160</v>
          </cell>
          <cell r="I5783">
            <v>42001</v>
          </cell>
          <cell r="J5783" t="str">
            <v>NO SUMA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>
            <v>0</v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>
            <v>0</v>
          </cell>
          <cell r="V5783">
            <v>0</v>
          </cell>
          <cell r="W5783">
            <v>0</v>
          </cell>
          <cell r="X5783">
            <v>0</v>
          </cell>
          <cell r="Y5783">
            <v>0</v>
          </cell>
          <cell r="Z5783">
            <v>0</v>
          </cell>
          <cell r="AA5783">
            <v>0</v>
          </cell>
          <cell r="AB5783">
            <v>0</v>
          </cell>
          <cell r="AC5783">
            <v>0</v>
          </cell>
          <cell r="AD5783">
            <v>0</v>
          </cell>
          <cell r="AE5783">
            <v>0</v>
          </cell>
          <cell r="AF5783">
            <v>0</v>
          </cell>
          <cell r="AG5783">
            <v>0</v>
          </cell>
          <cell r="AH5783">
            <v>0</v>
          </cell>
          <cell r="AI5783">
            <v>0</v>
          </cell>
          <cell r="AJ5783">
            <v>0</v>
          </cell>
          <cell r="AK5783">
            <v>0</v>
          </cell>
          <cell r="AL5783">
            <v>0</v>
          </cell>
          <cell r="AM5783">
            <v>0</v>
          </cell>
          <cell r="AN5783">
            <v>0</v>
          </cell>
          <cell r="AO5783">
            <v>0</v>
          </cell>
          <cell r="AP5783">
            <v>0</v>
          </cell>
          <cell r="AQ5783">
            <v>0</v>
          </cell>
          <cell r="AR5783">
            <v>0</v>
          </cell>
          <cell r="AS5783">
            <v>0</v>
          </cell>
          <cell r="AT5783">
            <v>0</v>
          </cell>
          <cell r="AU5783">
            <v>0</v>
          </cell>
          <cell r="AV5783">
            <v>0</v>
          </cell>
          <cell r="AW5783">
            <v>0</v>
          </cell>
        </row>
        <row r="5784">
          <cell r="B5784">
            <v>8620</v>
          </cell>
          <cell r="C5784" t="str">
            <v>CL_112_PA</v>
          </cell>
          <cell r="D5784" t="str">
            <v>Rancho La Cuchilla No. 112, PA</v>
          </cell>
          <cell r="E5784" t="str">
            <v>Villalpando Pineda</v>
          </cell>
          <cell r="F5784">
            <v>150</v>
          </cell>
          <cell r="G5784">
            <v>1</v>
          </cell>
          <cell r="H5784">
            <v>400</v>
          </cell>
          <cell r="I5784">
            <v>42001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0</v>
          </cell>
          <cell r="Y5784">
            <v>0</v>
          </cell>
          <cell r="Z5784">
            <v>0</v>
          </cell>
          <cell r="AA5784">
            <v>0</v>
          </cell>
          <cell r="AB5784">
            <v>0</v>
          </cell>
          <cell r="AC5784">
            <v>0</v>
          </cell>
          <cell r="AD5784">
            <v>0</v>
          </cell>
          <cell r="AE5784">
            <v>0</v>
          </cell>
          <cell r="AF5784">
            <v>0</v>
          </cell>
          <cell r="AG5784">
            <v>0</v>
          </cell>
          <cell r="AH5784">
            <v>0</v>
          </cell>
          <cell r="AI5784">
            <v>0</v>
          </cell>
          <cell r="AJ5784">
            <v>0</v>
          </cell>
          <cell r="AK5784">
            <v>0</v>
          </cell>
          <cell r="AL5784">
            <v>0</v>
          </cell>
          <cell r="AM5784">
            <v>0</v>
          </cell>
          <cell r="AN5784">
            <v>0</v>
          </cell>
          <cell r="AO5784">
            <v>0</v>
          </cell>
          <cell r="AP5784">
            <v>0</v>
          </cell>
          <cell r="AQ5784">
            <v>0</v>
          </cell>
          <cell r="AR5784">
            <v>0</v>
          </cell>
          <cell r="AS5784">
            <v>0</v>
          </cell>
          <cell r="AT5784">
            <v>200</v>
          </cell>
          <cell r="AU5784">
            <v>200</v>
          </cell>
          <cell r="AV5784">
            <v>0</v>
          </cell>
          <cell r="AW5784">
            <v>400</v>
          </cell>
        </row>
        <row r="5785">
          <cell r="B5785">
            <v>8621</v>
          </cell>
          <cell r="C5785" t="str">
            <v>LD_58_</v>
          </cell>
          <cell r="D5785" t="str">
            <v>Rancho Landero No. 58</v>
          </cell>
          <cell r="E5785" t="str">
            <v>Valero</v>
          </cell>
          <cell r="F5785">
            <v>300</v>
          </cell>
          <cell r="G5785">
            <v>1</v>
          </cell>
          <cell r="H5785">
            <v>800</v>
          </cell>
          <cell r="I5785">
            <v>42001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0</v>
          </cell>
          <cell r="Y5785">
            <v>0</v>
          </cell>
          <cell r="Z5785">
            <v>0</v>
          </cell>
          <cell r="AA5785">
            <v>0</v>
          </cell>
          <cell r="AB5785">
            <v>0</v>
          </cell>
          <cell r="AC5785">
            <v>0</v>
          </cell>
          <cell r="AD5785">
            <v>0</v>
          </cell>
          <cell r="AE5785">
            <v>0</v>
          </cell>
          <cell r="AF5785">
            <v>0</v>
          </cell>
          <cell r="AG5785">
            <v>0</v>
          </cell>
          <cell r="AH5785">
            <v>0</v>
          </cell>
          <cell r="AI5785">
            <v>0</v>
          </cell>
          <cell r="AJ5785">
            <v>0</v>
          </cell>
          <cell r="AK5785">
            <v>0</v>
          </cell>
          <cell r="AL5785">
            <v>0</v>
          </cell>
          <cell r="AM5785">
            <v>0</v>
          </cell>
          <cell r="AN5785">
            <v>0</v>
          </cell>
          <cell r="AO5785">
            <v>0</v>
          </cell>
          <cell r="AP5785">
            <v>0</v>
          </cell>
          <cell r="AQ5785">
            <v>0</v>
          </cell>
          <cell r="AR5785">
            <v>0</v>
          </cell>
          <cell r="AS5785">
            <v>0</v>
          </cell>
          <cell r="AT5785">
            <v>0</v>
          </cell>
          <cell r="AU5785">
            <v>0</v>
          </cell>
          <cell r="AV5785">
            <v>400</v>
          </cell>
          <cell r="AW5785">
            <v>400</v>
          </cell>
        </row>
        <row r="5786">
          <cell r="B5786">
            <v>8621</v>
          </cell>
          <cell r="C5786" t="str">
            <v>LD_58_</v>
          </cell>
          <cell r="D5786" t="str">
            <v>Rancho Landero No. 58</v>
          </cell>
          <cell r="E5786" t="str">
            <v>Valero</v>
          </cell>
          <cell r="F5786">
            <v>300</v>
          </cell>
          <cell r="G5786">
            <v>5</v>
          </cell>
          <cell r="H5786">
            <v>20</v>
          </cell>
          <cell r="I5786">
            <v>42001</v>
          </cell>
          <cell r="J5786" t="str">
            <v>NO SUMA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>
            <v>0</v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>
            <v>0</v>
          </cell>
          <cell r="V5786">
            <v>0</v>
          </cell>
          <cell r="W5786">
            <v>0</v>
          </cell>
          <cell r="X5786">
            <v>0</v>
          </cell>
          <cell r="Y5786">
            <v>0</v>
          </cell>
          <cell r="Z5786">
            <v>0</v>
          </cell>
          <cell r="AA5786">
            <v>0</v>
          </cell>
          <cell r="AB5786">
            <v>0</v>
          </cell>
          <cell r="AC5786">
            <v>0</v>
          </cell>
          <cell r="AD5786">
            <v>0</v>
          </cell>
          <cell r="AE5786">
            <v>0</v>
          </cell>
          <cell r="AF5786">
            <v>0</v>
          </cell>
          <cell r="AG5786">
            <v>0</v>
          </cell>
          <cell r="AH5786">
            <v>0</v>
          </cell>
          <cell r="AI5786">
            <v>0</v>
          </cell>
          <cell r="AJ5786">
            <v>0</v>
          </cell>
          <cell r="AK5786">
            <v>0</v>
          </cell>
          <cell r="AL5786">
            <v>0</v>
          </cell>
          <cell r="AM5786">
            <v>0</v>
          </cell>
          <cell r="AN5786">
            <v>0</v>
          </cell>
          <cell r="AO5786">
            <v>0</v>
          </cell>
          <cell r="AP5786">
            <v>0</v>
          </cell>
          <cell r="AQ5786">
            <v>0</v>
          </cell>
          <cell r="AR5786">
            <v>0</v>
          </cell>
          <cell r="AS5786">
            <v>0</v>
          </cell>
          <cell r="AT5786">
            <v>0</v>
          </cell>
          <cell r="AU5786">
            <v>0</v>
          </cell>
          <cell r="AV5786">
            <v>0</v>
          </cell>
          <cell r="AW5786">
            <v>0</v>
          </cell>
        </row>
        <row r="5787">
          <cell r="B5787">
            <v>8622</v>
          </cell>
          <cell r="C5787" t="str">
            <v>EZ_115_</v>
          </cell>
          <cell r="D5787" t="str">
            <v>Rancho Estanzuela No. 115</v>
          </cell>
          <cell r="E5787" t="str">
            <v>Frías Solórzano</v>
          </cell>
          <cell r="F5787">
            <v>200</v>
          </cell>
          <cell r="G5787">
            <v>1</v>
          </cell>
          <cell r="H5787">
            <v>500</v>
          </cell>
          <cell r="I5787">
            <v>42001</v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0</v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>
            <v>0</v>
          </cell>
          <cell r="V5787">
            <v>0</v>
          </cell>
          <cell r="W5787">
            <v>0</v>
          </cell>
          <cell r="X5787">
            <v>0</v>
          </cell>
          <cell r="Y5787">
            <v>0</v>
          </cell>
          <cell r="Z5787">
            <v>0</v>
          </cell>
          <cell r="AA5787">
            <v>0</v>
          </cell>
          <cell r="AB5787">
            <v>0</v>
          </cell>
          <cell r="AC5787">
            <v>0</v>
          </cell>
          <cell r="AD5787">
            <v>0</v>
          </cell>
          <cell r="AE5787">
            <v>0</v>
          </cell>
          <cell r="AF5787">
            <v>0</v>
          </cell>
          <cell r="AG5787">
            <v>0</v>
          </cell>
          <cell r="AH5787">
            <v>0</v>
          </cell>
          <cell r="AI5787">
            <v>0</v>
          </cell>
          <cell r="AJ5787">
            <v>0</v>
          </cell>
          <cell r="AK5787">
            <v>0</v>
          </cell>
          <cell r="AL5787">
            <v>0</v>
          </cell>
          <cell r="AM5787">
            <v>0</v>
          </cell>
          <cell r="AN5787">
            <v>0</v>
          </cell>
          <cell r="AO5787">
            <v>0</v>
          </cell>
          <cell r="AP5787">
            <v>0</v>
          </cell>
          <cell r="AQ5787">
            <v>0</v>
          </cell>
          <cell r="AR5787">
            <v>0</v>
          </cell>
          <cell r="AS5787">
            <v>0</v>
          </cell>
          <cell r="AT5787">
            <v>0</v>
          </cell>
          <cell r="AU5787">
            <v>250</v>
          </cell>
          <cell r="AV5787">
            <v>250</v>
          </cell>
          <cell r="AW5787">
            <v>500</v>
          </cell>
        </row>
        <row r="5788">
          <cell r="B5788">
            <v>8622</v>
          </cell>
          <cell r="C5788" t="str">
            <v>EZ_115_</v>
          </cell>
          <cell r="D5788" t="str">
            <v>Rancho Estanzuela No. 115</v>
          </cell>
          <cell r="E5788" t="str">
            <v>Frías Solórzano</v>
          </cell>
          <cell r="F5788">
            <v>200</v>
          </cell>
          <cell r="G5788">
            <v>5</v>
          </cell>
          <cell r="H5788">
            <v>20</v>
          </cell>
          <cell r="I5788">
            <v>42001</v>
          </cell>
          <cell r="J5788" t="str">
            <v>NO SUMA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0</v>
          </cell>
          <cell r="Y5788">
            <v>0</v>
          </cell>
          <cell r="Z5788">
            <v>0</v>
          </cell>
          <cell r="AA5788">
            <v>0</v>
          </cell>
          <cell r="AB5788">
            <v>0</v>
          </cell>
          <cell r="AC5788">
            <v>0</v>
          </cell>
          <cell r="AD5788">
            <v>0</v>
          </cell>
          <cell r="AE5788">
            <v>0</v>
          </cell>
          <cell r="AF5788">
            <v>0</v>
          </cell>
          <cell r="AG5788">
            <v>0</v>
          </cell>
          <cell r="AH5788">
            <v>0</v>
          </cell>
          <cell r="AI5788">
            <v>0</v>
          </cell>
          <cell r="AJ5788">
            <v>0</v>
          </cell>
          <cell r="AK5788">
            <v>0</v>
          </cell>
          <cell r="AL5788">
            <v>0</v>
          </cell>
          <cell r="AM5788">
            <v>0</v>
          </cell>
          <cell r="AN5788">
            <v>0</v>
          </cell>
          <cell r="AO5788">
            <v>0</v>
          </cell>
          <cell r="AP5788">
            <v>0</v>
          </cell>
          <cell r="AQ5788">
            <v>0</v>
          </cell>
          <cell r="AR5788">
            <v>0</v>
          </cell>
          <cell r="AS5788">
            <v>0</v>
          </cell>
          <cell r="AT5788">
            <v>0</v>
          </cell>
          <cell r="AU5788">
            <v>0</v>
          </cell>
          <cell r="AV5788">
            <v>0</v>
          </cell>
          <cell r="AW5788">
            <v>0</v>
          </cell>
        </row>
        <row r="5789">
          <cell r="B5789">
            <v>8623</v>
          </cell>
          <cell r="C5789" t="str">
            <v>LD_71_</v>
          </cell>
          <cell r="D5789" t="str">
            <v>Rancho Landero No. 71</v>
          </cell>
          <cell r="E5789" t="str">
            <v>Cabrera Balcázar</v>
          </cell>
          <cell r="F5789">
            <v>300</v>
          </cell>
          <cell r="G5789">
            <v>1</v>
          </cell>
          <cell r="H5789">
            <v>400</v>
          </cell>
          <cell r="I5789">
            <v>42001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0</v>
          </cell>
          <cell r="Y5789">
            <v>0</v>
          </cell>
          <cell r="Z5789">
            <v>0</v>
          </cell>
          <cell r="AA5789">
            <v>0</v>
          </cell>
          <cell r="AB5789">
            <v>0</v>
          </cell>
          <cell r="AC5789">
            <v>0</v>
          </cell>
          <cell r="AD5789">
            <v>0</v>
          </cell>
          <cell r="AE5789">
            <v>0</v>
          </cell>
          <cell r="AF5789">
            <v>0</v>
          </cell>
          <cell r="AG5789">
            <v>0</v>
          </cell>
          <cell r="AH5789">
            <v>0</v>
          </cell>
          <cell r="AI5789">
            <v>0</v>
          </cell>
          <cell r="AJ5789">
            <v>0</v>
          </cell>
          <cell r="AK5789">
            <v>0</v>
          </cell>
          <cell r="AL5789">
            <v>0</v>
          </cell>
          <cell r="AM5789">
            <v>0</v>
          </cell>
          <cell r="AN5789">
            <v>0</v>
          </cell>
          <cell r="AO5789">
            <v>0</v>
          </cell>
          <cell r="AP5789">
            <v>0</v>
          </cell>
          <cell r="AQ5789">
            <v>0</v>
          </cell>
          <cell r="AR5789">
            <v>0</v>
          </cell>
          <cell r="AS5789">
            <v>0</v>
          </cell>
          <cell r="AT5789">
            <v>0</v>
          </cell>
          <cell r="AU5789">
            <v>0</v>
          </cell>
          <cell r="AV5789">
            <v>0</v>
          </cell>
          <cell r="AW5789">
            <v>0</v>
          </cell>
        </row>
        <row r="5790">
          <cell r="B5790">
            <v>8624</v>
          </cell>
          <cell r="C5790" t="str">
            <v>CL_139_</v>
          </cell>
          <cell r="D5790" t="str">
            <v>Rancho La Cuchilla No. 139</v>
          </cell>
          <cell r="E5790" t="str">
            <v>Garcia</v>
          </cell>
          <cell r="F5790">
            <v>200</v>
          </cell>
          <cell r="G5790">
            <v>1</v>
          </cell>
          <cell r="H5790">
            <v>200</v>
          </cell>
          <cell r="I5790">
            <v>42001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>
            <v>0</v>
          </cell>
          <cell r="V5790">
            <v>0</v>
          </cell>
          <cell r="W5790">
            <v>0</v>
          </cell>
          <cell r="X5790">
            <v>0</v>
          </cell>
          <cell r="Y5790">
            <v>0</v>
          </cell>
          <cell r="Z5790">
            <v>0</v>
          </cell>
          <cell r="AA5790">
            <v>0</v>
          </cell>
          <cell r="AB5790">
            <v>0</v>
          </cell>
          <cell r="AC5790">
            <v>0</v>
          </cell>
          <cell r="AD5790">
            <v>0</v>
          </cell>
          <cell r="AE5790">
            <v>0</v>
          </cell>
          <cell r="AF5790">
            <v>0</v>
          </cell>
          <cell r="AG5790">
            <v>0</v>
          </cell>
          <cell r="AH5790">
            <v>0</v>
          </cell>
          <cell r="AI5790">
            <v>0</v>
          </cell>
          <cell r="AJ5790">
            <v>0</v>
          </cell>
          <cell r="AK5790">
            <v>0</v>
          </cell>
          <cell r="AL5790">
            <v>0</v>
          </cell>
          <cell r="AM5790">
            <v>0</v>
          </cell>
          <cell r="AN5790">
            <v>0</v>
          </cell>
          <cell r="AO5790">
            <v>0</v>
          </cell>
          <cell r="AP5790">
            <v>0</v>
          </cell>
          <cell r="AQ5790">
            <v>0</v>
          </cell>
          <cell r="AR5790">
            <v>0</v>
          </cell>
          <cell r="AS5790">
            <v>0</v>
          </cell>
          <cell r="AT5790">
            <v>0</v>
          </cell>
          <cell r="AU5790">
            <v>0</v>
          </cell>
          <cell r="AV5790">
            <v>0</v>
          </cell>
          <cell r="AW5790">
            <v>0</v>
          </cell>
        </row>
        <row r="5791">
          <cell r="B5791">
            <v>8625</v>
          </cell>
          <cell r="C5791" t="str">
            <v>UP_116_</v>
          </cell>
          <cell r="D5791" t="str">
            <v>Rancho Upácuaro No. 116</v>
          </cell>
          <cell r="E5791" t="str">
            <v>García Zamudio</v>
          </cell>
          <cell r="F5791">
            <v>300</v>
          </cell>
          <cell r="G5791">
            <v>1</v>
          </cell>
          <cell r="H5791">
            <v>400</v>
          </cell>
          <cell r="I5791">
            <v>42001</v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>
            <v>0</v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>
            <v>0</v>
          </cell>
          <cell r="V5791">
            <v>0</v>
          </cell>
          <cell r="W5791">
            <v>0</v>
          </cell>
          <cell r="X5791">
            <v>0</v>
          </cell>
          <cell r="Y5791">
            <v>0</v>
          </cell>
          <cell r="Z5791">
            <v>0</v>
          </cell>
          <cell r="AA5791">
            <v>0</v>
          </cell>
          <cell r="AB5791">
            <v>0</v>
          </cell>
          <cell r="AC5791">
            <v>0</v>
          </cell>
          <cell r="AD5791">
            <v>0</v>
          </cell>
          <cell r="AE5791">
            <v>0</v>
          </cell>
          <cell r="AF5791">
            <v>0</v>
          </cell>
          <cell r="AG5791">
            <v>0</v>
          </cell>
          <cell r="AH5791">
            <v>0</v>
          </cell>
          <cell r="AI5791">
            <v>0</v>
          </cell>
          <cell r="AJ5791">
            <v>0</v>
          </cell>
          <cell r="AK5791">
            <v>0</v>
          </cell>
          <cell r="AL5791">
            <v>0</v>
          </cell>
          <cell r="AM5791">
            <v>0</v>
          </cell>
          <cell r="AN5791">
            <v>0</v>
          </cell>
          <cell r="AO5791">
            <v>0</v>
          </cell>
          <cell r="AP5791">
            <v>0</v>
          </cell>
          <cell r="AQ5791">
            <v>0</v>
          </cell>
          <cell r="AR5791">
            <v>0</v>
          </cell>
          <cell r="AS5791">
            <v>0</v>
          </cell>
          <cell r="AT5791">
            <v>0</v>
          </cell>
          <cell r="AU5791">
            <v>0</v>
          </cell>
          <cell r="AV5791">
            <v>400</v>
          </cell>
          <cell r="AW5791">
            <v>400</v>
          </cell>
        </row>
        <row r="5792">
          <cell r="B5792">
            <v>8626</v>
          </cell>
          <cell r="C5792" t="str">
            <v>CL_72_</v>
          </cell>
          <cell r="D5792" t="str">
            <v>Rancho La Cuchilla No. 72</v>
          </cell>
          <cell r="E5792" t="str">
            <v>Ortiz González</v>
          </cell>
          <cell r="F5792">
            <v>300</v>
          </cell>
          <cell r="G5792">
            <v>1</v>
          </cell>
          <cell r="H5792">
            <v>400</v>
          </cell>
          <cell r="I5792">
            <v>42001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0</v>
          </cell>
          <cell r="Y5792">
            <v>0</v>
          </cell>
          <cell r="Z5792">
            <v>0</v>
          </cell>
          <cell r="AA5792">
            <v>0</v>
          </cell>
          <cell r="AB5792">
            <v>0</v>
          </cell>
          <cell r="AC5792">
            <v>0</v>
          </cell>
          <cell r="AD5792">
            <v>0</v>
          </cell>
          <cell r="AE5792">
            <v>0</v>
          </cell>
          <cell r="AF5792">
            <v>0</v>
          </cell>
          <cell r="AG5792">
            <v>0</v>
          </cell>
          <cell r="AH5792">
            <v>0</v>
          </cell>
          <cell r="AI5792">
            <v>0</v>
          </cell>
          <cell r="AJ5792">
            <v>0</v>
          </cell>
          <cell r="AK5792">
            <v>0</v>
          </cell>
          <cell r="AL5792">
            <v>0</v>
          </cell>
          <cell r="AM5792">
            <v>0</v>
          </cell>
          <cell r="AN5792">
            <v>0</v>
          </cell>
          <cell r="AO5792">
            <v>0</v>
          </cell>
          <cell r="AP5792">
            <v>0</v>
          </cell>
          <cell r="AQ5792">
            <v>0</v>
          </cell>
          <cell r="AR5792">
            <v>0</v>
          </cell>
          <cell r="AS5792">
            <v>0</v>
          </cell>
          <cell r="AT5792">
            <v>0</v>
          </cell>
          <cell r="AU5792">
            <v>0</v>
          </cell>
          <cell r="AV5792">
            <v>0</v>
          </cell>
          <cell r="AW5792">
            <v>0</v>
          </cell>
        </row>
        <row r="5793">
          <cell r="B5793">
            <v>8627</v>
          </cell>
          <cell r="C5793" t="str">
            <v>ZB_26_</v>
          </cell>
          <cell r="D5793" t="str">
            <v>Rancho Zinamba No. 26</v>
          </cell>
          <cell r="E5793" t="str">
            <v>Ayala</v>
          </cell>
          <cell r="F5793">
            <v>300</v>
          </cell>
          <cell r="G5793">
            <v>1</v>
          </cell>
          <cell r="H5793">
            <v>800</v>
          </cell>
          <cell r="I5793">
            <v>42001</v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  <cell r="V5793">
            <v>0</v>
          </cell>
          <cell r="W5793">
            <v>0</v>
          </cell>
          <cell r="X5793">
            <v>0</v>
          </cell>
          <cell r="Y5793">
            <v>0</v>
          </cell>
          <cell r="Z5793">
            <v>0</v>
          </cell>
          <cell r="AA5793">
            <v>0</v>
          </cell>
          <cell r="AB5793">
            <v>0</v>
          </cell>
          <cell r="AC5793">
            <v>0</v>
          </cell>
          <cell r="AD5793">
            <v>0</v>
          </cell>
          <cell r="AE5793">
            <v>0</v>
          </cell>
          <cell r="AF5793">
            <v>0</v>
          </cell>
          <cell r="AG5793">
            <v>0</v>
          </cell>
          <cell r="AH5793">
            <v>0</v>
          </cell>
          <cell r="AI5793">
            <v>0</v>
          </cell>
          <cell r="AJ5793">
            <v>0</v>
          </cell>
          <cell r="AK5793">
            <v>0</v>
          </cell>
          <cell r="AL5793">
            <v>0</v>
          </cell>
          <cell r="AM5793">
            <v>0</v>
          </cell>
          <cell r="AN5793">
            <v>0</v>
          </cell>
          <cell r="AO5793">
            <v>0</v>
          </cell>
          <cell r="AP5793">
            <v>0</v>
          </cell>
          <cell r="AQ5793">
            <v>0</v>
          </cell>
          <cell r="AR5793">
            <v>0</v>
          </cell>
          <cell r="AS5793">
            <v>400</v>
          </cell>
          <cell r="AT5793">
            <v>400</v>
          </cell>
          <cell r="AU5793">
            <v>0</v>
          </cell>
          <cell r="AV5793">
            <v>0</v>
          </cell>
          <cell r="AW5793">
            <v>800</v>
          </cell>
        </row>
        <row r="5794">
          <cell r="B5794">
            <v>8628</v>
          </cell>
          <cell r="C5794" t="str">
            <v>CL_96_</v>
          </cell>
          <cell r="D5794" t="str">
            <v>Rancho La Cuchilla No. 96</v>
          </cell>
          <cell r="E5794" t="str">
            <v>Valdez Álvarez</v>
          </cell>
          <cell r="F5794">
            <v>300</v>
          </cell>
          <cell r="G5794">
            <v>1</v>
          </cell>
          <cell r="H5794">
            <v>4400</v>
          </cell>
          <cell r="I5794">
            <v>42001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0</v>
          </cell>
          <cell r="Y5794">
            <v>0</v>
          </cell>
          <cell r="Z5794">
            <v>0</v>
          </cell>
          <cell r="AA5794">
            <v>0</v>
          </cell>
          <cell r="AB5794">
            <v>0</v>
          </cell>
          <cell r="AC5794">
            <v>0</v>
          </cell>
          <cell r="AD5794">
            <v>0</v>
          </cell>
          <cell r="AE5794">
            <v>0</v>
          </cell>
          <cell r="AF5794">
            <v>0</v>
          </cell>
          <cell r="AG5794">
            <v>0</v>
          </cell>
          <cell r="AH5794">
            <v>0</v>
          </cell>
          <cell r="AI5794">
            <v>0</v>
          </cell>
          <cell r="AJ5794">
            <v>0</v>
          </cell>
          <cell r="AK5794">
            <v>0</v>
          </cell>
          <cell r="AL5794">
            <v>0</v>
          </cell>
          <cell r="AM5794">
            <v>0</v>
          </cell>
          <cell r="AN5794">
            <v>0</v>
          </cell>
          <cell r="AO5794">
            <v>0</v>
          </cell>
          <cell r="AP5794">
            <v>0</v>
          </cell>
          <cell r="AQ5794">
            <v>0</v>
          </cell>
          <cell r="AR5794">
            <v>0</v>
          </cell>
          <cell r="AS5794">
            <v>0</v>
          </cell>
          <cell r="AT5794">
            <v>0</v>
          </cell>
          <cell r="AU5794">
            <v>0</v>
          </cell>
          <cell r="AV5794">
            <v>0</v>
          </cell>
          <cell r="AW5794">
            <v>0</v>
          </cell>
        </row>
        <row r="5795">
          <cell r="B5795">
            <v>8629</v>
          </cell>
          <cell r="C5795" t="str">
            <v>RV_181_</v>
          </cell>
          <cell r="D5795" t="str">
            <v>Rancho Recoveco No. 181</v>
          </cell>
          <cell r="E5795" t="str">
            <v>Castillo</v>
          </cell>
          <cell r="F5795">
            <v>300</v>
          </cell>
          <cell r="G5795">
            <v>5</v>
          </cell>
          <cell r="H5795">
            <v>40</v>
          </cell>
          <cell r="I5795">
            <v>42001</v>
          </cell>
          <cell r="J5795" t="str">
            <v>NO SUMA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>
            <v>0</v>
          </cell>
          <cell r="P5795">
            <v>0</v>
          </cell>
          <cell r="Q5795">
            <v>0</v>
          </cell>
          <cell r="R5795">
            <v>0</v>
          </cell>
          <cell r="S5795">
            <v>0</v>
          </cell>
          <cell r="T5795">
            <v>0</v>
          </cell>
          <cell r="U5795">
            <v>0</v>
          </cell>
          <cell r="V5795">
            <v>0</v>
          </cell>
          <cell r="W5795">
            <v>0</v>
          </cell>
          <cell r="X5795">
            <v>0</v>
          </cell>
          <cell r="Y5795">
            <v>0</v>
          </cell>
          <cell r="Z5795">
            <v>0</v>
          </cell>
          <cell r="AA5795">
            <v>0</v>
          </cell>
          <cell r="AB5795">
            <v>0</v>
          </cell>
          <cell r="AC5795">
            <v>0</v>
          </cell>
          <cell r="AD5795">
            <v>0</v>
          </cell>
          <cell r="AE5795">
            <v>0</v>
          </cell>
          <cell r="AF5795">
            <v>0</v>
          </cell>
          <cell r="AG5795">
            <v>0</v>
          </cell>
          <cell r="AH5795">
            <v>0</v>
          </cell>
          <cell r="AI5795">
            <v>0</v>
          </cell>
          <cell r="AJ5795">
            <v>0</v>
          </cell>
          <cell r="AK5795">
            <v>0</v>
          </cell>
          <cell r="AL5795">
            <v>0</v>
          </cell>
          <cell r="AM5795">
            <v>0</v>
          </cell>
          <cell r="AN5795">
            <v>0</v>
          </cell>
          <cell r="AO5795">
            <v>0</v>
          </cell>
          <cell r="AP5795">
            <v>0</v>
          </cell>
          <cell r="AQ5795">
            <v>0</v>
          </cell>
          <cell r="AR5795">
            <v>0</v>
          </cell>
          <cell r="AS5795">
            <v>0</v>
          </cell>
          <cell r="AT5795">
            <v>0</v>
          </cell>
          <cell r="AU5795">
            <v>0</v>
          </cell>
          <cell r="AV5795">
            <v>0</v>
          </cell>
          <cell r="AW5795">
            <v>0</v>
          </cell>
        </row>
        <row r="5796">
          <cell r="B5796">
            <v>8630</v>
          </cell>
          <cell r="C5796" t="str">
            <v>CL_40_</v>
          </cell>
          <cell r="D5796" t="str">
            <v>Rancho La Cuchilla No. 40</v>
          </cell>
          <cell r="E5796" t="str">
            <v>López Pico</v>
          </cell>
          <cell r="F5796">
            <v>300</v>
          </cell>
          <cell r="G5796">
            <v>1</v>
          </cell>
          <cell r="H5796">
            <v>400</v>
          </cell>
          <cell r="I5796">
            <v>42001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0</v>
          </cell>
          <cell r="Y5796">
            <v>0</v>
          </cell>
          <cell r="Z5796">
            <v>0</v>
          </cell>
          <cell r="AA5796">
            <v>0</v>
          </cell>
          <cell r="AB5796">
            <v>0</v>
          </cell>
          <cell r="AC5796">
            <v>0</v>
          </cell>
          <cell r="AD5796">
            <v>0</v>
          </cell>
          <cell r="AE5796">
            <v>0</v>
          </cell>
          <cell r="AF5796">
            <v>0</v>
          </cell>
          <cell r="AG5796">
            <v>0</v>
          </cell>
          <cell r="AH5796">
            <v>0</v>
          </cell>
          <cell r="AI5796">
            <v>0</v>
          </cell>
          <cell r="AJ5796">
            <v>0</v>
          </cell>
          <cell r="AK5796">
            <v>0</v>
          </cell>
          <cell r="AL5796">
            <v>0</v>
          </cell>
          <cell r="AM5796">
            <v>0</v>
          </cell>
          <cell r="AN5796">
            <v>0</v>
          </cell>
          <cell r="AO5796">
            <v>0</v>
          </cell>
          <cell r="AP5796">
            <v>0</v>
          </cell>
          <cell r="AQ5796">
            <v>0</v>
          </cell>
          <cell r="AR5796">
            <v>0</v>
          </cell>
          <cell r="AS5796">
            <v>0</v>
          </cell>
          <cell r="AT5796">
            <v>0</v>
          </cell>
          <cell r="AU5796">
            <v>0</v>
          </cell>
          <cell r="AV5796">
            <v>0</v>
          </cell>
          <cell r="AW5796">
            <v>0</v>
          </cell>
        </row>
        <row r="5797">
          <cell r="B5797">
            <v>8631</v>
          </cell>
          <cell r="C5797" t="str">
            <v>LD_36_</v>
          </cell>
          <cell r="D5797" t="str">
            <v>Rancho Landero No. 36</v>
          </cell>
          <cell r="E5797" t="str">
            <v>Jaime</v>
          </cell>
          <cell r="F5797">
            <v>200</v>
          </cell>
          <cell r="G5797">
            <v>1</v>
          </cell>
          <cell r="H5797">
            <v>2000</v>
          </cell>
          <cell r="I5797">
            <v>42001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0</v>
          </cell>
          <cell r="Y5797">
            <v>0</v>
          </cell>
          <cell r="Z5797">
            <v>0</v>
          </cell>
          <cell r="AA5797">
            <v>0</v>
          </cell>
          <cell r="AB5797">
            <v>0</v>
          </cell>
          <cell r="AC5797">
            <v>0</v>
          </cell>
          <cell r="AD5797">
            <v>0</v>
          </cell>
          <cell r="AE5797">
            <v>0</v>
          </cell>
          <cell r="AF5797">
            <v>0</v>
          </cell>
          <cell r="AG5797">
            <v>0</v>
          </cell>
          <cell r="AH5797">
            <v>0</v>
          </cell>
          <cell r="AI5797">
            <v>0</v>
          </cell>
          <cell r="AJ5797">
            <v>0</v>
          </cell>
          <cell r="AK5797">
            <v>0</v>
          </cell>
          <cell r="AL5797">
            <v>0</v>
          </cell>
          <cell r="AM5797">
            <v>0</v>
          </cell>
          <cell r="AN5797">
            <v>0</v>
          </cell>
          <cell r="AO5797">
            <v>0</v>
          </cell>
          <cell r="AP5797">
            <v>0</v>
          </cell>
          <cell r="AQ5797">
            <v>0</v>
          </cell>
          <cell r="AR5797">
            <v>0</v>
          </cell>
          <cell r="AS5797">
            <v>0</v>
          </cell>
          <cell r="AT5797">
            <v>0</v>
          </cell>
          <cell r="AU5797">
            <v>0</v>
          </cell>
          <cell r="AV5797">
            <v>0</v>
          </cell>
          <cell r="AW5797">
            <v>0</v>
          </cell>
        </row>
        <row r="5798">
          <cell r="B5798">
            <v>8632</v>
          </cell>
          <cell r="C5798" t="str">
            <v>LD_80_</v>
          </cell>
          <cell r="D5798" t="str">
            <v>Rancho Landero No. 80</v>
          </cell>
          <cell r="E5798" t="str">
            <v>Villaseñor Sánchez</v>
          </cell>
          <cell r="F5798">
            <v>300</v>
          </cell>
          <cell r="G5798">
            <v>1</v>
          </cell>
          <cell r="H5798">
            <v>400</v>
          </cell>
          <cell r="I5798">
            <v>42001</v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0</v>
          </cell>
          <cell r="Y5798">
            <v>0</v>
          </cell>
          <cell r="Z5798">
            <v>0</v>
          </cell>
          <cell r="AA5798">
            <v>0</v>
          </cell>
          <cell r="AB5798">
            <v>0</v>
          </cell>
          <cell r="AC5798">
            <v>0</v>
          </cell>
          <cell r="AD5798">
            <v>0</v>
          </cell>
          <cell r="AE5798">
            <v>0</v>
          </cell>
          <cell r="AF5798">
            <v>0</v>
          </cell>
          <cell r="AG5798">
            <v>0</v>
          </cell>
          <cell r="AH5798">
            <v>0</v>
          </cell>
          <cell r="AI5798">
            <v>0</v>
          </cell>
          <cell r="AJ5798">
            <v>0</v>
          </cell>
          <cell r="AK5798">
            <v>0</v>
          </cell>
          <cell r="AL5798">
            <v>0</v>
          </cell>
          <cell r="AM5798">
            <v>0</v>
          </cell>
          <cell r="AN5798">
            <v>0</v>
          </cell>
          <cell r="AO5798">
            <v>0</v>
          </cell>
          <cell r="AP5798">
            <v>0</v>
          </cell>
          <cell r="AQ5798">
            <v>0</v>
          </cell>
          <cell r="AR5798">
            <v>0</v>
          </cell>
          <cell r="AS5798">
            <v>0</v>
          </cell>
          <cell r="AT5798">
            <v>0</v>
          </cell>
          <cell r="AU5798">
            <v>0</v>
          </cell>
          <cell r="AV5798">
            <v>0</v>
          </cell>
          <cell r="AW5798">
            <v>0</v>
          </cell>
        </row>
        <row r="5799">
          <cell r="B5799">
            <v>8633</v>
          </cell>
          <cell r="C5799" t="str">
            <v>UP_70_</v>
          </cell>
          <cell r="D5799" t="str">
            <v>Rancho Upácuaro No. 70</v>
          </cell>
          <cell r="E5799" t="str">
            <v>Ramírez Tejeda</v>
          </cell>
          <cell r="F5799">
            <v>300</v>
          </cell>
          <cell r="G5799">
            <v>1</v>
          </cell>
          <cell r="H5799">
            <v>300</v>
          </cell>
          <cell r="I5799">
            <v>42001</v>
          </cell>
          <cell r="J5799">
            <v>0</v>
          </cell>
          <cell r="W5799">
            <v>0</v>
          </cell>
          <cell r="AJ5799">
            <v>0</v>
          </cell>
          <cell r="AW5799">
            <v>0</v>
          </cell>
        </row>
        <row r="5800">
          <cell r="C5800" t="str">
            <v>CM_130_A</v>
          </cell>
          <cell r="D5800" t="str">
            <v>Rancho Estanzuela No. 130, A</v>
          </cell>
          <cell r="E5800" t="str">
            <v>Colegio Carmel</v>
          </cell>
          <cell r="F5800">
            <v>10000</v>
          </cell>
          <cell r="G5800">
            <v>1</v>
          </cell>
          <cell r="H5800">
            <v>10000</v>
          </cell>
          <cell r="I5800">
            <v>41976</v>
          </cell>
          <cell r="J5800">
            <v>0</v>
          </cell>
          <cell r="W5800">
            <v>0</v>
          </cell>
          <cell r="AJ5800">
            <v>0</v>
          </cell>
          <cell r="AU5800">
            <v>10000</v>
          </cell>
          <cell r="AW5800">
            <v>10000</v>
          </cell>
        </row>
        <row r="5801">
          <cell r="B5801">
            <v>9152</v>
          </cell>
          <cell r="C5801" t="str">
            <v>CL_29_</v>
          </cell>
          <cell r="D5801" t="str">
            <v>Rancho La Cuchilla No. 29</v>
          </cell>
          <cell r="E5801" t="str">
            <v>Vega Sánchez C.</v>
          </cell>
          <cell r="F5801">
            <v>300</v>
          </cell>
          <cell r="G5801">
            <v>1</v>
          </cell>
          <cell r="H5801">
            <v>400</v>
          </cell>
          <cell r="I5801">
            <v>41983</v>
          </cell>
          <cell r="J5801">
            <v>0</v>
          </cell>
          <cell r="W5801">
            <v>0</v>
          </cell>
          <cell r="AJ5801">
            <v>0</v>
          </cell>
          <cell r="AV5801">
            <v>400</v>
          </cell>
          <cell r="AW5801">
            <v>400</v>
          </cell>
        </row>
        <row r="5802">
          <cell r="D5802" t="str">
            <v/>
          </cell>
          <cell r="E5802" t="str">
            <v/>
          </cell>
          <cell r="F5802" t="str">
            <v/>
          </cell>
          <cell r="J5802" t="str">
            <v>NO SUMA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>
            <v>0</v>
          </cell>
          <cell r="V5802">
            <v>0</v>
          </cell>
          <cell r="W5802">
            <v>0</v>
          </cell>
          <cell r="X5802">
            <v>0</v>
          </cell>
          <cell r="Y5802">
            <v>0</v>
          </cell>
          <cell r="Z5802">
            <v>0</v>
          </cell>
          <cell r="AA5802">
            <v>0</v>
          </cell>
          <cell r="AB5802">
            <v>0</v>
          </cell>
          <cell r="AC5802">
            <v>0</v>
          </cell>
          <cell r="AD5802">
            <v>0</v>
          </cell>
          <cell r="AE5802">
            <v>0</v>
          </cell>
          <cell r="AF5802">
            <v>0</v>
          </cell>
          <cell r="AG5802">
            <v>0</v>
          </cell>
          <cell r="AH5802">
            <v>0</v>
          </cell>
          <cell r="AI5802">
            <v>0</v>
          </cell>
          <cell r="AJ5802">
            <v>0</v>
          </cell>
          <cell r="AK5802">
            <v>0</v>
          </cell>
          <cell r="AL5802">
            <v>0</v>
          </cell>
          <cell r="AM5802">
            <v>0</v>
          </cell>
          <cell r="AN5802">
            <v>0</v>
          </cell>
          <cell r="AO5802">
            <v>0</v>
          </cell>
          <cell r="AP5802">
            <v>0</v>
          </cell>
          <cell r="AQ5802">
            <v>0</v>
          </cell>
          <cell r="AR5802">
            <v>0</v>
          </cell>
          <cell r="AS5802">
            <v>0</v>
          </cell>
          <cell r="AT5802">
            <v>0</v>
          </cell>
          <cell r="AU5802">
            <v>0</v>
          </cell>
          <cell r="AV5802">
            <v>0</v>
          </cell>
          <cell r="AW5802">
            <v>0</v>
          </cell>
        </row>
        <row r="5803">
          <cell r="B5803" t="str">
            <v>NÚMERO</v>
          </cell>
          <cell r="C5803" t="str">
            <v>CASA</v>
          </cell>
          <cell r="D5803" t="str">
            <v>DOMICILIO</v>
          </cell>
          <cell r="E5803" t="str">
            <v>FAMILIA</v>
          </cell>
          <cell r="F5803" t="str">
            <v>CUOTA</v>
          </cell>
          <cell r="G5803" t="str">
            <v>C_ING</v>
          </cell>
          <cell r="H5803" t="str">
            <v>IMPORTE</v>
          </cell>
          <cell r="I5803" t="str">
            <v>FECHA</v>
          </cell>
          <cell r="J5803" t="str">
            <v>CHK</v>
          </cell>
          <cell r="K5803" t="str">
            <v>ENE
2012</v>
          </cell>
          <cell r="L5803" t="str">
            <v>FEB
2012</v>
          </cell>
          <cell r="M5803" t="str">
            <v>MAR
2012</v>
          </cell>
          <cell r="N5803" t="str">
            <v>ABR
2012</v>
          </cell>
          <cell r="O5803" t="str">
            <v>MAY
2012</v>
          </cell>
          <cell r="P5803" t="str">
            <v>JUN
2012</v>
          </cell>
          <cell r="Q5803" t="str">
            <v>JUL
2012</v>
          </cell>
          <cell r="R5803" t="str">
            <v>AGO
2012</v>
          </cell>
          <cell r="S5803" t="str">
            <v>SEP
2012</v>
          </cell>
          <cell r="T5803" t="str">
            <v>OCT
2012</v>
          </cell>
          <cell r="U5803" t="str">
            <v>NOV
2012</v>
          </cell>
          <cell r="V5803" t="str">
            <v>DIC
2012</v>
          </cell>
          <cell r="W5803" t="str">
            <v>SUMA
2012</v>
          </cell>
          <cell r="X5803" t="str">
            <v>ENE
2013</v>
          </cell>
          <cell r="Y5803" t="str">
            <v>FEB
2013</v>
          </cell>
          <cell r="Z5803" t="str">
            <v>MAR
2013</v>
          </cell>
          <cell r="AA5803" t="str">
            <v>ABR
2013</v>
          </cell>
          <cell r="AB5803" t="str">
            <v>MAY
2013</v>
          </cell>
          <cell r="AC5803" t="str">
            <v>JUN
2013</v>
          </cell>
          <cell r="AD5803" t="str">
            <v>JUL
2013</v>
          </cell>
          <cell r="AE5803" t="str">
            <v>AGO
2013</v>
          </cell>
          <cell r="AF5803" t="str">
            <v>SEP
2013</v>
          </cell>
          <cell r="AG5803" t="str">
            <v>OCT
2013</v>
          </cell>
          <cell r="AH5803" t="str">
            <v>NOV
2013</v>
          </cell>
          <cell r="AI5803" t="str">
            <v>DIC
2013</v>
          </cell>
          <cell r="AJ5803" t="str">
            <v>SUMA
2013</v>
          </cell>
          <cell r="AK5803" t="str">
            <v>ENE
2014</v>
          </cell>
          <cell r="AL5803" t="str">
            <v>FEB
2014</v>
          </cell>
          <cell r="AM5803" t="str">
            <v>MAR
2014</v>
          </cell>
          <cell r="AN5803" t="str">
            <v>ABR
2014</v>
          </cell>
          <cell r="AO5803" t="str">
            <v>MAY
2014</v>
          </cell>
          <cell r="AP5803" t="str">
            <v>JUN
2014</v>
          </cell>
          <cell r="AQ5803" t="str">
            <v>JUL
2014</v>
          </cell>
          <cell r="AR5803" t="str">
            <v>AGO
2014</v>
          </cell>
          <cell r="AS5803" t="str">
            <v>SEP
2014</v>
          </cell>
          <cell r="AT5803" t="str">
            <v>OCT
2014</v>
          </cell>
          <cell r="AU5803" t="str">
            <v>NOV
2014</v>
          </cell>
          <cell r="AV5803" t="str">
            <v>DIC
2014</v>
          </cell>
          <cell r="AW5803" t="str">
            <v>SUMA
2014</v>
          </cell>
          <cell r="AX5803" t="str">
            <v>ENE
2015</v>
          </cell>
          <cell r="AY5803" t="str">
            <v>FEB
2015</v>
          </cell>
          <cell r="AZ5803" t="str">
            <v>MAR
2015</v>
          </cell>
          <cell r="BA5803" t="str">
            <v>ABR
2015</v>
          </cell>
          <cell r="BB5803" t="str">
            <v>MAY
2015</v>
          </cell>
          <cell r="BC5803" t="str">
            <v>JUN
2015</v>
          </cell>
          <cell r="BD5803" t="str">
            <v>JUL
2015</v>
          </cell>
          <cell r="BE5803" t="str">
            <v>AGO
2015</v>
          </cell>
          <cell r="BF5803" t="str">
            <v>SEP
2015</v>
          </cell>
          <cell r="BG5803" t="str">
            <v>OCT
2015</v>
          </cell>
          <cell r="BH5803" t="str">
            <v>NOV
2015</v>
          </cell>
          <cell r="BI5803" t="str">
            <v>DIC
2015</v>
          </cell>
          <cell r="BJ5803" t="str">
            <v>SUMA
2015</v>
          </cell>
        </row>
        <row r="5804">
          <cell r="B5804">
            <v>8634</v>
          </cell>
          <cell r="C5804" t="str">
            <v>UP_104_</v>
          </cell>
          <cell r="D5804" t="str">
            <v>Rancho Upácuaro No. 104</v>
          </cell>
          <cell r="E5804" t="str">
            <v>Jiménez Almazo</v>
          </cell>
          <cell r="F5804">
            <v>300</v>
          </cell>
          <cell r="G5804">
            <v>1</v>
          </cell>
          <cell r="H5804">
            <v>900</v>
          </cell>
          <cell r="I5804">
            <v>42003</v>
          </cell>
          <cell r="J5804">
            <v>0</v>
          </cell>
          <cell r="W5804">
            <v>0</v>
          </cell>
          <cell r="AJ5804">
            <v>0</v>
          </cell>
          <cell r="AN5804">
            <v>100</v>
          </cell>
          <cell r="AO5804">
            <v>100</v>
          </cell>
          <cell r="AP5804">
            <v>100</v>
          </cell>
          <cell r="AQ5804">
            <v>100</v>
          </cell>
          <cell r="AR5804">
            <v>100</v>
          </cell>
          <cell r="AS5804">
            <v>100</v>
          </cell>
          <cell r="AT5804">
            <v>100</v>
          </cell>
          <cell r="AU5804">
            <v>100</v>
          </cell>
          <cell r="AV5804">
            <v>100</v>
          </cell>
          <cell r="AW5804">
            <v>900</v>
          </cell>
          <cell r="BJ5804">
            <v>0</v>
          </cell>
        </row>
        <row r="5805">
          <cell r="B5805">
            <v>8634</v>
          </cell>
          <cell r="C5805" t="str">
            <v>UP_104_</v>
          </cell>
          <cell r="D5805" t="str">
            <v>Rancho Upácuaro No. 104</v>
          </cell>
          <cell r="E5805" t="str">
            <v>Jiménez Almazo</v>
          </cell>
          <cell r="F5805">
            <v>300</v>
          </cell>
          <cell r="G5805">
            <v>5</v>
          </cell>
          <cell r="H5805">
            <v>80</v>
          </cell>
          <cell r="I5805">
            <v>42003</v>
          </cell>
          <cell r="J5805" t="str">
            <v>NO SUMA</v>
          </cell>
          <cell r="W5805">
            <v>0</v>
          </cell>
          <cell r="AJ5805">
            <v>0</v>
          </cell>
          <cell r="AW5805">
            <v>0</v>
          </cell>
          <cell r="BJ5805">
            <v>0</v>
          </cell>
        </row>
        <row r="5806">
          <cell r="B5806">
            <v>8635</v>
          </cell>
          <cell r="C5806" t="str">
            <v>LD_1_A</v>
          </cell>
          <cell r="D5806" t="str">
            <v>Rancho Landero No. 1, A</v>
          </cell>
          <cell r="E5806" t="str">
            <v>Ebysos</v>
          </cell>
          <cell r="F5806">
            <v>300</v>
          </cell>
          <cell r="G5806">
            <v>1</v>
          </cell>
          <cell r="H5806">
            <v>600</v>
          </cell>
          <cell r="I5806">
            <v>42006</v>
          </cell>
          <cell r="J5806">
            <v>0</v>
          </cell>
          <cell r="W5806">
            <v>0</v>
          </cell>
          <cell r="AJ5806">
            <v>0</v>
          </cell>
          <cell r="AV5806">
            <v>600</v>
          </cell>
          <cell r="AW5806">
            <v>600</v>
          </cell>
          <cell r="BJ5806">
            <v>0</v>
          </cell>
        </row>
        <row r="5807">
          <cell r="B5807">
            <v>8636</v>
          </cell>
          <cell r="C5807" t="str">
            <v>EZ_115_</v>
          </cell>
          <cell r="D5807" t="str">
            <v>Rancho Estanzuela No. 115</v>
          </cell>
          <cell r="E5807" t="str">
            <v>Frías Solórzano</v>
          </cell>
          <cell r="F5807">
            <v>200</v>
          </cell>
          <cell r="G5807">
            <v>4</v>
          </cell>
          <cell r="H5807">
            <v>160</v>
          </cell>
          <cell r="I5807">
            <v>42006</v>
          </cell>
          <cell r="J5807" t="str">
            <v>NO SUMA</v>
          </cell>
          <cell r="W5807">
            <v>0</v>
          </cell>
          <cell r="AJ5807">
            <v>0</v>
          </cell>
          <cell r="AW5807">
            <v>0</v>
          </cell>
          <cell r="BJ5807">
            <v>0</v>
          </cell>
        </row>
        <row r="5808">
          <cell r="B5808">
            <v>8637</v>
          </cell>
          <cell r="C5808" t="str">
            <v>RV_187_</v>
          </cell>
          <cell r="D5808" t="str">
            <v>Rancho Recoveco No. 187</v>
          </cell>
          <cell r="E5808" t="str">
            <v>Moreno</v>
          </cell>
          <cell r="F5808">
            <v>300</v>
          </cell>
          <cell r="G5808">
            <v>1</v>
          </cell>
          <cell r="H5808">
            <v>800</v>
          </cell>
          <cell r="I5808">
            <v>41642</v>
          </cell>
          <cell r="J5808">
            <v>0</v>
          </cell>
          <cell r="W5808">
            <v>0</v>
          </cell>
          <cell r="AJ5808">
            <v>0</v>
          </cell>
          <cell r="AS5808">
            <v>400</v>
          </cell>
          <cell r="AV5808">
            <v>400</v>
          </cell>
          <cell r="AW5808">
            <v>800</v>
          </cell>
          <cell r="BJ5808">
            <v>0</v>
          </cell>
        </row>
        <row r="5809">
          <cell r="B5809">
            <v>8638</v>
          </cell>
          <cell r="C5809" t="str">
            <v>CL_68_</v>
          </cell>
          <cell r="D5809" t="str">
            <v>Rancho La Cuchilla No. 68</v>
          </cell>
          <cell r="E5809" t="str">
            <v>Montesinos</v>
          </cell>
          <cell r="F5809">
            <v>300</v>
          </cell>
          <cell r="G5809">
            <v>1</v>
          </cell>
          <cell r="H5809">
            <v>400</v>
          </cell>
          <cell r="I5809">
            <v>42008</v>
          </cell>
          <cell r="J5809">
            <v>0</v>
          </cell>
          <cell r="W5809">
            <v>0</v>
          </cell>
          <cell r="AJ5809">
            <v>0</v>
          </cell>
          <cell r="AV5809">
            <v>200</v>
          </cell>
          <cell r="AW5809">
            <v>200</v>
          </cell>
          <cell r="AX5809">
            <v>200</v>
          </cell>
          <cell r="BJ5809">
            <v>200</v>
          </cell>
        </row>
        <row r="5810">
          <cell r="B5810">
            <v>8639</v>
          </cell>
          <cell r="C5810" t="str">
            <v>LD_65_</v>
          </cell>
          <cell r="D5810" t="str">
            <v>Rancho Landero No. 65</v>
          </cell>
          <cell r="E5810" t="str">
            <v>Alpizar</v>
          </cell>
          <cell r="F5810">
            <v>300</v>
          </cell>
          <cell r="G5810">
            <v>1</v>
          </cell>
          <cell r="H5810">
            <v>400</v>
          </cell>
          <cell r="I5810">
            <v>42008</v>
          </cell>
          <cell r="J5810">
            <v>0</v>
          </cell>
          <cell r="W5810">
            <v>0</v>
          </cell>
          <cell r="AJ5810">
            <v>0</v>
          </cell>
          <cell r="AW5810">
            <v>0</v>
          </cell>
          <cell r="AX5810">
            <v>400</v>
          </cell>
          <cell r="BJ5810">
            <v>400</v>
          </cell>
        </row>
        <row r="5811">
          <cell r="B5811">
            <v>8640</v>
          </cell>
          <cell r="C5811" t="str">
            <v>CL_135_</v>
          </cell>
          <cell r="D5811" t="str">
            <v>Rancho La Cuchilla No. 135</v>
          </cell>
          <cell r="E5811" t="str">
            <v>Juárez Sánchez</v>
          </cell>
          <cell r="F5811">
            <v>300</v>
          </cell>
          <cell r="G5811">
            <v>1</v>
          </cell>
          <cell r="H5811">
            <v>800</v>
          </cell>
          <cell r="I5811">
            <v>42008</v>
          </cell>
          <cell r="J5811">
            <v>0</v>
          </cell>
          <cell r="W5811">
            <v>0</v>
          </cell>
          <cell r="AJ5811">
            <v>0</v>
          </cell>
          <cell r="AT5811">
            <v>400</v>
          </cell>
          <cell r="AU5811">
            <v>400</v>
          </cell>
          <cell r="AW5811">
            <v>800</v>
          </cell>
          <cell r="BJ5811">
            <v>0</v>
          </cell>
        </row>
        <row r="5812">
          <cell r="B5812">
            <v>8641</v>
          </cell>
          <cell r="C5812" t="str">
            <v>ZB_36_</v>
          </cell>
          <cell r="D5812" t="str">
            <v>Rancho Zinamba No. 36</v>
          </cell>
          <cell r="E5812" t="str">
            <v>Rodríguez Ortiz</v>
          </cell>
          <cell r="F5812">
            <v>300</v>
          </cell>
          <cell r="G5812">
            <v>1</v>
          </cell>
          <cell r="H5812">
            <v>400</v>
          </cell>
          <cell r="I5812">
            <v>42008</v>
          </cell>
          <cell r="J5812">
            <v>0</v>
          </cell>
          <cell r="W5812">
            <v>0</v>
          </cell>
          <cell r="AJ5812">
            <v>0</v>
          </cell>
          <cell r="AW5812">
            <v>0</v>
          </cell>
          <cell r="AX5812">
            <v>400</v>
          </cell>
          <cell r="BJ5812">
            <v>400</v>
          </cell>
        </row>
        <row r="5813">
          <cell r="B5813">
            <v>8642</v>
          </cell>
          <cell r="C5813" t="str">
            <v>UP_33_</v>
          </cell>
          <cell r="D5813" t="str">
            <v>Rancho Upácuaro No. 33</v>
          </cell>
          <cell r="E5813" t="str">
            <v>Ulloa Miranda</v>
          </cell>
          <cell r="F5813">
            <v>300</v>
          </cell>
          <cell r="G5813">
            <v>1</v>
          </cell>
          <cell r="H5813">
            <v>400</v>
          </cell>
          <cell r="I5813">
            <v>42008</v>
          </cell>
          <cell r="J5813">
            <v>0</v>
          </cell>
          <cell r="W5813">
            <v>0</v>
          </cell>
          <cell r="AJ5813">
            <v>0</v>
          </cell>
          <cell r="AW5813">
            <v>0</v>
          </cell>
          <cell r="AX5813">
            <v>400</v>
          </cell>
          <cell r="BJ5813">
            <v>400</v>
          </cell>
        </row>
        <row r="5814">
          <cell r="B5814">
            <v>8642</v>
          </cell>
          <cell r="C5814" t="str">
            <v>UP_33_</v>
          </cell>
          <cell r="D5814" t="str">
            <v>Rancho Upácuaro No. 33</v>
          </cell>
          <cell r="E5814" t="str">
            <v>Ulloa Miranda</v>
          </cell>
          <cell r="F5814">
            <v>300</v>
          </cell>
          <cell r="G5814">
            <v>5</v>
          </cell>
          <cell r="H5814">
            <v>20</v>
          </cell>
          <cell r="I5814">
            <v>42008</v>
          </cell>
          <cell r="J5814" t="str">
            <v>NO SUMA</v>
          </cell>
          <cell r="W5814">
            <v>0</v>
          </cell>
          <cell r="AJ5814">
            <v>0</v>
          </cell>
          <cell r="AW5814">
            <v>0</v>
          </cell>
          <cell r="BJ5814">
            <v>0</v>
          </cell>
        </row>
        <row r="5815">
          <cell r="B5815">
            <v>8643</v>
          </cell>
          <cell r="C5815" t="str">
            <v>ZB_8_</v>
          </cell>
          <cell r="D5815" t="str">
            <v>Rancho Zinamba No. 8</v>
          </cell>
          <cell r="E5815" t="str">
            <v>Florido</v>
          </cell>
          <cell r="F5815">
            <v>300</v>
          </cell>
          <cell r="G5815">
            <v>1</v>
          </cell>
          <cell r="H5815">
            <v>1200</v>
          </cell>
          <cell r="I5815">
            <v>42008</v>
          </cell>
          <cell r="J5815">
            <v>0</v>
          </cell>
          <cell r="W5815">
            <v>0</v>
          </cell>
          <cell r="AJ5815">
            <v>0</v>
          </cell>
          <cell r="AR5815">
            <v>400</v>
          </cell>
          <cell r="AS5815">
            <v>400</v>
          </cell>
          <cell r="AT5815">
            <v>400</v>
          </cell>
          <cell r="AW5815">
            <v>1200</v>
          </cell>
          <cell r="BJ5815">
            <v>0</v>
          </cell>
        </row>
        <row r="5816">
          <cell r="B5816">
            <v>8644</v>
          </cell>
          <cell r="C5816" t="str">
            <v>UP_140_</v>
          </cell>
          <cell r="D5816" t="str">
            <v>Rancho Upácuaro No. 140</v>
          </cell>
          <cell r="E5816" t="str">
            <v>Gozain</v>
          </cell>
          <cell r="F5816">
            <v>300</v>
          </cell>
          <cell r="G5816">
            <v>1</v>
          </cell>
          <cell r="H5816">
            <v>400</v>
          </cell>
          <cell r="I5816">
            <v>42008</v>
          </cell>
          <cell r="J5816">
            <v>0</v>
          </cell>
          <cell r="W5816">
            <v>0</v>
          </cell>
          <cell r="AJ5816">
            <v>0</v>
          </cell>
          <cell r="AW5816">
            <v>0</v>
          </cell>
          <cell r="AX5816">
            <v>400</v>
          </cell>
          <cell r="BJ5816">
            <v>400</v>
          </cell>
        </row>
        <row r="5817">
          <cell r="B5817">
            <v>8645</v>
          </cell>
          <cell r="C5817" t="str">
            <v>UP_31_</v>
          </cell>
          <cell r="D5817" t="str">
            <v>Rancho Upácuaro No. 31</v>
          </cell>
          <cell r="E5817" t="str">
            <v>Gallardo Ávila</v>
          </cell>
          <cell r="F5817">
            <v>300</v>
          </cell>
          <cell r="G5817">
            <v>1</v>
          </cell>
          <cell r="H5817">
            <v>600</v>
          </cell>
          <cell r="I5817">
            <v>42008</v>
          </cell>
          <cell r="J5817">
            <v>0</v>
          </cell>
          <cell r="W5817">
            <v>0</v>
          </cell>
          <cell r="AJ5817">
            <v>0</v>
          </cell>
          <cell r="AO5817">
            <v>300</v>
          </cell>
          <cell r="AP5817">
            <v>300</v>
          </cell>
          <cell r="AW5817">
            <v>600</v>
          </cell>
          <cell r="BJ5817">
            <v>0</v>
          </cell>
        </row>
        <row r="5818">
          <cell r="B5818">
            <v>8646</v>
          </cell>
          <cell r="C5818" t="str">
            <v>CL_93_</v>
          </cell>
          <cell r="D5818" t="str">
            <v>Rancho La Cuchilla No. 93</v>
          </cell>
          <cell r="E5818" t="str">
            <v>Alcántara Silva</v>
          </cell>
          <cell r="F5818">
            <v>300</v>
          </cell>
          <cell r="G5818">
            <v>1</v>
          </cell>
          <cell r="H5818">
            <v>400</v>
          </cell>
          <cell r="I5818">
            <v>42008</v>
          </cell>
          <cell r="J5818">
            <v>0</v>
          </cell>
          <cell r="W5818">
            <v>0</v>
          </cell>
          <cell r="AJ5818">
            <v>0</v>
          </cell>
          <cell r="AW5818">
            <v>0</v>
          </cell>
          <cell r="AX5818">
            <v>400</v>
          </cell>
          <cell r="BJ5818">
            <v>400</v>
          </cell>
        </row>
        <row r="5819">
          <cell r="B5819">
            <v>8647</v>
          </cell>
          <cell r="C5819" t="str">
            <v>CL_43_B</v>
          </cell>
          <cell r="D5819" t="str">
            <v>Rancho La Cuchilla No. 43, B</v>
          </cell>
          <cell r="E5819" t="str">
            <v>Luna Albertano</v>
          </cell>
          <cell r="F5819">
            <v>125</v>
          </cell>
          <cell r="G5819">
            <v>1</v>
          </cell>
          <cell r="H5819">
            <v>125</v>
          </cell>
          <cell r="I5819">
            <v>42008</v>
          </cell>
          <cell r="J5819">
            <v>0</v>
          </cell>
          <cell r="W5819">
            <v>0</v>
          </cell>
          <cell r="AJ5819">
            <v>0</v>
          </cell>
          <cell r="AW5819">
            <v>0</v>
          </cell>
          <cell r="AX5819">
            <v>125</v>
          </cell>
          <cell r="BJ5819">
            <v>125</v>
          </cell>
        </row>
        <row r="5820">
          <cell r="B5820">
            <v>8648</v>
          </cell>
          <cell r="C5820" t="str">
            <v>LD_42_</v>
          </cell>
          <cell r="D5820" t="str">
            <v>Rancho Landero No. 42</v>
          </cell>
          <cell r="E5820" t="str">
            <v>Ávila Fidel</v>
          </cell>
          <cell r="F5820">
            <v>300</v>
          </cell>
          <cell r="G5820">
            <v>1</v>
          </cell>
          <cell r="H5820">
            <v>400</v>
          </cell>
          <cell r="I5820">
            <v>42008</v>
          </cell>
          <cell r="J5820">
            <v>0</v>
          </cell>
          <cell r="W5820">
            <v>0</v>
          </cell>
          <cell r="AJ5820">
            <v>0</v>
          </cell>
          <cell r="AW5820">
            <v>0</v>
          </cell>
          <cell r="AX5820">
            <v>400</v>
          </cell>
          <cell r="BJ5820">
            <v>400</v>
          </cell>
        </row>
        <row r="5821">
          <cell r="B5821">
            <v>8649</v>
          </cell>
          <cell r="C5821" t="str">
            <v>CL_133_</v>
          </cell>
          <cell r="D5821" t="str">
            <v>Rancho La Cuchilla No. 133</v>
          </cell>
          <cell r="E5821" t="str">
            <v>Rivas</v>
          </cell>
          <cell r="F5821">
            <v>300</v>
          </cell>
          <cell r="G5821">
            <v>1</v>
          </cell>
          <cell r="H5821">
            <v>1600</v>
          </cell>
          <cell r="I5821">
            <v>42008</v>
          </cell>
          <cell r="J5821">
            <v>0</v>
          </cell>
          <cell r="W5821">
            <v>0</v>
          </cell>
          <cell r="AJ5821">
            <v>0</v>
          </cell>
          <cell r="AS5821">
            <v>400</v>
          </cell>
          <cell r="AT5821">
            <v>400</v>
          </cell>
          <cell r="AU5821">
            <v>400</v>
          </cell>
          <cell r="AV5821">
            <v>400</v>
          </cell>
          <cell r="AW5821">
            <v>1600</v>
          </cell>
          <cell r="BJ5821">
            <v>0</v>
          </cell>
        </row>
        <row r="5822">
          <cell r="B5822">
            <v>8650</v>
          </cell>
          <cell r="C5822" t="str">
            <v>RM_17_</v>
          </cell>
          <cell r="D5822" t="str">
            <v>Rancho Romeral No. 17</v>
          </cell>
          <cell r="E5822" t="str">
            <v>Aguilar Lomelí</v>
          </cell>
          <cell r="F5822">
            <v>300</v>
          </cell>
          <cell r="G5822">
            <v>1</v>
          </cell>
          <cell r="H5822">
            <v>400</v>
          </cell>
          <cell r="I5822">
            <v>42008</v>
          </cell>
          <cell r="J5822">
            <v>0</v>
          </cell>
          <cell r="W5822">
            <v>0</v>
          </cell>
          <cell r="AJ5822">
            <v>0</v>
          </cell>
          <cell r="AW5822">
            <v>0</v>
          </cell>
          <cell r="AX5822">
            <v>400</v>
          </cell>
          <cell r="BJ5822">
            <v>400</v>
          </cell>
        </row>
        <row r="5823">
          <cell r="B5823">
            <v>8651</v>
          </cell>
          <cell r="C5823" t="str">
            <v>EZ_89_</v>
          </cell>
          <cell r="D5823" t="str">
            <v>Rancho Estanzuela No. 89</v>
          </cell>
          <cell r="E5823" t="str">
            <v>Romero Ortiz</v>
          </cell>
          <cell r="F5823">
            <v>300</v>
          </cell>
          <cell r="G5823">
            <v>1</v>
          </cell>
          <cell r="H5823">
            <v>400</v>
          </cell>
          <cell r="I5823">
            <v>42008</v>
          </cell>
          <cell r="J5823">
            <v>0</v>
          </cell>
          <cell r="W5823">
            <v>0</v>
          </cell>
          <cell r="AJ5823">
            <v>0</v>
          </cell>
          <cell r="AW5823">
            <v>0</v>
          </cell>
          <cell r="AX5823">
            <v>400</v>
          </cell>
          <cell r="BJ5823">
            <v>400</v>
          </cell>
        </row>
        <row r="5824">
          <cell r="B5824">
            <v>8652</v>
          </cell>
          <cell r="C5824" t="str">
            <v>CL_78_</v>
          </cell>
          <cell r="D5824" t="str">
            <v>Rancho La Cuchilla No. 78</v>
          </cell>
          <cell r="E5824" t="str">
            <v>García</v>
          </cell>
          <cell r="F5824">
            <v>400</v>
          </cell>
          <cell r="G5824">
            <v>1</v>
          </cell>
          <cell r="H5824">
            <v>400</v>
          </cell>
          <cell r="I5824">
            <v>42008</v>
          </cell>
          <cell r="J5824">
            <v>0</v>
          </cell>
          <cell r="W5824">
            <v>0</v>
          </cell>
          <cell r="AJ5824">
            <v>0</v>
          </cell>
          <cell r="AW5824">
            <v>0</v>
          </cell>
          <cell r="AX5824">
            <v>400</v>
          </cell>
          <cell r="BJ5824">
            <v>400</v>
          </cell>
        </row>
        <row r="5825">
          <cell r="B5825">
            <v>8653</v>
          </cell>
          <cell r="C5825" t="str">
            <v>LD_90_</v>
          </cell>
          <cell r="D5825" t="str">
            <v>Rancho Landero No. 90</v>
          </cell>
          <cell r="E5825" t="str">
            <v>Córdova Reséndiz</v>
          </cell>
          <cell r="F5825">
            <v>300</v>
          </cell>
          <cell r="G5825">
            <v>1</v>
          </cell>
          <cell r="H5825">
            <v>300</v>
          </cell>
          <cell r="I5825">
            <v>42008</v>
          </cell>
          <cell r="J5825">
            <v>0</v>
          </cell>
          <cell r="W5825">
            <v>0</v>
          </cell>
          <cell r="AJ5825">
            <v>0</v>
          </cell>
          <cell r="AW5825">
            <v>0</v>
          </cell>
          <cell r="AX5825">
            <v>300</v>
          </cell>
          <cell r="BJ5825">
            <v>300</v>
          </cell>
        </row>
        <row r="5826">
          <cell r="B5826">
            <v>8654</v>
          </cell>
          <cell r="C5826" t="str">
            <v>EZ_69_</v>
          </cell>
          <cell r="D5826" t="str">
            <v>Rancho Estanzuela No. 69</v>
          </cell>
          <cell r="E5826" t="str">
            <v>Apaez</v>
          </cell>
          <cell r="F5826">
            <v>300</v>
          </cell>
          <cell r="G5826">
            <v>1</v>
          </cell>
          <cell r="H5826">
            <v>400</v>
          </cell>
          <cell r="I5826">
            <v>42008</v>
          </cell>
          <cell r="J5826">
            <v>0</v>
          </cell>
          <cell r="W5826">
            <v>0</v>
          </cell>
          <cell r="AJ5826">
            <v>0</v>
          </cell>
          <cell r="AW5826">
            <v>0</v>
          </cell>
          <cell r="AX5826">
            <v>400</v>
          </cell>
          <cell r="BJ5826">
            <v>400</v>
          </cell>
        </row>
        <row r="5827">
          <cell r="B5827">
            <v>8655</v>
          </cell>
          <cell r="C5827" t="str">
            <v>EZ_47_</v>
          </cell>
          <cell r="D5827" t="str">
            <v>Rancho Estanzuela No. 47</v>
          </cell>
          <cell r="E5827" t="str">
            <v>Bussey García</v>
          </cell>
          <cell r="F5827">
            <v>300</v>
          </cell>
          <cell r="G5827">
            <v>1</v>
          </cell>
          <cell r="H5827">
            <v>400</v>
          </cell>
          <cell r="I5827">
            <v>42008</v>
          </cell>
          <cell r="J5827">
            <v>0</v>
          </cell>
          <cell r="W5827">
            <v>0</v>
          </cell>
          <cell r="AJ5827">
            <v>0</v>
          </cell>
          <cell r="AW5827">
            <v>0</v>
          </cell>
          <cell r="AX5827">
            <v>400</v>
          </cell>
          <cell r="BJ5827">
            <v>400</v>
          </cell>
        </row>
        <row r="5828">
          <cell r="B5828">
            <v>8656</v>
          </cell>
          <cell r="C5828" t="str">
            <v>CL_33_</v>
          </cell>
          <cell r="D5828" t="str">
            <v>Rancho La Cuchilla No. 33</v>
          </cell>
          <cell r="E5828" t="str">
            <v>Tanús</v>
          </cell>
          <cell r="F5828">
            <v>300</v>
          </cell>
          <cell r="G5828">
            <v>1</v>
          </cell>
          <cell r="H5828">
            <v>400</v>
          </cell>
          <cell r="I5828">
            <v>42008</v>
          </cell>
          <cell r="J5828">
            <v>0</v>
          </cell>
          <cell r="W5828">
            <v>0</v>
          </cell>
          <cell r="AJ5828">
            <v>0</v>
          </cell>
          <cell r="AW5828">
            <v>0</v>
          </cell>
          <cell r="AX5828">
            <v>400</v>
          </cell>
          <cell r="BJ5828">
            <v>400</v>
          </cell>
        </row>
        <row r="5829">
          <cell r="B5829">
            <v>8657</v>
          </cell>
          <cell r="C5829" t="str">
            <v>CL_33_</v>
          </cell>
          <cell r="D5829" t="str">
            <v>Rancho La Cuchilla No. 33</v>
          </cell>
          <cell r="E5829" t="str">
            <v>Tanús</v>
          </cell>
          <cell r="F5829">
            <v>300</v>
          </cell>
          <cell r="G5829">
            <v>4</v>
          </cell>
          <cell r="H5829">
            <v>160</v>
          </cell>
          <cell r="I5829">
            <v>42008</v>
          </cell>
          <cell r="J5829" t="str">
            <v>NO SUMA</v>
          </cell>
          <cell r="W5829">
            <v>0</v>
          </cell>
          <cell r="AJ5829">
            <v>0</v>
          </cell>
          <cell r="AW5829">
            <v>0</v>
          </cell>
          <cell r="BJ5829">
            <v>0</v>
          </cell>
        </row>
        <row r="5830">
          <cell r="B5830">
            <v>8658</v>
          </cell>
          <cell r="C5830" t="str">
            <v>LD_77_</v>
          </cell>
          <cell r="D5830" t="str">
            <v>Rancho Landero No. 77</v>
          </cell>
          <cell r="E5830" t="str">
            <v>Muñoz</v>
          </cell>
          <cell r="F5830">
            <v>300</v>
          </cell>
          <cell r="G5830">
            <v>1</v>
          </cell>
          <cell r="H5830">
            <v>800</v>
          </cell>
          <cell r="I5830">
            <v>42008</v>
          </cell>
          <cell r="J5830">
            <v>0</v>
          </cell>
          <cell r="W5830">
            <v>0</v>
          </cell>
          <cell r="AJ5830">
            <v>0</v>
          </cell>
          <cell r="AV5830">
            <v>400</v>
          </cell>
          <cell r="AW5830">
            <v>400</v>
          </cell>
          <cell r="AX5830">
            <v>400</v>
          </cell>
          <cell r="BJ5830">
            <v>400</v>
          </cell>
        </row>
        <row r="5831">
          <cell r="B5831">
            <v>8659</v>
          </cell>
          <cell r="C5831" t="str">
            <v>RV_175_B</v>
          </cell>
          <cell r="D5831" t="str">
            <v>Rancho Recoveco No. 175, B</v>
          </cell>
          <cell r="E5831" t="str">
            <v>García Calderón</v>
          </cell>
          <cell r="F5831">
            <v>150</v>
          </cell>
          <cell r="G5831">
            <v>1</v>
          </cell>
          <cell r="H5831">
            <v>200</v>
          </cell>
          <cell r="I5831">
            <v>42008</v>
          </cell>
          <cell r="J5831">
            <v>0</v>
          </cell>
          <cell r="W5831">
            <v>0</v>
          </cell>
          <cell r="AJ5831">
            <v>0</v>
          </cell>
          <cell r="AW5831">
            <v>0</v>
          </cell>
          <cell r="AX5831">
            <v>200</v>
          </cell>
          <cell r="BJ5831">
            <v>200</v>
          </cell>
        </row>
        <row r="5832">
          <cell r="B5832">
            <v>8660</v>
          </cell>
          <cell r="C5832" t="str">
            <v>RV_193_</v>
          </cell>
          <cell r="D5832" t="str">
            <v>Rancho Recoveco No. 193</v>
          </cell>
          <cell r="E5832" t="str">
            <v>Salazar Pérez</v>
          </cell>
          <cell r="F5832">
            <v>300</v>
          </cell>
          <cell r="G5832">
            <v>1</v>
          </cell>
          <cell r="H5832">
            <v>400</v>
          </cell>
          <cell r="I5832">
            <v>42008</v>
          </cell>
          <cell r="J5832">
            <v>0</v>
          </cell>
          <cell r="W5832">
            <v>0</v>
          </cell>
          <cell r="AJ5832">
            <v>0</v>
          </cell>
          <cell r="AW5832">
            <v>0</v>
          </cell>
          <cell r="AX5832">
            <v>400</v>
          </cell>
          <cell r="BJ5832">
            <v>400</v>
          </cell>
        </row>
        <row r="5833">
          <cell r="B5833">
            <v>8661</v>
          </cell>
          <cell r="C5833" t="str">
            <v>CL_89_</v>
          </cell>
          <cell r="D5833" t="str">
            <v>Rancho La Cuchilla No. 89</v>
          </cell>
          <cell r="E5833" t="str">
            <v>Gálvez</v>
          </cell>
          <cell r="F5833">
            <v>300</v>
          </cell>
          <cell r="G5833">
            <v>1</v>
          </cell>
          <cell r="H5833">
            <v>400</v>
          </cell>
          <cell r="I5833">
            <v>42008</v>
          </cell>
          <cell r="J5833">
            <v>0</v>
          </cell>
          <cell r="W5833">
            <v>0</v>
          </cell>
          <cell r="AJ5833">
            <v>0</v>
          </cell>
          <cell r="AW5833">
            <v>0</v>
          </cell>
          <cell r="AX5833">
            <v>400</v>
          </cell>
          <cell r="BJ5833">
            <v>400</v>
          </cell>
        </row>
        <row r="5834">
          <cell r="B5834">
            <v>8662</v>
          </cell>
          <cell r="C5834" t="str">
            <v>ZB_50_</v>
          </cell>
          <cell r="D5834" t="str">
            <v>Rancho Zinamba No. 50</v>
          </cell>
          <cell r="E5834" t="str">
            <v>Del Castillo</v>
          </cell>
          <cell r="F5834">
            <v>300</v>
          </cell>
          <cell r="G5834">
            <v>1</v>
          </cell>
          <cell r="H5834">
            <v>400</v>
          </cell>
          <cell r="I5834">
            <v>42008</v>
          </cell>
          <cell r="J5834">
            <v>0</v>
          </cell>
          <cell r="W5834">
            <v>0</v>
          </cell>
          <cell r="AJ5834">
            <v>0</v>
          </cell>
          <cell r="AV5834">
            <v>400</v>
          </cell>
          <cell r="AW5834">
            <v>400</v>
          </cell>
          <cell r="BJ5834">
            <v>0</v>
          </cell>
        </row>
        <row r="5835">
          <cell r="B5835">
            <v>8663</v>
          </cell>
          <cell r="C5835" t="str">
            <v>CL_107_</v>
          </cell>
          <cell r="D5835" t="str">
            <v>Rancho La Cuchilla No. 107</v>
          </cell>
          <cell r="E5835" t="str">
            <v>Olivares Rivera</v>
          </cell>
          <cell r="F5835">
            <v>300</v>
          </cell>
          <cell r="G5835">
            <v>1</v>
          </cell>
          <cell r="H5835">
            <v>400</v>
          </cell>
          <cell r="I5835">
            <v>42008</v>
          </cell>
          <cell r="J5835">
            <v>0</v>
          </cell>
          <cell r="W5835">
            <v>0</v>
          </cell>
          <cell r="AJ5835">
            <v>0</v>
          </cell>
          <cell r="AV5835">
            <v>400</v>
          </cell>
          <cell r="AW5835">
            <v>400</v>
          </cell>
          <cell r="BJ5835">
            <v>0</v>
          </cell>
        </row>
        <row r="5836">
          <cell r="B5836">
            <v>8664</v>
          </cell>
          <cell r="C5836" t="str">
            <v>UP_68_</v>
          </cell>
          <cell r="D5836" t="str">
            <v>Rancho Upácuaro No. 68</v>
          </cell>
          <cell r="E5836" t="str">
            <v>Colin Guerrero</v>
          </cell>
          <cell r="F5836">
            <v>300</v>
          </cell>
          <cell r="G5836">
            <v>5</v>
          </cell>
          <cell r="H5836">
            <v>40</v>
          </cell>
          <cell r="I5836">
            <v>42008</v>
          </cell>
          <cell r="J5836" t="str">
            <v>NO SUMA</v>
          </cell>
          <cell r="W5836">
            <v>0</v>
          </cell>
          <cell r="AJ5836">
            <v>0</v>
          </cell>
          <cell r="AW5836">
            <v>0</v>
          </cell>
          <cell r="BJ5836">
            <v>0</v>
          </cell>
        </row>
        <row r="5837">
          <cell r="B5837">
            <v>8665</v>
          </cell>
          <cell r="C5837" t="str">
            <v>UP_37_</v>
          </cell>
          <cell r="D5837" t="str">
            <v>Rancho Upácuaro No. 37</v>
          </cell>
          <cell r="E5837" t="str">
            <v>García Valdés</v>
          </cell>
          <cell r="F5837">
            <v>300</v>
          </cell>
          <cell r="G5837">
            <v>1</v>
          </cell>
          <cell r="H5837">
            <v>400</v>
          </cell>
          <cell r="I5837">
            <v>42008</v>
          </cell>
          <cell r="J5837">
            <v>0</v>
          </cell>
          <cell r="W5837">
            <v>0</v>
          </cell>
          <cell r="AJ5837">
            <v>0</v>
          </cell>
          <cell r="AW5837">
            <v>0</v>
          </cell>
          <cell r="AX5837">
            <v>400</v>
          </cell>
          <cell r="BJ5837">
            <v>400</v>
          </cell>
        </row>
        <row r="5838">
          <cell r="B5838">
            <v>8666</v>
          </cell>
          <cell r="C5838" t="str">
            <v>CL_21_</v>
          </cell>
          <cell r="D5838" t="str">
            <v>Rancho La Cuchilla No. 21</v>
          </cell>
          <cell r="E5838" t="str">
            <v>Solórzano Calderón</v>
          </cell>
          <cell r="F5838">
            <v>300</v>
          </cell>
          <cell r="G5838">
            <v>1</v>
          </cell>
          <cell r="H5838">
            <v>4400</v>
          </cell>
          <cell r="I5838">
            <v>42008</v>
          </cell>
          <cell r="J5838">
            <v>0</v>
          </cell>
          <cell r="W5838">
            <v>0</v>
          </cell>
          <cell r="AJ5838">
            <v>0</v>
          </cell>
          <cell r="AW5838">
            <v>0</v>
          </cell>
          <cell r="AX5838">
            <v>400</v>
          </cell>
          <cell r="AY5838">
            <v>400</v>
          </cell>
          <cell r="AZ5838">
            <v>400</v>
          </cell>
          <cell r="BA5838">
            <v>400</v>
          </cell>
          <cell r="BB5838">
            <v>400</v>
          </cell>
          <cell r="BC5838">
            <v>400</v>
          </cell>
          <cell r="BD5838">
            <v>400</v>
          </cell>
          <cell r="BE5838">
            <v>400</v>
          </cell>
          <cell r="BF5838">
            <v>400</v>
          </cell>
          <cell r="BG5838">
            <v>400</v>
          </cell>
          <cell r="BH5838">
            <v>400</v>
          </cell>
          <cell r="BJ5838">
            <v>4400</v>
          </cell>
        </row>
        <row r="5839">
          <cell r="B5839">
            <v>8667</v>
          </cell>
          <cell r="C5839" t="str">
            <v>UP_23_</v>
          </cell>
          <cell r="D5839" t="str">
            <v>Rancho Upácuaro No. 23</v>
          </cell>
          <cell r="E5839" t="str">
            <v>Arredondo</v>
          </cell>
          <cell r="F5839">
            <v>300</v>
          </cell>
          <cell r="G5839">
            <v>1</v>
          </cell>
          <cell r="H5839">
            <v>350</v>
          </cell>
          <cell r="I5839">
            <v>42008</v>
          </cell>
          <cell r="J5839">
            <v>0</v>
          </cell>
          <cell r="W5839">
            <v>0</v>
          </cell>
          <cell r="AJ5839">
            <v>0</v>
          </cell>
          <cell r="AW5839">
            <v>0</v>
          </cell>
          <cell r="AX5839">
            <v>350</v>
          </cell>
          <cell r="BJ5839">
            <v>350</v>
          </cell>
        </row>
        <row r="5840">
          <cell r="B5840">
            <v>8668</v>
          </cell>
          <cell r="C5840" t="str">
            <v>LD_20_</v>
          </cell>
          <cell r="D5840" t="str">
            <v>Rancho Landero No. 20</v>
          </cell>
          <cell r="E5840" t="str">
            <v>Velasco</v>
          </cell>
          <cell r="F5840">
            <v>300</v>
          </cell>
          <cell r="G5840">
            <v>1</v>
          </cell>
          <cell r="H5840">
            <v>300</v>
          </cell>
          <cell r="I5840">
            <v>42008</v>
          </cell>
          <cell r="J5840">
            <v>0</v>
          </cell>
          <cell r="W5840">
            <v>0</v>
          </cell>
          <cell r="AJ5840">
            <v>0</v>
          </cell>
          <cell r="AW5840">
            <v>0</v>
          </cell>
          <cell r="AX5840">
            <v>300</v>
          </cell>
          <cell r="BJ5840">
            <v>300</v>
          </cell>
        </row>
        <row r="5841">
          <cell r="B5841">
            <v>8669</v>
          </cell>
          <cell r="C5841" t="str">
            <v>CL_7_102</v>
          </cell>
          <cell r="D5841" t="str">
            <v>Rancho La Cuchilla No. 7, 102</v>
          </cell>
          <cell r="E5841" t="str">
            <v>García Moreno</v>
          </cell>
          <cell r="F5841">
            <v>100</v>
          </cell>
          <cell r="G5841">
            <v>1</v>
          </cell>
          <cell r="H5841">
            <v>400</v>
          </cell>
          <cell r="I5841">
            <v>42008</v>
          </cell>
          <cell r="J5841">
            <v>0</v>
          </cell>
          <cell r="W5841">
            <v>0</v>
          </cell>
          <cell r="AJ5841">
            <v>0</v>
          </cell>
          <cell r="AT5841">
            <v>100</v>
          </cell>
          <cell r="AU5841">
            <v>100</v>
          </cell>
          <cell r="AV5841">
            <v>100</v>
          </cell>
          <cell r="AW5841">
            <v>300</v>
          </cell>
          <cell r="AX5841">
            <v>100</v>
          </cell>
          <cell r="BJ5841">
            <v>100</v>
          </cell>
        </row>
        <row r="5842">
          <cell r="B5842">
            <v>8670</v>
          </cell>
          <cell r="C5842" t="str">
            <v>LD_38_</v>
          </cell>
          <cell r="D5842" t="str">
            <v>Rancho Landero No. 38</v>
          </cell>
          <cell r="E5842" t="str">
            <v>Sánchez Peña</v>
          </cell>
          <cell r="F5842">
            <v>300</v>
          </cell>
          <cell r="G5842">
            <v>1</v>
          </cell>
          <cell r="H5842">
            <v>800</v>
          </cell>
          <cell r="I5842">
            <v>42008</v>
          </cell>
          <cell r="J5842">
            <v>0</v>
          </cell>
          <cell r="W5842">
            <v>0</v>
          </cell>
          <cell r="AJ5842">
            <v>0</v>
          </cell>
          <cell r="AW5842">
            <v>0</v>
          </cell>
          <cell r="AX5842">
            <v>400</v>
          </cell>
          <cell r="AY5842">
            <v>400</v>
          </cell>
          <cell r="BJ5842">
            <v>800</v>
          </cell>
        </row>
        <row r="5843">
          <cell r="B5843">
            <v>8671</v>
          </cell>
          <cell r="C5843" t="str">
            <v>CL_45_</v>
          </cell>
          <cell r="D5843" t="str">
            <v>Rancho La Cuchilla No. 45</v>
          </cell>
          <cell r="E5843" t="str">
            <v>Estévez Hernández</v>
          </cell>
          <cell r="F5843">
            <v>300</v>
          </cell>
          <cell r="G5843">
            <v>1</v>
          </cell>
          <cell r="H5843">
            <v>400</v>
          </cell>
          <cell r="I5843">
            <v>42008</v>
          </cell>
          <cell r="J5843">
            <v>0</v>
          </cell>
          <cell r="W5843">
            <v>0</v>
          </cell>
          <cell r="AJ5843">
            <v>0</v>
          </cell>
          <cell r="AW5843">
            <v>0</v>
          </cell>
          <cell r="AX5843">
            <v>400</v>
          </cell>
          <cell r="BJ5843">
            <v>400</v>
          </cell>
        </row>
        <row r="5844">
          <cell r="B5844">
            <v>8672</v>
          </cell>
          <cell r="C5844" t="str">
            <v>CL_95_</v>
          </cell>
          <cell r="D5844" t="str">
            <v>Rancho La Cuchilla No. 95</v>
          </cell>
          <cell r="E5844" t="str">
            <v>Gutiérrez Sánchez</v>
          </cell>
          <cell r="F5844">
            <v>300</v>
          </cell>
          <cell r="G5844">
            <v>1</v>
          </cell>
          <cell r="H5844">
            <v>1600</v>
          </cell>
          <cell r="I5844">
            <v>42008</v>
          </cell>
          <cell r="J5844">
            <v>0</v>
          </cell>
          <cell r="W5844">
            <v>0</v>
          </cell>
          <cell r="AJ5844">
            <v>0</v>
          </cell>
          <cell r="AW5844">
            <v>0</v>
          </cell>
          <cell r="AX5844">
            <v>400</v>
          </cell>
          <cell r="AY5844">
            <v>400</v>
          </cell>
          <cell r="AZ5844">
            <v>400</v>
          </cell>
          <cell r="BA5844">
            <v>400</v>
          </cell>
          <cell r="BJ5844">
            <v>1600</v>
          </cell>
        </row>
        <row r="5845">
          <cell r="B5845">
            <v>8673</v>
          </cell>
          <cell r="C5845" t="str">
            <v>ZB_24_</v>
          </cell>
          <cell r="D5845" t="str">
            <v>Rancho Zinamba No. 24</v>
          </cell>
          <cell r="E5845" t="str">
            <v>Monroy García</v>
          </cell>
          <cell r="F5845">
            <v>300</v>
          </cell>
          <cell r="G5845">
            <v>1</v>
          </cell>
          <cell r="H5845">
            <v>400</v>
          </cell>
          <cell r="I5845">
            <v>42008</v>
          </cell>
          <cell r="J5845">
            <v>0</v>
          </cell>
          <cell r="W5845">
            <v>0</v>
          </cell>
          <cell r="AJ5845">
            <v>0</v>
          </cell>
          <cell r="AW5845">
            <v>0</v>
          </cell>
          <cell r="AX5845">
            <v>400</v>
          </cell>
          <cell r="BJ5845">
            <v>400</v>
          </cell>
        </row>
        <row r="5846">
          <cell r="B5846">
            <v>8674</v>
          </cell>
          <cell r="C5846" t="str">
            <v>ZB_26_</v>
          </cell>
          <cell r="D5846" t="str">
            <v>Rancho Zinamba No. 26</v>
          </cell>
          <cell r="E5846" t="str">
            <v>Ayala</v>
          </cell>
          <cell r="F5846">
            <v>300</v>
          </cell>
          <cell r="G5846">
            <v>1</v>
          </cell>
          <cell r="H5846">
            <v>400</v>
          </cell>
          <cell r="I5846">
            <v>42008</v>
          </cell>
          <cell r="J5846">
            <v>0</v>
          </cell>
          <cell r="W5846">
            <v>0</v>
          </cell>
          <cell r="AJ5846">
            <v>0</v>
          </cell>
          <cell r="AU5846">
            <v>400</v>
          </cell>
          <cell r="AW5846">
            <v>400</v>
          </cell>
          <cell r="BJ5846">
            <v>0</v>
          </cell>
        </row>
        <row r="5847">
          <cell r="B5847">
            <v>8675</v>
          </cell>
          <cell r="C5847" t="str">
            <v>CL_54_</v>
          </cell>
          <cell r="D5847" t="str">
            <v>Rancho La Cuchilla No. 54</v>
          </cell>
          <cell r="E5847" t="str">
            <v>Mendoza León</v>
          </cell>
          <cell r="F5847">
            <v>300</v>
          </cell>
          <cell r="G5847">
            <v>1</v>
          </cell>
          <cell r="H5847">
            <v>400</v>
          </cell>
          <cell r="I5847">
            <v>42008</v>
          </cell>
          <cell r="J5847">
            <v>0</v>
          </cell>
          <cell r="W5847">
            <v>0</v>
          </cell>
          <cell r="AJ5847">
            <v>0</v>
          </cell>
          <cell r="AV5847">
            <v>400</v>
          </cell>
          <cell r="AW5847">
            <v>400</v>
          </cell>
          <cell r="BJ5847">
            <v>0</v>
          </cell>
        </row>
        <row r="5848">
          <cell r="B5848">
            <v>8676</v>
          </cell>
          <cell r="C5848" t="str">
            <v>UP_80_</v>
          </cell>
          <cell r="D5848" t="str">
            <v>Rancho Upácuaro No. 80</v>
          </cell>
          <cell r="E5848" t="str">
            <v>De los Ríos</v>
          </cell>
          <cell r="F5848">
            <v>300</v>
          </cell>
          <cell r="G5848">
            <v>1</v>
          </cell>
          <cell r="H5848">
            <v>800</v>
          </cell>
          <cell r="I5848">
            <v>42008</v>
          </cell>
          <cell r="J5848">
            <v>0</v>
          </cell>
          <cell r="W5848">
            <v>0</v>
          </cell>
          <cell r="AJ5848">
            <v>0</v>
          </cell>
          <cell r="AV5848">
            <v>400</v>
          </cell>
          <cell r="AW5848">
            <v>400</v>
          </cell>
          <cell r="AX5848">
            <v>400</v>
          </cell>
          <cell r="BJ5848">
            <v>400</v>
          </cell>
        </row>
        <row r="5849">
          <cell r="B5849">
            <v>8677</v>
          </cell>
          <cell r="C5849" t="str">
            <v>UP_80_</v>
          </cell>
          <cell r="D5849" t="str">
            <v>Rancho Upácuaro No. 80</v>
          </cell>
          <cell r="E5849" t="str">
            <v>De los Ríos</v>
          </cell>
          <cell r="F5849">
            <v>300</v>
          </cell>
          <cell r="G5849">
            <v>4</v>
          </cell>
          <cell r="H5849">
            <v>160</v>
          </cell>
          <cell r="I5849">
            <v>42008</v>
          </cell>
          <cell r="J5849" t="str">
            <v>NO SUMA</v>
          </cell>
          <cell r="W5849">
            <v>0</v>
          </cell>
          <cell r="AJ5849">
            <v>0</v>
          </cell>
          <cell r="AW5849">
            <v>0</v>
          </cell>
          <cell r="BJ5849">
            <v>0</v>
          </cell>
        </row>
        <row r="5850">
          <cell r="B5850">
            <v>8678</v>
          </cell>
          <cell r="C5850" t="str">
            <v>EZ_103_B</v>
          </cell>
          <cell r="D5850" t="str">
            <v>Rancho Estanzuela No. 103, B</v>
          </cell>
          <cell r="E5850" t="str">
            <v>Olivares Flores</v>
          </cell>
          <cell r="F5850">
            <v>300</v>
          </cell>
          <cell r="G5850">
            <v>1</v>
          </cell>
          <cell r="H5850">
            <v>1200</v>
          </cell>
          <cell r="I5850">
            <v>42008</v>
          </cell>
          <cell r="J5850">
            <v>0</v>
          </cell>
          <cell r="W5850">
            <v>0</v>
          </cell>
          <cell r="AJ5850">
            <v>0</v>
          </cell>
          <cell r="AW5850">
            <v>0</v>
          </cell>
          <cell r="AX5850">
            <v>400</v>
          </cell>
          <cell r="AY5850">
            <v>400</v>
          </cell>
          <cell r="AZ5850">
            <v>400</v>
          </cell>
          <cell r="BJ5850">
            <v>1200</v>
          </cell>
        </row>
        <row r="5851">
          <cell r="B5851">
            <v>8679</v>
          </cell>
          <cell r="C5851" t="str">
            <v>UP_101_</v>
          </cell>
          <cell r="D5851" t="str">
            <v>Rancho Upácuaro No. 101</v>
          </cell>
          <cell r="E5851" t="str">
            <v>Chávez, Arturo</v>
          </cell>
          <cell r="F5851">
            <v>300</v>
          </cell>
          <cell r="G5851">
            <v>1</v>
          </cell>
          <cell r="H5851">
            <v>400</v>
          </cell>
          <cell r="I5851">
            <v>42008</v>
          </cell>
          <cell r="J5851">
            <v>0</v>
          </cell>
          <cell r="W5851">
            <v>0</v>
          </cell>
          <cell r="AJ5851">
            <v>0</v>
          </cell>
          <cell r="AW5851">
            <v>0</v>
          </cell>
          <cell r="AX5851">
            <v>400</v>
          </cell>
          <cell r="BJ5851">
            <v>400</v>
          </cell>
        </row>
        <row r="5852">
          <cell r="B5852">
            <v>8680</v>
          </cell>
          <cell r="C5852" t="str">
            <v>CL_32_</v>
          </cell>
          <cell r="D5852" t="str">
            <v>Rancho La Cuchilla No. 32</v>
          </cell>
          <cell r="E5852" t="str">
            <v>Hernández</v>
          </cell>
          <cell r="F5852">
            <v>300</v>
          </cell>
          <cell r="G5852">
            <v>1</v>
          </cell>
          <cell r="H5852">
            <v>800</v>
          </cell>
          <cell r="I5852">
            <v>42008</v>
          </cell>
          <cell r="J5852">
            <v>0</v>
          </cell>
          <cell r="W5852">
            <v>0</v>
          </cell>
          <cell r="AJ5852">
            <v>0</v>
          </cell>
          <cell r="AT5852">
            <v>400</v>
          </cell>
          <cell r="AU5852">
            <v>400</v>
          </cell>
          <cell r="AW5852">
            <v>800</v>
          </cell>
          <cell r="BJ5852">
            <v>0</v>
          </cell>
        </row>
        <row r="5853">
          <cell r="B5853">
            <v>8681</v>
          </cell>
          <cell r="C5853" t="str">
            <v>UP_32_</v>
          </cell>
          <cell r="D5853" t="str">
            <v>Rancho Upácuaro No. 32</v>
          </cell>
          <cell r="E5853" t="str">
            <v>Sairafi Carmen</v>
          </cell>
          <cell r="F5853">
            <v>300</v>
          </cell>
          <cell r="G5853">
            <v>1</v>
          </cell>
          <cell r="H5853">
            <v>400</v>
          </cell>
          <cell r="I5853">
            <v>42008</v>
          </cell>
          <cell r="J5853">
            <v>0</v>
          </cell>
          <cell r="W5853">
            <v>0</v>
          </cell>
          <cell r="AJ5853">
            <v>0</v>
          </cell>
          <cell r="AW5853">
            <v>0</v>
          </cell>
          <cell r="AX5853">
            <v>400</v>
          </cell>
          <cell r="BJ5853">
            <v>400</v>
          </cell>
        </row>
        <row r="5854">
          <cell r="B5854">
            <v>8682</v>
          </cell>
          <cell r="C5854" t="str">
            <v>UP_87_</v>
          </cell>
          <cell r="D5854" t="str">
            <v>Rancho Upácuaro No. 87</v>
          </cell>
          <cell r="E5854" t="str">
            <v>Rodríguez Parés</v>
          </cell>
          <cell r="F5854">
            <v>300</v>
          </cell>
          <cell r="G5854">
            <v>1</v>
          </cell>
          <cell r="H5854">
            <v>400</v>
          </cell>
          <cell r="I5854">
            <v>42008</v>
          </cell>
          <cell r="J5854">
            <v>0</v>
          </cell>
          <cell r="W5854">
            <v>0</v>
          </cell>
          <cell r="AJ5854">
            <v>0</v>
          </cell>
          <cell r="AV5854">
            <v>400</v>
          </cell>
          <cell r="AW5854">
            <v>400</v>
          </cell>
          <cell r="BJ5854">
            <v>0</v>
          </cell>
        </row>
        <row r="5855">
          <cell r="B5855">
            <v>8683</v>
          </cell>
          <cell r="C5855" t="str">
            <v>UP_87_</v>
          </cell>
          <cell r="D5855" t="str">
            <v>Rancho Upácuaro No. 87</v>
          </cell>
          <cell r="E5855" t="str">
            <v>Rodríguez Parés</v>
          </cell>
          <cell r="F5855">
            <v>300</v>
          </cell>
          <cell r="G5855">
            <v>1</v>
          </cell>
          <cell r="H5855">
            <v>400</v>
          </cell>
          <cell r="I5855">
            <v>42008</v>
          </cell>
          <cell r="J5855">
            <v>0</v>
          </cell>
          <cell r="W5855">
            <v>0</v>
          </cell>
          <cell r="AJ5855">
            <v>0</v>
          </cell>
          <cell r="AW5855">
            <v>0</v>
          </cell>
          <cell r="AX5855">
            <v>400</v>
          </cell>
          <cell r="BJ5855">
            <v>400</v>
          </cell>
        </row>
        <row r="5856">
          <cell r="B5856">
            <v>8684</v>
          </cell>
          <cell r="C5856" t="str">
            <v>ZB_68_</v>
          </cell>
          <cell r="D5856" t="str">
            <v>Rancho Zinamba No. 68</v>
          </cell>
          <cell r="E5856" t="str">
            <v>Rivera Villicaña</v>
          </cell>
          <cell r="F5856">
            <v>300</v>
          </cell>
          <cell r="G5856">
            <v>1</v>
          </cell>
          <cell r="H5856">
            <v>300</v>
          </cell>
          <cell r="I5856">
            <v>42008</v>
          </cell>
          <cell r="J5856">
            <v>0</v>
          </cell>
          <cell r="W5856">
            <v>0</v>
          </cell>
          <cell r="AJ5856">
            <v>0</v>
          </cell>
          <cell r="AW5856">
            <v>0</v>
          </cell>
          <cell r="AX5856">
            <v>300</v>
          </cell>
          <cell r="BJ5856">
            <v>300</v>
          </cell>
        </row>
        <row r="5857">
          <cell r="B5857">
            <v>8685</v>
          </cell>
          <cell r="C5857" t="str">
            <v>UP_78_</v>
          </cell>
          <cell r="D5857" t="str">
            <v>Rancho Upácuaro No. 78</v>
          </cell>
          <cell r="E5857" t="str">
            <v>Villaseñor Carranza</v>
          </cell>
          <cell r="F5857">
            <v>300</v>
          </cell>
          <cell r="G5857">
            <v>4</v>
          </cell>
          <cell r="H5857">
            <v>160</v>
          </cell>
          <cell r="I5857">
            <v>42008</v>
          </cell>
          <cell r="J5857" t="str">
            <v>NO SUMA</v>
          </cell>
          <cell r="W5857">
            <v>0</v>
          </cell>
          <cell r="AJ5857">
            <v>0</v>
          </cell>
          <cell r="AW5857">
            <v>0</v>
          </cell>
          <cell r="BJ5857">
            <v>0</v>
          </cell>
        </row>
        <row r="5858">
          <cell r="B5858">
            <v>8686</v>
          </cell>
          <cell r="C5858" t="str">
            <v>UP_132_</v>
          </cell>
          <cell r="D5858" t="str">
            <v>Rancho Upácuaro No. 132</v>
          </cell>
          <cell r="E5858" t="str">
            <v>Tornero Saldaña</v>
          </cell>
          <cell r="F5858">
            <v>300</v>
          </cell>
          <cell r="G5858">
            <v>1</v>
          </cell>
          <cell r="H5858">
            <v>4400</v>
          </cell>
          <cell r="I5858">
            <v>42009</v>
          </cell>
          <cell r="J5858">
            <v>0</v>
          </cell>
          <cell r="W5858">
            <v>0</v>
          </cell>
          <cell r="AJ5858">
            <v>0</v>
          </cell>
          <cell r="AW5858">
            <v>0</v>
          </cell>
          <cell r="AX5858">
            <v>400</v>
          </cell>
          <cell r="AY5858">
            <v>400</v>
          </cell>
          <cell r="AZ5858">
            <v>400</v>
          </cell>
          <cell r="BA5858">
            <v>400</v>
          </cell>
          <cell r="BB5858">
            <v>400</v>
          </cell>
          <cell r="BC5858">
            <v>400</v>
          </cell>
          <cell r="BD5858">
            <v>400</v>
          </cell>
          <cell r="BE5858">
            <v>400</v>
          </cell>
          <cell r="BF5858">
            <v>400</v>
          </cell>
          <cell r="BG5858">
            <v>400</v>
          </cell>
          <cell r="BH5858">
            <v>400</v>
          </cell>
          <cell r="BJ5858">
            <v>4400</v>
          </cell>
        </row>
        <row r="5859">
          <cell r="B5859">
            <v>8687</v>
          </cell>
          <cell r="C5859" t="str">
            <v>UP_61_</v>
          </cell>
          <cell r="D5859" t="str">
            <v>Rancho Upácuaro No. 61</v>
          </cell>
          <cell r="E5859" t="str">
            <v>Campos Granados</v>
          </cell>
          <cell r="F5859">
            <v>300</v>
          </cell>
          <cell r="G5859">
            <v>1</v>
          </cell>
          <cell r="H5859">
            <v>4400</v>
          </cell>
          <cell r="I5859">
            <v>42009</v>
          </cell>
          <cell r="J5859">
            <v>0</v>
          </cell>
          <cell r="W5859">
            <v>0</v>
          </cell>
          <cell r="AJ5859">
            <v>0</v>
          </cell>
          <cell r="AW5859">
            <v>0</v>
          </cell>
          <cell r="AX5859">
            <v>400</v>
          </cell>
          <cell r="AY5859">
            <v>400</v>
          </cell>
          <cell r="AZ5859">
            <v>400</v>
          </cell>
          <cell r="BA5859">
            <v>400</v>
          </cell>
          <cell r="BB5859">
            <v>400</v>
          </cell>
          <cell r="BC5859">
            <v>400</v>
          </cell>
          <cell r="BD5859">
            <v>400</v>
          </cell>
          <cell r="BE5859">
            <v>400</v>
          </cell>
          <cell r="BF5859">
            <v>400</v>
          </cell>
          <cell r="BG5859">
            <v>400</v>
          </cell>
          <cell r="BH5859">
            <v>400</v>
          </cell>
          <cell r="BJ5859">
            <v>4400</v>
          </cell>
        </row>
        <row r="5860">
          <cell r="B5860">
            <v>8688</v>
          </cell>
          <cell r="C5860" t="str">
            <v>UP_61_</v>
          </cell>
          <cell r="D5860" t="str">
            <v>Rancho Upácuaro No. 61</v>
          </cell>
          <cell r="E5860" t="str">
            <v>Campos Granados</v>
          </cell>
          <cell r="F5860">
            <v>300</v>
          </cell>
          <cell r="G5860">
            <v>5</v>
          </cell>
          <cell r="H5860">
            <v>40</v>
          </cell>
          <cell r="I5860">
            <v>42009</v>
          </cell>
          <cell r="J5860" t="str">
            <v>NO SUMA</v>
          </cell>
          <cell r="W5860">
            <v>0</v>
          </cell>
          <cell r="AJ5860">
            <v>0</v>
          </cell>
          <cell r="AW5860">
            <v>0</v>
          </cell>
          <cell r="BJ5860">
            <v>0</v>
          </cell>
        </row>
        <row r="5861">
          <cell r="B5861">
            <v>8689</v>
          </cell>
          <cell r="C5861" t="str">
            <v>LD_68_</v>
          </cell>
          <cell r="D5861" t="str">
            <v>Rancho Landero No. 68</v>
          </cell>
          <cell r="E5861" t="str">
            <v>Moreno</v>
          </cell>
          <cell r="F5861">
            <v>300</v>
          </cell>
          <cell r="G5861">
            <v>5</v>
          </cell>
          <cell r="H5861">
            <v>20</v>
          </cell>
          <cell r="I5861">
            <v>42009</v>
          </cell>
          <cell r="J5861" t="str">
            <v>NO SUMA</v>
          </cell>
          <cell r="W5861">
            <v>0</v>
          </cell>
          <cell r="AJ5861">
            <v>0</v>
          </cell>
          <cell r="AW5861">
            <v>0</v>
          </cell>
          <cell r="BJ5861">
            <v>0</v>
          </cell>
        </row>
        <row r="5862">
          <cell r="B5862">
            <v>8690</v>
          </cell>
          <cell r="D5862" t="str">
            <v/>
          </cell>
          <cell r="E5862" t="str">
            <v/>
          </cell>
          <cell r="F5862" t="str">
            <v/>
          </cell>
          <cell r="J5862" t="str">
            <v>NO SUMA</v>
          </cell>
          <cell r="W5862">
            <v>0</v>
          </cell>
          <cell r="AJ5862">
            <v>0</v>
          </cell>
          <cell r="AW5862">
            <v>0</v>
          </cell>
          <cell r="BJ5862">
            <v>0</v>
          </cell>
        </row>
        <row r="5863">
          <cell r="B5863">
            <v>8691</v>
          </cell>
          <cell r="D5863" t="str">
            <v/>
          </cell>
          <cell r="E5863" t="str">
            <v/>
          </cell>
          <cell r="F5863" t="str">
            <v/>
          </cell>
          <cell r="G5863">
            <v>8</v>
          </cell>
          <cell r="J5863" t="str">
            <v>NO SUMA</v>
          </cell>
          <cell r="W5863">
            <v>0</v>
          </cell>
          <cell r="AJ5863">
            <v>0</v>
          </cell>
          <cell r="AW5863">
            <v>0</v>
          </cell>
          <cell r="BJ5863">
            <v>0</v>
          </cell>
        </row>
        <row r="5864">
          <cell r="B5864">
            <v>8692</v>
          </cell>
          <cell r="C5864" t="str">
            <v>RV_183_</v>
          </cell>
          <cell r="D5864" t="str">
            <v>Rancho Recoveco No. 183</v>
          </cell>
          <cell r="E5864" t="str">
            <v>Atilano Limón</v>
          </cell>
          <cell r="F5864">
            <v>300</v>
          </cell>
          <cell r="G5864">
            <v>5</v>
          </cell>
          <cell r="H5864">
            <v>80</v>
          </cell>
          <cell r="I5864">
            <v>42009</v>
          </cell>
          <cell r="J5864" t="str">
            <v>NO SUMA</v>
          </cell>
          <cell r="W5864">
            <v>0</v>
          </cell>
          <cell r="AJ5864">
            <v>0</v>
          </cell>
          <cell r="AW5864">
            <v>0</v>
          </cell>
          <cell r="BJ5864">
            <v>0</v>
          </cell>
        </row>
        <row r="5865">
          <cell r="B5865">
            <v>8693</v>
          </cell>
          <cell r="C5865" t="str">
            <v>UP_46_</v>
          </cell>
          <cell r="D5865" t="str">
            <v>Rancho Upácuaro No. 46</v>
          </cell>
          <cell r="E5865" t="str">
            <v>Fuentes</v>
          </cell>
          <cell r="F5865">
            <v>300</v>
          </cell>
          <cell r="G5865">
            <v>1</v>
          </cell>
          <cell r="H5865">
            <v>300</v>
          </cell>
          <cell r="I5865">
            <v>42009</v>
          </cell>
          <cell r="J5865">
            <v>0</v>
          </cell>
          <cell r="W5865">
            <v>0</v>
          </cell>
          <cell r="AJ5865">
            <v>0</v>
          </cell>
          <cell r="AW5865">
            <v>0</v>
          </cell>
          <cell r="AX5865">
            <v>300</v>
          </cell>
          <cell r="BJ5865">
            <v>300</v>
          </cell>
        </row>
        <row r="5866">
          <cell r="B5866">
            <v>8694</v>
          </cell>
          <cell r="C5866" t="str">
            <v>LD_83_</v>
          </cell>
          <cell r="D5866" t="str">
            <v>Rancho Landero No. 83</v>
          </cell>
          <cell r="E5866" t="str">
            <v>Aguilar</v>
          </cell>
          <cell r="F5866">
            <v>300</v>
          </cell>
          <cell r="G5866">
            <v>1</v>
          </cell>
          <cell r="H5866">
            <v>350</v>
          </cell>
          <cell r="I5866">
            <v>42010</v>
          </cell>
          <cell r="J5866">
            <v>0</v>
          </cell>
          <cell r="W5866">
            <v>0</v>
          </cell>
          <cell r="AJ5866">
            <v>0</v>
          </cell>
          <cell r="AW5866">
            <v>0</v>
          </cell>
          <cell r="AX5866">
            <v>350</v>
          </cell>
          <cell r="BJ5866">
            <v>350</v>
          </cell>
        </row>
        <row r="5867">
          <cell r="B5867">
            <v>8695</v>
          </cell>
          <cell r="C5867" t="str">
            <v>UP_118_</v>
          </cell>
          <cell r="D5867" t="str">
            <v>Rancho Upácuaro No. 118</v>
          </cell>
          <cell r="E5867" t="str">
            <v>Siegrist</v>
          </cell>
          <cell r="F5867">
            <v>300</v>
          </cell>
          <cell r="G5867">
            <v>1</v>
          </cell>
          <cell r="H5867">
            <v>800</v>
          </cell>
          <cell r="I5867">
            <v>42011</v>
          </cell>
          <cell r="J5867">
            <v>0</v>
          </cell>
          <cell r="W5867">
            <v>0</v>
          </cell>
          <cell r="AJ5867">
            <v>0</v>
          </cell>
          <cell r="AU5867">
            <v>400</v>
          </cell>
          <cell r="AV5867">
            <v>400</v>
          </cell>
          <cell r="AW5867">
            <v>800</v>
          </cell>
          <cell r="BJ5867">
            <v>0</v>
          </cell>
        </row>
        <row r="5868">
          <cell r="B5868">
            <v>8696</v>
          </cell>
          <cell r="C5868" t="str">
            <v>ZB_12_</v>
          </cell>
          <cell r="D5868" t="str">
            <v>Rancho Zinamba No. 12</v>
          </cell>
          <cell r="E5868" t="str">
            <v>S.P.Endoscopic</v>
          </cell>
          <cell r="F5868">
            <v>400</v>
          </cell>
          <cell r="G5868">
            <v>1</v>
          </cell>
          <cell r="H5868">
            <v>800</v>
          </cell>
          <cell r="I5868">
            <v>42012</v>
          </cell>
          <cell r="J5868">
            <v>0</v>
          </cell>
          <cell r="W5868">
            <v>0</v>
          </cell>
          <cell r="AJ5868">
            <v>0</v>
          </cell>
          <cell r="AU5868">
            <v>400</v>
          </cell>
          <cell r="AV5868">
            <v>400</v>
          </cell>
          <cell r="AW5868">
            <v>800</v>
          </cell>
          <cell r="BJ5868">
            <v>0</v>
          </cell>
        </row>
        <row r="5869">
          <cell r="B5869">
            <v>8697</v>
          </cell>
          <cell r="C5869" t="str">
            <v>EZ_67_</v>
          </cell>
          <cell r="D5869" t="str">
            <v>Rancho Estanzuela No. 67</v>
          </cell>
          <cell r="E5869" t="str">
            <v>Carmona Galarza</v>
          </cell>
          <cell r="F5869">
            <v>300</v>
          </cell>
          <cell r="G5869">
            <v>1</v>
          </cell>
          <cell r="H5869">
            <v>800</v>
          </cell>
          <cell r="I5869">
            <v>42013</v>
          </cell>
          <cell r="J5869">
            <v>0</v>
          </cell>
          <cell r="W5869">
            <v>0</v>
          </cell>
          <cell r="AJ5869">
            <v>0</v>
          </cell>
          <cell r="AV5869">
            <v>400</v>
          </cell>
          <cell r="AW5869">
            <v>400</v>
          </cell>
          <cell r="AX5869">
            <v>400</v>
          </cell>
          <cell r="BJ5869">
            <v>400</v>
          </cell>
        </row>
        <row r="5870">
          <cell r="B5870">
            <v>8698</v>
          </cell>
          <cell r="C5870" t="str">
            <v>EZ_127_</v>
          </cell>
          <cell r="D5870" t="str">
            <v>Rancho Estanzuela No. 127</v>
          </cell>
          <cell r="E5870" t="str">
            <v>Luna Zepeda</v>
          </cell>
          <cell r="F5870">
            <v>200</v>
          </cell>
          <cell r="G5870">
            <v>1</v>
          </cell>
          <cell r="H5870">
            <v>450</v>
          </cell>
          <cell r="I5870">
            <v>42015</v>
          </cell>
          <cell r="J5870">
            <v>0</v>
          </cell>
          <cell r="W5870">
            <v>0</v>
          </cell>
          <cell r="AJ5870">
            <v>0</v>
          </cell>
          <cell r="AU5870">
            <v>150</v>
          </cell>
          <cell r="AV5870">
            <v>150</v>
          </cell>
          <cell r="AW5870">
            <v>300</v>
          </cell>
          <cell r="AX5870">
            <v>150</v>
          </cell>
          <cell r="BJ5870">
            <v>150</v>
          </cell>
        </row>
        <row r="5871">
          <cell r="B5871">
            <v>8699</v>
          </cell>
          <cell r="C5871" t="str">
            <v>LD_42_</v>
          </cell>
          <cell r="D5871" t="str">
            <v>Rancho Landero No. 42</v>
          </cell>
          <cell r="E5871" t="str">
            <v>Ávila Fidel</v>
          </cell>
          <cell r="F5871">
            <v>300</v>
          </cell>
          <cell r="G5871">
            <v>3</v>
          </cell>
          <cell r="H5871">
            <v>160</v>
          </cell>
          <cell r="I5871">
            <v>41650</v>
          </cell>
          <cell r="J5871" t="str">
            <v>NO SUMA</v>
          </cell>
          <cell r="W5871">
            <v>0</v>
          </cell>
          <cell r="AJ5871">
            <v>0</v>
          </cell>
          <cell r="AW5871">
            <v>0</v>
          </cell>
          <cell r="BJ5871">
            <v>0</v>
          </cell>
        </row>
        <row r="5872">
          <cell r="B5872">
            <v>8700</v>
          </cell>
          <cell r="C5872" t="str">
            <v>CL_120_</v>
          </cell>
          <cell r="D5872" t="str">
            <v>Rancho La Cuchilla No. 120</v>
          </cell>
          <cell r="E5872" t="str">
            <v>Pozos Vilchis</v>
          </cell>
          <cell r="F5872">
            <v>300</v>
          </cell>
          <cell r="G5872">
            <v>1</v>
          </cell>
          <cell r="H5872">
            <v>400</v>
          </cell>
          <cell r="I5872">
            <v>42015</v>
          </cell>
          <cell r="J5872">
            <v>0</v>
          </cell>
          <cell r="W5872">
            <v>0</v>
          </cell>
          <cell r="AJ5872">
            <v>0</v>
          </cell>
          <cell r="AW5872">
            <v>0</v>
          </cell>
          <cell r="AX5872">
            <v>400</v>
          </cell>
          <cell r="BJ5872">
            <v>400</v>
          </cell>
        </row>
        <row r="5873">
          <cell r="B5873">
            <v>8701</v>
          </cell>
          <cell r="C5873" t="str">
            <v>UP_51_1</v>
          </cell>
          <cell r="D5873" t="str">
            <v>Rancho Upácuaro No. 51, 1</v>
          </cell>
          <cell r="E5873" t="str">
            <v>Casas Nájera</v>
          </cell>
          <cell r="F5873">
            <v>300</v>
          </cell>
          <cell r="G5873">
            <v>3</v>
          </cell>
          <cell r="H5873">
            <v>160</v>
          </cell>
          <cell r="I5873">
            <v>42015</v>
          </cell>
          <cell r="J5873" t="str">
            <v>NO SUMA</v>
          </cell>
          <cell r="W5873">
            <v>0</v>
          </cell>
          <cell r="AJ5873">
            <v>0</v>
          </cell>
          <cell r="AW5873">
            <v>0</v>
          </cell>
          <cell r="BJ5873">
            <v>0</v>
          </cell>
        </row>
        <row r="5874">
          <cell r="B5874">
            <v>8702</v>
          </cell>
          <cell r="C5874" t="str">
            <v>EZ_7_A</v>
          </cell>
          <cell r="D5874" t="str">
            <v>Rancho Estanzuela No. 7, A</v>
          </cell>
          <cell r="E5874" t="str">
            <v>Herrera Izquierdo</v>
          </cell>
          <cell r="F5874">
            <v>150</v>
          </cell>
          <cell r="G5874">
            <v>1</v>
          </cell>
          <cell r="H5874">
            <v>200</v>
          </cell>
          <cell r="I5874">
            <v>42015</v>
          </cell>
          <cell r="J5874">
            <v>0</v>
          </cell>
          <cell r="W5874">
            <v>0</v>
          </cell>
          <cell r="AJ5874">
            <v>0</v>
          </cell>
          <cell r="AW5874">
            <v>0</v>
          </cell>
          <cell r="AX5874">
            <v>200</v>
          </cell>
          <cell r="BJ5874">
            <v>200</v>
          </cell>
        </row>
        <row r="5875">
          <cell r="B5875">
            <v>8703</v>
          </cell>
          <cell r="C5875" t="str">
            <v>CL_41_</v>
          </cell>
          <cell r="D5875" t="str">
            <v>Rancho La Cuchilla No. 41</v>
          </cell>
          <cell r="E5875" t="str">
            <v>Arriaga Lemus</v>
          </cell>
          <cell r="F5875">
            <v>250</v>
          </cell>
          <cell r="G5875">
            <v>1</v>
          </cell>
          <cell r="H5875">
            <v>400</v>
          </cell>
          <cell r="I5875">
            <v>42015</v>
          </cell>
          <cell r="J5875">
            <v>0</v>
          </cell>
          <cell r="W5875">
            <v>0</v>
          </cell>
          <cell r="AJ5875">
            <v>0</v>
          </cell>
          <cell r="AW5875">
            <v>0</v>
          </cell>
          <cell r="AX5875">
            <v>400</v>
          </cell>
          <cell r="BJ5875">
            <v>400</v>
          </cell>
        </row>
        <row r="5876">
          <cell r="B5876">
            <v>8704</v>
          </cell>
          <cell r="C5876" t="str">
            <v>CL_12_</v>
          </cell>
          <cell r="D5876" t="str">
            <v>Rancho La Cuchilla No. 12</v>
          </cell>
          <cell r="E5876" t="str">
            <v>Rivera Flores</v>
          </cell>
          <cell r="F5876">
            <v>300</v>
          </cell>
          <cell r="G5876">
            <v>1</v>
          </cell>
          <cell r="H5876">
            <v>900</v>
          </cell>
          <cell r="I5876">
            <v>42015</v>
          </cell>
          <cell r="J5876">
            <v>0</v>
          </cell>
          <cell r="W5876">
            <v>0</v>
          </cell>
          <cell r="AJ5876">
            <v>0</v>
          </cell>
          <cell r="AV5876">
            <v>300</v>
          </cell>
          <cell r="AW5876">
            <v>300</v>
          </cell>
          <cell r="AX5876">
            <v>300</v>
          </cell>
          <cell r="AY5876">
            <v>300</v>
          </cell>
          <cell r="BJ5876">
            <v>600</v>
          </cell>
        </row>
        <row r="5877">
          <cell r="B5877">
            <v>8705</v>
          </cell>
          <cell r="C5877" t="str">
            <v>ZB_80_</v>
          </cell>
          <cell r="D5877" t="str">
            <v>Rancho Zinamba No. 80</v>
          </cell>
          <cell r="E5877" t="str">
            <v>Vázquez</v>
          </cell>
          <cell r="F5877">
            <v>250</v>
          </cell>
          <cell r="G5877">
            <v>1</v>
          </cell>
          <cell r="H5877">
            <v>300</v>
          </cell>
          <cell r="I5877">
            <v>42015</v>
          </cell>
          <cell r="J5877">
            <v>0</v>
          </cell>
          <cell r="W5877">
            <v>0</v>
          </cell>
          <cell r="AJ5877">
            <v>0</v>
          </cell>
          <cell r="AW5877">
            <v>0</v>
          </cell>
          <cell r="AX5877">
            <v>300</v>
          </cell>
          <cell r="BJ5877">
            <v>300</v>
          </cell>
        </row>
        <row r="5878">
          <cell r="B5878">
            <v>8706</v>
          </cell>
          <cell r="C5878" t="str">
            <v>LD_76_</v>
          </cell>
          <cell r="D5878" t="str">
            <v>Rancho Landero No. 76</v>
          </cell>
          <cell r="E5878" t="str">
            <v>Ugarte</v>
          </cell>
          <cell r="F5878">
            <v>300</v>
          </cell>
          <cell r="G5878">
            <v>1</v>
          </cell>
          <cell r="H5878">
            <v>400</v>
          </cell>
          <cell r="I5878">
            <v>42015</v>
          </cell>
          <cell r="J5878">
            <v>0</v>
          </cell>
          <cell r="W5878">
            <v>0</v>
          </cell>
          <cell r="AJ5878">
            <v>0</v>
          </cell>
          <cell r="AW5878">
            <v>0</v>
          </cell>
          <cell r="AX5878">
            <v>400</v>
          </cell>
          <cell r="BJ5878">
            <v>400</v>
          </cell>
        </row>
        <row r="5879">
          <cell r="B5879">
            <v>8707</v>
          </cell>
          <cell r="C5879" t="str">
            <v>CL_7_202</v>
          </cell>
          <cell r="D5879" t="str">
            <v>Rancho La Cuchilla No. 7, 202</v>
          </cell>
          <cell r="E5879" t="str">
            <v>Carbajal Zayas</v>
          </cell>
          <cell r="F5879">
            <v>100</v>
          </cell>
          <cell r="G5879">
            <v>1</v>
          </cell>
          <cell r="H5879">
            <v>200</v>
          </cell>
          <cell r="I5879">
            <v>42015</v>
          </cell>
          <cell r="J5879">
            <v>0</v>
          </cell>
          <cell r="W5879">
            <v>0</v>
          </cell>
          <cell r="AJ5879">
            <v>0</v>
          </cell>
          <cell r="AV5879">
            <v>100</v>
          </cell>
          <cell r="AW5879">
            <v>100</v>
          </cell>
          <cell r="AX5879">
            <v>100</v>
          </cell>
          <cell r="BJ5879">
            <v>100</v>
          </cell>
        </row>
        <row r="5880">
          <cell r="B5880">
            <v>8708</v>
          </cell>
          <cell r="C5880" t="str">
            <v>LD_91_</v>
          </cell>
          <cell r="D5880" t="str">
            <v>Rancho Landero No. 91</v>
          </cell>
          <cell r="E5880" t="str">
            <v>Llaca</v>
          </cell>
          <cell r="F5880">
            <v>300</v>
          </cell>
          <cell r="G5880">
            <v>1</v>
          </cell>
          <cell r="H5880">
            <v>400</v>
          </cell>
          <cell r="I5880">
            <v>42015</v>
          </cell>
          <cell r="J5880">
            <v>0</v>
          </cell>
          <cell r="W5880">
            <v>0</v>
          </cell>
          <cell r="AJ5880">
            <v>0</v>
          </cell>
          <cell r="AW5880">
            <v>0</v>
          </cell>
          <cell r="AX5880">
            <v>400</v>
          </cell>
          <cell r="BJ5880">
            <v>400</v>
          </cell>
        </row>
        <row r="5881">
          <cell r="B5881">
            <v>8709</v>
          </cell>
          <cell r="C5881" t="str">
            <v>CL_130_</v>
          </cell>
          <cell r="D5881" t="str">
            <v>Rancho La Cuchilla No. 130</v>
          </cell>
          <cell r="E5881" t="str">
            <v>Gonzalez</v>
          </cell>
          <cell r="F5881">
            <v>300</v>
          </cell>
          <cell r="G5881">
            <v>1</v>
          </cell>
          <cell r="H5881">
            <v>400</v>
          </cell>
          <cell r="I5881">
            <v>41650</v>
          </cell>
          <cell r="J5881">
            <v>0</v>
          </cell>
          <cell r="W5881">
            <v>0</v>
          </cell>
          <cell r="AJ5881">
            <v>0</v>
          </cell>
          <cell r="AW5881">
            <v>0</v>
          </cell>
          <cell r="AX5881">
            <v>400</v>
          </cell>
          <cell r="BJ5881">
            <v>400</v>
          </cell>
        </row>
        <row r="5882">
          <cell r="B5882">
            <v>8709</v>
          </cell>
          <cell r="C5882" t="str">
            <v>CL_130_</v>
          </cell>
          <cell r="D5882" t="str">
            <v>Rancho La Cuchilla No. 130</v>
          </cell>
          <cell r="E5882" t="str">
            <v>Gonzalez</v>
          </cell>
          <cell r="F5882">
            <v>300</v>
          </cell>
          <cell r="G5882">
            <v>4</v>
          </cell>
          <cell r="H5882">
            <v>160</v>
          </cell>
          <cell r="I5882">
            <v>42015</v>
          </cell>
          <cell r="J5882" t="str">
            <v>NO SUMA</v>
          </cell>
          <cell r="W5882">
            <v>0</v>
          </cell>
          <cell r="AJ5882">
            <v>0</v>
          </cell>
          <cell r="AW5882">
            <v>0</v>
          </cell>
          <cell r="BJ5882">
            <v>0</v>
          </cell>
        </row>
        <row r="5883">
          <cell r="B5883">
            <v>8710</v>
          </cell>
          <cell r="C5883" t="str">
            <v>RM_30_</v>
          </cell>
          <cell r="D5883" t="str">
            <v>Rancho Romeral No. 30</v>
          </cell>
          <cell r="E5883" t="str">
            <v>Osorio</v>
          </cell>
          <cell r="F5883">
            <v>200</v>
          </cell>
          <cell r="G5883">
            <v>1</v>
          </cell>
          <cell r="H5883">
            <v>200</v>
          </cell>
          <cell r="I5883">
            <v>42015</v>
          </cell>
          <cell r="J5883">
            <v>0</v>
          </cell>
          <cell r="W5883">
            <v>0</v>
          </cell>
          <cell r="AJ5883">
            <v>0</v>
          </cell>
          <cell r="AV5883">
            <v>200</v>
          </cell>
          <cell r="AW5883">
            <v>200</v>
          </cell>
          <cell r="BJ5883">
            <v>0</v>
          </cell>
        </row>
        <row r="5884">
          <cell r="B5884">
            <v>8710</v>
          </cell>
          <cell r="C5884" t="str">
            <v>RM_30_</v>
          </cell>
          <cell r="D5884" t="str">
            <v>Rancho Romeral No. 30</v>
          </cell>
          <cell r="E5884" t="str">
            <v>Osorio</v>
          </cell>
          <cell r="F5884">
            <v>200</v>
          </cell>
          <cell r="G5884">
            <v>5</v>
          </cell>
          <cell r="H5884">
            <v>40</v>
          </cell>
          <cell r="I5884">
            <v>42015</v>
          </cell>
          <cell r="J5884" t="str">
            <v>NO SUMA</v>
          </cell>
          <cell r="W5884">
            <v>0</v>
          </cell>
          <cell r="AJ5884">
            <v>0</v>
          </cell>
          <cell r="AW5884">
            <v>0</v>
          </cell>
          <cell r="BJ5884">
            <v>0</v>
          </cell>
        </row>
        <row r="5885">
          <cell r="B5885">
            <v>8711</v>
          </cell>
          <cell r="C5885" t="str">
            <v>UP_76_</v>
          </cell>
          <cell r="D5885" t="str">
            <v>Rancho Upácuaro No. 76</v>
          </cell>
          <cell r="E5885" t="str">
            <v>Ruiz de San Pedro</v>
          </cell>
          <cell r="F5885">
            <v>300</v>
          </cell>
          <cell r="G5885">
            <v>1</v>
          </cell>
          <cell r="H5885">
            <v>400</v>
          </cell>
          <cell r="I5885">
            <v>42015</v>
          </cell>
          <cell r="J5885">
            <v>0</v>
          </cell>
          <cell r="W5885">
            <v>0</v>
          </cell>
          <cell r="AJ5885">
            <v>0</v>
          </cell>
          <cell r="AW5885">
            <v>0</v>
          </cell>
          <cell r="AX5885">
            <v>400</v>
          </cell>
          <cell r="BJ5885">
            <v>400</v>
          </cell>
        </row>
        <row r="5886">
          <cell r="B5886">
            <v>8712</v>
          </cell>
          <cell r="C5886" t="str">
            <v>UP_60_</v>
          </cell>
          <cell r="D5886" t="str">
            <v>Rancho Upácuaro No. 60</v>
          </cell>
          <cell r="E5886" t="str">
            <v>Zavala</v>
          </cell>
          <cell r="F5886">
            <v>300</v>
          </cell>
          <cell r="G5886">
            <v>1</v>
          </cell>
          <cell r="H5886">
            <v>400</v>
          </cell>
          <cell r="I5886">
            <v>42015</v>
          </cell>
          <cell r="J5886">
            <v>0</v>
          </cell>
          <cell r="W5886">
            <v>0</v>
          </cell>
          <cell r="AJ5886">
            <v>0</v>
          </cell>
          <cell r="AW5886">
            <v>0</v>
          </cell>
          <cell r="AX5886">
            <v>400</v>
          </cell>
          <cell r="BJ5886">
            <v>400</v>
          </cell>
        </row>
        <row r="5887">
          <cell r="B5887">
            <v>8713</v>
          </cell>
          <cell r="C5887" t="str">
            <v>UP_8_</v>
          </cell>
          <cell r="D5887" t="str">
            <v>Rancho Upácuaro No. 8</v>
          </cell>
          <cell r="E5887" t="str">
            <v>Ibarra</v>
          </cell>
          <cell r="F5887">
            <v>250</v>
          </cell>
          <cell r="G5887">
            <v>1</v>
          </cell>
          <cell r="H5887">
            <v>4400</v>
          </cell>
          <cell r="I5887">
            <v>42015</v>
          </cell>
          <cell r="J5887">
            <v>0</v>
          </cell>
          <cell r="W5887">
            <v>0</v>
          </cell>
          <cell r="AJ5887">
            <v>0</v>
          </cell>
          <cell r="AW5887">
            <v>0</v>
          </cell>
          <cell r="AX5887">
            <v>400</v>
          </cell>
          <cell r="AY5887">
            <v>400</v>
          </cell>
          <cell r="AZ5887">
            <v>400</v>
          </cell>
          <cell r="BA5887">
            <v>400</v>
          </cell>
          <cell r="BB5887">
            <v>400</v>
          </cell>
          <cell r="BC5887">
            <v>400</v>
          </cell>
          <cell r="BD5887">
            <v>400</v>
          </cell>
          <cell r="BE5887">
            <v>400</v>
          </cell>
          <cell r="BF5887">
            <v>400</v>
          </cell>
          <cell r="BG5887">
            <v>400</v>
          </cell>
          <cell r="BH5887">
            <v>400</v>
          </cell>
          <cell r="BJ5887">
            <v>4400</v>
          </cell>
        </row>
        <row r="5888">
          <cell r="B5888">
            <v>8714</v>
          </cell>
          <cell r="C5888" t="str">
            <v>ZB_8_</v>
          </cell>
          <cell r="D5888" t="str">
            <v>Rancho Zinamba No. 8</v>
          </cell>
          <cell r="E5888" t="str">
            <v>Florido</v>
          </cell>
          <cell r="F5888">
            <v>300</v>
          </cell>
          <cell r="G5888">
            <v>1</v>
          </cell>
          <cell r="H5888">
            <v>400</v>
          </cell>
          <cell r="I5888">
            <v>42015</v>
          </cell>
          <cell r="J5888">
            <v>0</v>
          </cell>
          <cell r="W5888">
            <v>0</v>
          </cell>
          <cell r="AJ5888">
            <v>0</v>
          </cell>
          <cell r="AU5888">
            <v>400</v>
          </cell>
          <cell r="AW5888">
            <v>400</v>
          </cell>
          <cell r="BJ5888">
            <v>0</v>
          </cell>
        </row>
        <row r="5889">
          <cell r="B5889">
            <v>8714</v>
          </cell>
          <cell r="C5889" t="str">
            <v>ZB_8_</v>
          </cell>
          <cell r="D5889" t="str">
            <v>Rancho Zinamba No. 8</v>
          </cell>
          <cell r="E5889" t="str">
            <v>Florido</v>
          </cell>
          <cell r="F5889">
            <v>300</v>
          </cell>
          <cell r="G5889">
            <v>4</v>
          </cell>
          <cell r="H5889">
            <v>320</v>
          </cell>
          <cell r="I5889">
            <v>42015</v>
          </cell>
          <cell r="J5889" t="str">
            <v>NO SUMA</v>
          </cell>
          <cell r="W5889">
            <v>0</v>
          </cell>
          <cell r="AJ5889">
            <v>0</v>
          </cell>
          <cell r="AW5889">
            <v>0</v>
          </cell>
          <cell r="BJ5889">
            <v>0</v>
          </cell>
        </row>
        <row r="5890">
          <cell r="B5890">
            <v>8715</v>
          </cell>
          <cell r="C5890" t="str">
            <v>LD_93_</v>
          </cell>
          <cell r="D5890" t="str">
            <v>Rancho Landero No. 93</v>
          </cell>
          <cell r="E5890" t="str">
            <v>Ortega López</v>
          </cell>
          <cell r="F5890">
            <v>300</v>
          </cell>
          <cell r="G5890">
            <v>1</v>
          </cell>
          <cell r="H5890">
            <v>400</v>
          </cell>
          <cell r="I5890">
            <v>42015</v>
          </cell>
          <cell r="J5890">
            <v>0</v>
          </cell>
          <cell r="W5890">
            <v>0</v>
          </cell>
          <cell r="AJ5890">
            <v>0</v>
          </cell>
          <cell r="AV5890">
            <v>400</v>
          </cell>
          <cell r="AW5890">
            <v>400</v>
          </cell>
          <cell r="BJ5890">
            <v>0</v>
          </cell>
        </row>
        <row r="5891">
          <cell r="B5891">
            <v>8715</v>
          </cell>
          <cell r="C5891" t="str">
            <v>LD_93_</v>
          </cell>
          <cell r="D5891" t="str">
            <v>Rancho Landero No. 93</v>
          </cell>
          <cell r="E5891" t="str">
            <v>Ortega López</v>
          </cell>
          <cell r="F5891">
            <v>300</v>
          </cell>
          <cell r="G5891">
            <v>5</v>
          </cell>
          <cell r="H5891">
            <v>20</v>
          </cell>
          <cell r="I5891">
            <v>42015</v>
          </cell>
          <cell r="J5891" t="str">
            <v>NO SUMA</v>
          </cell>
          <cell r="W5891">
            <v>0</v>
          </cell>
          <cell r="AJ5891">
            <v>0</v>
          </cell>
          <cell r="AW5891">
            <v>0</v>
          </cell>
          <cell r="BJ5891">
            <v>0</v>
          </cell>
        </row>
        <row r="5892">
          <cell r="B5892">
            <v>8716</v>
          </cell>
          <cell r="C5892" t="str">
            <v>RV_181_</v>
          </cell>
          <cell r="D5892" t="str">
            <v>Rancho Recoveco No. 181</v>
          </cell>
          <cell r="E5892" t="str">
            <v>Castillo</v>
          </cell>
          <cell r="F5892">
            <v>300</v>
          </cell>
          <cell r="G5892">
            <v>3</v>
          </cell>
          <cell r="H5892">
            <v>160</v>
          </cell>
          <cell r="I5892">
            <v>42015</v>
          </cell>
          <cell r="J5892" t="str">
            <v>NO SUMA</v>
          </cell>
          <cell r="W5892">
            <v>0</v>
          </cell>
          <cell r="AJ5892">
            <v>0</v>
          </cell>
          <cell r="AW5892">
            <v>0</v>
          </cell>
          <cell r="BJ5892">
            <v>0</v>
          </cell>
        </row>
        <row r="5893">
          <cell r="B5893">
            <v>8716</v>
          </cell>
          <cell r="C5893" t="str">
            <v>RV_181_</v>
          </cell>
          <cell r="D5893" t="str">
            <v>Rancho Recoveco No. 181</v>
          </cell>
          <cell r="E5893" t="str">
            <v>Castillo</v>
          </cell>
          <cell r="F5893">
            <v>300</v>
          </cell>
          <cell r="G5893">
            <v>5</v>
          </cell>
          <cell r="H5893">
            <v>20</v>
          </cell>
          <cell r="I5893">
            <v>42015</v>
          </cell>
          <cell r="J5893" t="str">
            <v>NO SUMA</v>
          </cell>
          <cell r="W5893">
            <v>0</v>
          </cell>
          <cell r="AJ5893">
            <v>0</v>
          </cell>
          <cell r="AW5893">
            <v>0</v>
          </cell>
          <cell r="BJ5893">
            <v>0</v>
          </cell>
        </row>
        <row r="5894">
          <cell r="B5894">
            <v>8717</v>
          </cell>
          <cell r="C5894" t="str">
            <v>EZ_115_</v>
          </cell>
          <cell r="D5894" t="str">
            <v>Rancho Estanzuela No. 115</v>
          </cell>
          <cell r="E5894" t="str">
            <v>Frías Solórzano</v>
          </cell>
          <cell r="F5894">
            <v>200</v>
          </cell>
          <cell r="G5894">
            <v>1</v>
          </cell>
          <cell r="H5894">
            <v>250</v>
          </cell>
          <cell r="I5894">
            <v>42015</v>
          </cell>
          <cell r="J5894">
            <v>0</v>
          </cell>
          <cell r="W5894">
            <v>0</v>
          </cell>
          <cell r="AJ5894">
            <v>0</v>
          </cell>
          <cell r="AW5894">
            <v>0</v>
          </cell>
          <cell r="AX5894">
            <v>250</v>
          </cell>
          <cell r="BJ5894">
            <v>250</v>
          </cell>
        </row>
        <row r="5895">
          <cell r="B5895">
            <v>8718</v>
          </cell>
          <cell r="C5895" t="str">
            <v>LD_68_</v>
          </cell>
          <cell r="D5895" t="str">
            <v>Rancho Landero No. 68</v>
          </cell>
          <cell r="E5895" t="str">
            <v>Moreno</v>
          </cell>
          <cell r="F5895">
            <v>300</v>
          </cell>
          <cell r="G5895">
            <v>1</v>
          </cell>
          <cell r="H5895">
            <v>800</v>
          </cell>
          <cell r="I5895">
            <v>42015</v>
          </cell>
          <cell r="J5895">
            <v>0</v>
          </cell>
          <cell r="W5895">
            <v>0</v>
          </cell>
          <cell r="AJ5895">
            <v>0</v>
          </cell>
          <cell r="AU5895">
            <v>400</v>
          </cell>
          <cell r="AV5895">
            <v>400</v>
          </cell>
          <cell r="AW5895">
            <v>800</v>
          </cell>
          <cell r="BJ5895">
            <v>0</v>
          </cell>
        </row>
        <row r="5896">
          <cell r="B5896">
            <v>8719</v>
          </cell>
          <cell r="C5896" t="str">
            <v>ZB_20_</v>
          </cell>
          <cell r="D5896" t="str">
            <v>Rancho Zinamba No. 20</v>
          </cell>
          <cell r="E5896" t="str">
            <v>Alegre Retana</v>
          </cell>
          <cell r="F5896">
            <v>300</v>
          </cell>
          <cell r="G5896">
            <v>5</v>
          </cell>
          <cell r="H5896">
            <v>20</v>
          </cell>
          <cell r="I5896">
            <v>42015</v>
          </cell>
          <cell r="J5896" t="str">
            <v>NO SUMA</v>
          </cell>
          <cell r="W5896">
            <v>0</v>
          </cell>
          <cell r="AJ5896">
            <v>0</v>
          </cell>
          <cell r="AW5896">
            <v>0</v>
          </cell>
          <cell r="BJ5896">
            <v>0</v>
          </cell>
        </row>
        <row r="5897">
          <cell r="B5897">
            <v>8720</v>
          </cell>
          <cell r="C5897" t="str">
            <v>ZB_44_</v>
          </cell>
          <cell r="D5897" t="str">
            <v>Rancho Zinamba No. 44</v>
          </cell>
          <cell r="E5897" t="str">
            <v>Canales</v>
          </cell>
          <cell r="F5897">
            <v>300</v>
          </cell>
          <cell r="G5897">
            <v>1</v>
          </cell>
          <cell r="H5897">
            <v>400</v>
          </cell>
          <cell r="I5897">
            <v>42015</v>
          </cell>
          <cell r="J5897">
            <v>0</v>
          </cell>
          <cell r="W5897">
            <v>0</v>
          </cell>
          <cell r="AJ5897">
            <v>0</v>
          </cell>
          <cell r="AW5897">
            <v>0</v>
          </cell>
          <cell r="AX5897">
            <v>400</v>
          </cell>
          <cell r="BJ5897">
            <v>400</v>
          </cell>
        </row>
        <row r="5898">
          <cell r="B5898">
            <v>8721</v>
          </cell>
          <cell r="C5898" t="str">
            <v>EZ_159_</v>
          </cell>
          <cell r="D5898" t="str">
            <v>Rancho Estanzuela No. 159</v>
          </cell>
          <cell r="E5898" t="str">
            <v>Silva</v>
          </cell>
          <cell r="F5898">
            <v>250</v>
          </cell>
          <cell r="G5898">
            <v>1</v>
          </cell>
          <cell r="H5898">
            <v>900</v>
          </cell>
          <cell r="I5898">
            <v>42015</v>
          </cell>
          <cell r="J5898">
            <v>0</v>
          </cell>
          <cell r="W5898">
            <v>0</v>
          </cell>
          <cell r="AJ5898">
            <v>0</v>
          </cell>
          <cell r="AU5898">
            <v>300</v>
          </cell>
          <cell r="AV5898">
            <v>300</v>
          </cell>
          <cell r="AW5898">
            <v>600</v>
          </cell>
          <cell r="AX5898">
            <v>300</v>
          </cell>
          <cell r="BJ5898">
            <v>300</v>
          </cell>
        </row>
        <row r="5899">
          <cell r="B5899">
            <v>8722</v>
          </cell>
          <cell r="C5899" t="str">
            <v>EZ_143_B</v>
          </cell>
          <cell r="D5899" t="str">
            <v>Rancho Estanzuela No. 143, B</v>
          </cell>
          <cell r="E5899" t="str">
            <v>López</v>
          </cell>
          <cell r="F5899">
            <v>300</v>
          </cell>
          <cell r="G5899">
            <v>1</v>
          </cell>
          <cell r="H5899">
            <v>400</v>
          </cell>
          <cell r="I5899">
            <v>42015</v>
          </cell>
          <cell r="J5899">
            <v>0</v>
          </cell>
          <cell r="W5899">
            <v>0</v>
          </cell>
          <cell r="AJ5899">
            <v>0</v>
          </cell>
          <cell r="AW5899">
            <v>0</v>
          </cell>
          <cell r="AX5899">
            <v>400</v>
          </cell>
          <cell r="BJ5899">
            <v>400</v>
          </cell>
        </row>
        <row r="5900">
          <cell r="B5900">
            <v>8723</v>
          </cell>
          <cell r="C5900" t="str">
            <v>CL_92_</v>
          </cell>
          <cell r="D5900" t="str">
            <v>Rancho La Cuchilla No. 92</v>
          </cell>
          <cell r="E5900" t="str">
            <v>Cabrera</v>
          </cell>
          <cell r="F5900">
            <v>300</v>
          </cell>
          <cell r="G5900">
            <v>1</v>
          </cell>
          <cell r="H5900">
            <v>800</v>
          </cell>
          <cell r="I5900">
            <v>42015</v>
          </cell>
          <cell r="J5900">
            <v>0</v>
          </cell>
          <cell r="W5900">
            <v>0</v>
          </cell>
          <cell r="AJ5900">
            <v>0</v>
          </cell>
          <cell r="AV5900">
            <v>400</v>
          </cell>
          <cell r="AW5900">
            <v>400</v>
          </cell>
          <cell r="AX5900">
            <v>400</v>
          </cell>
          <cell r="BJ5900">
            <v>400</v>
          </cell>
        </row>
        <row r="5901">
          <cell r="B5901">
            <v>8724</v>
          </cell>
          <cell r="C5901" t="str">
            <v>EZ_55_</v>
          </cell>
          <cell r="D5901" t="str">
            <v>Rancho Estanzuela No. 55</v>
          </cell>
          <cell r="E5901" t="str">
            <v>Rodríguez Acevedo</v>
          </cell>
          <cell r="F5901">
            <v>300</v>
          </cell>
          <cell r="G5901">
            <v>3</v>
          </cell>
          <cell r="H5901">
            <v>160</v>
          </cell>
          <cell r="I5901">
            <v>42015</v>
          </cell>
          <cell r="J5901" t="str">
            <v>NO SUMA</v>
          </cell>
          <cell r="W5901">
            <v>0</v>
          </cell>
          <cell r="AJ5901">
            <v>0</v>
          </cell>
          <cell r="AW5901">
            <v>0</v>
          </cell>
          <cell r="BJ5901">
            <v>0</v>
          </cell>
        </row>
        <row r="5902">
          <cell r="B5902">
            <v>8725</v>
          </cell>
          <cell r="C5902" t="str">
            <v>RV_179_</v>
          </cell>
          <cell r="D5902" t="str">
            <v>Rancho Recoveco No. 179</v>
          </cell>
          <cell r="E5902" t="str">
            <v>Flores Delgado</v>
          </cell>
          <cell r="F5902">
            <v>300</v>
          </cell>
          <cell r="G5902">
            <v>1</v>
          </cell>
          <cell r="H5902">
            <v>400</v>
          </cell>
          <cell r="I5902">
            <v>42015</v>
          </cell>
          <cell r="J5902">
            <v>0</v>
          </cell>
          <cell r="W5902">
            <v>0</v>
          </cell>
          <cell r="AJ5902">
            <v>0</v>
          </cell>
          <cell r="AW5902">
            <v>0</v>
          </cell>
          <cell r="AX5902">
            <v>400</v>
          </cell>
          <cell r="BJ5902">
            <v>400</v>
          </cell>
        </row>
        <row r="5903">
          <cell r="B5903">
            <v>8726</v>
          </cell>
          <cell r="C5903" t="str">
            <v>RV_181_</v>
          </cell>
          <cell r="D5903" t="str">
            <v>Rancho Recoveco No. 181</v>
          </cell>
          <cell r="E5903" t="str">
            <v>Castillo</v>
          </cell>
          <cell r="F5903">
            <v>300</v>
          </cell>
          <cell r="G5903">
            <v>5</v>
          </cell>
          <cell r="H5903">
            <v>20</v>
          </cell>
          <cell r="I5903">
            <v>42015</v>
          </cell>
          <cell r="J5903" t="str">
            <v>NO SUMA</v>
          </cell>
          <cell r="W5903">
            <v>0</v>
          </cell>
          <cell r="AJ5903">
            <v>0</v>
          </cell>
          <cell r="AW5903">
            <v>0</v>
          </cell>
          <cell r="BJ5903">
            <v>0</v>
          </cell>
        </row>
        <row r="5904">
          <cell r="B5904">
            <v>8727</v>
          </cell>
          <cell r="C5904" t="str">
            <v>ZB_34_</v>
          </cell>
          <cell r="D5904" t="str">
            <v>Rancho Zinamba No. 34</v>
          </cell>
          <cell r="E5904" t="str">
            <v>Torres Zavala</v>
          </cell>
          <cell r="F5904">
            <v>300</v>
          </cell>
          <cell r="G5904">
            <v>1</v>
          </cell>
          <cell r="H5904">
            <v>400</v>
          </cell>
          <cell r="I5904">
            <v>42015</v>
          </cell>
          <cell r="J5904">
            <v>0</v>
          </cell>
          <cell r="W5904">
            <v>0</v>
          </cell>
          <cell r="AJ5904">
            <v>0</v>
          </cell>
          <cell r="AW5904">
            <v>0</v>
          </cell>
          <cell r="AX5904">
            <v>400</v>
          </cell>
          <cell r="BJ5904">
            <v>400</v>
          </cell>
        </row>
        <row r="5905">
          <cell r="B5905">
            <v>8728</v>
          </cell>
          <cell r="C5905" t="str">
            <v>UP_18_</v>
          </cell>
          <cell r="D5905" t="str">
            <v>Rancho Upácuaro No. 18</v>
          </cell>
          <cell r="E5905" t="str">
            <v>Guzmán</v>
          </cell>
          <cell r="F5905">
            <v>300</v>
          </cell>
          <cell r="G5905">
            <v>1</v>
          </cell>
          <cell r="H5905">
            <v>300</v>
          </cell>
          <cell r="I5905">
            <v>42015</v>
          </cell>
          <cell r="J5905">
            <v>0</v>
          </cell>
          <cell r="W5905">
            <v>0</v>
          </cell>
          <cell r="AJ5905">
            <v>0</v>
          </cell>
          <cell r="AW5905">
            <v>0</v>
          </cell>
          <cell r="AX5905">
            <v>300</v>
          </cell>
          <cell r="BJ5905">
            <v>300</v>
          </cell>
        </row>
        <row r="5906">
          <cell r="B5906">
            <v>8729</v>
          </cell>
          <cell r="D5906" t="str">
            <v/>
          </cell>
          <cell r="E5906" t="str">
            <v/>
          </cell>
          <cell r="F5906" t="str">
            <v/>
          </cell>
          <cell r="J5906" t="str">
            <v>NO SUMA</v>
          </cell>
          <cell r="W5906">
            <v>0</v>
          </cell>
          <cell r="AJ5906">
            <v>0</v>
          </cell>
          <cell r="AW5906">
            <v>0</v>
          </cell>
          <cell r="BJ5906">
            <v>0</v>
          </cell>
        </row>
        <row r="5907">
          <cell r="B5907">
            <v>8730</v>
          </cell>
          <cell r="D5907" t="str">
            <v/>
          </cell>
          <cell r="E5907" t="str">
            <v/>
          </cell>
          <cell r="F5907" t="str">
            <v/>
          </cell>
          <cell r="J5907" t="str">
            <v>NO SUMA</v>
          </cell>
          <cell r="W5907">
            <v>0</v>
          </cell>
          <cell r="AJ5907">
            <v>0</v>
          </cell>
          <cell r="AW5907">
            <v>0</v>
          </cell>
          <cell r="BJ5907">
            <v>0</v>
          </cell>
        </row>
        <row r="5908">
          <cell r="B5908">
            <v>8731</v>
          </cell>
          <cell r="D5908" t="str">
            <v/>
          </cell>
          <cell r="E5908" t="str">
            <v/>
          </cell>
          <cell r="F5908" t="str">
            <v/>
          </cell>
          <cell r="J5908" t="str">
            <v>NO SUMA</v>
          </cell>
          <cell r="W5908">
            <v>0</v>
          </cell>
          <cell r="AJ5908">
            <v>0</v>
          </cell>
          <cell r="AW5908">
            <v>0</v>
          </cell>
          <cell r="BJ5908">
            <v>0</v>
          </cell>
        </row>
        <row r="5909">
          <cell r="B5909">
            <v>8732</v>
          </cell>
          <cell r="D5909" t="str">
            <v/>
          </cell>
          <cell r="E5909" t="str">
            <v/>
          </cell>
          <cell r="F5909" t="str">
            <v/>
          </cell>
          <cell r="J5909" t="str">
            <v>NO SUMA</v>
          </cell>
          <cell r="W5909">
            <v>0</v>
          </cell>
          <cell r="AJ5909">
            <v>0</v>
          </cell>
          <cell r="AW5909">
            <v>0</v>
          </cell>
          <cell r="BJ5909">
            <v>0</v>
          </cell>
        </row>
        <row r="5910">
          <cell r="B5910">
            <v>8733</v>
          </cell>
          <cell r="D5910" t="str">
            <v/>
          </cell>
          <cell r="E5910" t="str">
            <v/>
          </cell>
          <cell r="F5910" t="str">
            <v/>
          </cell>
          <cell r="J5910" t="str">
            <v>NO SUMA</v>
          </cell>
          <cell r="W5910">
            <v>0</v>
          </cell>
          <cell r="AJ5910">
            <v>0</v>
          </cell>
          <cell r="AW5910">
            <v>0</v>
          </cell>
          <cell r="BJ5910">
            <v>0</v>
          </cell>
        </row>
        <row r="5911">
          <cell r="B5911">
            <v>8734</v>
          </cell>
          <cell r="D5911" t="str">
            <v/>
          </cell>
          <cell r="E5911" t="str">
            <v/>
          </cell>
          <cell r="F5911" t="str">
            <v/>
          </cell>
          <cell r="J5911" t="str">
            <v>NO SUMA</v>
          </cell>
          <cell r="W5911">
            <v>0</v>
          </cell>
          <cell r="AJ5911">
            <v>0</v>
          </cell>
          <cell r="AW5911">
            <v>0</v>
          </cell>
          <cell r="BJ5911">
            <v>0</v>
          </cell>
        </row>
        <row r="5912">
          <cell r="B5912">
            <v>8735</v>
          </cell>
          <cell r="C5912" t="str">
            <v>UP_134_</v>
          </cell>
          <cell r="D5912" t="str">
            <v>Rancho Upácuaro No. 134</v>
          </cell>
          <cell r="E5912" t="str">
            <v>Flores Pérez</v>
          </cell>
          <cell r="F5912">
            <v>300</v>
          </cell>
          <cell r="G5912">
            <v>1</v>
          </cell>
          <cell r="H5912">
            <v>1600</v>
          </cell>
          <cell r="I5912">
            <v>42015</v>
          </cell>
          <cell r="J5912">
            <v>0</v>
          </cell>
          <cell r="W5912">
            <v>0</v>
          </cell>
          <cell r="AJ5912">
            <v>0</v>
          </cell>
          <cell r="AS5912">
            <v>400</v>
          </cell>
          <cell r="AT5912">
            <v>400</v>
          </cell>
          <cell r="AU5912">
            <v>400</v>
          </cell>
          <cell r="AV5912">
            <v>400</v>
          </cell>
          <cell r="AW5912">
            <v>1600</v>
          </cell>
          <cell r="BJ5912">
            <v>0</v>
          </cell>
        </row>
        <row r="5913">
          <cell r="B5913">
            <v>8736</v>
          </cell>
          <cell r="C5913" t="str">
            <v>RV_197_</v>
          </cell>
          <cell r="D5913" t="str">
            <v>Rancho Recoveco No. 197</v>
          </cell>
          <cell r="E5913" t="str">
            <v>Colín González</v>
          </cell>
          <cell r="F5913">
            <v>300</v>
          </cell>
          <cell r="G5913">
            <v>1</v>
          </cell>
          <cell r="H5913">
            <v>400</v>
          </cell>
          <cell r="I5913">
            <v>42015</v>
          </cell>
          <cell r="J5913">
            <v>0</v>
          </cell>
          <cell r="W5913">
            <v>0</v>
          </cell>
          <cell r="AJ5913">
            <v>0</v>
          </cell>
          <cell r="AW5913">
            <v>0</v>
          </cell>
          <cell r="AX5913">
            <v>400</v>
          </cell>
          <cell r="BJ5913">
            <v>400</v>
          </cell>
        </row>
        <row r="5914">
          <cell r="B5914">
            <v>8737</v>
          </cell>
          <cell r="C5914" t="str">
            <v>LD_81_</v>
          </cell>
          <cell r="D5914" t="str">
            <v>Rancho Landero No. 81</v>
          </cell>
          <cell r="E5914" t="str">
            <v>Cebrían Saldaña</v>
          </cell>
          <cell r="F5914">
            <v>300</v>
          </cell>
          <cell r="G5914">
            <v>1</v>
          </cell>
          <cell r="H5914">
            <v>400</v>
          </cell>
          <cell r="I5914">
            <v>42015</v>
          </cell>
          <cell r="J5914">
            <v>0</v>
          </cell>
          <cell r="W5914">
            <v>0</v>
          </cell>
          <cell r="AJ5914">
            <v>0</v>
          </cell>
          <cell r="AV5914">
            <v>200</v>
          </cell>
          <cell r="AW5914">
            <v>200</v>
          </cell>
          <cell r="AX5914">
            <v>200</v>
          </cell>
          <cell r="BJ5914">
            <v>200</v>
          </cell>
        </row>
        <row r="5915">
          <cell r="B5915">
            <v>8729</v>
          </cell>
          <cell r="C5915" t="str">
            <v>LD_20_</v>
          </cell>
          <cell r="D5915" t="str">
            <v>Rancho Landero No. 20</v>
          </cell>
          <cell r="E5915" t="str">
            <v>Velasco</v>
          </cell>
          <cell r="F5915">
            <v>300</v>
          </cell>
          <cell r="G5915">
            <v>1</v>
          </cell>
          <cell r="H5915">
            <v>150</v>
          </cell>
          <cell r="I5915">
            <v>42016</v>
          </cell>
          <cell r="J5915">
            <v>0</v>
          </cell>
          <cell r="W5915">
            <v>0</v>
          </cell>
          <cell r="AJ5915">
            <v>0</v>
          </cell>
          <cell r="AW5915">
            <v>0</v>
          </cell>
          <cell r="AX5915">
            <v>150</v>
          </cell>
          <cell r="BJ5915">
            <v>150</v>
          </cell>
        </row>
        <row r="5916">
          <cell r="B5916">
            <v>8729</v>
          </cell>
          <cell r="C5916" t="str">
            <v>LD_20_</v>
          </cell>
          <cell r="D5916" t="str">
            <v>Rancho Landero No. 20</v>
          </cell>
          <cell r="E5916" t="str">
            <v>Velasco</v>
          </cell>
          <cell r="F5916">
            <v>300</v>
          </cell>
          <cell r="G5916">
            <v>5</v>
          </cell>
          <cell r="H5916">
            <v>20</v>
          </cell>
          <cell r="I5916">
            <v>42016</v>
          </cell>
          <cell r="J5916" t="str">
            <v>NO SUMA</v>
          </cell>
          <cell r="W5916">
            <v>0</v>
          </cell>
          <cell r="AJ5916">
            <v>0</v>
          </cell>
          <cell r="AW5916">
            <v>0</v>
          </cell>
          <cell r="BJ5916">
            <v>0</v>
          </cell>
        </row>
        <row r="5917">
          <cell r="B5917">
            <v>8730</v>
          </cell>
          <cell r="C5917" t="str">
            <v>CL_97_</v>
          </cell>
          <cell r="D5917" t="str">
            <v>Rancho La Cuchilla No. 97</v>
          </cell>
          <cell r="E5917" t="str">
            <v>López Ruiz</v>
          </cell>
          <cell r="F5917">
            <v>300</v>
          </cell>
          <cell r="G5917">
            <v>1</v>
          </cell>
          <cell r="H5917">
            <v>600</v>
          </cell>
          <cell r="I5917">
            <v>42017</v>
          </cell>
          <cell r="J5917">
            <v>0</v>
          </cell>
          <cell r="W5917">
            <v>0</v>
          </cell>
          <cell r="AJ5917">
            <v>0</v>
          </cell>
          <cell r="AU5917">
            <v>300</v>
          </cell>
          <cell r="AV5917">
            <v>300</v>
          </cell>
          <cell r="AW5917">
            <v>600</v>
          </cell>
          <cell r="BJ5917">
            <v>0</v>
          </cell>
        </row>
        <row r="5918">
          <cell r="B5918">
            <v>8730</v>
          </cell>
          <cell r="C5918" t="str">
            <v>CL_97_</v>
          </cell>
          <cell r="D5918" t="str">
            <v>Rancho La Cuchilla No. 97</v>
          </cell>
          <cell r="E5918" t="str">
            <v>López Ruiz</v>
          </cell>
          <cell r="F5918">
            <v>300</v>
          </cell>
          <cell r="G5918">
            <v>5</v>
          </cell>
          <cell r="H5918">
            <v>80</v>
          </cell>
          <cell r="I5918">
            <v>42017</v>
          </cell>
          <cell r="J5918" t="str">
            <v>NO SUMA</v>
          </cell>
          <cell r="W5918">
            <v>0</v>
          </cell>
          <cell r="AJ5918">
            <v>0</v>
          </cell>
          <cell r="AW5918">
            <v>0</v>
          </cell>
          <cell r="BJ5918">
            <v>0</v>
          </cell>
        </row>
        <row r="5919">
          <cell r="B5919">
            <v>8731</v>
          </cell>
          <cell r="C5919" t="str">
            <v>ZB_74_</v>
          </cell>
          <cell r="D5919" t="str">
            <v>Rancho Zinamba No. 74</v>
          </cell>
          <cell r="E5919" t="str">
            <v>García Castellanos</v>
          </cell>
          <cell r="F5919">
            <v>300</v>
          </cell>
          <cell r="G5919">
            <v>1</v>
          </cell>
          <cell r="H5919">
            <v>400</v>
          </cell>
          <cell r="I5919">
            <v>42018</v>
          </cell>
          <cell r="J5919">
            <v>0</v>
          </cell>
          <cell r="W5919">
            <v>0</v>
          </cell>
          <cell r="AJ5919">
            <v>0</v>
          </cell>
          <cell r="AW5919">
            <v>0</v>
          </cell>
          <cell r="AX5919">
            <v>400</v>
          </cell>
          <cell r="BJ5919">
            <v>400</v>
          </cell>
        </row>
        <row r="5920">
          <cell r="B5920">
            <v>8731</v>
          </cell>
          <cell r="C5920" t="str">
            <v>ZB_74_</v>
          </cell>
          <cell r="D5920" t="str">
            <v>Rancho Zinamba No. 74</v>
          </cell>
          <cell r="E5920" t="str">
            <v>García Castellanos</v>
          </cell>
          <cell r="F5920">
            <v>300</v>
          </cell>
          <cell r="G5920">
            <v>4</v>
          </cell>
          <cell r="H5920">
            <v>160</v>
          </cell>
          <cell r="I5920">
            <v>42018</v>
          </cell>
          <cell r="J5920" t="str">
            <v>NO SUMA</v>
          </cell>
          <cell r="W5920">
            <v>0</v>
          </cell>
          <cell r="AJ5920">
            <v>0</v>
          </cell>
          <cell r="AW5920">
            <v>0</v>
          </cell>
          <cell r="BJ5920">
            <v>0</v>
          </cell>
        </row>
        <row r="5921">
          <cell r="B5921">
            <v>8731</v>
          </cell>
          <cell r="C5921" t="str">
            <v>ZB_74_</v>
          </cell>
          <cell r="D5921" t="str">
            <v>Rancho Zinamba No. 74</v>
          </cell>
          <cell r="E5921" t="str">
            <v>García Castellanos</v>
          </cell>
          <cell r="F5921">
            <v>300</v>
          </cell>
          <cell r="G5921">
            <v>5</v>
          </cell>
          <cell r="H5921">
            <v>20</v>
          </cell>
          <cell r="I5921">
            <v>42018</v>
          </cell>
          <cell r="J5921" t="str">
            <v>NO SUMA</v>
          </cell>
          <cell r="W5921">
            <v>0</v>
          </cell>
          <cell r="AJ5921">
            <v>0</v>
          </cell>
          <cell r="AW5921">
            <v>0</v>
          </cell>
          <cell r="BJ5921">
            <v>0</v>
          </cell>
        </row>
        <row r="5922">
          <cell r="B5922">
            <v>8732</v>
          </cell>
          <cell r="C5922" t="str">
            <v>RV_173_</v>
          </cell>
          <cell r="D5922" t="str">
            <v>Rancho Recoveco No. 173</v>
          </cell>
          <cell r="E5922" t="str">
            <v>Velarde</v>
          </cell>
          <cell r="F5922">
            <v>300</v>
          </cell>
          <cell r="G5922">
            <v>1</v>
          </cell>
          <cell r="H5922">
            <v>600</v>
          </cell>
          <cell r="I5922">
            <v>42019</v>
          </cell>
          <cell r="J5922">
            <v>0</v>
          </cell>
          <cell r="W5922">
            <v>0</v>
          </cell>
          <cell r="AJ5922">
            <v>0</v>
          </cell>
          <cell r="AW5922">
            <v>0</v>
          </cell>
          <cell r="AX5922">
            <v>300</v>
          </cell>
          <cell r="AY5922">
            <v>300</v>
          </cell>
          <cell r="BJ5922">
            <v>600</v>
          </cell>
        </row>
        <row r="5923">
          <cell r="B5923">
            <v>8732</v>
          </cell>
          <cell r="C5923" t="str">
            <v>RV_173_</v>
          </cell>
          <cell r="D5923" t="str">
            <v>Rancho Recoveco No. 173</v>
          </cell>
          <cell r="E5923" t="str">
            <v>Velarde</v>
          </cell>
          <cell r="F5923">
            <v>300</v>
          </cell>
          <cell r="G5923">
            <v>3</v>
          </cell>
          <cell r="H5923">
            <v>320</v>
          </cell>
          <cell r="I5923">
            <v>42019</v>
          </cell>
          <cell r="J5923" t="str">
            <v>NO SUMA</v>
          </cell>
          <cell r="W5923">
            <v>0</v>
          </cell>
          <cell r="AJ5923">
            <v>0</v>
          </cell>
          <cell r="AW5923">
            <v>0</v>
          </cell>
          <cell r="BJ5923">
            <v>0</v>
          </cell>
        </row>
        <row r="5924">
          <cell r="B5924">
            <v>8732</v>
          </cell>
          <cell r="C5924" t="str">
            <v>RV_173_</v>
          </cell>
          <cell r="D5924" t="str">
            <v>Rancho Recoveco No. 173</v>
          </cell>
          <cell r="E5924" t="str">
            <v>Velarde</v>
          </cell>
          <cell r="F5924">
            <v>300</v>
          </cell>
          <cell r="G5924">
            <v>4</v>
          </cell>
          <cell r="H5924">
            <v>160</v>
          </cell>
          <cell r="I5924">
            <v>42019</v>
          </cell>
          <cell r="J5924" t="str">
            <v>NO SUMA</v>
          </cell>
          <cell r="W5924">
            <v>0</v>
          </cell>
          <cell r="AJ5924">
            <v>0</v>
          </cell>
          <cell r="AW5924">
            <v>0</v>
          </cell>
          <cell r="BJ5924">
            <v>0</v>
          </cell>
        </row>
        <row r="5925">
          <cell r="B5925">
            <v>8732</v>
          </cell>
          <cell r="C5925" t="str">
            <v>RV_173_</v>
          </cell>
          <cell r="D5925" t="str">
            <v>Rancho Recoveco No. 173</v>
          </cell>
          <cell r="E5925" t="str">
            <v>Velarde</v>
          </cell>
          <cell r="F5925">
            <v>300</v>
          </cell>
          <cell r="G5925">
            <v>5</v>
          </cell>
          <cell r="H5925">
            <v>80</v>
          </cell>
          <cell r="I5925">
            <v>42019</v>
          </cell>
          <cell r="J5925" t="str">
            <v>NO SUMA</v>
          </cell>
          <cell r="W5925">
            <v>0</v>
          </cell>
          <cell r="AJ5925">
            <v>0</v>
          </cell>
          <cell r="AW5925">
            <v>0</v>
          </cell>
          <cell r="BJ5925">
            <v>0</v>
          </cell>
        </row>
        <row r="5926">
          <cell r="B5926">
            <v>8733</v>
          </cell>
          <cell r="C5926" t="str">
            <v>CL_46_</v>
          </cell>
          <cell r="D5926" t="str">
            <v>Rancho La Cuchilla No. 46</v>
          </cell>
          <cell r="E5926" t="str">
            <v>Cruz López</v>
          </cell>
          <cell r="F5926">
            <v>300</v>
          </cell>
          <cell r="G5926">
            <v>1</v>
          </cell>
          <cell r="H5926">
            <v>400</v>
          </cell>
          <cell r="I5926">
            <v>42019</v>
          </cell>
          <cell r="J5926">
            <v>0</v>
          </cell>
          <cell r="W5926">
            <v>0</v>
          </cell>
          <cell r="AJ5926">
            <v>0</v>
          </cell>
          <cell r="AW5926">
            <v>0</v>
          </cell>
          <cell r="AX5926">
            <v>400</v>
          </cell>
          <cell r="BJ5926">
            <v>400</v>
          </cell>
        </row>
        <row r="5927">
          <cell r="B5927">
            <v>8733</v>
          </cell>
          <cell r="C5927" t="str">
            <v>CL_46_</v>
          </cell>
          <cell r="D5927" t="str">
            <v>Rancho La Cuchilla No. 46</v>
          </cell>
          <cell r="E5927" t="str">
            <v>Cruz López</v>
          </cell>
          <cell r="F5927">
            <v>300</v>
          </cell>
          <cell r="G5927">
            <v>3</v>
          </cell>
          <cell r="H5927">
            <v>320</v>
          </cell>
          <cell r="I5927">
            <v>42019</v>
          </cell>
          <cell r="J5927" t="str">
            <v>NO SUMA</v>
          </cell>
          <cell r="W5927">
            <v>0</v>
          </cell>
          <cell r="AJ5927">
            <v>0</v>
          </cell>
          <cell r="AW5927">
            <v>0</v>
          </cell>
          <cell r="BJ5927">
            <v>0</v>
          </cell>
        </row>
        <row r="5928">
          <cell r="B5928">
            <v>8734</v>
          </cell>
          <cell r="C5928" t="str">
            <v>LD_85_</v>
          </cell>
          <cell r="D5928" t="str">
            <v>Rancho Landero No. 85</v>
          </cell>
          <cell r="E5928" t="str">
            <v>Martínez Olague</v>
          </cell>
          <cell r="F5928">
            <v>300</v>
          </cell>
          <cell r="G5928">
            <v>1</v>
          </cell>
          <cell r="H5928">
            <v>400</v>
          </cell>
          <cell r="I5928">
            <v>42020</v>
          </cell>
          <cell r="J5928">
            <v>0</v>
          </cell>
          <cell r="W5928">
            <v>0</v>
          </cell>
          <cell r="AJ5928">
            <v>0</v>
          </cell>
          <cell r="AW5928">
            <v>0</v>
          </cell>
          <cell r="AX5928">
            <v>400</v>
          </cell>
          <cell r="BJ5928">
            <v>400</v>
          </cell>
        </row>
        <row r="5929">
          <cell r="B5929">
            <v>8738</v>
          </cell>
          <cell r="D5929" t="str">
            <v/>
          </cell>
          <cell r="E5929" t="str">
            <v/>
          </cell>
          <cell r="F5929" t="str">
            <v/>
          </cell>
          <cell r="G5929">
            <v>8</v>
          </cell>
          <cell r="J5929" t="str">
            <v>NO SUMA</v>
          </cell>
          <cell r="W5929">
            <v>0</v>
          </cell>
          <cell r="AJ5929">
            <v>0</v>
          </cell>
          <cell r="AW5929">
            <v>0</v>
          </cell>
          <cell r="BJ5929">
            <v>0</v>
          </cell>
        </row>
        <row r="5930">
          <cell r="B5930">
            <v>8739</v>
          </cell>
          <cell r="C5930" t="str">
            <v>EZ_55_</v>
          </cell>
          <cell r="D5930" t="str">
            <v>Rancho Estanzuela No. 55</v>
          </cell>
          <cell r="E5930" t="str">
            <v>Rodríguez Acevedo</v>
          </cell>
          <cell r="F5930">
            <v>300</v>
          </cell>
          <cell r="G5930">
            <v>1</v>
          </cell>
          <cell r="H5930">
            <v>400</v>
          </cell>
          <cell r="I5930">
            <v>42022</v>
          </cell>
          <cell r="J5930">
            <v>0</v>
          </cell>
          <cell r="W5930">
            <v>0</v>
          </cell>
          <cell r="AJ5930">
            <v>0</v>
          </cell>
          <cell r="AW5930">
            <v>0</v>
          </cell>
          <cell r="AX5930">
            <v>400</v>
          </cell>
          <cell r="BJ5930">
            <v>400</v>
          </cell>
        </row>
        <row r="5931">
          <cell r="B5931">
            <v>8740</v>
          </cell>
          <cell r="C5931" t="str">
            <v>CL_147_1</v>
          </cell>
          <cell r="D5931" t="str">
            <v>Rancho La Cuchilla No. 147, 1</v>
          </cell>
          <cell r="E5931" t="str">
            <v>Mena</v>
          </cell>
          <cell r="F5931">
            <v>300</v>
          </cell>
          <cell r="G5931">
            <v>1</v>
          </cell>
          <cell r="H5931">
            <v>600</v>
          </cell>
          <cell r="I5931">
            <v>42022</v>
          </cell>
          <cell r="J5931">
            <v>0</v>
          </cell>
          <cell r="W5931">
            <v>0</v>
          </cell>
          <cell r="AJ5931">
            <v>0</v>
          </cell>
          <cell r="AW5931">
            <v>0</v>
          </cell>
          <cell r="AX5931">
            <v>200</v>
          </cell>
          <cell r="AY5931">
            <v>200</v>
          </cell>
          <cell r="AZ5931">
            <v>200</v>
          </cell>
          <cell r="BJ5931">
            <v>600</v>
          </cell>
        </row>
        <row r="5932">
          <cell r="B5932">
            <v>8741</v>
          </cell>
          <cell r="C5932" t="str">
            <v>LD_89_</v>
          </cell>
          <cell r="D5932" t="str">
            <v>Rancho Landero No. 89</v>
          </cell>
          <cell r="E5932" t="str">
            <v>Del Pozo Solís</v>
          </cell>
          <cell r="F5932">
            <v>300</v>
          </cell>
          <cell r="G5932">
            <v>1</v>
          </cell>
          <cell r="H5932">
            <v>300</v>
          </cell>
          <cell r="I5932">
            <v>42022</v>
          </cell>
          <cell r="J5932">
            <v>0</v>
          </cell>
          <cell r="W5932">
            <v>0</v>
          </cell>
          <cell r="AJ5932">
            <v>0</v>
          </cell>
          <cell r="AW5932">
            <v>0</v>
          </cell>
          <cell r="AX5932">
            <v>300</v>
          </cell>
          <cell r="BJ5932">
            <v>300</v>
          </cell>
        </row>
        <row r="5933">
          <cell r="B5933">
            <v>8742</v>
          </cell>
          <cell r="C5933" t="str">
            <v>EZ_157_1</v>
          </cell>
          <cell r="D5933" t="str">
            <v>Rancho Estanzuela No. 157, 1</v>
          </cell>
          <cell r="E5933" t="str">
            <v>Anzures</v>
          </cell>
          <cell r="F5933">
            <v>450</v>
          </cell>
          <cell r="G5933">
            <v>1</v>
          </cell>
          <cell r="H5933">
            <v>450</v>
          </cell>
          <cell r="I5933">
            <v>42022</v>
          </cell>
          <cell r="J5933">
            <v>0</v>
          </cell>
          <cell r="W5933">
            <v>0</v>
          </cell>
          <cell r="AJ5933">
            <v>0</v>
          </cell>
          <cell r="AT5933">
            <v>150</v>
          </cell>
          <cell r="AU5933">
            <v>150</v>
          </cell>
          <cell r="AV5933">
            <v>150</v>
          </cell>
          <cell r="AW5933">
            <v>450</v>
          </cell>
          <cell r="BJ5933">
            <v>0</v>
          </cell>
        </row>
        <row r="5934">
          <cell r="B5934">
            <v>8742</v>
          </cell>
          <cell r="C5934" t="str">
            <v>EZ_157_2</v>
          </cell>
          <cell r="D5934" t="str">
            <v>Rancho Estanzuela No. 157, 2</v>
          </cell>
          <cell r="E5934" t="str">
            <v>Arias</v>
          </cell>
          <cell r="F5934">
            <v>150</v>
          </cell>
          <cell r="G5934">
            <v>1</v>
          </cell>
          <cell r="H5934">
            <v>450</v>
          </cell>
          <cell r="I5934">
            <v>42022</v>
          </cell>
          <cell r="J5934">
            <v>0</v>
          </cell>
          <cell r="W5934">
            <v>0</v>
          </cell>
          <cell r="AJ5934">
            <v>0</v>
          </cell>
          <cell r="AT5934">
            <v>150</v>
          </cell>
          <cell r="AU5934">
            <v>150</v>
          </cell>
          <cell r="AV5934">
            <v>150</v>
          </cell>
          <cell r="AW5934">
            <v>450</v>
          </cell>
          <cell r="BJ5934">
            <v>0</v>
          </cell>
        </row>
        <row r="5935">
          <cell r="B5935">
            <v>8742</v>
          </cell>
          <cell r="C5935" t="str">
            <v>EZ_157_3</v>
          </cell>
          <cell r="D5935" t="str">
            <v>Rancho Estanzuela No. 157, 3</v>
          </cell>
          <cell r="E5935" t="str">
            <v>Conde</v>
          </cell>
          <cell r="F5935">
            <v>300</v>
          </cell>
          <cell r="G5935">
            <v>1</v>
          </cell>
          <cell r="H5935">
            <v>450</v>
          </cell>
          <cell r="I5935">
            <v>42022</v>
          </cell>
          <cell r="J5935">
            <v>0</v>
          </cell>
          <cell r="W5935">
            <v>0</v>
          </cell>
          <cell r="AJ5935">
            <v>0</v>
          </cell>
          <cell r="AT5935">
            <v>150</v>
          </cell>
          <cell r="AU5935">
            <v>150</v>
          </cell>
          <cell r="AV5935">
            <v>150</v>
          </cell>
          <cell r="AW5935">
            <v>450</v>
          </cell>
          <cell r="BJ5935">
            <v>0</v>
          </cell>
        </row>
        <row r="5936">
          <cell r="B5936">
            <v>8743</v>
          </cell>
          <cell r="C5936" t="str">
            <v>RV_175_A</v>
          </cell>
          <cell r="D5936" t="str">
            <v>Rancho Recoveco No. 175, A</v>
          </cell>
          <cell r="E5936" t="str">
            <v>Pérez</v>
          </cell>
          <cell r="F5936">
            <v>300</v>
          </cell>
          <cell r="G5936">
            <v>1</v>
          </cell>
          <cell r="H5936">
            <v>800</v>
          </cell>
          <cell r="I5936">
            <v>42022</v>
          </cell>
          <cell r="J5936">
            <v>0</v>
          </cell>
          <cell r="W5936">
            <v>0</v>
          </cell>
          <cell r="AJ5936">
            <v>0</v>
          </cell>
          <cell r="AV5936">
            <v>400</v>
          </cell>
          <cell r="AW5936">
            <v>400</v>
          </cell>
          <cell r="AX5936">
            <v>400</v>
          </cell>
          <cell r="BJ5936">
            <v>400</v>
          </cell>
        </row>
        <row r="5937">
          <cell r="B5937">
            <v>8744</v>
          </cell>
          <cell r="C5937" t="str">
            <v>LD_84_</v>
          </cell>
          <cell r="D5937" t="str">
            <v>Rancho Landero No. 84</v>
          </cell>
          <cell r="E5937" t="str">
            <v>Alcántara</v>
          </cell>
          <cell r="F5937">
            <v>300</v>
          </cell>
          <cell r="G5937">
            <v>1</v>
          </cell>
          <cell r="H5937">
            <v>400</v>
          </cell>
          <cell r="I5937">
            <v>42022</v>
          </cell>
          <cell r="J5937">
            <v>0</v>
          </cell>
          <cell r="W5937">
            <v>0</v>
          </cell>
          <cell r="AJ5937">
            <v>0</v>
          </cell>
          <cell r="AW5937">
            <v>0</v>
          </cell>
          <cell r="AX5937">
            <v>400</v>
          </cell>
          <cell r="BJ5937">
            <v>400</v>
          </cell>
        </row>
        <row r="5938">
          <cell r="B5938">
            <v>8745</v>
          </cell>
          <cell r="C5938" t="str">
            <v>CL_81_A</v>
          </cell>
          <cell r="D5938" t="str">
            <v>Rancho La Cuchilla No. 81, A</v>
          </cell>
          <cell r="E5938" t="str">
            <v>Barrientos López</v>
          </cell>
          <cell r="F5938">
            <v>300</v>
          </cell>
          <cell r="G5938">
            <v>1</v>
          </cell>
          <cell r="H5938">
            <v>400</v>
          </cell>
          <cell r="I5938">
            <v>42022</v>
          </cell>
          <cell r="J5938">
            <v>0</v>
          </cell>
          <cell r="W5938">
            <v>0</v>
          </cell>
          <cell r="AJ5938">
            <v>0</v>
          </cell>
          <cell r="AW5938">
            <v>0</v>
          </cell>
          <cell r="AX5938">
            <v>400</v>
          </cell>
          <cell r="BJ5938">
            <v>400</v>
          </cell>
        </row>
        <row r="5939">
          <cell r="B5939">
            <v>8746</v>
          </cell>
          <cell r="C5939" t="str">
            <v>UP_120_</v>
          </cell>
          <cell r="D5939" t="str">
            <v>Rancho Upácuaro No. 120</v>
          </cell>
          <cell r="E5939" t="str">
            <v>Rayas Rivera</v>
          </cell>
          <cell r="F5939">
            <v>300</v>
          </cell>
          <cell r="G5939">
            <v>1</v>
          </cell>
          <cell r="H5939">
            <v>400</v>
          </cell>
          <cell r="I5939">
            <v>42022</v>
          </cell>
          <cell r="J5939">
            <v>0</v>
          </cell>
          <cell r="W5939">
            <v>0</v>
          </cell>
          <cell r="AJ5939">
            <v>0</v>
          </cell>
          <cell r="AW5939">
            <v>0</v>
          </cell>
          <cell r="AX5939">
            <v>400</v>
          </cell>
          <cell r="BJ5939">
            <v>400</v>
          </cell>
        </row>
        <row r="5940">
          <cell r="B5940">
            <v>8746</v>
          </cell>
          <cell r="C5940" t="str">
            <v>UP_120_</v>
          </cell>
          <cell r="D5940" t="str">
            <v>Rancho Upácuaro No. 120</v>
          </cell>
          <cell r="E5940" t="str">
            <v>Rayas Rivera</v>
          </cell>
          <cell r="F5940">
            <v>300</v>
          </cell>
          <cell r="G5940">
            <v>4</v>
          </cell>
          <cell r="H5940">
            <v>160</v>
          </cell>
          <cell r="I5940">
            <v>42022</v>
          </cell>
          <cell r="J5940" t="str">
            <v>NO SUMA</v>
          </cell>
          <cell r="W5940">
            <v>0</v>
          </cell>
          <cell r="AJ5940">
            <v>0</v>
          </cell>
          <cell r="AW5940">
            <v>0</v>
          </cell>
          <cell r="BJ5940">
            <v>0</v>
          </cell>
        </row>
        <row r="5941">
          <cell r="B5941">
            <v>8747</v>
          </cell>
          <cell r="C5941" t="str">
            <v>EZ_77_</v>
          </cell>
          <cell r="D5941" t="str">
            <v>Rancho Estanzuela No. 77</v>
          </cell>
          <cell r="E5941" t="str">
            <v>De la Rosa Rico</v>
          </cell>
          <cell r="F5941">
            <v>300</v>
          </cell>
          <cell r="G5941">
            <v>1</v>
          </cell>
          <cell r="H5941">
            <v>800</v>
          </cell>
          <cell r="I5941">
            <v>42022</v>
          </cell>
          <cell r="J5941">
            <v>0</v>
          </cell>
          <cell r="W5941">
            <v>0</v>
          </cell>
          <cell r="AJ5941">
            <v>0</v>
          </cell>
          <cell r="AU5941">
            <v>400</v>
          </cell>
          <cell r="AV5941">
            <v>400</v>
          </cell>
          <cell r="AW5941">
            <v>800</v>
          </cell>
          <cell r="BJ5941">
            <v>0</v>
          </cell>
        </row>
        <row r="5942">
          <cell r="B5942">
            <v>8748</v>
          </cell>
          <cell r="C5942" t="str">
            <v>CL_95_</v>
          </cell>
          <cell r="D5942" t="str">
            <v>Rancho La Cuchilla No. 95</v>
          </cell>
          <cell r="E5942" t="str">
            <v>Gutiérrez Sánchez</v>
          </cell>
          <cell r="F5942">
            <v>300</v>
          </cell>
          <cell r="G5942">
            <v>1</v>
          </cell>
          <cell r="H5942">
            <v>2800</v>
          </cell>
          <cell r="I5942">
            <v>42022</v>
          </cell>
          <cell r="J5942">
            <v>0</v>
          </cell>
          <cell r="W5942">
            <v>0</v>
          </cell>
          <cell r="AJ5942">
            <v>0</v>
          </cell>
          <cell r="AW5942">
            <v>0</v>
          </cell>
          <cell r="BB5942">
            <v>400</v>
          </cell>
          <cell r="BC5942">
            <v>400</v>
          </cell>
          <cell r="BD5942">
            <v>400</v>
          </cell>
          <cell r="BE5942">
            <v>400</v>
          </cell>
          <cell r="BF5942">
            <v>400</v>
          </cell>
          <cell r="BG5942">
            <v>400</v>
          </cell>
          <cell r="BH5942">
            <v>400</v>
          </cell>
          <cell r="BJ5942">
            <v>2800</v>
          </cell>
        </row>
        <row r="5943">
          <cell r="B5943">
            <v>8749</v>
          </cell>
          <cell r="C5943" t="str">
            <v>CL_81_B</v>
          </cell>
          <cell r="D5943" t="str">
            <v>Rancho La Cuchilla No. 81, B</v>
          </cell>
          <cell r="E5943" t="str">
            <v>Suárez</v>
          </cell>
          <cell r="F5943">
            <v>300</v>
          </cell>
          <cell r="G5943">
            <v>1</v>
          </cell>
          <cell r="H5943">
            <v>1600</v>
          </cell>
          <cell r="I5943">
            <v>42022</v>
          </cell>
          <cell r="J5943">
            <v>0</v>
          </cell>
          <cell r="W5943">
            <v>0</v>
          </cell>
          <cell r="AJ5943">
            <v>0</v>
          </cell>
          <cell r="AW5943">
            <v>0</v>
          </cell>
          <cell r="AX5943">
            <v>400</v>
          </cell>
          <cell r="AY5943">
            <v>400</v>
          </cell>
          <cell r="AZ5943">
            <v>400</v>
          </cell>
          <cell r="BA5943">
            <v>400</v>
          </cell>
          <cell r="BJ5943">
            <v>1600</v>
          </cell>
        </row>
        <row r="5944">
          <cell r="B5944">
            <v>8750</v>
          </cell>
          <cell r="C5944" t="str">
            <v>LD_8_</v>
          </cell>
          <cell r="D5944" t="str">
            <v>Rancho Landero No. 8</v>
          </cell>
          <cell r="E5944" t="str">
            <v>Peña Torres</v>
          </cell>
          <cell r="F5944">
            <v>250</v>
          </cell>
          <cell r="G5944">
            <v>1</v>
          </cell>
          <cell r="H5944">
            <v>500</v>
          </cell>
          <cell r="I5944">
            <v>42022</v>
          </cell>
          <cell r="J5944">
            <v>0</v>
          </cell>
          <cell r="W5944">
            <v>0</v>
          </cell>
          <cell r="AJ5944">
            <v>0</v>
          </cell>
          <cell r="AW5944">
            <v>0</v>
          </cell>
          <cell r="AX5944">
            <v>250</v>
          </cell>
          <cell r="AY5944">
            <v>250</v>
          </cell>
          <cell r="BJ5944">
            <v>500</v>
          </cell>
        </row>
        <row r="5945">
          <cell r="B5945">
            <v>8751</v>
          </cell>
          <cell r="C5945" t="str">
            <v>CL_111_</v>
          </cell>
          <cell r="D5945" t="str">
            <v>Rancho La Cuchilla No. 111</v>
          </cell>
          <cell r="E5945" t="str">
            <v>García Santos Ofelia</v>
          </cell>
          <cell r="F5945">
            <v>150</v>
          </cell>
          <cell r="G5945">
            <v>1</v>
          </cell>
          <cell r="H5945">
            <v>200</v>
          </cell>
          <cell r="I5945">
            <v>42022</v>
          </cell>
          <cell r="J5945">
            <v>0</v>
          </cell>
          <cell r="W5945">
            <v>0</v>
          </cell>
          <cell r="AJ5945">
            <v>0</v>
          </cell>
          <cell r="AW5945">
            <v>0</v>
          </cell>
          <cell r="AX5945">
            <v>200</v>
          </cell>
          <cell r="BJ5945">
            <v>200</v>
          </cell>
        </row>
        <row r="5946">
          <cell r="B5946">
            <v>8752</v>
          </cell>
          <cell r="C5946" t="str">
            <v>EZ_3_</v>
          </cell>
          <cell r="D5946" t="str">
            <v>Rancho Estanzuela No. 3</v>
          </cell>
          <cell r="E5946" t="str">
            <v>Villanueva Nájera</v>
          </cell>
          <cell r="F5946">
            <v>150</v>
          </cell>
          <cell r="G5946">
            <v>1</v>
          </cell>
          <cell r="H5946">
            <v>600</v>
          </cell>
          <cell r="I5946">
            <v>42022</v>
          </cell>
          <cell r="J5946">
            <v>0</v>
          </cell>
          <cell r="W5946">
            <v>0</v>
          </cell>
          <cell r="AJ5946">
            <v>0</v>
          </cell>
          <cell r="AW5946">
            <v>0</v>
          </cell>
          <cell r="AX5946">
            <v>200</v>
          </cell>
          <cell r="AY5946">
            <v>200</v>
          </cell>
          <cell r="AZ5946">
            <v>200</v>
          </cell>
          <cell r="BJ5946">
            <v>600</v>
          </cell>
        </row>
        <row r="5947">
          <cell r="B5947">
            <v>8753</v>
          </cell>
          <cell r="C5947" t="str">
            <v>CL_63_</v>
          </cell>
          <cell r="D5947" t="str">
            <v>Rancho La Cuchilla No. 63</v>
          </cell>
          <cell r="E5947" t="str">
            <v>Díaz de la Rosa</v>
          </cell>
          <cell r="F5947">
            <v>300</v>
          </cell>
          <cell r="G5947">
            <v>1</v>
          </cell>
          <cell r="H5947">
            <v>300</v>
          </cell>
          <cell r="I5947">
            <v>42022</v>
          </cell>
          <cell r="J5947">
            <v>0</v>
          </cell>
          <cell r="W5947">
            <v>0</v>
          </cell>
          <cell r="AJ5947">
            <v>0</v>
          </cell>
          <cell r="AW5947">
            <v>0</v>
          </cell>
          <cell r="AX5947">
            <v>300</v>
          </cell>
          <cell r="BJ5947">
            <v>300</v>
          </cell>
        </row>
        <row r="5948">
          <cell r="B5948">
            <v>8754</v>
          </cell>
          <cell r="C5948" t="str">
            <v>UP_7_</v>
          </cell>
          <cell r="D5948" t="str">
            <v>Rancho Upácuaro No. 7</v>
          </cell>
          <cell r="E5948" t="str">
            <v xml:space="preserve">Troncoso </v>
          </cell>
          <cell r="F5948">
            <v>300</v>
          </cell>
          <cell r="G5948">
            <v>1</v>
          </cell>
          <cell r="H5948">
            <v>3300</v>
          </cell>
          <cell r="I5948">
            <v>42022</v>
          </cell>
          <cell r="J5948">
            <v>0</v>
          </cell>
          <cell r="W5948">
            <v>0</v>
          </cell>
          <cell r="AJ5948">
            <v>0</v>
          </cell>
          <cell r="AW5948">
            <v>0</v>
          </cell>
          <cell r="AX5948">
            <v>300</v>
          </cell>
          <cell r="AY5948">
            <v>300</v>
          </cell>
          <cell r="AZ5948">
            <v>300</v>
          </cell>
          <cell r="BA5948">
            <v>300</v>
          </cell>
          <cell r="BB5948">
            <v>300</v>
          </cell>
          <cell r="BC5948">
            <v>300</v>
          </cell>
          <cell r="BD5948">
            <v>300</v>
          </cell>
          <cell r="BE5948">
            <v>300</v>
          </cell>
          <cell r="BF5948">
            <v>300</v>
          </cell>
          <cell r="BG5948">
            <v>300</v>
          </cell>
          <cell r="BH5948">
            <v>300</v>
          </cell>
          <cell r="BJ5948">
            <v>3300</v>
          </cell>
        </row>
        <row r="5949">
          <cell r="B5949">
            <v>8755</v>
          </cell>
          <cell r="C5949" t="str">
            <v>EZ_49_</v>
          </cell>
          <cell r="D5949" t="str">
            <v>Rancho Estanzuela No. 49</v>
          </cell>
          <cell r="E5949" t="str">
            <v>Sánchez Zamora</v>
          </cell>
          <cell r="F5949">
            <v>300</v>
          </cell>
          <cell r="G5949">
            <v>1</v>
          </cell>
          <cell r="H5949">
            <v>400</v>
          </cell>
          <cell r="I5949">
            <v>42022</v>
          </cell>
          <cell r="J5949">
            <v>0</v>
          </cell>
          <cell r="W5949">
            <v>0</v>
          </cell>
          <cell r="AJ5949">
            <v>0</v>
          </cell>
          <cell r="AS5949">
            <v>200</v>
          </cell>
          <cell r="AT5949">
            <v>200</v>
          </cell>
          <cell r="AW5949">
            <v>400</v>
          </cell>
          <cell r="BJ5949">
            <v>0</v>
          </cell>
        </row>
        <row r="5950">
          <cell r="B5950">
            <v>8756</v>
          </cell>
          <cell r="C5950" t="str">
            <v>ZB_14_</v>
          </cell>
          <cell r="D5950" t="str">
            <v>Rancho Zinamba No. 14</v>
          </cell>
          <cell r="E5950" t="str">
            <v>Gutiérrez García</v>
          </cell>
          <cell r="F5950">
            <v>300</v>
          </cell>
          <cell r="G5950">
            <v>1</v>
          </cell>
          <cell r="H5950">
            <v>800</v>
          </cell>
          <cell r="I5950">
            <v>42022</v>
          </cell>
          <cell r="J5950">
            <v>0</v>
          </cell>
          <cell r="W5950">
            <v>0</v>
          </cell>
          <cell r="AJ5950">
            <v>0</v>
          </cell>
          <cell r="AV5950">
            <v>400</v>
          </cell>
          <cell r="AW5950">
            <v>400</v>
          </cell>
          <cell r="AX5950">
            <v>400</v>
          </cell>
          <cell r="BJ5950">
            <v>400</v>
          </cell>
        </row>
        <row r="5951">
          <cell r="B5951">
            <v>8757</v>
          </cell>
          <cell r="C5951" t="str">
            <v>RV_183_</v>
          </cell>
          <cell r="D5951" t="str">
            <v>Rancho Recoveco No. 183</v>
          </cell>
          <cell r="E5951" t="str">
            <v>Atilano Limón</v>
          </cell>
          <cell r="F5951">
            <v>300</v>
          </cell>
          <cell r="G5951">
            <v>1</v>
          </cell>
          <cell r="H5951">
            <v>4400</v>
          </cell>
          <cell r="I5951">
            <v>42022</v>
          </cell>
          <cell r="J5951">
            <v>0</v>
          </cell>
          <cell r="W5951">
            <v>0</v>
          </cell>
          <cell r="AJ5951">
            <v>0</v>
          </cell>
          <cell r="AW5951">
            <v>0</v>
          </cell>
          <cell r="AX5951">
            <v>400</v>
          </cell>
          <cell r="AY5951">
            <v>400</v>
          </cell>
          <cell r="AZ5951">
            <v>400</v>
          </cell>
          <cell r="BA5951">
            <v>400</v>
          </cell>
          <cell r="BB5951">
            <v>400</v>
          </cell>
          <cell r="BC5951">
            <v>400</v>
          </cell>
          <cell r="BD5951">
            <v>400</v>
          </cell>
          <cell r="BE5951">
            <v>400</v>
          </cell>
          <cell r="BF5951">
            <v>400</v>
          </cell>
          <cell r="BG5951">
            <v>400</v>
          </cell>
          <cell r="BH5951">
            <v>400</v>
          </cell>
          <cell r="BJ5951">
            <v>4400</v>
          </cell>
        </row>
        <row r="5952">
          <cell r="B5952">
            <v>8758</v>
          </cell>
          <cell r="C5952" t="str">
            <v>CL_83_</v>
          </cell>
          <cell r="D5952" t="str">
            <v>Rancho La Cuchilla No. 83</v>
          </cell>
          <cell r="E5952" t="str">
            <v>Barradas</v>
          </cell>
          <cell r="F5952">
            <v>300</v>
          </cell>
          <cell r="G5952">
            <v>3</v>
          </cell>
          <cell r="H5952">
            <v>160</v>
          </cell>
          <cell r="I5952">
            <v>42022</v>
          </cell>
          <cell r="J5952" t="str">
            <v>NO SUMA</v>
          </cell>
          <cell r="W5952">
            <v>0</v>
          </cell>
          <cell r="AJ5952">
            <v>0</v>
          </cell>
          <cell r="AW5952">
            <v>0</v>
          </cell>
          <cell r="BJ5952">
            <v>0</v>
          </cell>
        </row>
        <row r="5953">
          <cell r="B5953">
            <v>8759</v>
          </cell>
          <cell r="C5953" t="str">
            <v>ZB_34_</v>
          </cell>
          <cell r="D5953" t="str">
            <v>Rancho Zinamba No. 34</v>
          </cell>
          <cell r="E5953" t="str">
            <v>Torres Zavala</v>
          </cell>
          <cell r="F5953">
            <v>300</v>
          </cell>
          <cell r="G5953">
            <v>4</v>
          </cell>
          <cell r="H5953">
            <v>160</v>
          </cell>
          <cell r="I5953">
            <v>42022</v>
          </cell>
          <cell r="J5953" t="str">
            <v>NO SUMA</v>
          </cell>
          <cell r="W5953">
            <v>0</v>
          </cell>
          <cell r="AJ5953">
            <v>0</v>
          </cell>
          <cell r="AW5953">
            <v>0</v>
          </cell>
          <cell r="BJ5953">
            <v>0</v>
          </cell>
        </row>
        <row r="5954">
          <cell r="B5954">
            <v>8760</v>
          </cell>
          <cell r="C5954" t="str">
            <v>CL_112_PB</v>
          </cell>
          <cell r="D5954" t="str">
            <v>Rancho La Cuchilla No. 112, PB</v>
          </cell>
          <cell r="E5954" t="str">
            <v>Soreque</v>
          </cell>
          <cell r="F5954">
            <v>150</v>
          </cell>
          <cell r="G5954">
            <v>1</v>
          </cell>
          <cell r="H5954">
            <v>200</v>
          </cell>
          <cell r="I5954">
            <v>42022</v>
          </cell>
          <cell r="J5954">
            <v>0</v>
          </cell>
          <cell r="W5954">
            <v>0</v>
          </cell>
          <cell r="AJ5954">
            <v>0</v>
          </cell>
          <cell r="AW5954">
            <v>0</v>
          </cell>
          <cell r="AX5954">
            <v>200</v>
          </cell>
          <cell r="BJ5954">
            <v>200</v>
          </cell>
        </row>
        <row r="5955">
          <cell r="B5955">
            <v>8761</v>
          </cell>
          <cell r="C5955" t="str">
            <v>CL_74_</v>
          </cell>
          <cell r="D5955" t="str">
            <v>Rancho La Cuchilla No. 74</v>
          </cell>
          <cell r="E5955" t="str">
            <v>Gil</v>
          </cell>
          <cell r="F5955">
            <v>300</v>
          </cell>
          <cell r="G5955">
            <v>1</v>
          </cell>
          <cell r="H5955">
            <v>400</v>
          </cell>
          <cell r="I5955">
            <v>42022</v>
          </cell>
          <cell r="J5955">
            <v>0</v>
          </cell>
          <cell r="W5955">
            <v>0</v>
          </cell>
          <cell r="AJ5955">
            <v>0</v>
          </cell>
          <cell r="AW5955">
            <v>0</v>
          </cell>
          <cell r="AX5955">
            <v>400</v>
          </cell>
          <cell r="BJ5955">
            <v>400</v>
          </cell>
        </row>
        <row r="5956">
          <cell r="B5956">
            <v>8762</v>
          </cell>
          <cell r="C5956" t="str">
            <v>CL_11_</v>
          </cell>
          <cell r="D5956" t="str">
            <v>Rancho La Cuchilla No. 11</v>
          </cell>
          <cell r="E5956" t="str">
            <v>Santiago</v>
          </cell>
          <cell r="F5956">
            <v>300</v>
          </cell>
          <cell r="G5956">
            <v>1</v>
          </cell>
          <cell r="H5956">
            <v>1200</v>
          </cell>
          <cell r="I5956">
            <v>42022</v>
          </cell>
          <cell r="J5956">
            <v>0</v>
          </cell>
          <cell r="W5956">
            <v>0</v>
          </cell>
          <cell r="AJ5956">
            <v>0</v>
          </cell>
          <cell r="AL5956">
            <v>100</v>
          </cell>
          <cell r="AM5956">
            <v>100</v>
          </cell>
          <cell r="AN5956">
            <v>100</v>
          </cell>
          <cell r="AO5956">
            <v>100</v>
          </cell>
          <cell r="AP5956">
            <v>100</v>
          </cell>
          <cell r="AQ5956">
            <v>100</v>
          </cell>
          <cell r="AR5956">
            <v>100</v>
          </cell>
          <cell r="AS5956">
            <v>100</v>
          </cell>
          <cell r="AT5956">
            <v>100</v>
          </cell>
          <cell r="AU5956">
            <v>100</v>
          </cell>
          <cell r="AV5956">
            <v>100</v>
          </cell>
          <cell r="AW5956">
            <v>1100</v>
          </cell>
          <cell r="AX5956">
            <v>100</v>
          </cell>
          <cell r="BJ5956">
            <v>100</v>
          </cell>
        </row>
        <row r="5957">
          <cell r="B5957">
            <v>8763</v>
          </cell>
          <cell r="C5957" t="str">
            <v>UP_96_</v>
          </cell>
          <cell r="D5957" t="str">
            <v>Rancho Upácuaro No. 96</v>
          </cell>
          <cell r="E5957" t="str">
            <v>Daza Gutiérrez</v>
          </cell>
          <cell r="F5957">
            <v>300</v>
          </cell>
          <cell r="G5957">
            <v>1</v>
          </cell>
          <cell r="H5957">
            <v>400</v>
          </cell>
          <cell r="I5957">
            <v>42022</v>
          </cell>
          <cell r="J5957">
            <v>0</v>
          </cell>
          <cell r="W5957">
            <v>0</v>
          </cell>
          <cell r="AJ5957">
            <v>0</v>
          </cell>
          <cell r="AW5957">
            <v>0</v>
          </cell>
          <cell r="AX5957">
            <v>400</v>
          </cell>
          <cell r="BJ5957">
            <v>400</v>
          </cell>
        </row>
        <row r="5958">
          <cell r="B5958">
            <v>8763</v>
          </cell>
          <cell r="C5958" t="str">
            <v>UP_96_</v>
          </cell>
          <cell r="D5958" t="str">
            <v>Rancho Upácuaro No. 96</v>
          </cell>
          <cell r="E5958" t="str">
            <v>Daza Gutiérrez</v>
          </cell>
          <cell r="F5958">
            <v>300</v>
          </cell>
          <cell r="G5958">
            <v>4</v>
          </cell>
          <cell r="H5958">
            <v>160</v>
          </cell>
          <cell r="I5958">
            <v>42022</v>
          </cell>
          <cell r="J5958" t="str">
            <v>NO SUMA</v>
          </cell>
          <cell r="W5958">
            <v>0</v>
          </cell>
          <cell r="AJ5958">
            <v>0</v>
          </cell>
          <cell r="AW5958">
            <v>0</v>
          </cell>
          <cell r="BJ5958">
            <v>0</v>
          </cell>
        </row>
        <row r="5959">
          <cell r="B5959">
            <v>8764</v>
          </cell>
          <cell r="C5959" t="str">
            <v>UP_106_</v>
          </cell>
          <cell r="D5959" t="str">
            <v>Rancho Upácuaro No. 106</v>
          </cell>
          <cell r="E5959" t="str">
            <v>Hernández Sánchez</v>
          </cell>
          <cell r="F5959">
            <v>300</v>
          </cell>
          <cell r="G5959">
            <v>1</v>
          </cell>
          <cell r="H5959">
            <v>1600</v>
          </cell>
          <cell r="I5959">
            <v>42022</v>
          </cell>
          <cell r="J5959">
            <v>0</v>
          </cell>
          <cell r="W5959">
            <v>0</v>
          </cell>
          <cell r="AJ5959">
            <v>0</v>
          </cell>
          <cell r="AS5959">
            <v>400</v>
          </cell>
          <cell r="AT5959">
            <v>400</v>
          </cell>
          <cell r="AU5959">
            <v>400</v>
          </cell>
          <cell r="AV5959">
            <v>400</v>
          </cell>
          <cell r="AW5959">
            <v>1600</v>
          </cell>
          <cell r="BJ5959">
            <v>0</v>
          </cell>
        </row>
        <row r="5960">
          <cell r="B5960">
            <v>8765</v>
          </cell>
          <cell r="C5960" t="str">
            <v>UP_19_</v>
          </cell>
          <cell r="D5960" t="str">
            <v>Rancho Upácuaro No. 19</v>
          </cell>
          <cell r="E5960" t="str">
            <v>Peña Inclán</v>
          </cell>
          <cell r="F5960">
            <v>200</v>
          </cell>
          <cell r="G5960">
            <v>1</v>
          </cell>
          <cell r="H5960">
            <v>300</v>
          </cell>
          <cell r="I5960">
            <v>42022</v>
          </cell>
          <cell r="J5960">
            <v>0</v>
          </cell>
          <cell r="W5960">
            <v>0</v>
          </cell>
          <cell r="AJ5960">
            <v>0</v>
          </cell>
          <cell r="AW5960">
            <v>0</v>
          </cell>
          <cell r="AX5960">
            <v>300</v>
          </cell>
          <cell r="BJ5960">
            <v>300</v>
          </cell>
        </row>
        <row r="5961">
          <cell r="B5961">
            <v>8766</v>
          </cell>
          <cell r="C5961" t="str">
            <v>LD_36_</v>
          </cell>
          <cell r="D5961" t="str">
            <v>Rancho Landero No. 36</v>
          </cell>
          <cell r="E5961" t="str">
            <v>Jaime</v>
          </cell>
          <cell r="F5961">
            <v>200</v>
          </cell>
          <cell r="G5961">
            <v>1</v>
          </cell>
          <cell r="H5961">
            <v>250</v>
          </cell>
          <cell r="I5961">
            <v>42022</v>
          </cell>
          <cell r="J5961">
            <v>0</v>
          </cell>
          <cell r="W5961">
            <v>0</v>
          </cell>
          <cell r="AJ5961">
            <v>0</v>
          </cell>
          <cell r="AW5961">
            <v>0</v>
          </cell>
          <cell r="AX5961">
            <v>250</v>
          </cell>
          <cell r="BJ5961">
            <v>250</v>
          </cell>
        </row>
        <row r="5962">
          <cell r="B5962">
            <v>8767</v>
          </cell>
          <cell r="C5962" t="str">
            <v>EP_22_A</v>
          </cell>
          <cell r="D5962" t="str">
            <v>Rancho Estopila No. 22, A</v>
          </cell>
          <cell r="E5962" t="str">
            <v>Ayala Carranza</v>
          </cell>
          <cell r="F5962">
            <v>150</v>
          </cell>
          <cell r="G5962">
            <v>1</v>
          </cell>
          <cell r="H5962">
            <v>200</v>
          </cell>
          <cell r="I5962">
            <v>42022</v>
          </cell>
          <cell r="J5962">
            <v>0</v>
          </cell>
          <cell r="W5962">
            <v>0</v>
          </cell>
          <cell r="AJ5962">
            <v>0</v>
          </cell>
          <cell r="AW5962">
            <v>0</v>
          </cell>
          <cell r="AX5962">
            <v>200</v>
          </cell>
          <cell r="BJ5962">
            <v>200</v>
          </cell>
        </row>
        <row r="5963">
          <cell r="B5963">
            <v>8768</v>
          </cell>
          <cell r="C5963" t="str">
            <v>LD_24_</v>
          </cell>
          <cell r="D5963" t="str">
            <v>Rancho Landero No. 24</v>
          </cell>
          <cell r="E5963" t="str">
            <v>Vázquez Peralta</v>
          </cell>
          <cell r="F5963">
            <v>300</v>
          </cell>
          <cell r="G5963">
            <v>1</v>
          </cell>
          <cell r="H5963">
            <v>800</v>
          </cell>
          <cell r="I5963">
            <v>42022</v>
          </cell>
          <cell r="J5963">
            <v>0</v>
          </cell>
          <cell r="W5963">
            <v>0</v>
          </cell>
          <cell r="AJ5963">
            <v>0</v>
          </cell>
          <cell r="AV5963">
            <v>400</v>
          </cell>
          <cell r="AW5963">
            <v>400</v>
          </cell>
          <cell r="AX5963">
            <v>400</v>
          </cell>
          <cell r="BJ5963">
            <v>400</v>
          </cell>
        </row>
        <row r="5964">
          <cell r="B5964">
            <v>8769</v>
          </cell>
          <cell r="C5964" t="str">
            <v>LD_33_</v>
          </cell>
          <cell r="D5964" t="str">
            <v>Rancho Landero No. 33</v>
          </cell>
          <cell r="E5964" t="str">
            <v>González Uribe</v>
          </cell>
          <cell r="F5964">
            <v>300</v>
          </cell>
          <cell r="G5964">
            <v>1</v>
          </cell>
          <cell r="H5964">
            <v>1200</v>
          </cell>
          <cell r="I5964">
            <v>42022</v>
          </cell>
          <cell r="J5964">
            <v>0</v>
          </cell>
          <cell r="W5964">
            <v>0</v>
          </cell>
          <cell r="AJ5964">
            <v>0</v>
          </cell>
          <cell r="AT5964">
            <v>400</v>
          </cell>
          <cell r="AU5964">
            <v>400</v>
          </cell>
          <cell r="AV5964">
            <v>400</v>
          </cell>
          <cell r="AW5964">
            <v>1200</v>
          </cell>
          <cell r="BJ5964">
            <v>0</v>
          </cell>
        </row>
        <row r="5965">
          <cell r="B5965">
            <v>8770</v>
          </cell>
          <cell r="C5965" t="str">
            <v>LD_7_</v>
          </cell>
          <cell r="D5965" t="str">
            <v>Rancho Landero No. 7</v>
          </cell>
          <cell r="E5965" t="str">
            <v>Robles</v>
          </cell>
          <cell r="F5965">
            <v>150</v>
          </cell>
          <cell r="G5965">
            <v>1</v>
          </cell>
          <cell r="H5965">
            <v>150</v>
          </cell>
          <cell r="I5965">
            <v>42022</v>
          </cell>
          <cell r="J5965">
            <v>0</v>
          </cell>
          <cell r="W5965">
            <v>0</v>
          </cell>
          <cell r="AJ5965">
            <v>0</v>
          </cell>
          <cell r="AW5965">
            <v>0</v>
          </cell>
          <cell r="AX5965">
            <v>150</v>
          </cell>
          <cell r="BJ5965">
            <v>150</v>
          </cell>
        </row>
        <row r="5966">
          <cell r="B5966">
            <v>8771</v>
          </cell>
          <cell r="C5966" t="str">
            <v>LD_51_</v>
          </cell>
          <cell r="D5966" t="str">
            <v>Rancho Landero No. 51</v>
          </cell>
          <cell r="E5966" t="str">
            <v>H. Robles Tamayo</v>
          </cell>
          <cell r="F5966">
            <v>300</v>
          </cell>
          <cell r="G5966">
            <v>1</v>
          </cell>
          <cell r="H5966">
            <v>800</v>
          </cell>
          <cell r="I5966">
            <v>42022</v>
          </cell>
          <cell r="J5966">
            <v>0</v>
          </cell>
          <cell r="W5966">
            <v>0</v>
          </cell>
          <cell r="AJ5966">
            <v>0</v>
          </cell>
          <cell r="AV5966">
            <v>400</v>
          </cell>
          <cell r="AW5966">
            <v>400</v>
          </cell>
          <cell r="AX5966">
            <v>400</v>
          </cell>
          <cell r="BJ5966">
            <v>400</v>
          </cell>
        </row>
        <row r="5967">
          <cell r="B5967">
            <v>8772</v>
          </cell>
          <cell r="C5967" t="str">
            <v>UP_21_</v>
          </cell>
          <cell r="D5967" t="str">
            <v>Rancho Upácuaro No. 21</v>
          </cell>
          <cell r="E5967" t="str">
            <v>Fierro Betancourt</v>
          </cell>
          <cell r="F5967">
            <v>150</v>
          </cell>
          <cell r="G5967">
            <v>1</v>
          </cell>
          <cell r="H5967">
            <v>200</v>
          </cell>
          <cell r="I5967">
            <v>42022</v>
          </cell>
          <cell r="J5967">
            <v>0</v>
          </cell>
          <cell r="W5967">
            <v>0</v>
          </cell>
          <cell r="AJ5967">
            <v>0</v>
          </cell>
          <cell r="AW5967">
            <v>0</v>
          </cell>
          <cell r="AX5967">
            <v>200</v>
          </cell>
          <cell r="BJ5967">
            <v>200</v>
          </cell>
        </row>
        <row r="5968">
          <cell r="B5968">
            <v>8773</v>
          </cell>
          <cell r="C5968" t="str">
            <v>EZ_95_</v>
          </cell>
          <cell r="D5968" t="str">
            <v>Rancho Estanzuela No. 95</v>
          </cell>
          <cell r="E5968" t="str">
            <v>Castro Puente</v>
          </cell>
          <cell r="F5968">
            <v>300</v>
          </cell>
          <cell r="G5968">
            <v>1</v>
          </cell>
          <cell r="H5968">
            <v>800</v>
          </cell>
          <cell r="I5968">
            <v>42022</v>
          </cell>
          <cell r="J5968">
            <v>0</v>
          </cell>
          <cell r="W5968">
            <v>0</v>
          </cell>
          <cell r="AJ5968">
            <v>0</v>
          </cell>
          <cell r="AV5968">
            <v>400</v>
          </cell>
          <cell r="AW5968">
            <v>400</v>
          </cell>
          <cell r="AX5968">
            <v>400</v>
          </cell>
          <cell r="BJ5968">
            <v>400</v>
          </cell>
        </row>
        <row r="5969">
          <cell r="B5969">
            <v>8774</v>
          </cell>
          <cell r="C5969" t="str">
            <v>UP_68_</v>
          </cell>
          <cell r="D5969" t="str">
            <v>Rancho Upácuaro No. 68</v>
          </cell>
          <cell r="E5969" t="str">
            <v>Colin Guerrero</v>
          </cell>
          <cell r="F5969">
            <v>300</v>
          </cell>
          <cell r="G5969">
            <v>1</v>
          </cell>
          <cell r="H5969">
            <v>200</v>
          </cell>
          <cell r="I5969">
            <v>42022</v>
          </cell>
          <cell r="J5969">
            <v>0</v>
          </cell>
          <cell r="W5969">
            <v>0</v>
          </cell>
          <cell r="AJ5969">
            <v>0</v>
          </cell>
          <cell r="AV5969">
            <v>200</v>
          </cell>
          <cell r="AW5969">
            <v>200</v>
          </cell>
          <cell r="BJ5969">
            <v>0</v>
          </cell>
        </row>
        <row r="5970">
          <cell r="B5970">
            <v>8775</v>
          </cell>
          <cell r="C5970" t="str">
            <v>UP_73_A</v>
          </cell>
          <cell r="D5970" t="str">
            <v>Rancho Upácuaro No. 73, A</v>
          </cell>
          <cell r="E5970" t="str">
            <v>Ortega</v>
          </cell>
          <cell r="F5970">
            <v>150</v>
          </cell>
          <cell r="G5970">
            <v>1</v>
          </cell>
          <cell r="H5970">
            <v>200</v>
          </cell>
          <cell r="I5970">
            <v>42022</v>
          </cell>
          <cell r="J5970">
            <v>0</v>
          </cell>
          <cell r="W5970">
            <v>0</v>
          </cell>
          <cell r="AJ5970">
            <v>0</v>
          </cell>
          <cell r="AV5970">
            <v>200</v>
          </cell>
          <cell r="AW5970">
            <v>200</v>
          </cell>
          <cell r="BJ5970">
            <v>0</v>
          </cell>
        </row>
        <row r="5971">
          <cell r="B5971">
            <v>8776</v>
          </cell>
          <cell r="C5971" t="str">
            <v>ZB_20_</v>
          </cell>
          <cell r="D5971" t="str">
            <v>Rancho Zinamba No. 20</v>
          </cell>
          <cell r="E5971" t="str">
            <v>Alegre Retana</v>
          </cell>
          <cell r="F5971">
            <v>300</v>
          </cell>
          <cell r="G5971">
            <v>1</v>
          </cell>
          <cell r="H5971">
            <v>400</v>
          </cell>
          <cell r="I5971">
            <v>42022</v>
          </cell>
          <cell r="J5971">
            <v>0</v>
          </cell>
          <cell r="W5971">
            <v>0</v>
          </cell>
          <cell r="AJ5971">
            <v>0</v>
          </cell>
          <cell r="AR5971">
            <v>400</v>
          </cell>
          <cell r="AW5971">
            <v>400</v>
          </cell>
          <cell r="BJ5971">
            <v>0</v>
          </cell>
        </row>
        <row r="5972">
          <cell r="B5972">
            <v>8777</v>
          </cell>
          <cell r="C5972" t="str">
            <v>UP_71_</v>
          </cell>
          <cell r="D5972" t="str">
            <v>Rancho Upácuaro No. 71</v>
          </cell>
          <cell r="E5972" t="str">
            <v>Trejo Méndez</v>
          </cell>
          <cell r="F5972">
            <v>300</v>
          </cell>
          <cell r="G5972">
            <v>1</v>
          </cell>
          <cell r="H5972">
            <v>400</v>
          </cell>
          <cell r="I5972">
            <v>42022</v>
          </cell>
          <cell r="J5972">
            <v>0</v>
          </cell>
          <cell r="W5972">
            <v>0</v>
          </cell>
          <cell r="AJ5972">
            <v>0</v>
          </cell>
          <cell r="AW5972">
            <v>0</v>
          </cell>
          <cell r="AX5972">
            <v>400</v>
          </cell>
          <cell r="BJ5972">
            <v>400</v>
          </cell>
        </row>
        <row r="5973">
          <cell r="B5973">
            <v>8778</v>
          </cell>
          <cell r="C5973" t="str">
            <v>CL_66_</v>
          </cell>
          <cell r="D5973" t="str">
            <v>Rancho La Cuchilla No. 66</v>
          </cell>
          <cell r="E5973" t="str">
            <v>Prieto</v>
          </cell>
          <cell r="F5973">
            <v>300</v>
          </cell>
          <cell r="G5973">
            <v>1</v>
          </cell>
          <cell r="H5973">
            <v>400</v>
          </cell>
          <cell r="I5973">
            <v>42022</v>
          </cell>
          <cell r="J5973">
            <v>0</v>
          </cell>
          <cell r="W5973">
            <v>0</v>
          </cell>
          <cell r="AJ5973">
            <v>0</v>
          </cell>
          <cell r="AW5973">
            <v>0</v>
          </cell>
          <cell r="AX5973">
            <v>400</v>
          </cell>
          <cell r="BJ5973">
            <v>400</v>
          </cell>
        </row>
        <row r="5974">
          <cell r="B5974">
            <v>8779</v>
          </cell>
          <cell r="C5974" t="str">
            <v>UP_130_</v>
          </cell>
          <cell r="D5974" t="str">
            <v>Rancho Upácuaro No. 130</v>
          </cell>
          <cell r="E5974" t="str">
            <v>Rodríguez Álvarez</v>
          </cell>
          <cell r="F5974">
            <v>150</v>
          </cell>
          <cell r="G5974">
            <v>1</v>
          </cell>
          <cell r="H5974">
            <v>400</v>
          </cell>
          <cell r="I5974">
            <v>42022</v>
          </cell>
          <cell r="J5974">
            <v>0</v>
          </cell>
          <cell r="W5974">
            <v>0</v>
          </cell>
          <cell r="AJ5974">
            <v>0</v>
          </cell>
          <cell r="AV5974">
            <v>200</v>
          </cell>
          <cell r="AW5974">
            <v>200</v>
          </cell>
          <cell r="AX5974">
            <v>200</v>
          </cell>
          <cell r="BJ5974">
            <v>200</v>
          </cell>
        </row>
        <row r="5975">
          <cell r="B5975">
            <v>8780</v>
          </cell>
          <cell r="C5975" t="str">
            <v>CL_87_</v>
          </cell>
          <cell r="D5975" t="str">
            <v>Rancho La Cuchilla No. 87</v>
          </cell>
          <cell r="E5975" t="str">
            <v>Villanueva S.</v>
          </cell>
          <cell r="F5975">
            <v>300</v>
          </cell>
          <cell r="G5975">
            <v>1</v>
          </cell>
          <cell r="H5975">
            <v>400</v>
          </cell>
          <cell r="I5975">
            <v>42022</v>
          </cell>
          <cell r="J5975">
            <v>0</v>
          </cell>
          <cell r="W5975">
            <v>0</v>
          </cell>
          <cell r="AJ5975">
            <v>0</v>
          </cell>
          <cell r="AW5975">
            <v>0</v>
          </cell>
          <cell r="AX5975">
            <v>400</v>
          </cell>
          <cell r="BJ5975">
            <v>400</v>
          </cell>
        </row>
        <row r="5976">
          <cell r="B5976">
            <v>8781</v>
          </cell>
          <cell r="C5976" t="str">
            <v>CL_94_</v>
          </cell>
          <cell r="D5976" t="str">
            <v>Rancho La Cuchilla No. 94</v>
          </cell>
          <cell r="E5976" t="str">
            <v>Sánchez Márquez</v>
          </cell>
          <cell r="F5976">
            <v>300</v>
          </cell>
          <cell r="G5976">
            <v>1</v>
          </cell>
          <cell r="H5976">
            <v>400</v>
          </cell>
          <cell r="I5976">
            <v>42022</v>
          </cell>
          <cell r="J5976">
            <v>0</v>
          </cell>
          <cell r="W5976">
            <v>0</v>
          </cell>
          <cell r="AJ5976">
            <v>0</v>
          </cell>
          <cell r="AW5976">
            <v>0</v>
          </cell>
          <cell r="AX5976">
            <v>400</v>
          </cell>
          <cell r="BJ5976">
            <v>400</v>
          </cell>
        </row>
        <row r="5977">
          <cell r="B5977">
            <v>8782</v>
          </cell>
          <cell r="C5977" t="str">
            <v>UP_12_</v>
          </cell>
          <cell r="D5977" t="str">
            <v>Rancho Upácuaro No. 12</v>
          </cell>
          <cell r="E5977" t="str">
            <v>Moreno Chávez</v>
          </cell>
          <cell r="F5977">
            <v>300</v>
          </cell>
          <cell r="G5977">
            <v>1</v>
          </cell>
          <cell r="H5977">
            <v>1600</v>
          </cell>
          <cell r="I5977">
            <v>42022</v>
          </cell>
          <cell r="J5977">
            <v>0</v>
          </cell>
          <cell r="W5977">
            <v>0</v>
          </cell>
          <cell r="AJ5977">
            <v>0</v>
          </cell>
          <cell r="AS5977">
            <v>400</v>
          </cell>
          <cell r="AT5977">
            <v>400</v>
          </cell>
          <cell r="AU5977">
            <v>400</v>
          </cell>
          <cell r="AV5977">
            <v>400</v>
          </cell>
          <cell r="AW5977">
            <v>1600</v>
          </cell>
          <cell r="BJ5977">
            <v>0</v>
          </cell>
        </row>
        <row r="5978">
          <cell r="B5978">
            <v>8783</v>
          </cell>
          <cell r="C5978" t="str">
            <v>UP_114_</v>
          </cell>
          <cell r="D5978" t="str">
            <v>Rancho Upácuaro No. 114</v>
          </cell>
          <cell r="E5978" t="str">
            <v>Hernández Cornejo</v>
          </cell>
          <cell r="F5978">
            <v>300</v>
          </cell>
          <cell r="G5978">
            <v>1</v>
          </cell>
          <cell r="H5978">
            <v>400</v>
          </cell>
          <cell r="I5978">
            <v>42022</v>
          </cell>
          <cell r="J5978">
            <v>0</v>
          </cell>
          <cell r="W5978">
            <v>0</v>
          </cell>
          <cell r="AJ5978">
            <v>0</v>
          </cell>
          <cell r="AW5978">
            <v>0</v>
          </cell>
          <cell r="AX5978">
            <v>400</v>
          </cell>
          <cell r="BJ5978">
            <v>400</v>
          </cell>
        </row>
        <row r="5979">
          <cell r="B5979">
            <v>8784</v>
          </cell>
          <cell r="C5979" t="str">
            <v>ZB_46_</v>
          </cell>
          <cell r="D5979" t="str">
            <v>Rancho Zinamba No. 46</v>
          </cell>
          <cell r="E5979" t="str">
            <v>Olguín</v>
          </cell>
          <cell r="F5979">
            <v>300</v>
          </cell>
          <cell r="G5979">
            <v>1</v>
          </cell>
          <cell r="H5979">
            <v>1000</v>
          </cell>
          <cell r="I5979">
            <v>42023</v>
          </cell>
          <cell r="J5979">
            <v>0</v>
          </cell>
          <cell r="W5979">
            <v>0</v>
          </cell>
          <cell r="AJ5979">
            <v>0</v>
          </cell>
          <cell r="AS5979">
            <v>200</v>
          </cell>
          <cell r="AT5979">
            <v>200</v>
          </cell>
          <cell r="AU5979">
            <v>200</v>
          </cell>
          <cell r="AV5979">
            <v>200</v>
          </cell>
          <cell r="AW5979">
            <v>800</v>
          </cell>
          <cell r="AX5979">
            <v>200</v>
          </cell>
          <cell r="BJ5979">
            <v>200</v>
          </cell>
        </row>
        <row r="5980">
          <cell r="B5980">
            <v>8784</v>
          </cell>
          <cell r="C5980" t="str">
            <v>ZB_46_</v>
          </cell>
          <cell r="D5980" t="str">
            <v>Rancho Zinamba No. 46</v>
          </cell>
          <cell r="E5980" t="str">
            <v>Olguín</v>
          </cell>
          <cell r="F5980">
            <v>300</v>
          </cell>
          <cell r="G5980">
            <v>4</v>
          </cell>
          <cell r="H5980">
            <v>160</v>
          </cell>
          <cell r="I5980">
            <v>42023</v>
          </cell>
          <cell r="J5980" t="str">
            <v>NO SUMA</v>
          </cell>
          <cell r="W5980">
            <v>0</v>
          </cell>
          <cell r="AJ5980">
            <v>0</v>
          </cell>
          <cell r="AW5980">
            <v>0</v>
          </cell>
          <cell r="BJ5980">
            <v>0</v>
          </cell>
        </row>
        <row r="5981">
          <cell r="B5981">
            <v>8785</v>
          </cell>
          <cell r="C5981" t="str">
            <v>UP_5_B</v>
          </cell>
          <cell r="D5981" t="str">
            <v>Rancho Upácuaro No. 5, B</v>
          </cell>
          <cell r="E5981" t="str">
            <v>Cervantes</v>
          </cell>
          <cell r="F5981">
            <v>300</v>
          </cell>
          <cell r="G5981">
            <v>1</v>
          </cell>
          <cell r="H5981">
            <v>400</v>
          </cell>
          <cell r="I5981">
            <v>42023</v>
          </cell>
          <cell r="J5981">
            <v>0</v>
          </cell>
          <cell r="W5981">
            <v>0</v>
          </cell>
          <cell r="AJ5981">
            <v>0</v>
          </cell>
          <cell r="AW5981">
            <v>0</v>
          </cell>
          <cell r="AX5981">
            <v>400</v>
          </cell>
          <cell r="BJ5981">
            <v>400</v>
          </cell>
        </row>
        <row r="5982">
          <cell r="B5982">
            <v>8786</v>
          </cell>
          <cell r="C5982" t="str">
            <v>LD_12_</v>
          </cell>
          <cell r="D5982" t="str">
            <v>Rancho Landero No. 12</v>
          </cell>
          <cell r="E5982" t="str">
            <v>Guzmán Silva</v>
          </cell>
          <cell r="F5982">
            <v>300</v>
          </cell>
          <cell r="G5982">
            <v>1</v>
          </cell>
          <cell r="H5982">
            <v>400</v>
          </cell>
          <cell r="I5982">
            <v>42023</v>
          </cell>
          <cell r="J5982">
            <v>0</v>
          </cell>
          <cell r="W5982">
            <v>0</v>
          </cell>
          <cell r="AJ5982">
            <v>0</v>
          </cell>
          <cell r="AW5982">
            <v>0</v>
          </cell>
          <cell r="AX5982">
            <v>200</v>
          </cell>
          <cell r="AY5982">
            <v>200</v>
          </cell>
          <cell r="BJ5982">
            <v>400</v>
          </cell>
        </row>
        <row r="5983">
          <cell r="B5983">
            <v>8787</v>
          </cell>
          <cell r="C5983" t="str">
            <v>CL_135_</v>
          </cell>
          <cell r="D5983" t="str">
            <v>Rancho La Cuchilla No. 135</v>
          </cell>
          <cell r="E5983" t="str">
            <v>Juárez Sánchez</v>
          </cell>
          <cell r="F5983">
            <v>300</v>
          </cell>
          <cell r="G5983">
            <v>3</v>
          </cell>
          <cell r="H5983">
            <v>160</v>
          </cell>
          <cell r="I5983">
            <v>42026</v>
          </cell>
          <cell r="J5983" t="str">
            <v>NO SUMA</v>
          </cell>
          <cell r="W5983">
            <v>0</v>
          </cell>
          <cell r="AJ5983">
            <v>0</v>
          </cell>
          <cell r="AW5983">
            <v>0</v>
          </cell>
          <cell r="BJ5983">
            <v>0</v>
          </cell>
        </row>
        <row r="5984">
          <cell r="B5984">
            <v>8788</v>
          </cell>
          <cell r="C5984" t="str">
            <v>CL_149_</v>
          </cell>
          <cell r="D5984" t="str">
            <v>Rancho La Cuchilla No. 149</v>
          </cell>
          <cell r="E5984" t="str">
            <v>Montes Irineos</v>
          </cell>
          <cell r="F5984">
            <v>300</v>
          </cell>
          <cell r="G5984">
            <v>1</v>
          </cell>
          <cell r="H5984">
            <v>2200</v>
          </cell>
          <cell r="I5984">
            <v>42027</v>
          </cell>
          <cell r="J5984">
            <v>0</v>
          </cell>
          <cell r="W5984">
            <v>0</v>
          </cell>
          <cell r="AJ5984">
            <v>0</v>
          </cell>
          <cell r="AW5984">
            <v>0</v>
          </cell>
          <cell r="AX5984">
            <v>200</v>
          </cell>
          <cell r="AY5984">
            <v>200</v>
          </cell>
          <cell r="AZ5984">
            <v>200</v>
          </cell>
          <cell r="BA5984">
            <v>200</v>
          </cell>
          <cell r="BB5984">
            <v>200</v>
          </cell>
          <cell r="BC5984">
            <v>200</v>
          </cell>
          <cell r="BD5984">
            <v>200</v>
          </cell>
          <cell r="BE5984">
            <v>200</v>
          </cell>
          <cell r="BF5984">
            <v>200</v>
          </cell>
          <cell r="BG5984">
            <v>200</v>
          </cell>
          <cell r="BH5984">
            <v>200</v>
          </cell>
          <cell r="BJ5984">
            <v>2200</v>
          </cell>
        </row>
        <row r="5985">
          <cell r="B5985">
            <v>8789</v>
          </cell>
          <cell r="C5985" t="str">
            <v>CL_15_</v>
          </cell>
          <cell r="D5985" t="str">
            <v>Rancho La Cuchilla No. 15</v>
          </cell>
          <cell r="E5985" t="str">
            <v>Guerrero Ponce</v>
          </cell>
          <cell r="F5985">
            <v>300</v>
          </cell>
          <cell r="G5985">
            <v>1</v>
          </cell>
          <cell r="H5985">
            <v>1200</v>
          </cell>
          <cell r="I5985">
            <v>42029</v>
          </cell>
          <cell r="J5985">
            <v>0</v>
          </cell>
          <cell r="W5985">
            <v>0</v>
          </cell>
          <cell r="AJ5985">
            <v>0</v>
          </cell>
          <cell r="AU5985">
            <v>300</v>
          </cell>
          <cell r="AV5985">
            <v>300</v>
          </cell>
          <cell r="AW5985">
            <v>600</v>
          </cell>
          <cell r="AX5985">
            <v>300</v>
          </cell>
          <cell r="AY5985">
            <v>300</v>
          </cell>
          <cell r="BJ5985">
            <v>600</v>
          </cell>
        </row>
        <row r="5986">
          <cell r="B5986">
            <v>8790</v>
          </cell>
          <cell r="C5986" t="str">
            <v>CL_141_</v>
          </cell>
          <cell r="D5986" t="str">
            <v>Rancho La Cuchilla No. 141</v>
          </cell>
          <cell r="E5986" t="str">
            <v>Salazar Torres</v>
          </cell>
          <cell r="F5986">
            <v>300</v>
          </cell>
          <cell r="G5986">
            <v>1</v>
          </cell>
          <cell r="H5986">
            <v>4400</v>
          </cell>
          <cell r="I5986">
            <v>42029</v>
          </cell>
          <cell r="J5986">
            <v>0</v>
          </cell>
          <cell r="W5986">
            <v>0</v>
          </cell>
          <cell r="AJ5986">
            <v>0</v>
          </cell>
          <cell r="AW5986">
            <v>0</v>
          </cell>
          <cell r="AX5986">
            <v>400</v>
          </cell>
          <cell r="AY5986">
            <v>400</v>
          </cell>
          <cell r="AZ5986">
            <v>400</v>
          </cell>
          <cell r="BA5986">
            <v>400</v>
          </cell>
          <cell r="BB5986">
            <v>400</v>
          </cell>
          <cell r="BC5986">
            <v>400</v>
          </cell>
          <cell r="BD5986">
            <v>400</v>
          </cell>
          <cell r="BE5986">
            <v>400</v>
          </cell>
          <cell r="BF5986">
            <v>400</v>
          </cell>
          <cell r="BG5986">
            <v>400</v>
          </cell>
          <cell r="BH5986">
            <v>400</v>
          </cell>
          <cell r="BJ5986">
            <v>4400</v>
          </cell>
        </row>
        <row r="5987">
          <cell r="B5987">
            <v>8791</v>
          </cell>
          <cell r="C5987" t="str">
            <v>EZ_101_</v>
          </cell>
          <cell r="D5987" t="str">
            <v>Rancho Estanzuela No. 101</v>
          </cell>
          <cell r="E5987" t="str">
            <v>Calderón Celis</v>
          </cell>
          <cell r="F5987">
            <v>300</v>
          </cell>
          <cell r="G5987">
            <v>1</v>
          </cell>
          <cell r="H5987">
            <v>400</v>
          </cell>
          <cell r="I5987">
            <v>42029</v>
          </cell>
          <cell r="J5987">
            <v>0</v>
          </cell>
          <cell r="W5987">
            <v>0</v>
          </cell>
          <cell r="AJ5987">
            <v>0</v>
          </cell>
          <cell r="AW5987">
            <v>0</v>
          </cell>
          <cell r="AX5987">
            <v>400</v>
          </cell>
          <cell r="BJ5987">
            <v>400</v>
          </cell>
        </row>
        <row r="5988">
          <cell r="B5988">
            <v>8792</v>
          </cell>
          <cell r="C5988" t="str">
            <v>EZ_61_</v>
          </cell>
          <cell r="D5988" t="str">
            <v>Rancho Estanzuela No. 61</v>
          </cell>
          <cell r="E5988" t="str">
            <v>González Almazán</v>
          </cell>
          <cell r="F5988">
            <v>300</v>
          </cell>
          <cell r="G5988">
            <v>1</v>
          </cell>
          <cell r="H5988">
            <v>300</v>
          </cell>
          <cell r="I5988">
            <v>42029</v>
          </cell>
          <cell r="J5988">
            <v>0</v>
          </cell>
          <cell r="W5988">
            <v>0</v>
          </cell>
          <cell r="AJ5988">
            <v>0</v>
          </cell>
          <cell r="AW5988">
            <v>0</v>
          </cell>
          <cell r="AX5988">
            <v>300</v>
          </cell>
          <cell r="BJ5988">
            <v>300</v>
          </cell>
        </row>
        <row r="5989">
          <cell r="B5989">
            <v>8793</v>
          </cell>
          <cell r="C5989" t="str">
            <v>CL_18_</v>
          </cell>
          <cell r="D5989" t="str">
            <v>Rancho La Cuchilla No. 18</v>
          </cell>
          <cell r="E5989" t="str">
            <v>Aldana Sánchez</v>
          </cell>
          <cell r="F5989">
            <v>300</v>
          </cell>
          <cell r="G5989">
            <v>1</v>
          </cell>
          <cell r="H5989">
            <v>400</v>
          </cell>
          <cell r="I5989">
            <v>42029</v>
          </cell>
          <cell r="J5989">
            <v>0</v>
          </cell>
          <cell r="W5989">
            <v>0</v>
          </cell>
          <cell r="AJ5989">
            <v>0</v>
          </cell>
          <cell r="AW5989">
            <v>0</v>
          </cell>
          <cell r="AX5989">
            <v>400</v>
          </cell>
          <cell r="BJ5989">
            <v>400</v>
          </cell>
        </row>
        <row r="5990">
          <cell r="B5990">
            <v>8794</v>
          </cell>
          <cell r="C5990" t="str">
            <v>EZ_151_</v>
          </cell>
          <cell r="D5990" t="str">
            <v>Rancho Estanzuela No. 151</v>
          </cell>
          <cell r="E5990" t="str">
            <v>Pérez Salazar</v>
          </cell>
          <cell r="F5990">
            <v>300</v>
          </cell>
          <cell r="G5990">
            <v>1</v>
          </cell>
          <cell r="H5990">
            <v>400</v>
          </cell>
          <cell r="I5990">
            <v>42029</v>
          </cell>
          <cell r="J5990">
            <v>0</v>
          </cell>
          <cell r="W5990">
            <v>0</v>
          </cell>
          <cell r="AJ5990">
            <v>0</v>
          </cell>
          <cell r="AW5990">
            <v>0</v>
          </cell>
          <cell r="AX5990">
            <v>400</v>
          </cell>
          <cell r="BJ5990">
            <v>400</v>
          </cell>
        </row>
        <row r="5991">
          <cell r="B5991">
            <v>8795</v>
          </cell>
          <cell r="C5991" t="str">
            <v>CL_75_</v>
          </cell>
          <cell r="D5991" t="str">
            <v>Rancho La Cuchilla No. 75</v>
          </cell>
          <cell r="E5991" t="str">
            <v>Sosa Lucio</v>
          </cell>
          <cell r="F5991">
            <v>300</v>
          </cell>
          <cell r="G5991">
            <v>1</v>
          </cell>
          <cell r="H5991">
            <v>600</v>
          </cell>
          <cell r="I5991">
            <v>42029</v>
          </cell>
          <cell r="J5991">
            <v>0</v>
          </cell>
          <cell r="W5991">
            <v>0</v>
          </cell>
          <cell r="AJ5991">
            <v>0</v>
          </cell>
          <cell r="AV5991">
            <v>300</v>
          </cell>
          <cell r="AW5991">
            <v>300</v>
          </cell>
          <cell r="AX5991">
            <v>300</v>
          </cell>
          <cell r="BJ5991">
            <v>300</v>
          </cell>
        </row>
        <row r="5992">
          <cell r="B5992">
            <v>8796</v>
          </cell>
          <cell r="C5992" t="str">
            <v>ZB_72_</v>
          </cell>
          <cell r="D5992" t="str">
            <v>Rancho Zinamba No. 72</v>
          </cell>
          <cell r="E5992" t="str">
            <v>Romo de Vivar</v>
          </cell>
          <cell r="F5992">
            <v>300</v>
          </cell>
          <cell r="G5992">
            <v>1</v>
          </cell>
          <cell r="H5992">
            <v>400</v>
          </cell>
          <cell r="I5992">
            <v>42029</v>
          </cell>
          <cell r="J5992">
            <v>0</v>
          </cell>
          <cell r="W5992">
            <v>0</v>
          </cell>
          <cell r="AJ5992">
            <v>0</v>
          </cell>
          <cell r="AV5992">
            <v>200</v>
          </cell>
          <cell r="AW5992">
            <v>200</v>
          </cell>
          <cell r="AX5992">
            <v>200</v>
          </cell>
          <cell r="BJ5992">
            <v>200</v>
          </cell>
        </row>
        <row r="5993">
          <cell r="B5993">
            <v>8797</v>
          </cell>
          <cell r="C5993" t="str">
            <v>UP_88_</v>
          </cell>
          <cell r="D5993" t="str">
            <v>Rancho Upácuaro No. 88</v>
          </cell>
          <cell r="E5993" t="str">
            <v>Millán Núñez</v>
          </cell>
          <cell r="F5993">
            <v>300</v>
          </cell>
          <cell r="G5993">
            <v>1</v>
          </cell>
          <cell r="H5993">
            <v>400</v>
          </cell>
          <cell r="I5993">
            <v>42029</v>
          </cell>
          <cell r="J5993">
            <v>0</v>
          </cell>
          <cell r="W5993">
            <v>0</v>
          </cell>
          <cell r="AJ5993">
            <v>0</v>
          </cell>
          <cell r="AW5993">
            <v>0</v>
          </cell>
          <cell r="AX5993">
            <v>400</v>
          </cell>
          <cell r="BJ5993">
            <v>400</v>
          </cell>
        </row>
        <row r="5994">
          <cell r="B5994">
            <v>8798</v>
          </cell>
          <cell r="C5994" t="str">
            <v>RV_1_</v>
          </cell>
          <cell r="D5994" t="str">
            <v>Rancho Recoveco No. 1</v>
          </cell>
          <cell r="E5994" t="str">
            <v>Díaz</v>
          </cell>
          <cell r="F5994">
            <v>300</v>
          </cell>
          <cell r="G5994">
            <v>1</v>
          </cell>
          <cell r="H5994">
            <v>300</v>
          </cell>
          <cell r="I5994">
            <v>42029</v>
          </cell>
          <cell r="J5994">
            <v>0</v>
          </cell>
          <cell r="W5994">
            <v>0</v>
          </cell>
          <cell r="AJ5994">
            <v>0</v>
          </cell>
          <cell r="AW5994">
            <v>0</v>
          </cell>
          <cell r="AX5994">
            <v>300</v>
          </cell>
          <cell r="BJ5994">
            <v>300</v>
          </cell>
        </row>
        <row r="5995">
          <cell r="B5995">
            <v>8799</v>
          </cell>
          <cell r="C5995" t="str">
            <v>LD_30_</v>
          </cell>
          <cell r="D5995" t="str">
            <v>Rancho Landero No. 30</v>
          </cell>
          <cell r="E5995" t="str">
            <v>Torres Guzmán</v>
          </cell>
          <cell r="F5995">
            <v>300</v>
          </cell>
          <cell r="G5995">
            <v>1</v>
          </cell>
          <cell r="H5995">
            <v>1200</v>
          </cell>
          <cell r="I5995">
            <v>42029</v>
          </cell>
          <cell r="J5995">
            <v>0</v>
          </cell>
          <cell r="W5995">
            <v>0</v>
          </cell>
          <cell r="AJ5995">
            <v>0</v>
          </cell>
          <cell r="AW5995">
            <v>0</v>
          </cell>
          <cell r="AX5995">
            <v>400</v>
          </cell>
          <cell r="AY5995">
            <v>400</v>
          </cell>
          <cell r="AZ5995">
            <v>400</v>
          </cell>
          <cell r="BJ5995">
            <v>1200</v>
          </cell>
        </row>
        <row r="5996">
          <cell r="B5996">
            <v>8800</v>
          </cell>
          <cell r="C5996" t="str">
            <v>RM_10_B</v>
          </cell>
          <cell r="D5996" t="str">
            <v>Rancho Romeral No. 10, B</v>
          </cell>
          <cell r="E5996" t="str">
            <v>López Castellano</v>
          </cell>
          <cell r="F5996">
            <v>300</v>
          </cell>
          <cell r="G5996">
            <v>1</v>
          </cell>
          <cell r="H5996">
            <v>300</v>
          </cell>
          <cell r="I5996">
            <v>42029</v>
          </cell>
          <cell r="J5996">
            <v>0</v>
          </cell>
          <cell r="W5996">
            <v>0</v>
          </cell>
          <cell r="AJ5996">
            <v>0</v>
          </cell>
          <cell r="AW5996">
            <v>0</v>
          </cell>
          <cell r="AX5996">
            <v>300</v>
          </cell>
          <cell r="BJ5996">
            <v>300</v>
          </cell>
        </row>
        <row r="5997">
          <cell r="B5997">
            <v>8801</v>
          </cell>
          <cell r="C5997" t="str">
            <v>RM_10_B</v>
          </cell>
          <cell r="D5997" t="str">
            <v>Rancho Romeral No. 10, B</v>
          </cell>
          <cell r="E5997" t="str">
            <v>López Castellano</v>
          </cell>
          <cell r="F5997">
            <v>300</v>
          </cell>
          <cell r="G5997">
            <v>3</v>
          </cell>
          <cell r="H5997">
            <v>160</v>
          </cell>
          <cell r="I5997">
            <v>42029</v>
          </cell>
          <cell r="J5997" t="str">
            <v>NO SUMA</v>
          </cell>
          <cell r="W5997">
            <v>0</v>
          </cell>
          <cell r="AJ5997">
            <v>0</v>
          </cell>
          <cell r="AW5997">
            <v>0</v>
          </cell>
          <cell r="BJ5997">
            <v>0</v>
          </cell>
        </row>
        <row r="5998">
          <cell r="B5998">
            <v>8802</v>
          </cell>
          <cell r="C5998" t="str">
            <v>CL_80_</v>
          </cell>
          <cell r="D5998" t="str">
            <v>Rancho La Cuchilla No. 80</v>
          </cell>
          <cell r="E5998" t="str">
            <v>Aparicio</v>
          </cell>
          <cell r="F5998">
            <v>300</v>
          </cell>
          <cell r="G5998">
            <v>1</v>
          </cell>
          <cell r="H5998">
            <v>4400</v>
          </cell>
          <cell r="I5998">
            <v>42029</v>
          </cell>
          <cell r="J5998">
            <v>0</v>
          </cell>
          <cell r="W5998">
            <v>0</v>
          </cell>
          <cell r="AJ5998">
            <v>0</v>
          </cell>
          <cell r="AW5998">
            <v>0</v>
          </cell>
          <cell r="AX5998">
            <v>400</v>
          </cell>
          <cell r="AY5998">
            <v>400</v>
          </cell>
          <cell r="AZ5998">
            <v>400</v>
          </cell>
          <cell r="BA5998">
            <v>400</v>
          </cell>
          <cell r="BB5998">
            <v>400</v>
          </cell>
          <cell r="BC5998">
            <v>400</v>
          </cell>
          <cell r="BD5998">
            <v>400</v>
          </cell>
          <cell r="BE5998">
            <v>400</v>
          </cell>
          <cell r="BF5998">
            <v>400</v>
          </cell>
          <cell r="BG5998">
            <v>400</v>
          </cell>
          <cell r="BH5998">
            <v>400</v>
          </cell>
          <cell r="BJ5998">
            <v>4400</v>
          </cell>
        </row>
        <row r="5999">
          <cell r="B5999">
            <v>8803</v>
          </cell>
          <cell r="C5999" t="str">
            <v>EZ_147_1</v>
          </cell>
          <cell r="D5999" t="str">
            <v>Rancho Estanzuela No. 147, 1</v>
          </cell>
          <cell r="E5999" t="str">
            <v>De la Rosa Enrique</v>
          </cell>
          <cell r="F5999">
            <v>100</v>
          </cell>
          <cell r="G5999">
            <v>1</v>
          </cell>
          <cell r="H5999">
            <v>300</v>
          </cell>
          <cell r="I5999">
            <v>42029</v>
          </cell>
          <cell r="J5999">
            <v>0</v>
          </cell>
          <cell r="W5999">
            <v>0</v>
          </cell>
          <cell r="AJ5999">
            <v>0</v>
          </cell>
          <cell r="AU5999">
            <v>100</v>
          </cell>
          <cell r="AV5999">
            <v>100</v>
          </cell>
          <cell r="AW5999">
            <v>200</v>
          </cell>
          <cell r="AX5999">
            <v>100</v>
          </cell>
          <cell r="BJ5999">
            <v>100</v>
          </cell>
        </row>
        <row r="6000">
          <cell r="B6000">
            <v>8804</v>
          </cell>
          <cell r="C6000" t="str">
            <v>EZ_147_2</v>
          </cell>
          <cell r="D6000" t="str">
            <v>Rancho Estanzuela No. 147, 2</v>
          </cell>
          <cell r="E6000" t="str">
            <v>Figueroa</v>
          </cell>
          <cell r="F6000">
            <v>300</v>
          </cell>
          <cell r="G6000">
            <v>1</v>
          </cell>
          <cell r="H6000">
            <v>300</v>
          </cell>
          <cell r="J6000">
            <v>0</v>
          </cell>
          <cell r="W6000">
            <v>0</v>
          </cell>
          <cell r="AJ6000">
            <v>0</v>
          </cell>
          <cell r="AU6000">
            <v>100</v>
          </cell>
          <cell r="AV6000">
            <v>100</v>
          </cell>
          <cell r="AW6000">
            <v>200</v>
          </cell>
          <cell r="AX6000">
            <v>100</v>
          </cell>
          <cell r="BJ6000">
            <v>100</v>
          </cell>
        </row>
        <row r="6001">
          <cell r="B6001">
            <v>8805</v>
          </cell>
          <cell r="C6001" t="str">
            <v>LD_25_</v>
          </cell>
          <cell r="D6001" t="str">
            <v>Rancho Landero No. 25</v>
          </cell>
          <cell r="E6001" t="str">
            <v>Escamilla Martínez</v>
          </cell>
          <cell r="F6001">
            <v>300</v>
          </cell>
          <cell r="G6001">
            <v>1</v>
          </cell>
          <cell r="H6001">
            <v>400</v>
          </cell>
          <cell r="I6001">
            <v>42029</v>
          </cell>
          <cell r="J6001">
            <v>0</v>
          </cell>
          <cell r="W6001">
            <v>0</v>
          </cell>
          <cell r="AJ6001">
            <v>0</v>
          </cell>
          <cell r="AW6001">
            <v>0</v>
          </cell>
          <cell r="AX6001">
            <v>400</v>
          </cell>
          <cell r="BJ6001">
            <v>400</v>
          </cell>
        </row>
        <row r="6002">
          <cell r="B6002">
            <v>8806</v>
          </cell>
          <cell r="C6002" t="str">
            <v>CL_129_</v>
          </cell>
          <cell r="D6002" t="str">
            <v>Rancho La Cuchilla No. 129</v>
          </cell>
          <cell r="E6002" t="str">
            <v>Gamboa Rueda</v>
          </cell>
          <cell r="F6002">
            <v>200</v>
          </cell>
          <cell r="G6002">
            <v>1</v>
          </cell>
          <cell r="H6002">
            <v>300</v>
          </cell>
          <cell r="I6002">
            <v>42029</v>
          </cell>
          <cell r="J6002">
            <v>0</v>
          </cell>
          <cell r="W6002">
            <v>0</v>
          </cell>
          <cell r="AJ6002">
            <v>0</v>
          </cell>
          <cell r="AW6002">
            <v>0</v>
          </cell>
          <cell r="AX6002">
            <v>300</v>
          </cell>
          <cell r="BJ6002">
            <v>300</v>
          </cell>
        </row>
        <row r="6003">
          <cell r="B6003">
            <v>8807</v>
          </cell>
          <cell r="C6003" t="str">
            <v>UP_65_</v>
          </cell>
          <cell r="D6003" t="str">
            <v>Rancho Upácuaro No. 65</v>
          </cell>
          <cell r="E6003" t="str">
            <v>Cruz González</v>
          </cell>
          <cell r="F6003">
            <v>300</v>
          </cell>
          <cell r="G6003">
            <v>1</v>
          </cell>
          <cell r="H6003">
            <v>400</v>
          </cell>
          <cell r="I6003">
            <v>42029</v>
          </cell>
          <cell r="J6003">
            <v>0</v>
          </cell>
          <cell r="W6003">
            <v>0</v>
          </cell>
          <cell r="AJ6003">
            <v>0</v>
          </cell>
          <cell r="AW6003">
            <v>0</v>
          </cell>
          <cell r="AX6003">
            <v>400</v>
          </cell>
          <cell r="BJ6003">
            <v>400</v>
          </cell>
        </row>
        <row r="6004">
          <cell r="B6004">
            <v>8807</v>
          </cell>
          <cell r="C6004" t="str">
            <v>UP_65_</v>
          </cell>
          <cell r="D6004" t="str">
            <v>Rancho Upácuaro No. 65</v>
          </cell>
          <cell r="E6004" t="str">
            <v>Cruz González</v>
          </cell>
          <cell r="F6004">
            <v>300</v>
          </cell>
          <cell r="G6004">
            <v>4</v>
          </cell>
          <cell r="H6004">
            <v>160</v>
          </cell>
          <cell r="I6004">
            <v>42029</v>
          </cell>
          <cell r="J6004" t="str">
            <v>NO SUMA</v>
          </cell>
          <cell r="W6004">
            <v>0</v>
          </cell>
          <cell r="AJ6004">
            <v>0</v>
          </cell>
          <cell r="AW6004">
            <v>0</v>
          </cell>
          <cell r="BJ6004">
            <v>0</v>
          </cell>
        </row>
        <row r="6005">
          <cell r="B6005">
            <v>8808</v>
          </cell>
          <cell r="C6005" t="str">
            <v>ZB_82_</v>
          </cell>
          <cell r="D6005" t="str">
            <v>Rancho Zinamba No. 82</v>
          </cell>
          <cell r="E6005" t="str">
            <v>Morán Carmona</v>
          </cell>
          <cell r="F6005">
            <v>150</v>
          </cell>
          <cell r="G6005">
            <v>1</v>
          </cell>
          <cell r="H6005">
            <v>200</v>
          </cell>
          <cell r="I6005">
            <v>42029</v>
          </cell>
          <cell r="J6005">
            <v>0</v>
          </cell>
          <cell r="W6005">
            <v>0</v>
          </cell>
          <cell r="AJ6005">
            <v>0</v>
          </cell>
          <cell r="AV6005">
            <v>200</v>
          </cell>
          <cell r="AW6005">
            <v>200</v>
          </cell>
          <cell r="BJ6005">
            <v>0</v>
          </cell>
        </row>
        <row r="6006">
          <cell r="B6006">
            <v>8809</v>
          </cell>
          <cell r="C6006" t="str">
            <v>LD_99_</v>
          </cell>
          <cell r="D6006" t="str">
            <v>Rancho Landero No. 99</v>
          </cell>
          <cell r="E6006" t="str">
            <v>Rangel</v>
          </cell>
          <cell r="F6006">
            <v>300</v>
          </cell>
          <cell r="G6006">
            <v>1</v>
          </cell>
          <cell r="H6006">
            <v>300</v>
          </cell>
          <cell r="I6006">
            <v>42029</v>
          </cell>
          <cell r="J6006">
            <v>0</v>
          </cell>
          <cell r="W6006">
            <v>0</v>
          </cell>
          <cell r="AJ6006">
            <v>0</v>
          </cell>
          <cell r="AU6006">
            <v>300</v>
          </cell>
          <cell r="AW6006">
            <v>300</v>
          </cell>
          <cell r="BJ6006">
            <v>0</v>
          </cell>
        </row>
        <row r="6007">
          <cell r="B6007">
            <v>8810</v>
          </cell>
          <cell r="C6007" t="str">
            <v>UP_21_</v>
          </cell>
          <cell r="D6007" t="str">
            <v>Rancho Upácuaro No. 21</v>
          </cell>
          <cell r="E6007" t="str">
            <v>Fierro Betancourt</v>
          </cell>
          <cell r="F6007">
            <v>150</v>
          </cell>
          <cell r="G6007">
            <v>1</v>
          </cell>
          <cell r="H6007">
            <v>200</v>
          </cell>
          <cell r="I6007">
            <v>42029</v>
          </cell>
          <cell r="J6007">
            <v>0</v>
          </cell>
          <cell r="W6007">
            <v>0</v>
          </cell>
          <cell r="AJ6007">
            <v>0</v>
          </cell>
          <cell r="AV6007">
            <v>200</v>
          </cell>
          <cell r="AW6007">
            <v>200</v>
          </cell>
          <cell r="BJ6007">
            <v>0</v>
          </cell>
        </row>
        <row r="6008">
          <cell r="B6008">
            <v>8811</v>
          </cell>
          <cell r="C6008" t="str">
            <v>RV_181_</v>
          </cell>
          <cell r="D6008" t="str">
            <v>Rancho Recoveco No. 181</v>
          </cell>
          <cell r="E6008" t="str">
            <v>Castillo</v>
          </cell>
          <cell r="F6008">
            <v>300</v>
          </cell>
          <cell r="G6008">
            <v>4</v>
          </cell>
          <cell r="H6008">
            <v>160</v>
          </cell>
          <cell r="I6008">
            <v>42029</v>
          </cell>
          <cell r="J6008" t="str">
            <v>NO SUMA</v>
          </cell>
          <cell r="W6008">
            <v>0</v>
          </cell>
          <cell r="AJ6008">
            <v>0</v>
          </cell>
          <cell r="AW6008">
            <v>0</v>
          </cell>
          <cell r="BJ6008">
            <v>0</v>
          </cell>
        </row>
        <row r="6009">
          <cell r="B6009">
            <v>8812</v>
          </cell>
          <cell r="C6009" t="str">
            <v>UP_47_</v>
          </cell>
          <cell r="D6009" t="str">
            <v>Rancho Upácuaro No. 47</v>
          </cell>
          <cell r="E6009" t="str">
            <v>Flores Muñoz</v>
          </cell>
          <cell r="F6009">
            <v>300</v>
          </cell>
          <cell r="G6009">
            <v>1</v>
          </cell>
          <cell r="H6009">
            <v>400</v>
          </cell>
          <cell r="I6009">
            <v>42029</v>
          </cell>
          <cell r="J6009">
            <v>0</v>
          </cell>
          <cell r="W6009">
            <v>0</v>
          </cell>
          <cell r="AJ6009">
            <v>0</v>
          </cell>
          <cell r="AW6009">
            <v>0</v>
          </cell>
          <cell r="AX6009">
            <v>400</v>
          </cell>
          <cell r="BJ6009">
            <v>400</v>
          </cell>
        </row>
        <row r="6010">
          <cell r="B6010">
            <v>8813</v>
          </cell>
          <cell r="C6010" t="str">
            <v>UP_100_</v>
          </cell>
          <cell r="D6010" t="str">
            <v>Rancho Upácuaro No. 100</v>
          </cell>
          <cell r="E6010" t="str">
            <v>Mancera Rodríguez</v>
          </cell>
          <cell r="F6010">
            <v>300</v>
          </cell>
          <cell r="G6010">
            <v>1</v>
          </cell>
          <cell r="H6010">
            <v>400</v>
          </cell>
          <cell r="I6010">
            <v>42029</v>
          </cell>
          <cell r="J6010">
            <v>0</v>
          </cell>
          <cell r="W6010">
            <v>0</v>
          </cell>
          <cell r="AJ6010">
            <v>0</v>
          </cell>
          <cell r="AW6010">
            <v>0</v>
          </cell>
          <cell r="AX6010">
            <v>400</v>
          </cell>
          <cell r="BJ6010">
            <v>400</v>
          </cell>
        </row>
        <row r="6011">
          <cell r="B6011">
            <v>8814</v>
          </cell>
          <cell r="C6011" t="str">
            <v>CL_132_</v>
          </cell>
          <cell r="D6011" t="str">
            <v>Rancho La Cuchilla No. 132</v>
          </cell>
          <cell r="E6011" t="str">
            <v>Téllez Girón</v>
          </cell>
          <cell r="F6011">
            <v>300</v>
          </cell>
          <cell r="G6011">
            <v>1</v>
          </cell>
          <cell r="H6011">
            <v>600</v>
          </cell>
          <cell r="I6011">
            <v>42029</v>
          </cell>
          <cell r="J6011">
            <v>0</v>
          </cell>
          <cell r="W6011">
            <v>0</v>
          </cell>
          <cell r="AJ6011">
            <v>0</v>
          </cell>
          <cell r="AV6011">
            <v>300</v>
          </cell>
          <cell r="AW6011">
            <v>300</v>
          </cell>
          <cell r="AX6011">
            <v>300</v>
          </cell>
          <cell r="BJ6011">
            <v>300</v>
          </cell>
        </row>
        <row r="6012">
          <cell r="B6012">
            <v>8815</v>
          </cell>
          <cell r="C6012" t="str">
            <v>LD_2_B</v>
          </cell>
          <cell r="D6012" t="str">
            <v>Rancho Landero No. 2, B</v>
          </cell>
          <cell r="E6012" t="str">
            <v>Zamora Vera</v>
          </cell>
          <cell r="F6012">
            <v>150</v>
          </cell>
          <cell r="G6012">
            <v>4</v>
          </cell>
          <cell r="H6012">
            <v>160</v>
          </cell>
          <cell r="I6012">
            <v>42029</v>
          </cell>
          <cell r="J6012" t="str">
            <v>NO SUMA</v>
          </cell>
          <cell r="W6012">
            <v>0</v>
          </cell>
          <cell r="AJ6012">
            <v>0</v>
          </cell>
          <cell r="AW6012">
            <v>0</v>
          </cell>
          <cell r="BJ6012">
            <v>0</v>
          </cell>
        </row>
        <row r="6013">
          <cell r="B6013">
            <v>8816</v>
          </cell>
          <cell r="C6013" t="str">
            <v>EZ_155_</v>
          </cell>
          <cell r="D6013" t="str">
            <v>Rancho Estanzuela No. 155</v>
          </cell>
          <cell r="E6013" t="str">
            <v>Anchondo Valerio</v>
          </cell>
          <cell r="F6013">
            <v>300</v>
          </cell>
          <cell r="G6013">
            <v>1</v>
          </cell>
          <cell r="H6013">
            <v>4400</v>
          </cell>
          <cell r="I6013">
            <v>42029</v>
          </cell>
          <cell r="J6013">
            <v>0</v>
          </cell>
          <cell r="W6013">
            <v>0</v>
          </cell>
          <cell r="AJ6013">
            <v>0</v>
          </cell>
          <cell r="AW6013">
            <v>0</v>
          </cell>
          <cell r="AX6013">
            <v>400</v>
          </cell>
          <cell r="AY6013">
            <v>400</v>
          </cell>
          <cell r="AZ6013">
            <v>400</v>
          </cell>
          <cell r="BA6013">
            <v>400</v>
          </cell>
          <cell r="BB6013">
            <v>400</v>
          </cell>
          <cell r="BC6013">
            <v>400</v>
          </cell>
          <cell r="BD6013">
            <v>400</v>
          </cell>
          <cell r="BE6013">
            <v>400</v>
          </cell>
          <cell r="BF6013">
            <v>400</v>
          </cell>
          <cell r="BG6013">
            <v>400</v>
          </cell>
          <cell r="BH6013">
            <v>400</v>
          </cell>
          <cell r="BJ6013">
            <v>4400</v>
          </cell>
        </row>
        <row r="6014">
          <cell r="B6014">
            <v>8817</v>
          </cell>
          <cell r="C6014" t="str">
            <v>EZ_65_</v>
          </cell>
          <cell r="D6014" t="str">
            <v>Rancho Estanzuela No. 65</v>
          </cell>
          <cell r="E6014" t="str">
            <v>López Becerril</v>
          </cell>
          <cell r="F6014">
            <v>300</v>
          </cell>
          <cell r="G6014">
            <v>1</v>
          </cell>
          <cell r="H6014">
            <v>400</v>
          </cell>
          <cell r="I6014">
            <v>42029</v>
          </cell>
          <cell r="J6014">
            <v>0</v>
          </cell>
          <cell r="W6014">
            <v>0</v>
          </cell>
          <cell r="AJ6014">
            <v>0</v>
          </cell>
          <cell r="AW6014">
            <v>0</v>
          </cell>
          <cell r="AX6014">
            <v>400</v>
          </cell>
          <cell r="BJ6014">
            <v>400</v>
          </cell>
        </row>
        <row r="6015">
          <cell r="B6015">
            <v>8818</v>
          </cell>
          <cell r="C6015" t="str">
            <v>RV_175_0</v>
          </cell>
          <cell r="D6015" t="str">
            <v>Rancho Recoveco No. 175</v>
          </cell>
          <cell r="E6015" t="str">
            <v>Ramírez</v>
          </cell>
          <cell r="F6015">
            <v>300</v>
          </cell>
          <cell r="G6015">
            <v>1</v>
          </cell>
          <cell r="H6015">
            <v>800</v>
          </cell>
          <cell r="I6015">
            <v>42029</v>
          </cell>
          <cell r="J6015">
            <v>0</v>
          </cell>
          <cell r="W6015">
            <v>0</v>
          </cell>
          <cell r="AJ6015">
            <v>0</v>
          </cell>
          <cell r="AW6015">
            <v>0</v>
          </cell>
          <cell r="AX6015">
            <v>400</v>
          </cell>
          <cell r="AY6015">
            <v>400</v>
          </cell>
          <cell r="BJ6015">
            <v>800</v>
          </cell>
        </row>
        <row r="6016">
          <cell r="B6016">
            <v>8819</v>
          </cell>
          <cell r="C6016" t="str">
            <v>EZ_11_A</v>
          </cell>
          <cell r="D6016" t="str">
            <v>Rancho Estanzuela No. 11, A</v>
          </cell>
          <cell r="E6016" t="str">
            <v>Evans González</v>
          </cell>
          <cell r="F6016">
            <v>300</v>
          </cell>
          <cell r="G6016">
            <v>1</v>
          </cell>
          <cell r="H6016">
            <v>300</v>
          </cell>
          <cell r="I6016">
            <v>42029</v>
          </cell>
          <cell r="J6016">
            <v>0</v>
          </cell>
          <cell r="W6016">
            <v>0</v>
          </cell>
          <cell r="AJ6016">
            <v>0</v>
          </cell>
          <cell r="AW6016">
            <v>0</v>
          </cell>
          <cell r="AX6016">
            <v>300</v>
          </cell>
          <cell r="BJ6016">
            <v>300</v>
          </cell>
        </row>
        <row r="6017">
          <cell r="B6017">
            <v>8819</v>
          </cell>
          <cell r="C6017" t="str">
            <v>EZ_11_A</v>
          </cell>
          <cell r="D6017" t="str">
            <v>Rancho Estanzuela No. 11, A</v>
          </cell>
          <cell r="E6017" t="str">
            <v>Evans González</v>
          </cell>
          <cell r="F6017">
            <v>300</v>
          </cell>
          <cell r="G6017">
            <v>3</v>
          </cell>
          <cell r="H6017">
            <v>160</v>
          </cell>
          <cell r="I6017">
            <v>42029</v>
          </cell>
          <cell r="J6017" t="str">
            <v>NO SUMA</v>
          </cell>
          <cell r="W6017">
            <v>0</v>
          </cell>
          <cell r="AJ6017">
            <v>0</v>
          </cell>
          <cell r="AW6017">
            <v>0</v>
          </cell>
          <cell r="BJ6017">
            <v>0</v>
          </cell>
        </row>
        <row r="6018">
          <cell r="B6018">
            <v>8819</v>
          </cell>
          <cell r="C6018" t="str">
            <v>EZ_11_A</v>
          </cell>
          <cell r="D6018" t="str">
            <v>Rancho Estanzuela No. 11, A</v>
          </cell>
          <cell r="E6018" t="str">
            <v>Evans González</v>
          </cell>
          <cell r="F6018">
            <v>300</v>
          </cell>
          <cell r="G6018">
            <v>4</v>
          </cell>
          <cell r="H6018">
            <v>160</v>
          </cell>
          <cell r="I6018">
            <v>42029</v>
          </cell>
          <cell r="J6018" t="str">
            <v>NO SUMA</v>
          </cell>
          <cell r="W6018">
            <v>0</v>
          </cell>
          <cell r="AJ6018">
            <v>0</v>
          </cell>
          <cell r="AW6018">
            <v>0</v>
          </cell>
          <cell r="BJ6018">
            <v>0</v>
          </cell>
        </row>
        <row r="6019">
          <cell r="B6019">
            <v>8820</v>
          </cell>
          <cell r="C6019" t="str">
            <v>UP_35_</v>
          </cell>
          <cell r="D6019" t="str">
            <v>Rancho Upácuaro No. 35</v>
          </cell>
          <cell r="E6019" t="str">
            <v>García</v>
          </cell>
          <cell r="F6019">
            <v>300</v>
          </cell>
          <cell r="G6019">
            <v>3</v>
          </cell>
          <cell r="H6019">
            <v>160</v>
          </cell>
          <cell r="I6019">
            <v>42029</v>
          </cell>
          <cell r="J6019" t="str">
            <v>NO SUMA</v>
          </cell>
          <cell r="W6019">
            <v>0</v>
          </cell>
          <cell r="AJ6019">
            <v>0</v>
          </cell>
          <cell r="AW6019">
            <v>0</v>
          </cell>
          <cell r="BJ6019">
            <v>0</v>
          </cell>
        </row>
        <row r="6020">
          <cell r="B6020">
            <v>8821</v>
          </cell>
          <cell r="C6020" t="str">
            <v>LD_52_</v>
          </cell>
          <cell r="D6020" t="str">
            <v>Rancho Landero No. 52</v>
          </cell>
          <cell r="E6020" t="str">
            <v>Rangel</v>
          </cell>
          <cell r="F6020">
            <v>300</v>
          </cell>
          <cell r="G6020">
            <v>4</v>
          </cell>
          <cell r="H6020">
            <v>160</v>
          </cell>
          <cell r="I6020">
            <v>42029</v>
          </cell>
          <cell r="J6020" t="str">
            <v>NO SUMA</v>
          </cell>
          <cell r="W6020">
            <v>0</v>
          </cell>
          <cell r="AJ6020">
            <v>0</v>
          </cell>
          <cell r="AW6020">
            <v>0</v>
          </cell>
          <cell r="BJ6020">
            <v>0</v>
          </cell>
        </row>
        <row r="6021">
          <cell r="B6021">
            <v>8822</v>
          </cell>
          <cell r="D6021" t="str">
            <v/>
          </cell>
          <cell r="E6021" t="str">
            <v/>
          </cell>
          <cell r="F6021" t="str">
            <v/>
          </cell>
          <cell r="G6021">
            <v>8</v>
          </cell>
          <cell r="J6021" t="str">
            <v>NO SUMA</v>
          </cell>
          <cell r="W6021">
            <v>0</v>
          </cell>
          <cell r="AJ6021">
            <v>0</v>
          </cell>
          <cell r="AW6021">
            <v>0</v>
          </cell>
          <cell r="BJ6021">
            <v>0</v>
          </cell>
        </row>
        <row r="6022">
          <cell r="B6022">
            <v>8823</v>
          </cell>
          <cell r="C6022" t="str">
            <v>EZ_117_</v>
          </cell>
          <cell r="D6022" t="str">
            <v>Rancho Estanzuela No. 117</v>
          </cell>
          <cell r="E6022" t="str">
            <v>Cordero Nieto</v>
          </cell>
          <cell r="F6022">
            <v>300</v>
          </cell>
          <cell r="G6022">
            <v>1</v>
          </cell>
          <cell r="H6022">
            <v>500</v>
          </cell>
          <cell r="I6022">
            <v>42029</v>
          </cell>
          <cell r="J6022">
            <v>0</v>
          </cell>
          <cell r="W6022">
            <v>0</v>
          </cell>
          <cell r="AJ6022">
            <v>0</v>
          </cell>
          <cell r="AN6022">
            <v>250</v>
          </cell>
          <cell r="AO6022">
            <v>250</v>
          </cell>
          <cell r="AW6022">
            <v>500</v>
          </cell>
          <cell r="BJ6022">
            <v>0</v>
          </cell>
        </row>
        <row r="6023">
          <cell r="B6023">
            <v>8824</v>
          </cell>
          <cell r="C6023" t="str">
            <v>ZB_88_</v>
          </cell>
          <cell r="D6023" t="str">
            <v>Rancho Zinamba No. 88</v>
          </cell>
          <cell r="E6023" t="str">
            <v>Martínez</v>
          </cell>
          <cell r="F6023">
            <v>250</v>
          </cell>
          <cell r="G6023">
            <v>1</v>
          </cell>
          <cell r="H6023">
            <v>350</v>
          </cell>
          <cell r="I6023">
            <v>42029</v>
          </cell>
          <cell r="J6023">
            <v>0</v>
          </cell>
          <cell r="W6023">
            <v>0</v>
          </cell>
          <cell r="AJ6023">
            <v>0</v>
          </cell>
          <cell r="AW6023">
            <v>0</v>
          </cell>
          <cell r="AX6023">
            <v>350</v>
          </cell>
          <cell r="BJ6023">
            <v>350</v>
          </cell>
        </row>
        <row r="6024">
          <cell r="B6024">
            <v>8825</v>
          </cell>
          <cell r="C6024" t="str">
            <v>UP_33_</v>
          </cell>
          <cell r="D6024" t="str">
            <v>Rancho Upácuaro No. 33</v>
          </cell>
          <cell r="E6024" t="str">
            <v>Ulloa Miranda</v>
          </cell>
          <cell r="F6024">
            <v>300</v>
          </cell>
          <cell r="G6024">
            <v>1</v>
          </cell>
          <cell r="H6024">
            <v>400</v>
          </cell>
          <cell r="I6024">
            <v>42029</v>
          </cell>
          <cell r="J6024">
            <v>0</v>
          </cell>
          <cell r="W6024">
            <v>0</v>
          </cell>
          <cell r="AJ6024">
            <v>0</v>
          </cell>
          <cell r="AW6024">
            <v>0</v>
          </cell>
          <cell r="AY6024">
            <v>400</v>
          </cell>
          <cell r="BJ6024">
            <v>400</v>
          </cell>
        </row>
        <row r="6025">
          <cell r="B6025">
            <v>8826</v>
          </cell>
          <cell r="C6025" t="str">
            <v>CL_110_</v>
          </cell>
          <cell r="D6025" t="str">
            <v>Rancho La Cuchilla No. 110</v>
          </cell>
          <cell r="E6025" t="str">
            <v>Domínguez Canudas</v>
          </cell>
          <cell r="F6025">
            <v>300</v>
          </cell>
          <cell r="G6025">
            <v>1</v>
          </cell>
          <cell r="H6025">
            <v>800</v>
          </cell>
          <cell r="I6025">
            <v>42029</v>
          </cell>
          <cell r="J6025">
            <v>0</v>
          </cell>
          <cell r="W6025">
            <v>0</v>
          </cell>
          <cell r="AJ6025">
            <v>0</v>
          </cell>
          <cell r="AW6025">
            <v>0</v>
          </cell>
          <cell r="AX6025">
            <v>400</v>
          </cell>
          <cell r="AY6025">
            <v>400</v>
          </cell>
          <cell r="BJ6025">
            <v>800</v>
          </cell>
        </row>
        <row r="6026">
          <cell r="B6026">
            <v>8827</v>
          </cell>
          <cell r="C6026" t="str">
            <v>EZ_33_</v>
          </cell>
          <cell r="D6026" t="str">
            <v>Rancho Estanzuela No. 33</v>
          </cell>
          <cell r="E6026" t="str">
            <v>Arauz</v>
          </cell>
          <cell r="F6026">
            <v>300</v>
          </cell>
          <cell r="G6026">
            <v>1</v>
          </cell>
          <cell r="H6026">
            <v>4400</v>
          </cell>
          <cell r="I6026">
            <v>42029</v>
          </cell>
          <cell r="J6026">
            <v>0</v>
          </cell>
          <cell r="W6026">
            <v>0</v>
          </cell>
          <cell r="AJ6026">
            <v>0</v>
          </cell>
          <cell r="AW6026">
            <v>0</v>
          </cell>
          <cell r="AX6026">
            <v>400</v>
          </cell>
          <cell r="AY6026">
            <v>400</v>
          </cell>
          <cell r="AZ6026">
            <v>400</v>
          </cell>
          <cell r="BA6026">
            <v>400</v>
          </cell>
          <cell r="BB6026">
            <v>400</v>
          </cell>
          <cell r="BC6026">
            <v>400</v>
          </cell>
          <cell r="BD6026">
            <v>400</v>
          </cell>
          <cell r="BE6026">
            <v>400</v>
          </cell>
          <cell r="BF6026">
            <v>400</v>
          </cell>
          <cell r="BG6026">
            <v>400</v>
          </cell>
          <cell r="BH6026">
            <v>400</v>
          </cell>
          <cell r="BJ6026">
            <v>4400</v>
          </cell>
        </row>
        <row r="6027">
          <cell r="B6027">
            <v>8828</v>
          </cell>
          <cell r="C6027" t="str">
            <v>UP_60_</v>
          </cell>
          <cell r="D6027" t="str">
            <v>Rancho Upácuaro No. 60</v>
          </cell>
          <cell r="E6027" t="str">
            <v>Zavala</v>
          </cell>
          <cell r="F6027">
            <v>300</v>
          </cell>
          <cell r="G6027">
            <v>1</v>
          </cell>
          <cell r="H6027">
            <v>400</v>
          </cell>
          <cell r="I6027">
            <v>42029</v>
          </cell>
          <cell r="J6027">
            <v>0</v>
          </cell>
          <cell r="W6027">
            <v>0</v>
          </cell>
          <cell r="AJ6027">
            <v>0</v>
          </cell>
          <cell r="AW6027">
            <v>0</v>
          </cell>
          <cell r="AY6027">
            <v>400</v>
          </cell>
          <cell r="BJ6027">
            <v>400</v>
          </cell>
        </row>
        <row r="6028">
          <cell r="B6028">
            <v>8829</v>
          </cell>
          <cell r="C6028" t="str">
            <v>LD_70_</v>
          </cell>
          <cell r="D6028" t="str">
            <v>Rancho Landero No. 70</v>
          </cell>
          <cell r="E6028" t="str">
            <v>Olguín</v>
          </cell>
          <cell r="F6028">
            <v>100</v>
          </cell>
          <cell r="G6028">
            <v>1</v>
          </cell>
          <cell r="H6028">
            <v>100</v>
          </cell>
          <cell r="I6028">
            <v>42029</v>
          </cell>
          <cell r="J6028">
            <v>0</v>
          </cell>
          <cell r="W6028">
            <v>0</v>
          </cell>
          <cell r="AJ6028">
            <v>0</v>
          </cell>
          <cell r="AW6028">
            <v>0</v>
          </cell>
          <cell r="AX6028">
            <v>100</v>
          </cell>
          <cell r="BJ6028">
            <v>100</v>
          </cell>
        </row>
        <row r="6029">
          <cell r="B6029">
            <v>8830</v>
          </cell>
          <cell r="C6029" t="str">
            <v>LD_72_</v>
          </cell>
          <cell r="D6029" t="str">
            <v>Rancho Landero No. 72</v>
          </cell>
          <cell r="E6029" t="str">
            <v>Olguín</v>
          </cell>
          <cell r="F6029">
            <v>300</v>
          </cell>
          <cell r="G6029">
            <v>1</v>
          </cell>
          <cell r="H6029">
            <v>100</v>
          </cell>
          <cell r="I6029">
            <v>42029</v>
          </cell>
          <cell r="J6029">
            <v>0</v>
          </cell>
          <cell r="W6029">
            <v>0</v>
          </cell>
          <cell r="AJ6029">
            <v>0</v>
          </cell>
          <cell r="AW6029">
            <v>0</v>
          </cell>
          <cell r="AX6029">
            <v>100</v>
          </cell>
          <cell r="BJ6029">
            <v>100</v>
          </cell>
        </row>
        <row r="6030">
          <cell r="B6030">
            <v>8831</v>
          </cell>
          <cell r="C6030" t="str">
            <v>EZ_133_</v>
          </cell>
          <cell r="D6030" t="str">
            <v>Rancho Estanzuela No. 133</v>
          </cell>
          <cell r="E6030" t="str">
            <v>Hernández Salazar</v>
          </cell>
          <cell r="F6030">
            <v>250</v>
          </cell>
          <cell r="G6030">
            <v>1</v>
          </cell>
          <cell r="H6030">
            <v>600</v>
          </cell>
          <cell r="I6030">
            <v>42029</v>
          </cell>
          <cell r="J6030">
            <v>0</v>
          </cell>
          <cell r="W6030">
            <v>0</v>
          </cell>
          <cell r="AJ6030">
            <v>0</v>
          </cell>
          <cell r="AU6030">
            <v>300</v>
          </cell>
          <cell r="AV6030">
            <v>300</v>
          </cell>
          <cell r="AW6030">
            <v>600</v>
          </cell>
          <cell r="BJ6030">
            <v>0</v>
          </cell>
        </row>
        <row r="6031">
          <cell r="B6031">
            <v>8832</v>
          </cell>
          <cell r="C6031" t="str">
            <v>ZB_26_</v>
          </cell>
          <cell r="D6031" t="str">
            <v>Rancho Zinamba No. 26</v>
          </cell>
          <cell r="E6031" t="str">
            <v>Ayala</v>
          </cell>
          <cell r="F6031">
            <v>300</v>
          </cell>
          <cell r="G6031">
            <v>1</v>
          </cell>
          <cell r="H6031">
            <v>400</v>
          </cell>
          <cell r="I6031">
            <v>42029</v>
          </cell>
          <cell r="J6031">
            <v>0</v>
          </cell>
          <cell r="W6031">
            <v>0</v>
          </cell>
          <cell r="AJ6031">
            <v>0</v>
          </cell>
          <cell r="AV6031">
            <v>400</v>
          </cell>
          <cell r="AW6031">
            <v>400</v>
          </cell>
          <cell r="BJ6031">
            <v>0</v>
          </cell>
        </row>
        <row r="6032">
          <cell r="C6032" t="str">
            <v>CM_130_A</v>
          </cell>
          <cell r="D6032" t="str">
            <v>Rancho Estanzuela No. 130, A</v>
          </cell>
          <cell r="E6032" t="str">
            <v>Colegio Carmel</v>
          </cell>
          <cell r="F6032">
            <v>10000</v>
          </cell>
          <cell r="G6032">
            <v>1</v>
          </cell>
          <cell r="H6032">
            <v>10000</v>
          </cell>
          <cell r="I6032">
            <v>42029</v>
          </cell>
          <cell r="J6032">
            <v>0</v>
          </cell>
          <cell r="W6032">
            <v>0</v>
          </cell>
          <cell r="AJ6032">
            <v>0</v>
          </cell>
          <cell r="AV6032">
            <v>10000</v>
          </cell>
          <cell r="AW6032">
            <v>10000</v>
          </cell>
          <cell r="BJ6032">
            <v>0</v>
          </cell>
        </row>
        <row r="6033">
          <cell r="C6033" t="str">
            <v>CM_130_A</v>
          </cell>
          <cell r="D6033" t="str">
            <v>Rancho Estanzuela No. 130, A</v>
          </cell>
          <cell r="E6033" t="str">
            <v>Colegio Carmel</v>
          </cell>
          <cell r="F6033">
            <v>10000</v>
          </cell>
          <cell r="G6033">
            <v>1</v>
          </cell>
          <cell r="H6033">
            <v>11000</v>
          </cell>
          <cell r="I6033">
            <v>42029</v>
          </cell>
          <cell r="J6033">
            <v>0</v>
          </cell>
          <cell r="W6033">
            <v>0</v>
          </cell>
          <cell r="AJ6033">
            <v>0</v>
          </cell>
          <cell r="AW6033">
            <v>0</v>
          </cell>
          <cell r="AX6033">
            <v>11000</v>
          </cell>
          <cell r="BJ6033">
            <v>11000</v>
          </cell>
        </row>
        <row r="6034">
          <cell r="B6034" t="str">
            <v>NÚMERO</v>
          </cell>
          <cell r="C6034" t="str">
            <v>CASA</v>
          </cell>
          <cell r="D6034" t="str">
            <v>DOMICILIO</v>
          </cell>
          <cell r="E6034" t="str">
            <v>FAMILIA</v>
          </cell>
          <cell r="F6034" t="str">
            <v>CUOTA</v>
          </cell>
          <cell r="G6034" t="str">
            <v>C_ING</v>
          </cell>
          <cell r="H6034" t="str">
            <v>IMPORTE</v>
          </cell>
          <cell r="I6034" t="str">
            <v>FECHA</v>
          </cell>
          <cell r="J6034" t="str">
            <v>CHK</v>
          </cell>
          <cell r="K6034" t="str">
            <v>ENE
2012</v>
          </cell>
          <cell r="L6034" t="str">
            <v>FEB
2012</v>
          </cell>
          <cell r="M6034" t="str">
            <v>MAR
2012</v>
          </cell>
          <cell r="N6034" t="str">
            <v>ABR
2012</v>
          </cell>
          <cell r="O6034" t="str">
            <v>MAY
2012</v>
          </cell>
          <cell r="P6034" t="str">
            <v>JUN
2012</v>
          </cell>
          <cell r="Q6034" t="str">
            <v>JUL
2012</v>
          </cell>
          <cell r="R6034" t="str">
            <v>AGO
2012</v>
          </cell>
          <cell r="S6034" t="str">
            <v>SEP
2012</v>
          </cell>
          <cell r="T6034" t="str">
            <v>OCT
2012</v>
          </cell>
          <cell r="U6034" t="str">
            <v>NOV
2012</v>
          </cell>
          <cell r="V6034" t="str">
            <v>DIC
2012</v>
          </cell>
          <cell r="W6034" t="str">
            <v>SUMA
2012</v>
          </cell>
          <cell r="X6034" t="str">
            <v>ENE
2013</v>
          </cell>
          <cell r="Y6034" t="str">
            <v>FEB
2013</v>
          </cell>
          <cell r="Z6034" t="str">
            <v>MAR
2013</v>
          </cell>
          <cell r="AA6034" t="str">
            <v>ABR
2013</v>
          </cell>
          <cell r="AB6034" t="str">
            <v>MAY
2013</v>
          </cell>
          <cell r="AC6034" t="str">
            <v>JUN
2013</v>
          </cell>
          <cell r="AD6034" t="str">
            <v>JUL
2013</v>
          </cell>
          <cell r="AE6034" t="str">
            <v>AGO
2013</v>
          </cell>
          <cell r="AF6034" t="str">
            <v>SEP
2013</v>
          </cell>
          <cell r="AG6034" t="str">
            <v>OCT
2013</v>
          </cell>
          <cell r="AH6034" t="str">
            <v>NOV
2013</v>
          </cell>
          <cell r="AI6034" t="str">
            <v>DIC
2013</v>
          </cell>
          <cell r="AJ6034" t="str">
            <v>SUMA
2013</v>
          </cell>
          <cell r="AK6034" t="str">
            <v>ENE
2014</v>
          </cell>
          <cell r="AL6034" t="str">
            <v>FEB
2014</v>
          </cell>
          <cell r="AM6034" t="str">
            <v>MAR
2014</v>
          </cell>
          <cell r="AN6034" t="str">
            <v>ABR
2014</v>
          </cell>
          <cell r="AO6034" t="str">
            <v>MAY
2014</v>
          </cell>
          <cell r="AP6034" t="str">
            <v>JUN
2014</v>
          </cell>
          <cell r="AQ6034" t="str">
            <v>JUL
2014</v>
          </cell>
          <cell r="AR6034" t="str">
            <v>AGO
2014</v>
          </cell>
          <cell r="AS6034" t="str">
            <v>SEP
2014</v>
          </cell>
          <cell r="AT6034" t="str">
            <v>OCT
2014</v>
          </cell>
          <cell r="AU6034" t="str">
            <v>NOV
2014</v>
          </cell>
          <cell r="AV6034" t="str">
            <v>DIC
2014</v>
          </cell>
          <cell r="AW6034" t="str">
            <v>SUMA
2014</v>
          </cell>
          <cell r="AX6034" t="str">
            <v>ENE
2015</v>
          </cell>
          <cell r="AY6034" t="str">
            <v>FEB
2015</v>
          </cell>
          <cell r="AZ6034" t="str">
            <v>MAR
2015</v>
          </cell>
          <cell r="BA6034" t="str">
            <v>ABR
2015</v>
          </cell>
          <cell r="BB6034" t="str">
            <v>MAY
2015</v>
          </cell>
          <cell r="BC6034" t="str">
            <v>JUN
2015</v>
          </cell>
          <cell r="BD6034" t="str">
            <v>JUL
2015</v>
          </cell>
          <cell r="BE6034" t="str">
            <v>AGO
2015</v>
          </cell>
          <cell r="BF6034" t="str">
            <v>SEP
2015</v>
          </cell>
          <cell r="BG6034" t="str">
            <v>OCT
2015</v>
          </cell>
          <cell r="BH6034" t="str">
            <v>NOV
2015</v>
          </cell>
          <cell r="BI6034" t="str">
            <v>DIC
2015</v>
          </cell>
          <cell r="BJ6034" t="str">
            <v>SUMA
2015</v>
          </cell>
        </row>
        <row r="6035">
          <cell r="B6035">
            <v>8833</v>
          </cell>
          <cell r="C6035" t="str">
            <v>LD_22_</v>
          </cell>
          <cell r="D6035" t="str">
            <v>Rancho Landero No. 22</v>
          </cell>
          <cell r="E6035" t="str">
            <v>Reyes</v>
          </cell>
          <cell r="F6035">
            <v>150</v>
          </cell>
          <cell r="G6035">
            <v>1</v>
          </cell>
          <cell r="H6035">
            <v>400</v>
          </cell>
          <cell r="I6035">
            <v>42029</v>
          </cell>
          <cell r="J6035">
            <v>0</v>
          </cell>
          <cell r="W6035">
            <v>0</v>
          </cell>
          <cell r="AJ6035">
            <v>0</v>
          </cell>
          <cell r="AV6035">
            <v>200</v>
          </cell>
          <cell r="AW6035">
            <v>200</v>
          </cell>
          <cell r="AX6035">
            <v>200</v>
          </cell>
          <cell r="BJ6035">
            <v>200</v>
          </cell>
        </row>
        <row r="6036">
          <cell r="B6036">
            <v>8834</v>
          </cell>
          <cell r="C6036" t="str">
            <v>UP_104_</v>
          </cell>
          <cell r="D6036" t="str">
            <v>Rancho Upácuaro No. 104</v>
          </cell>
          <cell r="E6036" t="str">
            <v>Jiménez Almazo</v>
          </cell>
          <cell r="F6036">
            <v>300</v>
          </cell>
          <cell r="G6036">
            <v>1</v>
          </cell>
          <cell r="H6036">
            <v>100</v>
          </cell>
          <cell r="I6036">
            <v>42030</v>
          </cell>
          <cell r="J6036">
            <v>0</v>
          </cell>
          <cell r="W6036">
            <v>0</v>
          </cell>
          <cell r="AJ6036">
            <v>0</v>
          </cell>
          <cell r="AW6036">
            <v>0</v>
          </cell>
          <cell r="AX6036">
            <v>100</v>
          </cell>
          <cell r="BJ6036">
            <v>100</v>
          </cell>
        </row>
        <row r="6037">
          <cell r="B6037">
            <v>8835</v>
          </cell>
          <cell r="C6037" t="str">
            <v>RV_3_</v>
          </cell>
          <cell r="D6037" t="str">
            <v>Rancho Recoveco No. 3</v>
          </cell>
          <cell r="E6037" t="str">
            <v>Garduño</v>
          </cell>
          <cell r="F6037">
            <v>300</v>
          </cell>
          <cell r="G6037">
            <v>1</v>
          </cell>
          <cell r="H6037">
            <v>300</v>
          </cell>
          <cell r="I6037">
            <v>42032</v>
          </cell>
          <cell r="J6037">
            <v>0</v>
          </cell>
          <cell r="W6037">
            <v>0</v>
          </cell>
          <cell r="AJ6037">
            <v>0</v>
          </cell>
          <cell r="AW6037">
            <v>0</v>
          </cell>
          <cell r="AX6037">
            <v>300</v>
          </cell>
          <cell r="BJ6037">
            <v>300</v>
          </cell>
        </row>
        <row r="6038">
          <cell r="B6038">
            <v>8836</v>
          </cell>
          <cell r="C6038" t="str">
            <v>EZ_129_</v>
          </cell>
          <cell r="D6038" t="str">
            <v>Rancho Estanzuela No. 129</v>
          </cell>
          <cell r="E6038" t="str">
            <v>González</v>
          </cell>
          <cell r="F6038">
            <v>300</v>
          </cell>
          <cell r="G6038">
            <v>3</v>
          </cell>
          <cell r="H6038">
            <v>160</v>
          </cell>
          <cell r="I6038">
            <v>42032</v>
          </cell>
          <cell r="J6038" t="str">
            <v>NO SUMA</v>
          </cell>
          <cell r="W6038">
            <v>0</v>
          </cell>
          <cell r="AJ6038">
            <v>0</v>
          </cell>
          <cell r="AW6038">
            <v>0</v>
          </cell>
          <cell r="BJ6038">
            <v>0</v>
          </cell>
        </row>
        <row r="6039">
          <cell r="B6039">
            <v>8837</v>
          </cell>
          <cell r="C6039" t="str">
            <v>EZ_111_</v>
          </cell>
          <cell r="D6039" t="str">
            <v>Rancho Estanzuela No. 111</v>
          </cell>
          <cell r="E6039" t="str">
            <v>Flores Pérez</v>
          </cell>
          <cell r="F6039">
            <v>300</v>
          </cell>
          <cell r="G6039">
            <v>1</v>
          </cell>
          <cell r="H6039">
            <v>800</v>
          </cell>
          <cell r="I6039">
            <v>42034</v>
          </cell>
          <cell r="J6039">
            <v>0</v>
          </cell>
          <cell r="W6039">
            <v>0</v>
          </cell>
          <cell r="AJ6039">
            <v>0</v>
          </cell>
          <cell r="AV6039">
            <v>400</v>
          </cell>
          <cell r="AW6039">
            <v>400</v>
          </cell>
          <cell r="AX6039">
            <v>400</v>
          </cell>
          <cell r="BJ6039">
            <v>400</v>
          </cell>
        </row>
        <row r="6040">
          <cell r="B6040">
            <v>8838</v>
          </cell>
          <cell r="C6040" t="str">
            <v>UP_51_2</v>
          </cell>
          <cell r="D6040" t="str">
            <v>Rancho Upácuaro No. 51, 2</v>
          </cell>
          <cell r="E6040" t="str">
            <v>Santoyo</v>
          </cell>
          <cell r="F6040">
            <v>300</v>
          </cell>
          <cell r="G6040">
            <v>1</v>
          </cell>
          <cell r="H6040">
            <v>200</v>
          </cell>
          <cell r="I6040">
            <v>42035</v>
          </cell>
          <cell r="J6040">
            <v>0</v>
          </cell>
          <cell r="W6040">
            <v>0</v>
          </cell>
          <cell r="AJ6040">
            <v>0</v>
          </cell>
          <cell r="AW6040">
            <v>0</v>
          </cell>
          <cell r="AY6040">
            <v>200</v>
          </cell>
          <cell r="BJ6040">
            <v>200</v>
          </cell>
        </row>
        <row r="6041">
          <cell r="B6041">
            <v>8838</v>
          </cell>
          <cell r="C6041" t="str">
            <v>UP_51_2</v>
          </cell>
          <cell r="D6041" t="str">
            <v>Rancho Upácuaro No. 51, 2</v>
          </cell>
          <cell r="E6041" t="str">
            <v>Santoyo</v>
          </cell>
          <cell r="F6041">
            <v>300</v>
          </cell>
          <cell r="G6041">
            <v>5</v>
          </cell>
          <cell r="H6041">
            <v>160</v>
          </cell>
          <cell r="I6041">
            <v>42035</v>
          </cell>
          <cell r="J6041" t="str">
            <v>NO SUMA</v>
          </cell>
          <cell r="W6041">
            <v>0</v>
          </cell>
          <cell r="AJ6041">
            <v>0</v>
          </cell>
          <cell r="AW6041">
            <v>0</v>
          </cell>
          <cell r="BJ6041">
            <v>0</v>
          </cell>
        </row>
        <row r="6042">
          <cell r="B6042">
            <v>8838</v>
          </cell>
          <cell r="C6042" t="str">
            <v>UP_51_2</v>
          </cell>
          <cell r="D6042" t="str">
            <v>Rancho Upácuaro No. 51, 2</v>
          </cell>
          <cell r="E6042" t="str">
            <v>Santoyo</v>
          </cell>
          <cell r="F6042">
            <v>300</v>
          </cell>
          <cell r="G6042">
            <v>4</v>
          </cell>
          <cell r="H6042">
            <v>320</v>
          </cell>
          <cell r="I6042">
            <v>42035</v>
          </cell>
          <cell r="J6042" t="str">
            <v>NO SUMA</v>
          </cell>
          <cell r="W6042">
            <v>0</v>
          </cell>
          <cell r="AJ6042">
            <v>0</v>
          </cell>
          <cell r="AW6042">
            <v>0</v>
          </cell>
          <cell r="BJ6042">
            <v>0</v>
          </cell>
        </row>
        <row r="6043">
          <cell r="B6043">
            <v>8839</v>
          </cell>
          <cell r="C6043" t="str">
            <v>LD_42_</v>
          </cell>
          <cell r="D6043" t="str">
            <v>Rancho Landero No. 42</v>
          </cell>
          <cell r="E6043" t="str">
            <v>Ávila Fidel</v>
          </cell>
          <cell r="F6043">
            <v>300</v>
          </cell>
          <cell r="G6043">
            <v>1</v>
          </cell>
          <cell r="H6043">
            <v>400</v>
          </cell>
          <cell r="I6043">
            <v>42036</v>
          </cell>
          <cell r="J6043">
            <v>0</v>
          </cell>
          <cell r="W6043">
            <v>0</v>
          </cell>
          <cell r="AJ6043">
            <v>0</v>
          </cell>
          <cell r="AW6043">
            <v>0</v>
          </cell>
          <cell r="AY6043">
            <v>400</v>
          </cell>
          <cell r="BJ6043">
            <v>400</v>
          </cell>
        </row>
        <row r="6044">
          <cell r="B6044">
            <v>8840</v>
          </cell>
          <cell r="C6044" t="str">
            <v>CL_87_</v>
          </cell>
          <cell r="D6044" t="str">
            <v>Rancho La Cuchilla No. 87</v>
          </cell>
          <cell r="E6044" t="str">
            <v>Villanueva S.</v>
          </cell>
          <cell r="F6044">
            <v>300</v>
          </cell>
          <cell r="G6044">
            <v>1</v>
          </cell>
          <cell r="H6044">
            <v>400</v>
          </cell>
          <cell r="I6044">
            <v>42036</v>
          </cell>
          <cell r="J6044">
            <v>0</v>
          </cell>
          <cell r="W6044">
            <v>0</v>
          </cell>
          <cell r="AJ6044">
            <v>0</v>
          </cell>
          <cell r="AW6044">
            <v>0</v>
          </cell>
          <cell r="AY6044">
            <v>400</v>
          </cell>
          <cell r="BJ6044">
            <v>400</v>
          </cell>
        </row>
        <row r="6045">
          <cell r="B6045">
            <v>8841</v>
          </cell>
          <cell r="C6045" t="str">
            <v>CL_107_</v>
          </cell>
          <cell r="D6045" t="str">
            <v>Rancho La Cuchilla No. 107</v>
          </cell>
          <cell r="E6045" t="str">
            <v>Olivares Rivera</v>
          </cell>
          <cell r="F6045">
            <v>300</v>
          </cell>
          <cell r="G6045">
            <v>1</v>
          </cell>
          <cell r="H6045">
            <v>400</v>
          </cell>
          <cell r="I6045">
            <v>42036</v>
          </cell>
          <cell r="J6045">
            <v>0</v>
          </cell>
          <cell r="W6045">
            <v>0</v>
          </cell>
          <cell r="AJ6045">
            <v>0</v>
          </cell>
          <cell r="AW6045">
            <v>0</v>
          </cell>
          <cell r="AX6045">
            <v>400</v>
          </cell>
          <cell r="BJ6045">
            <v>400</v>
          </cell>
        </row>
        <row r="6046">
          <cell r="B6046">
            <v>8842</v>
          </cell>
          <cell r="C6046" t="str">
            <v>LD_63_</v>
          </cell>
          <cell r="D6046" t="str">
            <v>Rancho Landero No. 63</v>
          </cell>
          <cell r="E6046" t="str">
            <v>Hernández Chávez</v>
          </cell>
          <cell r="F6046">
            <v>300</v>
          </cell>
          <cell r="G6046">
            <v>1</v>
          </cell>
          <cell r="H6046">
            <v>800</v>
          </cell>
          <cell r="I6046">
            <v>42036</v>
          </cell>
          <cell r="J6046">
            <v>0</v>
          </cell>
          <cell r="W6046">
            <v>0</v>
          </cell>
          <cell r="AJ6046">
            <v>0</v>
          </cell>
          <cell r="AS6046">
            <v>400</v>
          </cell>
          <cell r="AT6046">
            <v>400</v>
          </cell>
          <cell r="AW6046">
            <v>800</v>
          </cell>
          <cell r="BJ6046">
            <v>0</v>
          </cell>
        </row>
        <row r="6047">
          <cell r="B6047">
            <v>8843</v>
          </cell>
          <cell r="C6047" t="str">
            <v>EZ_65_</v>
          </cell>
          <cell r="D6047" t="str">
            <v>Rancho Estanzuela No. 65</v>
          </cell>
          <cell r="E6047" t="str">
            <v>López Becerril</v>
          </cell>
          <cell r="F6047">
            <v>300</v>
          </cell>
          <cell r="G6047">
            <v>1</v>
          </cell>
          <cell r="H6047">
            <v>400</v>
          </cell>
          <cell r="I6047">
            <v>42036</v>
          </cell>
          <cell r="J6047">
            <v>0</v>
          </cell>
          <cell r="W6047">
            <v>0</v>
          </cell>
          <cell r="AJ6047">
            <v>0</v>
          </cell>
          <cell r="AW6047">
            <v>0</v>
          </cell>
          <cell r="AY6047">
            <v>400</v>
          </cell>
          <cell r="BJ6047">
            <v>400</v>
          </cell>
        </row>
        <row r="6048">
          <cell r="B6048">
            <v>8844</v>
          </cell>
          <cell r="C6048" t="str">
            <v>CL_40_</v>
          </cell>
          <cell r="D6048" t="str">
            <v>Rancho La Cuchilla No. 40</v>
          </cell>
          <cell r="E6048" t="str">
            <v>López Pico</v>
          </cell>
          <cell r="F6048">
            <v>300</v>
          </cell>
          <cell r="G6048">
            <v>1</v>
          </cell>
          <cell r="H6048">
            <v>400</v>
          </cell>
          <cell r="I6048">
            <v>42036</v>
          </cell>
          <cell r="J6048">
            <v>0</v>
          </cell>
          <cell r="W6048">
            <v>0</v>
          </cell>
          <cell r="AJ6048">
            <v>0</v>
          </cell>
          <cell r="AW6048">
            <v>0</v>
          </cell>
          <cell r="AY6048">
            <v>400</v>
          </cell>
          <cell r="BJ6048">
            <v>400</v>
          </cell>
        </row>
        <row r="6049">
          <cell r="B6049">
            <v>8845</v>
          </cell>
          <cell r="C6049" t="str">
            <v>UP_75_</v>
          </cell>
          <cell r="D6049" t="str">
            <v>Rancho Upácuaro No. 75</v>
          </cell>
          <cell r="E6049" t="str">
            <v>Montaño Zetina</v>
          </cell>
          <cell r="F6049">
            <v>250</v>
          </cell>
          <cell r="G6049">
            <v>1</v>
          </cell>
          <cell r="H6049">
            <v>3300</v>
          </cell>
          <cell r="I6049">
            <v>42036</v>
          </cell>
          <cell r="J6049">
            <v>0</v>
          </cell>
          <cell r="W6049">
            <v>0</v>
          </cell>
          <cell r="AJ6049">
            <v>0</v>
          </cell>
          <cell r="AW6049">
            <v>0</v>
          </cell>
          <cell r="AX6049">
            <v>300</v>
          </cell>
          <cell r="AY6049">
            <v>300</v>
          </cell>
          <cell r="AZ6049">
            <v>300</v>
          </cell>
          <cell r="BA6049">
            <v>300</v>
          </cell>
          <cell r="BB6049">
            <v>300</v>
          </cell>
          <cell r="BC6049">
            <v>300</v>
          </cell>
          <cell r="BD6049">
            <v>300</v>
          </cell>
          <cell r="BE6049">
            <v>300</v>
          </cell>
          <cell r="BF6049">
            <v>300</v>
          </cell>
          <cell r="BG6049">
            <v>300</v>
          </cell>
          <cell r="BH6049">
            <v>300</v>
          </cell>
          <cell r="BJ6049">
            <v>3300</v>
          </cell>
        </row>
        <row r="6050">
          <cell r="B6050">
            <v>8845</v>
          </cell>
          <cell r="C6050" t="str">
            <v>UP_75_</v>
          </cell>
          <cell r="D6050" t="str">
            <v>Rancho Upácuaro No. 75</v>
          </cell>
          <cell r="E6050" t="str">
            <v>Montaño Zetina</v>
          </cell>
          <cell r="F6050">
            <v>250</v>
          </cell>
          <cell r="G6050">
            <v>3</v>
          </cell>
          <cell r="H6050">
            <v>160</v>
          </cell>
          <cell r="I6050">
            <v>42036</v>
          </cell>
          <cell r="J6050" t="str">
            <v>NO SUMA</v>
          </cell>
          <cell r="W6050">
            <v>0</v>
          </cell>
          <cell r="AJ6050">
            <v>0</v>
          </cell>
          <cell r="AW6050">
            <v>0</v>
          </cell>
          <cell r="BJ6050">
            <v>0</v>
          </cell>
        </row>
        <row r="6051">
          <cell r="B6051">
            <v>8846</v>
          </cell>
          <cell r="C6051" t="str">
            <v>UP_146_</v>
          </cell>
          <cell r="D6051" t="str">
            <v>Rancho Upácuaro No. 146</v>
          </cell>
          <cell r="E6051" t="str">
            <v>Islas</v>
          </cell>
          <cell r="F6051">
            <v>300</v>
          </cell>
          <cell r="G6051">
            <v>1</v>
          </cell>
          <cell r="H6051">
            <v>800</v>
          </cell>
          <cell r="I6051">
            <v>42036</v>
          </cell>
          <cell r="J6051">
            <v>0</v>
          </cell>
          <cell r="W6051">
            <v>0</v>
          </cell>
          <cell r="AJ6051">
            <v>0</v>
          </cell>
          <cell r="AV6051">
            <v>400</v>
          </cell>
          <cell r="AW6051">
            <v>400</v>
          </cell>
          <cell r="AX6051">
            <v>400</v>
          </cell>
          <cell r="BJ6051">
            <v>400</v>
          </cell>
        </row>
        <row r="6052">
          <cell r="B6052">
            <v>8847</v>
          </cell>
          <cell r="C6052" t="str">
            <v>LD_15_</v>
          </cell>
          <cell r="D6052" t="str">
            <v>Rancho Landero No. 15</v>
          </cell>
          <cell r="E6052" t="str">
            <v>Morales D.</v>
          </cell>
          <cell r="F6052">
            <v>300</v>
          </cell>
          <cell r="G6052">
            <v>1</v>
          </cell>
          <cell r="H6052">
            <v>4400</v>
          </cell>
          <cell r="I6052">
            <v>42036</v>
          </cell>
          <cell r="J6052">
            <v>0</v>
          </cell>
          <cell r="W6052">
            <v>0</v>
          </cell>
          <cell r="AJ6052">
            <v>0</v>
          </cell>
          <cell r="AW6052">
            <v>0</v>
          </cell>
          <cell r="AX6052">
            <v>400</v>
          </cell>
          <cell r="AY6052">
            <v>400</v>
          </cell>
          <cell r="AZ6052">
            <v>400</v>
          </cell>
          <cell r="BA6052">
            <v>400</v>
          </cell>
          <cell r="BB6052">
            <v>400</v>
          </cell>
          <cell r="BC6052">
            <v>400</v>
          </cell>
          <cell r="BD6052">
            <v>400</v>
          </cell>
          <cell r="BE6052">
            <v>400</v>
          </cell>
          <cell r="BF6052">
            <v>400</v>
          </cell>
          <cell r="BG6052">
            <v>400</v>
          </cell>
          <cell r="BH6052">
            <v>400</v>
          </cell>
          <cell r="BJ6052">
            <v>4400</v>
          </cell>
        </row>
        <row r="6053">
          <cell r="B6053">
            <v>8848</v>
          </cell>
          <cell r="C6053" t="str">
            <v>RM_9_A</v>
          </cell>
          <cell r="D6053" t="str">
            <v>Rancho Romeral No. 9, A</v>
          </cell>
          <cell r="E6053" t="str">
            <v>Quiñones Hernández</v>
          </cell>
          <cell r="F6053">
            <v>300</v>
          </cell>
          <cell r="G6053">
            <v>1</v>
          </cell>
          <cell r="H6053">
            <v>800</v>
          </cell>
          <cell r="I6053">
            <v>42036</v>
          </cell>
          <cell r="J6053">
            <v>0</v>
          </cell>
          <cell r="W6053">
            <v>0</v>
          </cell>
          <cell r="AJ6053">
            <v>0</v>
          </cell>
          <cell r="AV6053">
            <v>400</v>
          </cell>
          <cell r="AW6053">
            <v>400</v>
          </cell>
          <cell r="AX6053">
            <v>400</v>
          </cell>
          <cell r="BJ6053">
            <v>400</v>
          </cell>
        </row>
        <row r="6054">
          <cell r="B6054">
            <v>8849</v>
          </cell>
          <cell r="C6054" t="str">
            <v>CL_139_</v>
          </cell>
          <cell r="D6054" t="str">
            <v>Rancho La Cuchilla No. 139</v>
          </cell>
          <cell r="E6054" t="str">
            <v>Garcia</v>
          </cell>
          <cell r="F6054">
            <v>200</v>
          </cell>
          <cell r="G6054">
            <v>1</v>
          </cell>
          <cell r="H6054">
            <v>200</v>
          </cell>
          <cell r="I6054">
            <v>42036</v>
          </cell>
          <cell r="J6054">
            <v>0</v>
          </cell>
          <cell r="W6054">
            <v>0</v>
          </cell>
          <cell r="AJ6054">
            <v>0</v>
          </cell>
          <cell r="AW6054">
            <v>0</v>
          </cell>
          <cell r="AY6054">
            <v>200</v>
          </cell>
          <cell r="BJ6054">
            <v>200</v>
          </cell>
        </row>
        <row r="6055">
          <cell r="B6055">
            <v>8850</v>
          </cell>
          <cell r="C6055" t="str">
            <v>CL_131_</v>
          </cell>
          <cell r="D6055" t="str">
            <v>Rancho La Cuchilla No. 131</v>
          </cell>
          <cell r="E6055" t="str">
            <v>Cabrera Marquez</v>
          </cell>
          <cell r="F6055">
            <v>300</v>
          </cell>
          <cell r="G6055">
            <v>1</v>
          </cell>
          <cell r="H6055">
            <v>400</v>
          </cell>
          <cell r="I6055">
            <v>42036</v>
          </cell>
          <cell r="J6055">
            <v>0</v>
          </cell>
          <cell r="W6055">
            <v>0</v>
          </cell>
          <cell r="AJ6055">
            <v>0</v>
          </cell>
          <cell r="AV6055">
            <v>400</v>
          </cell>
          <cell r="AW6055">
            <v>400</v>
          </cell>
          <cell r="BJ6055">
            <v>0</v>
          </cell>
        </row>
        <row r="6056">
          <cell r="B6056">
            <v>8851</v>
          </cell>
          <cell r="C6056" t="str">
            <v>CL_43_B</v>
          </cell>
          <cell r="D6056" t="str">
            <v>Rancho La Cuchilla No. 43, B</v>
          </cell>
          <cell r="E6056" t="str">
            <v>Luna Albertano</v>
          </cell>
          <cell r="F6056">
            <v>125</v>
          </cell>
          <cell r="G6056">
            <v>1</v>
          </cell>
          <cell r="H6056">
            <v>125</v>
          </cell>
          <cell r="I6056">
            <v>42036</v>
          </cell>
          <cell r="J6056">
            <v>0</v>
          </cell>
          <cell r="W6056">
            <v>0</v>
          </cell>
          <cell r="AJ6056">
            <v>0</v>
          </cell>
          <cell r="AW6056">
            <v>0</v>
          </cell>
          <cell r="AY6056">
            <v>125</v>
          </cell>
          <cell r="BJ6056">
            <v>125</v>
          </cell>
        </row>
        <row r="6057">
          <cell r="B6057">
            <v>8852</v>
          </cell>
          <cell r="C6057" t="str">
            <v>CL_93_</v>
          </cell>
          <cell r="D6057" t="str">
            <v>Rancho La Cuchilla No. 93</v>
          </cell>
          <cell r="E6057" t="str">
            <v>Alcántara Silva</v>
          </cell>
          <cell r="F6057">
            <v>300</v>
          </cell>
          <cell r="G6057">
            <v>1</v>
          </cell>
          <cell r="H6057">
            <v>400</v>
          </cell>
          <cell r="I6057">
            <v>42036</v>
          </cell>
          <cell r="J6057">
            <v>0</v>
          </cell>
          <cell r="W6057">
            <v>0</v>
          </cell>
          <cell r="AJ6057">
            <v>0</v>
          </cell>
          <cell r="AW6057">
            <v>0</v>
          </cell>
          <cell r="AY6057">
            <v>400</v>
          </cell>
          <cell r="BJ6057">
            <v>400</v>
          </cell>
        </row>
        <row r="6058">
          <cell r="B6058">
            <v>8853</v>
          </cell>
          <cell r="C6058" t="str">
            <v>CL_90_</v>
          </cell>
          <cell r="D6058" t="str">
            <v>Rancho La Cuchilla No. 90</v>
          </cell>
          <cell r="E6058" t="str">
            <v>Porras Fuentes</v>
          </cell>
          <cell r="F6058">
            <v>150</v>
          </cell>
          <cell r="G6058">
            <v>1</v>
          </cell>
          <cell r="H6058">
            <v>400</v>
          </cell>
          <cell r="I6058">
            <v>42036</v>
          </cell>
          <cell r="J6058">
            <v>0</v>
          </cell>
          <cell r="W6058">
            <v>0</v>
          </cell>
          <cell r="AJ6058">
            <v>0</v>
          </cell>
          <cell r="AV6058">
            <v>200</v>
          </cell>
          <cell r="AW6058">
            <v>200</v>
          </cell>
          <cell r="AX6058">
            <v>200</v>
          </cell>
          <cell r="BJ6058">
            <v>200</v>
          </cell>
        </row>
        <row r="6059">
          <cell r="B6059">
            <v>8854</v>
          </cell>
          <cell r="C6059" t="str">
            <v>CL_19_</v>
          </cell>
          <cell r="D6059" t="str">
            <v>Rancho La Cuchilla No. 19</v>
          </cell>
          <cell r="E6059" t="str">
            <v>Tapia Vázquez</v>
          </cell>
          <cell r="F6059">
            <v>300</v>
          </cell>
          <cell r="G6059">
            <v>1</v>
          </cell>
          <cell r="H6059">
            <v>600</v>
          </cell>
          <cell r="I6059">
            <v>42036</v>
          </cell>
          <cell r="J6059">
            <v>0</v>
          </cell>
          <cell r="W6059">
            <v>0</v>
          </cell>
          <cell r="AJ6059">
            <v>0</v>
          </cell>
          <cell r="AW6059">
            <v>0</v>
          </cell>
          <cell r="AX6059">
            <v>300</v>
          </cell>
          <cell r="AY6059">
            <v>300</v>
          </cell>
          <cell r="BJ6059">
            <v>600</v>
          </cell>
        </row>
        <row r="6060">
          <cell r="B6060">
            <v>8855</v>
          </cell>
          <cell r="C6060" t="str">
            <v>LD_76_</v>
          </cell>
          <cell r="D6060" t="str">
            <v>Rancho Landero No. 76</v>
          </cell>
          <cell r="E6060" t="str">
            <v>Ugarte</v>
          </cell>
          <cell r="F6060">
            <v>300</v>
          </cell>
          <cell r="G6060">
            <v>1</v>
          </cell>
          <cell r="H6060">
            <v>400</v>
          </cell>
          <cell r="I6060">
            <v>42036</v>
          </cell>
          <cell r="J6060">
            <v>0</v>
          </cell>
          <cell r="W6060">
            <v>0</v>
          </cell>
          <cell r="AJ6060">
            <v>0</v>
          </cell>
          <cell r="AW6060">
            <v>0</v>
          </cell>
          <cell r="AY6060">
            <v>400</v>
          </cell>
          <cell r="BJ6060">
            <v>400</v>
          </cell>
        </row>
        <row r="6061">
          <cell r="B6061">
            <v>8856</v>
          </cell>
          <cell r="C6061" t="str">
            <v>RM_33_</v>
          </cell>
          <cell r="D6061" t="str">
            <v>Rancho Romeral No. 33</v>
          </cell>
          <cell r="E6061" t="str">
            <v>Juárez Alva</v>
          </cell>
          <cell r="F6061">
            <v>300</v>
          </cell>
          <cell r="G6061">
            <v>1</v>
          </cell>
          <cell r="H6061">
            <v>800</v>
          </cell>
          <cell r="I6061">
            <v>42036</v>
          </cell>
          <cell r="J6061">
            <v>0</v>
          </cell>
          <cell r="W6061">
            <v>0</v>
          </cell>
          <cell r="AJ6061">
            <v>0</v>
          </cell>
          <cell r="AT6061">
            <v>400</v>
          </cell>
          <cell r="AU6061">
            <v>400</v>
          </cell>
          <cell r="AW6061">
            <v>800</v>
          </cell>
          <cell r="BJ6061">
            <v>0</v>
          </cell>
        </row>
        <row r="6062">
          <cell r="B6062">
            <v>8857</v>
          </cell>
          <cell r="C6062" t="str">
            <v>CL_81_A</v>
          </cell>
          <cell r="D6062" t="str">
            <v>Rancho La Cuchilla No. 81, A</v>
          </cell>
          <cell r="E6062" t="str">
            <v>Barrientos López</v>
          </cell>
          <cell r="F6062">
            <v>300</v>
          </cell>
          <cell r="G6062">
            <v>1</v>
          </cell>
          <cell r="H6062">
            <v>400</v>
          </cell>
          <cell r="I6062">
            <v>42036</v>
          </cell>
          <cell r="J6062">
            <v>0</v>
          </cell>
          <cell r="W6062">
            <v>0</v>
          </cell>
          <cell r="AJ6062">
            <v>0</v>
          </cell>
          <cell r="AW6062">
            <v>0</v>
          </cell>
          <cell r="AY6062">
            <v>400</v>
          </cell>
          <cell r="BJ6062">
            <v>400</v>
          </cell>
        </row>
        <row r="6063">
          <cell r="B6063">
            <v>8858</v>
          </cell>
          <cell r="C6063" t="str">
            <v>CL_28_</v>
          </cell>
          <cell r="D6063" t="str">
            <v>Rancho La Cuchilla No. 28</v>
          </cell>
          <cell r="E6063" t="str">
            <v>Prado de los S.</v>
          </cell>
          <cell r="F6063">
            <v>300</v>
          </cell>
          <cell r="G6063">
            <v>1</v>
          </cell>
          <cell r="H6063">
            <v>4400</v>
          </cell>
          <cell r="I6063">
            <v>42036</v>
          </cell>
          <cell r="J6063">
            <v>0</v>
          </cell>
          <cell r="W6063">
            <v>0</v>
          </cell>
          <cell r="AJ6063">
            <v>0</v>
          </cell>
          <cell r="AW6063">
            <v>0</v>
          </cell>
          <cell r="AX6063">
            <v>400</v>
          </cell>
          <cell r="AY6063">
            <v>400</v>
          </cell>
          <cell r="AZ6063">
            <v>400</v>
          </cell>
          <cell r="BA6063">
            <v>400</v>
          </cell>
          <cell r="BB6063">
            <v>400</v>
          </cell>
          <cell r="BC6063">
            <v>400</v>
          </cell>
          <cell r="BD6063">
            <v>400</v>
          </cell>
          <cell r="BE6063">
            <v>400</v>
          </cell>
          <cell r="BF6063">
            <v>400</v>
          </cell>
          <cell r="BG6063">
            <v>400</v>
          </cell>
          <cell r="BH6063">
            <v>400</v>
          </cell>
          <cell r="BJ6063">
            <v>4400</v>
          </cell>
        </row>
        <row r="6064">
          <cell r="B6064">
            <v>8859</v>
          </cell>
          <cell r="C6064" t="str">
            <v>LD_101_</v>
          </cell>
          <cell r="D6064" t="str">
            <v>Rancho Landero No. 101</v>
          </cell>
          <cell r="E6064" t="str">
            <v>Ramírez</v>
          </cell>
          <cell r="F6064">
            <v>300</v>
          </cell>
          <cell r="G6064">
            <v>1</v>
          </cell>
          <cell r="H6064">
            <v>800</v>
          </cell>
          <cell r="I6064">
            <v>42036</v>
          </cell>
          <cell r="J6064">
            <v>0</v>
          </cell>
          <cell r="W6064">
            <v>0</v>
          </cell>
          <cell r="AJ6064">
            <v>0</v>
          </cell>
          <cell r="AW6064">
            <v>0</v>
          </cell>
          <cell r="AX6064">
            <v>400</v>
          </cell>
          <cell r="AY6064">
            <v>400</v>
          </cell>
          <cell r="BJ6064">
            <v>800</v>
          </cell>
        </row>
        <row r="6065">
          <cell r="B6065">
            <v>8859</v>
          </cell>
          <cell r="C6065" t="str">
            <v>LD_101_</v>
          </cell>
          <cell r="D6065" t="str">
            <v>Rancho Landero No. 101</v>
          </cell>
          <cell r="E6065" t="str">
            <v>Ramírez</v>
          </cell>
          <cell r="F6065">
            <v>300</v>
          </cell>
          <cell r="G6065">
            <v>3</v>
          </cell>
          <cell r="H6065">
            <v>160</v>
          </cell>
          <cell r="I6065">
            <v>42036</v>
          </cell>
          <cell r="J6065" t="str">
            <v>NO SUMA</v>
          </cell>
          <cell r="W6065">
            <v>0</v>
          </cell>
          <cell r="AJ6065">
            <v>0</v>
          </cell>
          <cell r="AW6065">
            <v>0</v>
          </cell>
          <cell r="BJ6065">
            <v>0</v>
          </cell>
        </row>
        <row r="6066">
          <cell r="B6066">
            <v>8860</v>
          </cell>
          <cell r="C6066" t="str">
            <v>UP_140_</v>
          </cell>
          <cell r="D6066" t="str">
            <v>Rancho Upácuaro No. 140</v>
          </cell>
          <cell r="E6066" t="str">
            <v>Gozain</v>
          </cell>
          <cell r="F6066">
            <v>300</v>
          </cell>
          <cell r="G6066">
            <v>1</v>
          </cell>
          <cell r="H6066">
            <v>400</v>
          </cell>
          <cell r="I6066">
            <v>42036</v>
          </cell>
          <cell r="J6066">
            <v>0</v>
          </cell>
          <cell r="W6066">
            <v>0</v>
          </cell>
          <cell r="AJ6066">
            <v>0</v>
          </cell>
          <cell r="AW6066">
            <v>0</v>
          </cell>
          <cell r="AY6066">
            <v>400</v>
          </cell>
          <cell r="BJ6066">
            <v>400</v>
          </cell>
        </row>
        <row r="6067">
          <cell r="B6067">
            <v>8861</v>
          </cell>
          <cell r="C6067" t="str">
            <v>EZ_119_1</v>
          </cell>
          <cell r="D6067" t="str">
            <v>Rancho Estanzuela No. 119, 1</v>
          </cell>
          <cell r="E6067" t="str">
            <v>López Tovar</v>
          </cell>
          <cell r="F6067">
            <v>300</v>
          </cell>
          <cell r="G6067">
            <v>1</v>
          </cell>
          <cell r="H6067">
            <v>1200</v>
          </cell>
          <cell r="I6067">
            <v>42036</v>
          </cell>
          <cell r="J6067">
            <v>0</v>
          </cell>
          <cell r="W6067">
            <v>0</v>
          </cell>
          <cell r="AJ6067">
            <v>0</v>
          </cell>
          <cell r="AV6067">
            <v>400</v>
          </cell>
          <cell r="AW6067">
            <v>400</v>
          </cell>
          <cell r="AX6067">
            <v>400</v>
          </cell>
          <cell r="AY6067">
            <v>400</v>
          </cell>
          <cell r="BJ6067">
            <v>800</v>
          </cell>
        </row>
        <row r="6068">
          <cell r="B6068">
            <v>8862</v>
          </cell>
          <cell r="C6068" t="str">
            <v>UP_18_</v>
          </cell>
          <cell r="D6068" t="str">
            <v>Rancho Upácuaro No. 18</v>
          </cell>
          <cell r="E6068" t="str">
            <v>Guzmán</v>
          </cell>
          <cell r="F6068">
            <v>300</v>
          </cell>
          <cell r="G6068">
            <v>1</v>
          </cell>
          <cell r="H6068">
            <v>300</v>
          </cell>
          <cell r="I6068">
            <v>42036</v>
          </cell>
          <cell r="J6068">
            <v>0</v>
          </cell>
          <cell r="W6068">
            <v>0</v>
          </cell>
          <cell r="AJ6068">
            <v>0</v>
          </cell>
          <cell r="AW6068">
            <v>0</v>
          </cell>
          <cell r="AY6068">
            <v>300</v>
          </cell>
          <cell r="BJ6068">
            <v>300</v>
          </cell>
        </row>
        <row r="6069">
          <cell r="B6069">
            <v>8863</v>
          </cell>
          <cell r="C6069" t="str">
            <v>ZB_68_</v>
          </cell>
          <cell r="D6069" t="str">
            <v>Rancho Zinamba No. 68</v>
          </cell>
          <cell r="E6069" t="str">
            <v>Rivera Villicaña</v>
          </cell>
          <cell r="F6069">
            <v>300</v>
          </cell>
          <cell r="G6069">
            <v>1</v>
          </cell>
          <cell r="H6069">
            <v>300</v>
          </cell>
          <cell r="I6069">
            <v>42036</v>
          </cell>
          <cell r="J6069">
            <v>0</v>
          </cell>
          <cell r="W6069">
            <v>0</v>
          </cell>
          <cell r="AJ6069">
            <v>0</v>
          </cell>
          <cell r="AW6069">
            <v>0</v>
          </cell>
          <cell r="AY6069">
            <v>300</v>
          </cell>
          <cell r="BJ6069">
            <v>300</v>
          </cell>
        </row>
        <row r="6070">
          <cell r="B6070">
            <v>8864</v>
          </cell>
          <cell r="C6070" t="str">
            <v>EZ_139_</v>
          </cell>
          <cell r="D6070" t="str">
            <v>Rancho Estanzuela No. 139</v>
          </cell>
          <cell r="E6070" t="str">
            <v xml:space="preserve">Ortiz   </v>
          </cell>
          <cell r="F6070">
            <v>300</v>
          </cell>
          <cell r="G6070">
            <v>1</v>
          </cell>
          <cell r="H6070">
            <v>400</v>
          </cell>
          <cell r="I6070">
            <v>42036</v>
          </cell>
          <cell r="J6070">
            <v>0</v>
          </cell>
          <cell r="W6070">
            <v>0</v>
          </cell>
          <cell r="AJ6070">
            <v>0</v>
          </cell>
          <cell r="AV6070">
            <v>400</v>
          </cell>
          <cell r="AW6070">
            <v>400</v>
          </cell>
          <cell r="BJ6070">
            <v>0</v>
          </cell>
        </row>
        <row r="6071">
          <cell r="B6071">
            <v>8865</v>
          </cell>
          <cell r="C6071" t="str">
            <v>ZB_66_</v>
          </cell>
          <cell r="D6071" t="str">
            <v>Rancho Zinamba No. 66</v>
          </cell>
          <cell r="E6071" t="str">
            <v>Pacheco</v>
          </cell>
          <cell r="F6071">
            <v>300</v>
          </cell>
          <cell r="G6071">
            <v>1</v>
          </cell>
          <cell r="H6071">
            <v>400</v>
          </cell>
          <cell r="I6071">
            <v>42036</v>
          </cell>
          <cell r="J6071">
            <v>0</v>
          </cell>
          <cell r="W6071">
            <v>0</v>
          </cell>
          <cell r="AJ6071">
            <v>0</v>
          </cell>
          <cell r="AW6071">
            <v>0</v>
          </cell>
          <cell r="AX6071">
            <v>400</v>
          </cell>
          <cell r="BJ6071">
            <v>400</v>
          </cell>
        </row>
        <row r="6072">
          <cell r="B6072">
            <v>8866</v>
          </cell>
          <cell r="C6072" t="str">
            <v>ZB_44_</v>
          </cell>
          <cell r="D6072" t="str">
            <v>Rancho Zinamba No. 44</v>
          </cell>
          <cell r="E6072" t="str">
            <v>Canales</v>
          </cell>
          <cell r="F6072">
            <v>300</v>
          </cell>
          <cell r="G6072">
            <v>1</v>
          </cell>
          <cell r="H6072">
            <v>400</v>
          </cell>
          <cell r="I6072">
            <v>42036</v>
          </cell>
          <cell r="J6072">
            <v>0</v>
          </cell>
          <cell r="W6072">
            <v>0</v>
          </cell>
          <cell r="AJ6072">
            <v>0</v>
          </cell>
          <cell r="AW6072">
            <v>0</v>
          </cell>
          <cell r="AY6072">
            <v>400</v>
          </cell>
          <cell r="BJ6072">
            <v>400</v>
          </cell>
        </row>
        <row r="6073">
          <cell r="B6073">
            <v>8867</v>
          </cell>
          <cell r="C6073" t="str">
            <v>ZB_44_</v>
          </cell>
          <cell r="D6073" t="str">
            <v>Rancho Zinamba No. 44</v>
          </cell>
          <cell r="E6073" t="str">
            <v>Canales</v>
          </cell>
          <cell r="F6073">
            <v>300</v>
          </cell>
          <cell r="G6073">
            <v>3</v>
          </cell>
          <cell r="H6073">
            <v>160</v>
          </cell>
          <cell r="I6073">
            <v>42036</v>
          </cell>
          <cell r="J6073" t="str">
            <v>NO SUMA</v>
          </cell>
          <cell r="W6073">
            <v>0</v>
          </cell>
          <cell r="AJ6073">
            <v>0</v>
          </cell>
          <cell r="AW6073">
            <v>0</v>
          </cell>
          <cell r="BJ6073">
            <v>0</v>
          </cell>
        </row>
        <row r="6074">
          <cell r="B6074">
            <v>8868</v>
          </cell>
          <cell r="C6074" t="str">
            <v>LD_21_</v>
          </cell>
          <cell r="D6074" t="str">
            <v>Rancho Landero No. 21</v>
          </cell>
          <cell r="E6074" t="str">
            <v>Meza</v>
          </cell>
          <cell r="F6074">
            <v>300</v>
          </cell>
          <cell r="G6074">
            <v>1</v>
          </cell>
          <cell r="H6074">
            <v>800</v>
          </cell>
          <cell r="I6074">
            <v>42036</v>
          </cell>
          <cell r="J6074">
            <v>0</v>
          </cell>
          <cell r="W6074">
            <v>0</v>
          </cell>
          <cell r="AJ6074">
            <v>0</v>
          </cell>
          <cell r="AW6074">
            <v>0</v>
          </cell>
          <cell r="AX6074">
            <v>400</v>
          </cell>
          <cell r="AY6074">
            <v>400</v>
          </cell>
          <cell r="BJ6074">
            <v>800</v>
          </cell>
        </row>
        <row r="6075">
          <cell r="B6075">
            <v>8869</v>
          </cell>
          <cell r="C6075" t="str">
            <v>CL_72_</v>
          </cell>
          <cell r="D6075" t="str">
            <v>Rancho La Cuchilla No. 72</v>
          </cell>
          <cell r="E6075" t="str">
            <v>Ortiz González</v>
          </cell>
          <cell r="F6075">
            <v>300</v>
          </cell>
          <cell r="G6075">
            <v>1</v>
          </cell>
          <cell r="H6075">
            <v>400</v>
          </cell>
          <cell r="I6075">
            <v>42036</v>
          </cell>
          <cell r="J6075">
            <v>0</v>
          </cell>
          <cell r="W6075">
            <v>0</v>
          </cell>
          <cell r="AJ6075">
            <v>0</v>
          </cell>
          <cell r="AW6075">
            <v>0</v>
          </cell>
          <cell r="AY6075">
            <v>400</v>
          </cell>
          <cell r="BJ6075">
            <v>400</v>
          </cell>
        </row>
        <row r="6076">
          <cell r="B6076">
            <v>8870</v>
          </cell>
          <cell r="C6076" t="str">
            <v>UP_64_</v>
          </cell>
          <cell r="D6076" t="str">
            <v>Rancho Upácuaro No. 64</v>
          </cell>
          <cell r="E6076" t="str">
            <v>Méndez Oliva</v>
          </cell>
          <cell r="F6076">
            <v>300</v>
          </cell>
          <cell r="G6076">
            <v>1</v>
          </cell>
          <cell r="H6076">
            <v>300</v>
          </cell>
          <cell r="I6076">
            <v>42036</v>
          </cell>
          <cell r="J6076">
            <v>0</v>
          </cell>
          <cell r="W6076">
            <v>0</v>
          </cell>
          <cell r="AJ6076">
            <v>0</v>
          </cell>
          <cell r="AW6076">
            <v>0</v>
          </cell>
          <cell r="AX6076">
            <v>300</v>
          </cell>
          <cell r="BJ6076">
            <v>300</v>
          </cell>
        </row>
        <row r="6077">
          <cell r="B6077">
            <v>8871</v>
          </cell>
          <cell r="C6077" t="str">
            <v>UP_23_</v>
          </cell>
          <cell r="D6077" t="str">
            <v>Rancho Upácuaro No. 23</v>
          </cell>
          <cell r="E6077" t="str">
            <v>Arredondo</v>
          </cell>
          <cell r="F6077">
            <v>300</v>
          </cell>
          <cell r="G6077">
            <v>1</v>
          </cell>
          <cell r="H6077">
            <v>350</v>
          </cell>
          <cell r="I6077">
            <v>42036</v>
          </cell>
          <cell r="J6077">
            <v>0</v>
          </cell>
          <cell r="W6077">
            <v>0</v>
          </cell>
          <cell r="AJ6077">
            <v>0</v>
          </cell>
          <cell r="AW6077">
            <v>0</v>
          </cell>
          <cell r="AY6077">
            <v>350</v>
          </cell>
          <cell r="BJ6077">
            <v>350</v>
          </cell>
        </row>
        <row r="6078">
          <cell r="B6078">
            <v>8872</v>
          </cell>
          <cell r="C6078" t="str">
            <v>CL_110_</v>
          </cell>
          <cell r="D6078" t="str">
            <v>Rancho La Cuchilla No. 110</v>
          </cell>
          <cell r="E6078" t="str">
            <v>Domínguez Canudas</v>
          </cell>
          <cell r="F6078">
            <v>300</v>
          </cell>
          <cell r="G6078">
            <v>4</v>
          </cell>
          <cell r="H6078">
            <v>160</v>
          </cell>
          <cell r="I6078">
            <v>42036</v>
          </cell>
          <cell r="J6078" t="str">
            <v>NO SUMA</v>
          </cell>
          <cell r="W6078">
            <v>0</v>
          </cell>
          <cell r="AJ6078">
            <v>0</v>
          </cell>
          <cell r="AW6078">
            <v>0</v>
          </cell>
          <cell r="BJ6078">
            <v>0</v>
          </cell>
        </row>
        <row r="6079">
          <cell r="B6079">
            <v>8873</v>
          </cell>
          <cell r="C6079" t="str">
            <v>UP_101_</v>
          </cell>
          <cell r="D6079" t="str">
            <v>Rancho Upácuaro No. 101</v>
          </cell>
          <cell r="E6079" t="str">
            <v>Chávez, Arturo</v>
          </cell>
          <cell r="F6079">
            <v>300</v>
          </cell>
          <cell r="G6079">
            <v>4</v>
          </cell>
          <cell r="H6079">
            <v>160</v>
          </cell>
          <cell r="I6079">
            <v>42037</v>
          </cell>
          <cell r="J6079" t="str">
            <v>NO SUMA</v>
          </cell>
          <cell r="W6079">
            <v>0</v>
          </cell>
          <cell r="AJ6079">
            <v>0</v>
          </cell>
          <cell r="AW6079">
            <v>0</v>
          </cell>
          <cell r="BJ6079">
            <v>0</v>
          </cell>
        </row>
        <row r="6080">
          <cell r="B6080">
            <v>8874</v>
          </cell>
          <cell r="C6080" t="str">
            <v>LD_1_A</v>
          </cell>
          <cell r="D6080" t="str">
            <v>Rancho Landero No. 1, A</v>
          </cell>
          <cell r="E6080" t="str">
            <v>Ebysos</v>
          </cell>
          <cell r="F6080">
            <v>300</v>
          </cell>
          <cell r="G6080">
            <v>1</v>
          </cell>
          <cell r="H6080">
            <v>600</v>
          </cell>
          <cell r="I6080">
            <v>42039</v>
          </cell>
          <cell r="J6080">
            <v>0</v>
          </cell>
          <cell r="W6080">
            <v>0</v>
          </cell>
          <cell r="AJ6080">
            <v>0</v>
          </cell>
          <cell r="AW6080">
            <v>0</v>
          </cell>
          <cell r="AX6080">
            <v>600</v>
          </cell>
          <cell r="BJ6080">
            <v>600</v>
          </cell>
        </row>
        <row r="6081">
          <cell r="B6081">
            <v>8875</v>
          </cell>
          <cell r="C6081" t="str">
            <v>UP_46_</v>
          </cell>
          <cell r="D6081" t="str">
            <v>Rancho Upácuaro No. 46</v>
          </cell>
          <cell r="E6081" t="str">
            <v>Fuentes</v>
          </cell>
          <cell r="F6081">
            <v>300</v>
          </cell>
          <cell r="G6081">
            <v>1</v>
          </cell>
          <cell r="H6081">
            <v>300</v>
          </cell>
          <cell r="I6081">
            <v>42038</v>
          </cell>
          <cell r="J6081">
            <v>0</v>
          </cell>
          <cell r="W6081">
            <v>0</v>
          </cell>
          <cell r="AJ6081">
            <v>0</v>
          </cell>
          <cell r="AW6081">
            <v>0</v>
          </cell>
          <cell r="AY6081">
            <v>300</v>
          </cell>
          <cell r="BJ6081">
            <v>300</v>
          </cell>
        </row>
        <row r="6082">
          <cell r="B6082">
            <v>8876</v>
          </cell>
          <cell r="C6082" t="str">
            <v>LD_19_</v>
          </cell>
          <cell r="D6082" t="str">
            <v>Rancho Landero No. 19</v>
          </cell>
          <cell r="E6082" t="str">
            <v>Jiménez Guadarrama</v>
          </cell>
          <cell r="F6082">
            <v>300</v>
          </cell>
          <cell r="G6082">
            <v>1</v>
          </cell>
          <cell r="H6082">
            <v>600</v>
          </cell>
          <cell r="I6082">
            <v>42043</v>
          </cell>
          <cell r="J6082">
            <v>0</v>
          </cell>
          <cell r="W6082">
            <v>0</v>
          </cell>
          <cell r="AJ6082">
            <v>0</v>
          </cell>
          <cell r="AW6082">
            <v>0</v>
          </cell>
          <cell r="AX6082">
            <v>300</v>
          </cell>
          <cell r="AY6082">
            <v>300</v>
          </cell>
          <cell r="BJ6082">
            <v>600</v>
          </cell>
        </row>
        <row r="6083">
          <cell r="B6083">
            <v>8877</v>
          </cell>
          <cell r="C6083" t="str">
            <v>UP_64_</v>
          </cell>
          <cell r="D6083" t="str">
            <v>Rancho Upácuaro No. 64</v>
          </cell>
          <cell r="E6083" t="str">
            <v>Méndez Oliva</v>
          </cell>
          <cell r="F6083">
            <v>300</v>
          </cell>
          <cell r="G6083">
            <v>1</v>
          </cell>
          <cell r="H6083">
            <v>300</v>
          </cell>
          <cell r="I6083">
            <v>42043</v>
          </cell>
          <cell r="J6083">
            <v>0</v>
          </cell>
          <cell r="W6083">
            <v>0</v>
          </cell>
          <cell r="AJ6083">
            <v>0</v>
          </cell>
          <cell r="AW6083">
            <v>0</v>
          </cell>
          <cell r="AY6083">
            <v>300</v>
          </cell>
          <cell r="BJ6083">
            <v>300</v>
          </cell>
        </row>
        <row r="6084">
          <cell r="B6084">
            <v>8878</v>
          </cell>
          <cell r="C6084" t="str">
            <v>UP_142_</v>
          </cell>
          <cell r="D6084" t="str">
            <v>Rancho Upácuaro No. 142</v>
          </cell>
          <cell r="E6084" t="str">
            <v>Fierro Villaneda</v>
          </cell>
          <cell r="F6084">
            <v>300</v>
          </cell>
          <cell r="G6084">
            <v>1</v>
          </cell>
          <cell r="H6084">
            <v>1200</v>
          </cell>
          <cell r="I6084">
            <v>42043</v>
          </cell>
          <cell r="J6084">
            <v>0</v>
          </cell>
          <cell r="W6084">
            <v>0</v>
          </cell>
          <cell r="AJ6084">
            <v>0</v>
          </cell>
          <cell r="AW6084">
            <v>0</v>
          </cell>
          <cell r="AX6084">
            <v>400</v>
          </cell>
          <cell r="AY6084">
            <v>400</v>
          </cell>
          <cell r="AZ6084">
            <v>400</v>
          </cell>
          <cell r="BJ6084">
            <v>1200</v>
          </cell>
        </row>
        <row r="6085">
          <cell r="B6085">
            <v>8879</v>
          </cell>
          <cell r="C6085" t="str">
            <v>ZB_80_</v>
          </cell>
          <cell r="D6085" t="str">
            <v>Rancho Zinamba No. 80</v>
          </cell>
          <cell r="E6085" t="str">
            <v>Vázquez</v>
          </cell>
          <cell r="F6085">
            <v>250</v>
          </cell>
          <cell r="G6085">
            <v>1</v>
          </cell>
          <cell r="H6085">
            <v>300</v>
          </cell>
          <cell r="I6085">
            <v>42043</v>
          </cell>
          <cell r="J6085">
            <v>0</v>
          </cell>
          <cell r="W6085">
            <v>0</v>
          </cell>
          <cell r="AJ6085">
            <v>0</v>
          </cell>
          <cell r="AW6085">
            <v>0</v>
          </cell>
          <cell r="AY6085">
            <v>300</v>
          </cell>
          <cell r="BJ6085">
            <v>300</v>
          </cell>
        </row>
        <row r="6086">
          <cell r="B6086">
            <v>8880</v>
          </cell>
          <cell r="C6086" t="str">
            <v>EZ_35_</v>
          </cell>
          <cell r="D6086" t="str">
            <v>Rancho Estanzuela No. 35</v>
          </cell>
          <cell r="E6086" t="str">
            <v>Rodríguez</v>
          </cell>
          <cell r="F6086">
            <v>300</v>
          </cell>
          <cell r="G6086">
            <v>1</v>
          </cell>
          <cell r="H6086">
            <v>400</v>
          </cell>
          <cell r="I6086">
            <v>42043</v>
          </cell>
          <cell r="J6086">
            <v>0</v>
          </cell>
          <cell r="W6086">
            <v>0</v>
          </cell>
          <cell r="AJ6086">
            <v>0</v>
          </cell>
          <cell r="AW6086">
            <v>0</v>
          </cell>
          <cell r="AY6086">
            <v>400</v>
          </cell>
          <cell r="BJ6086">
            <v>400</v>
          </cell>
        </row>
        <row r="6087">
          <cell r="B6087">
            <v>8881</v>
          </cell>
          <cell r="C6087" t="str">
            <v>UP_120_</v>
          </cell>
          <cell r="D6087" t="str">
            <v>Rancho Upácuaro No. 120</v>
          </cell>
          <cell r="E6087" t="str">
            <v>Rayas Rivera</v>
          </cell>
          <cell r="F6087">
            <v>300</v>
          </cell>
          <cell r="G6087">
            <v>1</v>
          </cell>
          <cell r="H6087">
            <v>400</v>
          </cell>
          <cell r="I6087">
            <v>42043</v>
          </cell>
          <cell r="J6087">
            <v>0</v>
          </cell>
          <cell r="W6087">
            <v>0</v>
          </cell>
          <cell r="AJ6087">
            <v>0</v>
          </cell>
          <cell r="AW6087">
            <v>0</v>
          </cell>
          <cell r="AY6087">
            <v>400</v>
          </cell>
          <cell r="BJ6087">
            <v>400</v>
          </cell>
        </row>
        <row r="6088">
          <cell r="B6088">
            <v>8882</v>
          </cell>
          <cell r="C6088" t="str">
            <v>ZB_36_</v>
          </cell>
          <cell r="D6088" t="str">
            <v>Rancho Zinamba No. 36</v>
          </cell>
          <cell r="E6088" t="str">
            <v>Rodríguez Ortiz</v>
          </cell>
          <cell r="F6088">
            <v>300</v>
          </cell>
          <cell r="G6088">
            <v>1</v>
          </cell>
          <cell r="H6088">
            <v>400</v>
          </cell>
          <cell r="I6088">
            <v>42043</v>
          </cell>
          <cell r="J6088">
            <v>0</v>
          </cell>
          <cell r="W6088">
            <v>0</v>
          </cell>
          <cell r="AJ6088">
            <v>0</v>
          </cell>
          <cell r="AW6088">
            <v>0</v>
          </cell>
          <cell r="AY6088">
            <v>400</v>
          </cell>
          <cell r="BJ6088">
            <v>400</v>
          </cell>
        </row>
        <row r="6089">
          <cell r="B6089">
            <v>8883</v>
          </cell>
          <cell r="C6089" t="str">
            <v>LD_89_</v>
          </cell>
          <cell r="D6089" t="str">
            <v>Rancho Landero No. 89</v>
          </cell>
          <cell r="E6089" t="str">
            <v>Del Pozo Solís</v>
          </cell>
          <cell r="F6089">
            <v>300</v>
          </cell>
          <cell r="G6089">
            <v>1</v>
          </cell>
          <cell r="H6089">
            <v>300</v>
          </cell>
          <cell r="I6089">
            <v>42043</v>
          </cell>
          <cell r="J6089">
            <v>0</v>
          </cell>
          <cell r="W6089">
            <v>0</v>
          </cell>
          <cell r="AJ6089">
            <v>0</v>
          </cell>
          <cell r="AW6089">
            <v>0</v>
          </cell>
          <cell r="AY6089">
            <v>300</v>
          </cell>
          <cell r="BJ6089">
            <v>300</v>
          </cell>
        </row>
        <row r="6090">
          <cell r="B6090">
            <v>8884</v>
          </cell>
          <cell r="C6090" t="str">
            <v>CL_41_</v>
          </cell>
          <cell r="D6090" t="str">
            <v>Rancho La Cuchilla No. 41</v>
          </cell>
          <cell r="E6090" t="str">
            <v>Arriaga Lemus</v>
          </cell>
          <cell r="F6090">
            <v>250</v>
          </cell>
          <cell r="G6090">
            <v>1</v>
          </cell>
          <cell r="H6090">
            <v>400</v>
          </cell>
          <cell r="I6090">
            <v>42043</v>
          </cell>
          <cell r="J6090">
            <v>0</v>
          </cell>
          <cell r="W6090">
            <v>0</v>
          </cell>
          <cell r="AJ6090">
            <v>0</v>
          </cell>
          <cell r="AW6090">
            <v>0</v>
          </cell>
          <cell r="AY6090">
            <v>400</v>
          </cell>
          <cell r="BJ6090">
            <v>400</v>
          </cell>
        </row>
        <row r="6091">
          <cell r="B6091">
            <v>8885</v>
          </cell>
          <cell r="C6091" t="str">
            <v>LD_96_</v>
          </cell>
          <cell r="D6091" t="str">
            <v>Rancho Landero No. 96</v>
          </cell>
          <cell r="E6091" t="str">
            <v>Espinoza Aguirre</v>
          </cell>
          <cell r="F6091">
            <v>300</v>
          </cell>
          <cell r="G6091">
            <v>1</v>
          </cell>
          <cell r="H6091">
            <v>800</v>
          </cell>
          <cell r="I6091">
            <v>42043</v>
          </cell>
          <cell r="J6091">
            <v>0</v>
          </cell>
          <cell r="W6091">
            <v>0</v>
          </cell>
          <cell r="AJ6091">
            <v>0</v>
          </cell>
          <cell r="AW6091">
            <v>0</v>
          </cell>
          <cell r="AX6091">
            <v>400</v>
          </cell>
          <cell r="AY6091">
            <v>400</v>
          </cell>
          <cell r="BJ6091">
            <v>800</v>
          </cell>
        </row>
        <row r="6092">
          <cell r="B6092">
            <v>8886</v>
          </cell>
          <cell r="C6092" t="str">
            <v>CL_66_</v>
          </cell>
          <cell r="D6092" t="str">
            <v>Rancho La Cuchilla No. 66</v>
          </cell>
          <cell r="E6092" t="str">
            <v>Prieto</v>
          </cell>
          <cell r="F6092">
            <v>300</v>
          </cell>
          <cell r="G6092">
            <v>1</v>
          </cell>
          <cell r="H6092">
            <v>400</v>
          </cell>
          <cell r="I6092">
            <v>42043</v>
          </cell>
          <cell r="J6092">
            <v>0</v>
          </cell>
          <cell r="W6092">
            <v>0</v>
          </cell>
          <cell r="AJ6092">
            <v>0</v>
          </cell>
          <cell r="AW6092">
            <v>0</v>
          </cell>
          <cell r="AY6092">
            <v>400</v>
          </cell>
          <cell r="BJ6092">
            <v>400</v>
          </cell>
        </row>
        <row r="6093">
          <cell r="B6093">
            <v>8887</v>
          </cell>
          <cell r="C6093" t="str">
            <v>CL_120_</v>
          </cell>
          <cell r="D6093" t="str">
            <v>Rancho La Cuchilla No. 120</v>
          </cell>
          <cell r="E6093" t="str">
            <v>Pozos Vilchis</v>
          </cell>
          <cell r="F6093">
            <v>300</v>
          </cell>
          <cell r="G6093">
            <v>1</v>
          </cell>
          <cell r="H6093">
            <v>400</v>
          </cell>
          <cell r="I6093">
            <v>42043</v>
          </cell>
          <cell r="J6093">
            <v>0</v>
          </cell>
          <cell r="W6093">
            <v>0</v>
          </cell>
          <cell r="AJ6093">
            <v>0</v>
          </cell>
          <cell r="AW6093">
            <v>0</v>
          </cell>
          <cell r="AY6093">
            <v>400</v>
          </cell>
          <cell r="BJ6093">
            <v>400</v>
          </cell>
        </row>
        <row r="6094">
          <cell r="B6094">
            <v>8888</v>
          </cell>
          <cell r="C6094" t="str">
            <v>UP_108_</v>
          </cell>
          <cell r="D6094" t="str">
            <v>Rancho Upácuaro No. 108</v>
          </cell>
          <cell r="E6094" t="str">
            <v>Mejía</v>
          </cell>
          <cell r="F6094">
            <v>300</v>
          </cell>
          <cell r="G6094">
            <v>1</v>
          </cell>
          <cell r="H6094">
            <v>300</v>
          </cell>
          <cell r="I6094">
            <v>42043</v>
          </cell>
          <cell r="J6094">
            <v>0</v>
          </cell>
          <cell r="W6094">
            <v>0</v>
          </cell>
          <cell r="AJ6094">
            <v>0</v>
          </cell>
          <cell r="AV6094">
            <v>300</v>
          </cell>
          <cell r="AW6094">
            <v>300</v>
          </cell>
          <cell r="BJ6094">
            <v>0</v>
          </cell>
        </row>
        <row r="6095">
          <cell r="B6095">
            <v>8889</v>
          </cell>
          <cell r="C6095" t="str">
            <v>UP_138_</v>
          </cell>
          <cell r="D6095" t="str">
            <v>Rancho Upácuaro No. 138</v>
          </cell>
          <cell r="E6095" t="str">
            <v>Ramírez Valencia</v>
          </cell>
          <cell r="F6095">
            <v>300</v>
          </cell>
          <cell r="G6095">
            <v>1</v>
          </cell>
          <cell r="H6095">
            <v>1200</v>
          </cell>
          <cell r="I6095">
            <v>42043</v>
          </cell>
          <cell r="J6095">
            <v>0</v>
          </cell>
          <cell r="W6095">
            <v>0</v>
          </cell>
          <cell r="AJ6095">
            <v>0</v>
          </cell>
          <cell r="AW6095">
            <v>0</v>
          </cell>
          <cell r="AX6095">
            <v>400</v>
          </cell>
          <cell r="AY6095">
            <v>400</v>
          </cell>
          <cell r="AZ6095">
            <v>400</v>
          </cell>
          <cell r="BJ6095">
            <v>1200</v>
          </cell>
        </row>
        <row r="6096">
          <cell r="B6096">
            <v>8890</v>
          </cell>
          <cell r="C6096" t="str">
            <v>LD_71_</v>
          </cell>
          <cell r="D6096" t="str">
            <v>Rancho Landero No. 71</v>
          </cell>
          <cell r="E6096" t="str">
            <v>Cabrera Balcázar</v>
          </cell>
          <cell r="F6096">
            <v>300</v>
          </cell>
          <cell r="G6096">
            <v>1</v>
          </cell>
          <cell r="H6096">
            <v>400</v>
          </cell>
          <cell r="I6096">
            <v>42043</v>
          </cell>
          <cell r="J6096">
            <v>0</v>
          </cell>
          <cell r="W6096">
            <v>0</v>
          </cell>
          <cell r="AJ6096">
            <v>0</v>
          </cell>
          <cell r="AW6096">
            <v>0</v>
          </cell>
          <cell r="AY6096">
            <v>400</v>
          </cell>
          <cell r="BJ6096">
            <v>400</v>
          </cell>
        </row>
        <row r="6097">
          <cell r="B6097">
            <v>8891</v>
          </cell>
          <cell r="C6097" t="str">
            <v>UP_42_</v>
          </cell>
          <cell r="D6097" t="str">
            <v>Rancho Upácuaro No. 42</v>
          </cell>
          <cell r="E6097" t="str">
            <v>García Ramírez</v>
          </cell>
          <cell r="F6097">
            <v>300</v>
          </cell>
          <cell r="G6097">
            <v>1</v>
          </cell>
          <cell r="H6097">
            <v>800</v>
          </cell>
          <cell r="I6097">
            <v>42043</v>
          </cell>
          <cell r="J6097">
            <v>0</v>
          </cell>
          <cell r="W6097">
            <v>0</v>
          </cell>
          <cell r="AJ6097">
            <v>0</v>
          </cell>
          <cell r="AW6097">
            <v>0</v>
          </cell>
          <cell r="AX6097">
            <v>400</v>
          </cell>
          <cell r="AY6097">
            <v>400</v>
          </cell>
          <cell r="BJ6097">
            <v>800</v>
          </cell>
        </row>
        <row r="6098">
          <cell r="B6098">
            <v>8891</v>
          </cell>
          <cell r="C6098" t="str">
            <v>UP_42_</v>
          </cell>
          <cell r="D6098" t="str">
            <v>Rancho Upácuaro No. 42</v>
          </cell>
          <cell r="E6098" t="str">
            <v>García Ramírez</v>
          </cell>
          <cell r="F6098">
            <v>300</v>
          </cell>
          <cell r="G6098">
            <v>4</v>
          </cell>
          <cell r="H6098">
            <v>320</v>
          </cell>
          <cell r="I6098">
            <v>42043</v>
          </cell>
          <cell r="J6098" t="str">
            <v>NO SUMA</v>
          </cell>
          <cell r="W6098">
            <v>0</v>
          </cell>
          <cell r="AJ6098">
            <v>0</v>
          </cell>
          <cell r="AW6098">
            <v>0</v>
          </cell>
          <cell r="BJ6098">
            <v>0</v>
          </cell>
        </row>
        <row r="6099">
          <cell r="B6099">
            <v>8892</v>
          </cell>
          <cell r="C6099" t="str">
            <v>EZ_89_</v>
          </cell>
          <cell r="D6099" t="str">
            <v>Rancho Estanzuela No. 89</v>
          </cell>
          <cell r="E6099" t="str">
            <v>Romero Ortiz</v>
          </cell>
          <cell r="F6099">
            <v>300</v>
          </cell>
          <cell r="G6099">
            <v>1</v>
          </cell>
          <cell r="H6099">
            <v>400</v>
          </cell>
          <cell r="I6099">
            <v>42043</v>
          </cell>
          <cell r="J6099">
            <v>0</v>
          </cell>
          <cell r="W6099">
            <v>0</v>
          </cell>
          <cell r="AJ6099">
            <v>0</v>
          </cell>
          <cell r="AW6099">
            <v>0</v>
          </cell>
          <cell r="AY6099">
            <v>400</v>
          </cell>
          <cell r="BJ6099">
            <v>400</v>
          </cell>
        </row>
        <row r="6100">
          <cell r="B6100">
            <v>8893</v>
          </cell>
          <cell r="C6100" t="str">
            <v>CL_121_</v>
          </cell>
          <cell r="D6100" t="str">
            <v>Rancho La Cuchilla No. 121</v>
          </cell>
          <cell r="E6100" t="str">
            <v>Ramírez Márquez</v>
          </cell>
          <cell r="F6100">
            <v>300</v>
          </cell>
          <cell r="G6100">
            <v>1</v>
          </cell>
          <cell r="H6100">
            <v>1200</v>
          </cell>
          <cell r="I6100">
            <v>42043</v>
          </cell>
          <cell r="J6100">
            <v>0</v>
          </cell>
          <cell r="W6100">
            <v>0</v>
          </cell>
          <cell r="AJ6100">
            <v>0</v>
          </cell>
          <cell r="AW6100">
            <v>0</v>
          </cell>
          <cell r="AX6100">
            <v>400</v>
          </cell>
          <cell r="AY6100">
            <v>400</v>
          </cell>
          <cell r="AZ6100">
            <v>400</v>
          </cell>
          <cell r="BJ6100">
            <v>1200</v>
          </cell>
        </row>
        <row r="6101">
          <cell r="B6101">
            <v>8894</v>
          </cell>
          <cell r="C6101" t="str">
            <v>CL_78_</v>
          </cell>
          <cell r="D6101" t="str">
            <v>Rancho La Cuchilla No. 78</v>
          </cell>
          <cell r="E6101" t="str">
            <v>García</v>
          </cell>
          <cell r="F6101">
            <v>400</v>
          </cell>
          <cell r="G6101">
            <v>1</v>
          </cell>
          <cell r="H6101">
            <v>400</v>
          </cell>
          <cell r="I6101">
            <v>42043</v>
          </cell>
          <cell r="J6101">
            <v>0</v>
          </cell>
          <cell r="W6101">
            <v>0</v>
          </cell>
          <cell r="AJ6101">
            <v>0</v>
          </cell>
          <cell r="AW6101">
            <v>0</v>
          </cell>
          <cell r="AY6101">
            <v>400</v>
          </cell>
          <cell r="BJ6101">
            <v>400</v>
          </cell>
        </row>
        <row r="6102">
          <cell r="B6102">
            <v>8895</v>
          </cell>
          <cell r="C6102" t="str">
            <v>UP_90_</v>
          </cell>
          <cell r="D6102" t="str">
            <v>Rancho Upácuaro No. 90</v>
          </cell>
          <cell r="E6102" t="str">
            <v>Moreno Calderón</v>
          </cell>
          <cell r="F6102">
            <v>150</v>
          </cell>
          <cell r="G6102">
            <v>1</v>
          </cell>
          <cell r="H6102">
            <v>400</v>
          </cell>
          <cell r="I6102">
            <v>42043</v>
          </cell>
          <cell r="J6102">
            <v>0</v>
          </cell>
          <cell r="W6102">
            <v>0</v>
          </cell>
          <cell r="AJ6102">
            <v>0</v>
          </cell>
          <cell r="AW6102">
            <v>0</v>
          </cell>
          <cell r="AX6102">
            <v>200</v>
          </cell>
          <cell r="AY6102">
            <v>200</v>
          </cell>
          <cell r="BJ6102">
            <v>400</v>
          </cell>
        </row>
        <row r="6103">
          <cell r="B6103">
            <v>8896</v>
          </cell>
          <cell r="C6103" t="str">
            <v>EZ_57_</v>
          </cell>
          <cell r="D6103" t="str">
            <v>Rancho Estanzuela No. 57</v>
          </cell>
          <cell r="E6103" t="str">
            <v>Olivares</v>
          </cell>
          <cell r="F6103">
            <v>300</v>
          </cell>
          <cell r="G6103">
            <v>1</v>
          </cell>
          <cell r="H6103">
            <v>400</v>
          </cell>
          <cell r="I6103">
            <v>42043</v>
          </cell>
          <cell r="J6103">
            <v>0</v>
          </cell>
          <cell r="W6103">
            <v>0</v>
          </cell>
          <cell r="AJ6103">
            <v>0</v>
          </cell>
          <cell r="AQ6103">
            <v>400</v>
          </cell>
          <cell r="AW6103">
            <v>400</v>
          </cell>
          <cell r="BJ6103">
            <v>0</v>
          </cell>
        </row>
        <row r="6104">
          <cell r="B6104">
            <v>8897</v>
          </cell>
          <cell r="C6104" t="str">
            <v>UP_85_</v>
          </cell>
          <cell r="D6104" t="str">
            <v>Rancho Upácuaro No. 85</v>
          </cell>
          <cell r="E6104" t="str">
            <v>Del Toro Huerta</v>
          </cell>
          <cell r="F6104">
            <v>300</v>
          </cell>
          <cell r="G6104">
            <v>1</v>
          </cell>
          <cell r="H6104">
            <v>400</v>
          </cell>
          <cell r="I6104">
            <v>42043</v>
          </cell>
          <cell r="J6104">
            <v>0</v>
          </cell>
          <cell r="W6104">
            <v>0</v>
          </cell>
          <cell r="AJ6104">
            <v>0</v>
          </cell>
          <cell r="AW6104">
            <v>0</v>
          </cell>
          <cell r="AY6104">
            <v>400</v>
          </cell>
          <cell r="BJ6104">
            <v>400</v>
          </cell>
        </row>
        <row r="6105">
          <cell r="B6105">
            <v>8898</v>
          </cell>
          <cell r="C6105" t="str">
            <v>UP_70_</v>
          </cell>
          <cell r="D6105" t="str">
            <v>Rancho Upácuaro No. 70</v>
          </cell>
          <cell r="E6105" t="str">
            <v>Ramírez Tejeda</v>
          </cell>
          <cell r="F6105">
            <v>300</v>
          </cell>
          <cell r="G6105">
            <v>1</v>
          </cell>
          <cell r="H6105">
            <v>300</v>
          </cell>
          <cell r="I6105">
            <v>42043</v>
          </cell>
          <cell r="J6105">
            <v>0</v>
          </cell>
          <cell r="W6105">
            <v>0</v>
          </cell>
          <cell r="AJ6105">
            <v>0</v>
          </cell>
          <cell r="AW6105">
            <v>0</v>
          </cell>
          <cell r="AY6105">
            <v>300</v>
          </cell>
          <cell r="BJ6105">
            <v>300</v>
          </cell>
        </row>
        <row r="6106">
          <cell r="B6106">
            <v>8899</v>
          </cell>
          <cell r="C6106" t="str">
            <v>EZ_91_</v>
          </cell>
          <cell r="D6106" t="str">
            <v>Rancho Estanzuela No. 91</v>
          </cell>
          <cell r="E6106" t="str">
            <v>Lobato Torres</v>
          </cell>
          <cell r="F6106">
            <v>300</v>
          </cell>
          <cell r="G6106">
            <v>1</v>
          </cell>
          <cell r="H6106">
            <v>800</v>
          </cell>
          <cell r="I6106">
            <v>42043</v>
          </cell>
          <cell r="J6106">
            <v>0</v>
          </cell>
          <cell r="W6106">
            <v>0</v>
          </cell>
          <cell r="AJ6106">
            <v>0</v>
          </cell>
          <cell r="AW6106">
            <v>0</v>
          </cell>
          <cell r="AX6106">
            <v>400</v>
          </cell>
          <cell r="AY6106">
            <v>400</v>
          </cell>
          <cell r="BJ6106">
            <v>800</v>
          </cell>
        </row>
        <row r="6107">
          <cell r="B6107">
            <v>8900</v>
          </cell>
          <cell r="C6107" t="str">
            <v>ZB_44_</v>
          </cell>
          <cell r="D6107" t="str">
            <v>Rancho Zinamba No. 44</v>
          </cell>
          <cell r="E6107" t="str">
            <v>Canales</v>
          </cell>
          <cell r="F6107">
            <v>300</v>
          </cell>
          <cell r="G6107">
            <v>4</v>
          </cell>
          <cell r="H6107">
            <v>160</v>
          </cell>
          <cell r="I6107">
            <v>42043</v>
          </cell>
          <cell r="J6107" t="str">
            <v>NO SUMA</v>
          </cell>
          <cell r="W6107">
            <v>0</v>
          </cell>
          <cell r="AJ6107">
            <v>0</v>
          </cell>
          <cell r="AW6107">
            <v>0</v>
          </cell>
          <cell r="BJ6107">
            <v>0</v>
          </cell>
        </row>
        <row r="6108">
          <cell r="B6108">
            <v>8901</v>
          </cell>
          <cell r="C6108" t="str">
            <v>EZ_127_</v>
          </cell>
          <cell r="D6108" t="str">
            <v>Rancho Estanzuela No. 127</v>
          </cell>
          <cell r="E6108" t="str">
            <v>Luna Zepeda</v>
          </cell>
          <cell r="F6108">
            <v>200</v>
          </cell>
          <cell r="G6108">
            <v>1</v>
          </cell>
          <cell r="H6108">
            <v>150</v>
          </cell>
          <cell r="I6108">
            <v>42043</v>
          </cell>
          <cell r="J6108">
            <v>0</v>
          </cell>
          <cell r="W6108">
            <v>0</v>
          </cell>
          <cell r="AJ6108">
            <v>0</v>
          </cell>
          <cell r="AW6108">
            <v>0</v>
          </cell>
          <cell r="AY6108">
            <v>150</v>
          </cell>
          <cell r="BJ6108">
            <v>150</v>
          </cell>
        </row>
        <row r="6109">
          <cell r="B6109">
            <v>8902</v>
          </cell>
          <cell r="C6109" t="str">
            <v>UP_32_</v>
          </cell>
          <cell r="D6109" t="str">
            <v>Rancho Upácuaro No. 32</v>
          </cell>
          <cell r="E6109" t="str">
            <v>Sairafi Carmen</v>
          </cell>
          <cell r="F6109">
            <v>300</v>
          </cell>
          <cell r="G6109">
            <v>1</v>
          </cell>
          <cell r="H6109">
            <v>400</v>
          </cell>
          <cell r="I6109">
            <v>42043</v>
          </cell>
          <cell r="J6109">
            <v>0</v>
          </cell>
          <cell r="W6109">
            <v>0</v>
          </cell>
          <cell r="AJ6109">
            <v>0</v>
          </cell>
          <cell r="AW6109">
            <v>0</v>
          </cell>
          <cell r="AY6109">
            <v>400</v>
          </cell>
          <cell r="BJ6109">
            <v>400</v>
          </cell>
        </row>
        <row r="6110">
          <cell r="B6110">
            <v>8903</v>
          </cell>
          <cell r="D6110" t="str">
            <v/>
          </cell>
          <cell r="E6110" t="str">
            <v/>
          </cell>
          <cell r="F6110" t="str">
            <v/>
          </cell>
          <cell r="G6110">
            <v>8</v>
          </cell>
          <cell r="J6110" t="str">
            <v>NO SUMA</v>
          </cell>
          <cell r="W6110">
            <v>0</v>
          </cell>
          <cell r="AJ6110">
            <v>0</v>
          </cell>
          <cell r="AW6110">
            <v>0</v>
          </cell>
          <cell r="BJ6110">
            <v>0</v>
          </cell>
        </row>
        <row r="6111">
          <cell r="B6111">
            <v>8904</v>
          </cell>
          <cell r="C6111" t="str">
            <v>ZB_24_</v>
          </cell>
          <cell r="D6111" t="str">
            <v>Rancho Zinamba No. 24</v>
          </cell>
          <cell r="E6111" t="str">
            <v>Monroy García</v>
          </cell>
          <cell r="F6111">
            <v>300</v>
          </cell>
          <cell r="G6111">
            <v>1</v>
          </cell>
          <cell r="H6111">
            <v>400</v>
          </cell>
          <cell r="I6111">
            <v>42043</v>
          </cell>
          <cell r="J6111">
            <v>0</v>
          </cell>
          <cell r="W6111">
            <v>0</v>
          </cell>
          <cell r="AJ6111">
            <v>0</v>
          </cell>
          <cell r="AW6111">
            <v>0</v>
          </cell>
          <cell r="AY6111">
            <v>400</v>
          </cell>
          <cell r="BJ6111">
            <v>400</v>
          </cell>
        </row>
        <row r="6112">
          <cell r="B6112">
            <v>8905</v>
          </cell>
          <cell r="C6112" t="str">
            <v>EZ_105_</v>
          </cell>
          <cell r="D6112" t="str">
            <v>Rancho Estanzuela No. 105</v>
          </cell>
          <cell r="E6112" t="str">
            <v>Ochoa</v>
          </cell>
          <cell r="F6112">
            <v>300</v>
          </cell>
          <cell r="G6112">
            <v>1</v>
          </cell>
          <cell r="H6112">
            <v>200</v>
          </cell>
          <cell r="I6112">
            <v>42043</v>
          </cell>
          <cell r="J6112">
            <v>0</v>
          </cell>
          <cell r="W6112">
            <v>0</v>
          </cell>
          <cell r="AJ6112">
            <v>0</v>
          </cell>
          <cell r="AW6112">
            <v>0</v>
          </cell>
          <cell r="AY6112">
            <v>200</v>
          </cell>
          <cell r="BJ6112">
            <v>200</v>
          </cell>
        </row>
        <row r="6113">
          <cell r="B6113">
            <v>8905</v>
          </cell>
          <cell r="C6113" t="str">
            <v>EZ_105_</v>
          </cell>
          <cell r="D6113" t="str">
            <v>Rancho Estanzuela No. 105</v>
          </cell>
          <cell r="E6113" t="str">
            <v>Ochoa</v>
          </cell>
          <cell r="F6113">
            <v>300</v>
          </cell>
          <cell r="G6113">
            <v>4</v>
          </cell>
          <cell r="H6113">
            <v>160</v>
          </cell>
          <cell r="I6113">
            <v>42043</v>
          </cell>
          <cell r="J6113" t="str">
            <v>NO SUMA</v>
          </cell>
          <cell r="W6113">
            <v>0</v>
          </cell>
          <cell r="AJ6113">
            <v>0</v>
          </cell>
          <cell r="AW6113">
            <v>0</v>
          </cell>
          <cell r="BJ6113">
            <v>0</v>
          </cell>
        </row>
        <row r="6114">
          <cell r="B6114">
            <v>8906</v>
          </cell>
          <cell r="C6114" t="str">
            <v>LD_7_</v>
          </cell>
          <cell r="D6114" t="str">
            <v>Rancho Landero No. 7</v>
          </cell>
          <cell r="E6114" t="str">
            <v>Robles</v>
          </cell>
          <cell r="F6114">
            <v>150</v>
          </cell>
          <cell r="G6114">
            <v>1</v>
          </cell>
          <cell r="H6114">
            <v>150</v>
          </cell>
          <cell r="I6114">
            <v>42043</v>
          </cell>
          <cell r="J6114">
            <v>0</v>
          </cell>
          <cell r="W6114">
            <v>0</v>
          </cell>
          <cell r="AJ6114">
            <v>0</v>
          </cell>
          <cell r="AW6114">
            <v>0</v>
          </cell>
          <cell r="AY6114">
            <v>150</v>
          </cell>
          <cell r="BJ6114">
            <v>150</v>
          </cell>
        </row>
        <row r="6115">
          <cell r="B6115">
            <v>8907</v>
          </cell>
          <cell r="C6115" t="str">
            <v>CL_7_202</v>
          </cell>
          <cell r="D6115" t="str">
            <v>Rancho La Cuchilla No. 7, 202</v>
          </cell>
          <cell r="E6115" t="str">
            <v>Carbajal Zayas</v>
          </cell>
          <cell r="F6115">
            <v>100</v>
          </cell>
          <cell r="G6115">
            <v>1</v>
          </cell>
          <cell r="H6115">
            <v>100</v>
          </cell>
          <cell r="I6115">
            <v>42043</v>
          </cell>
          <cell r="J6115">
            <v>0</v>
          </cell>
          <cell r="W6115">
            <v>0</v>
          </cell>
          <cell r="AJ6115">
            <v>0</v>
          </cell>
          <cell r="AW6115">
            <v>0</v>
          </cell>
          <cell r="AY6115">
            <v>100</v>
          </cell>
          <cell r="BJ6115">
            <v>100</v>
          </cell>
        </row>
        <row r="6116">
          <cell r="B6116">
            <v>8908</v>
          </cell>
          <cell r="C6116" t="str">
            <v>RV_175_B</v>
          </cell>
          <cell r="D6116" t="str">
            <v>Rancho Recoveco No. 175, B</v>
          </cell>
          <cell r="E6116" t="str">
            <v>García Calderón</v>
          </cell>
          <cell r="F6116">
            <v>150</v>
          </cell>
          <cell r="G6116">
            <v>1</v>
          </cell>
          <cell r="H6116">
            <v>200</v>
          </cell>
          <cell r="I6116">
            <v>42043</v>
          </cell>
          <cell r="J6116">
            <v>0</v>
          </cell>
          <cell r="W6116">
            <v>0</v>
          </cell>
          <cell r="AJ6116">
            <v>0</v>
          </cell>
          <cell r="AW6116">
            <v>0</v>
          </cell>
          <cell r="AY6116">
            <v>200</v>
          </cell>
          <cell r="BJ6116">
            <v>200</v>
          </cell>
        </row>
        <row r="6117">
          <cell r="B6117">
            <v>8909</v>
          </cell>
          <cell r="C6117" t="str">
            <v>EZ_57_</v>
          </cell>
          <cell r="D6117" t="str">
            <v>Rancho Estanzuela No. 57</v>
          </cell>
          <cell r="E6117" t="str">
            <v>Olivares</v>
          </cell>
          <cell r="F6117">
            <v>300</v>
          </cell>
          <cell r="G6117">
            <v>4</v>
          </cell>
          <cell r="H6117">
            <v>160</v>
          </cell>
          <cell r="I6117">
            <v>42043</v>
          </cell>
          <cell r="J6117" t="str">
            <v>NO SUMA</v>
          </cell>
          <cell r="W6117">
            <v>0</v>
          </cell>
          <cell r="AJ6117">
            <v>0</v>
          </cell>
          <cell r="AW6117">
            <v>0</v>
          </cell>
          <cell r="BJ6117">
            <v>0</v>
          </cell>
        </row>
        <row r="6118">
          <cell r="B6118">
            <v>8910</v>
          </cell>
          <cell r="C6118" t="str">
            <v>CL_33_</v>
          </cell>
          <cell r="D6118" t="str">
            <v>Rancho La Cuchilla No. 33</v>
          </cell>
          <cell r="E6118" t="str">
            <v>Tanús</v>
          </cell>
          <cell r="F6118">
            <v>300</v>
          </cell>
          <cell r="G6118">
            <v>1</v>
          </cell>
          <cell r="H6118">
            <v>400</v>
          </cell>
          <cell r="I6118">
            <v>42043</v>
          </cell>
          <cell r="J6118">
            <v>0</v>
          </cell>
          <cell r="W6118">
            <v>0</v>
          </cell>
          <cell r="AJ6118">
            <v>0</v>
          </cell>
          <cell r="AW6118">
            <v>0</v>
          </cell>
          <cell r="AY6118">
            <v>400</v>
          </cell>
          <cell r="BJ6118">
            <v>400</v>
          </cell>
        </row>
        <row r="6119">
          <cell r="B6119">
            <v>8911</v>
          </cell>
          <cell r="C6119" t="str">
            <v>CL_130_</v>
          </cell>
          <cell r="D6119" t="str">
            <v>Rancho La Cuchilla No. 130</v>
          </cell>
          <cell r="E6119" t="str">
            <v>Gonzalez</v>
          </cell>
          <cell r="F6119">
            <v>300</v>
          </cell>
          <cell r="G6119">
            <v>1</v>
          </cell>
          <cell r="H6119">
            <v>400</v>
          </cell>
          <cell r="I6119">
            <v>42043</v>
          </cell>
          <cell r="J6119">
            <v>0</v>
          </cell>
          <cell r="W6119">
            <v>0</v>
          </cell>
          <cell r="AJ6119">
            <v>0</v>
          </cell>
          <cell r="AW6119">
            <v>0</v>
          </cell>
          <cell r="AY6119">
            <v>400</v>
          </cell>
          <cell r="BJ6119">
            <v>400</v>
          </cell>
        </row>
        <row r="6120">
          <cell r="B6120">
            <v>8912</v>
          </cell>
          <cell r="C6120" t="str">
            <v>CL_148_</v>
          </cell>
          <cell r="D6120" t="str">
            <v>Rancho La Cuchilla No. 148</v>
          </cell>
          <cell r="E6120" t="str">
            <v>Vázquez Vázquez</v>
          </cell>
          <cell r="F6120">
            <v>300</v>
          </cell>
          <cell r="G6120">
            <v>1</v>
          </cell>
          <cell r="H6120">
            <v>1600</v>
          </cell>
          <cell r="I6120">
            <v>42043</v>
          </cell>
          <cell r="J6120">
            <v>0</v>
          </cell>
          <cell r="W6120">
            <v>0</v>
          </cell>
          <cell r="AJ6120">
            <v>0</v>
          </cell>
          <cell r="AU6120">
            <v>400</v>
          </cell>
          <cell r="AV6120">
            <v>400</v>
          </cell>
          <cell r="AW6120">
            <v>800</v>
          </cell>
          <cell r="AX6120">
            <v>400</v>
          </cell>
          <cell r="AY6120">
            <v>400</v>
          </cell>
          <cell r="BJ6120">
            <v>800</v>
          </cell>
        </row>
        <row r="6121">
          <cell r="B6121">
            <v>8913</v>
          </cell>
          <cell r="C6121" t="str">
            <v>CL_112_PB</v>
          </cell>
          <cell r="D6121" t="str">
            <v>Rancho La Cuchilla No. 112, PB</v>
          </cell>
          <cell r="E6121" t="str">
            <v>Soreque</v>
          </cell>
          <cell r="F6121">
            <v>150</v>
          </cell>
          <cell r="G6121">
            <v>1</v>
          </cell>
          <cell r="H6121">
            <v>200</v>
          </cell>
          <cell r="I6121">
            <v>42043</v>
          </cell>
          <cell r="J6121">
            <v>0</v>
          </cell>
          <cell r="W6121">
            <v>0</v>
          </cell>
          <cell r="AJ6121">
            <v>0</v>
          </cell>
          <cell r="AW6121">
            <v>0</v>
          </cell>
          <cell r="AY6121">
            <v>200</v>
          </cell>
          <cell r="BJ6121">
            <v>200</v>
          </cell>
        </row>
        <row r="6122">
          <cell r="B6122">
            <v>8914</v>
          </cell>
          <cell r="C6122" t="str">
            <v>UP_96_</v>
          </cell>
          <cell r="D6122" t="str">
            <v>Rancho Upácuaro No. 96</v>
          </cell>
          <cell r="E6122" t="str">
            <v>Daza Gutiérrez</v>
          </cell>
          <cell r="F6122">
            <v>300</v>
          </cell>
          <cell r="G6122">
            <v>1</v>
          </cell>
          <cell r="H6122">
            <v>400</v>
          </cell>
          <cell r="I6122">
            <v>42043</v>
          </cell>
          <cell r="J6122">
            <v>0</v>
          </cell>
          <cell r="W6122">
            <v>0</v>
          </cell>
          <cell r="AJ6122">
            <v>0</v>
          </cell>
          <cell r="AW6122">
            <v>0</v>
          </cell>
          <cell r="AY6122">
            <v>400</v>
          </cell>
          <cell r="BJ6122">
            <v>400</v>
          </cell>
        </row>
        <row r="6123">
          <cell r="B6123">
            <v>8915</v>
          </cell>
          <cell r="C6123" t="str">
            <v>EZ_47_</v>
          </cell>
          <cell r="D6123" t="str">
            <v>Rancho Estanzuela No. 47</v>
          </cell>
          <cell r="E6123" t="str">
            <v>Bussey García</v>
          </cell>
          <cell r="F6123">
            <v>300</v>
          </cell>
          <cell r="G6123">
            <v>1</v>
          </cell>
          <cell r="H6123">
            <v>400</v>
          </cell>
          <cell r="I6123">
            <v>42043</v>
          </cell>
          <cell r="J6123">
            <v>0</v>
          </cell>
          <cell r="W6123">
            <v>0</v>
          </cell>
          <cell r="AJ6123">
            <v>0</v>
          </cell>
          <cell r="AW6123">
            <v>0</v>
          </cell>
          <cell r="AY6123">
            <v>400</v>
          </cell>
          <cell r="BJ6123">
            <v>400</v>
          </cell>
        </row>
        <row r="6124">
          <cell r="B6124">
            <v>8916</v>
          </cell>
          <cell r="C6124" t="str">
            <v>UP_54_</v>
          </cell>
          <cell r="D6124" t="str">
            <v>Rancho Upácuaro No. 54</v>
          </cell>
          <cell r="E6124" t="str">
            <v>García Rueda</v>
          </cell>
          <cell r="F6124">
            <v>200</v>
          </cell>
          <cell r="G6124">
            <v>1</v>
          </cell>
          <cell r="H6124">
            <v>400</v>
          </cell>
          <cell r="I6124">
            <v>42043</v>
          </cell>
          <cell r="J6124">
            <v>0</v>
          </cell>
          <cell r="W6124">
            <v>0</v>
          </cell>
          <cell r="AJ6124">
            <v>0</v>
          </cell>
          <cell r="AW6124">
            <v>0</v>
          </cell>
          <cell r="AX6124">
            <v>200</v>
          </cell>
          <cell r="AY6124">
            <v>200</v>
          </cell>
          <cell r="BJ6124">
            <v>400</v>
          </cell>
        </row>
        <row r="6125">
          <cell r="B6125">
            <v>8917</v>
          </cell>
          <cell r="C6125" t="str">
            <v>CL_117_</v>
          </cell>
          <cell r="D6125" t="str">
            <v>Rancho La Cuchilla No. 117</v>
          </cell>
          <cell r="E6125" t="str">
            <v>Gómez</v>
          </cell>
          <cell r="F6125">
            <v>300</v>
          </cell>
          <cell r="G6125">
            <v>1</v>
          </cell>
          <cell r="H6125">
            <v>800</v>
          </cell>
          <cell r="I6125">
            <v>42043</v>
          </cell>
          <cell r="J6125">
            <v>0</v>
          </cell>
          <cell r="W6125">
            <v>0</v>
          </cell>
          <cell r="AJ6125">
            <v>0</v>
          </cell>
          <cell r="AW6125">
            <v>0</v>
          </cell>
          <cell r="AX6125">
            <v>400</v>
          </cell>
          <cell r="AY6125">
            <v>400</v>
          </cell>
          <cell r="BJ6125">
            <v>800</v>
          </cell>
        </row>
        <row r="6126">
          <cell r="B6126">
            <v>8918</v>
          </cell>
          <cell r="C6126" t="str">
            <v>UP_73_B</v>
          </cell>
          <cell r="D6126" t="str">
            <v>Rancho Upácuaro No. 73, B</v>
          </cell>
          <cell r="E6126" t="str">
            <v>Chávez</v>
          </cell>
          <cell r="F6126">
            <v>200</v>
          </cell>
          <cell r="G6126">
            <v>1</v>
          </cell>
          <cell r="H6126">
            <v>200</v>
          </cell>
          <cell r="I6126">
            <v>42043</v>
          </cell>
          <cell r="J6126">
            <v>0</v>
          </cell>
          <cell r="W6126">
            <v>0</v>
          </cell>
          <cell r="AJ6126">
            <v>0</v>
          </cell>
          <cell r="AW6126">
            <v>0</v>
          </cell>
          <cell r="AY6126">
            <v>200</v>
          </cell>
          <cell r="BJ6126">
            <v>200</v>
          </cell>
        </row>
        <row r="6127">
          <cell r="B6127">
            <v>8919</v>
          </cell>
          <cell r="C6127" t="str">
            <v>UP_68_</v>
          </cell>
          <cell r="D6127" t="str">
            <v>Rancho Upácuaro No. 68</v>
          </cell>
          <cell r="E6127" t="str">
            <v>Colin Guerrero</v>
          </cell>
          <cell r="F6127">
            <v>300</v>
          </cell>
          <cell r="G6127">
            <v>1</v>
          </cell>
          <cell r="H6127">
            <v>200</v>
          </cell>
          <cell r="I6127">
            <v>42043</v>
          </cell>
          <cell r="J6127">
            <v>0</v>
          </cell>
          <cell r="W6127">
            <v>0</v>
          </cell>
          <cell r="AJ6127">
            <v>0</v>
          </cell>
          <cell r="AW6127">
            <v>0</v>
          </cell>
          <cell r="AX6127">
            <v>200</v>
          </cell>
          <cell r="BJ6127">
            <v>200</v>
          </cell>
        </row>
        <row r="6128">
          <cell r="B6128">
            <v>8920</v>
          </cell>
          <cell r="C6128" t="str">
            <v>CL_36_</v>
          </cell>
          <cell r="D6128" t="str">
            <v>Rancho La Cuchilla No. 36</v>
          </cell>
          <cell r="E6128" t="str">
            <v>Castillo</v>
          </cell>
          <cell r="F6128">
            <v>300</v>
          </cell>
          <cell r="G6128">
            <v>1</v>
          </cell>
          <cell r="H6128">
            <v>1200</v>
          </cell>
          <cell r="I6128">
            <v>42044</v>
          </cell>
          <cell r="J6128">
            <v>0</v>
          </cell>
          <cell r="W6128">
            <v>0</v>
          </cell>
          <cell r="AJ6128">
            <v>0</v>
          </cell>
          <cell r="AV6128">
            <v>400</v>
          </cell>
          <cell r="AW6128">
            <v>400</v>
          </cell>
          <cell r="AX6128">
            <v>400</v>
          </cell>
          <cell r="AY6128">
            <v>400</v>
          </cell>
          <cell r="BJ6128">
            <v>800</v>
          </cell>
        </row>
        <row r="6129">
          <cell r="B6129">
            <v>8921</v>
          </cell>
          <cell r="C6129" t="str">
            <v>ZB_10_</v>
          </cell>
          <cell r="D6129" t="str">
            <v>Rancho Zinamba No. 10</v>
          </cell>
          <cell r="E6129" t="str">
            <v>Roy Sánchez</v>
          </cell>
          <cell r="F6129">
            <v>300</v>
          </cell>
          <cell r="G6129">
            <v>1</v>
          </cell>
          <cell r="H6129">
            <v>1200</v>
          </cell>
          <cell r="I6129">
            <v>42044</v>
          </cell>
          <cell r="J6129">
            <v>0</v>
          </cell>
          <cell r="W6129">
            <v>0</v>
          </cell>
          <cell r="AJ6129">
            <v>0</v>
          </cell>
          <cell r="AW6129">
            <v>0</v>
          </cell>
          <cell r="AX6129">
            <v>400</v>
          </cell>
          <cell r="AY6129">
            <v>400</v>
          </cell>
          <cell r="AZ6129">
            <v>400</v>
          </cell>
          <cell r="BJ6129">
            <v>1200</v>
          </cell>
        </row>
        <row r="6130">
          <cell r="B6130">
            <v>8922</v>
          </cell>
          <cell r="C6130" t="str">
            <v>ZB_20_</v>
          </cell>
          <cell r="D6130" t="str">
            <v>Rancho Zinamba No. 20</v>
          </cell>
          <cell r="E6130" t="str">
            <v>Alegre Retana</v>
          </cell>
          <cell r="F6130">
            <v>300</v>
          </cell>
          <cell r="G6130">
            <v>1</v>
          </cell>
          <cell r="H6130">
            <v>800</v>
          </cell>
          <cell r="I6130">
            <v>42046</v>
          </cell>
          <cell r="J6130">
            <v>0</v>
          </cell>
          <cell r="W6130">
            <v>0</v>
          </cell>
          <cell r="AJ6130">
            <v>0</v>
          </cell>
          <cell r="AS6130">
            <v>400</v>
          </cell>
          <cell r="AT6130">
            <v>400</v>
          </cell>
          <cell r="AW6130">
            <v>800</v>
          </cell>
          <cell r="BJ6130">
            <v>0</v>
          </cell>
        </row>
        <row r="6131">
          <cell r="B6131">
            <v>8922</v>
          </cell>
          <cell r="C6131" t="str">
            <v>ZB_20_</v>
          </cell>
          <cell r="D6131" t="str">
            <v>Rancho Zinamba No. 20</v>
          </cell>
          <cell r="E6131" t="str">
            <v>Alegre Retana</v>
          </cell>
          <cell r="F6131">
            <v>300</v>
          </cell>
          <cell r="G6131">
            <v>3</v>
          </cell>
          <cell r="H6131">
            <v>160</v>
          </cell>
          <cell r="I6131">
            <v>42046</v>
          </cell>
          <cell r="J6131" t="str">
            <v>NO SUMA</v>
          </cell>
          <cell r="W6131">
            <v>0</v>
          </cell>
          <cell r="AJ6131">
            <v>0</v>
          </cell>
          <cell r="AW6131">
            <v>0</v>
          </cell>
          <cell r="BJ6131">
            <v>0</v>
          </cell>
        </row>
        <row r="6132">
          <cell r="B6132">
            <v>8923</v>
          </cell>
          <cell r="C6132" t="str">
            <v>LD_85_</v>
          </cell>
          <cell r="D6132" t="str">
            <v>Rancho Landero No. 85</v>
          </cell>
          <cell r="E6132" t="str">
            <v>Martínez Olague</v>
          </cell>
          <cell r="F6132">
            <v>300</v>
          </cell>
          <cell r="G6132">
            <v>1</v>
          </cell>
          <cell r="H6132">
            <v>400</v>
          </cell>
          <cell r="I6132">
            <v>42046</v>
          </cell>
          <cell r="J6132">
            <v>0</v>
          </cell>
          <cell r="W6132">
            <v>0</v>
          </cell>
          <cell r="AJ6132">
            <v>0</v>
          </cell>
          <cell r="AW6132">
            <v>0</v>
          </cell>
          <cell r="AY6132">
            <v>400</v>
          </cell>
          <cell r="BJ6132">
            <v>400</v>
          </cell>
        </row>
        <row r="6133">
          <cell r="B6133">
            <v>8924</v>
          </cell>
          <cell r="C6133" t="str">
            <v>CL_7_101</v>
          </cell>
          <cell r="D6133" t="str">
            <v>Rancho La Cuchilla No. 7, 101</v>
          </cell>
          <cell r="E6133" t="str">
            <v>Olivares</v>
          </cell>
          <cell r="F6133">
            <v>100</v>
          </cell>
          <cell r="G6133">
            <v>1</v>
          </cell>
          <cell r="H6133">
            <v>900</v>
          </cell>
          <cell r="I6133">
            <v>42046</v>
          </cell>
          <cell r="J6133">
            <v>0</v>
          </cell>
          <cell r="W6133">
            <v>0</v>
          </cell>
          <cell r="AJ6133">
            <v>0</v>
          </cell>
          <cell r="AP6133">
            <v>100</v>
          </cell>
          <cell r="AQ6133">
            <v>100</v>
          </cell>
          <cell r="AR6133">
            <v>100</v>
          </cell>
          <cell r="AS6133">
            <v>100</v>
          </cell>
          <cell r="AT6133">
            <v>100</v>
          </cell>
          <cell r="AU6133">
            <v>100</v>
          </cell>
          <cell r="AV6133">
            <v>100</v>
          </cell>
          <cell r="AW6133">
            <v>700</v>
          </cell>
          <cell r="AX6133">
            <v>100</v>
          </cell>
          <cell r="AY6133">
            <v>100</v>
          </cell>
          <cell r="BJ6133">
            <v>200</v>
          </cell>
        </row>
        <row r="6134">
          <cell r="B6134">
            <v>8925</v>
          </cell>
          <cell r="C6134" t="str">
            <v>LD_83_</v>
          </cell>
          <cell r="D6134" t="str">
            <v>Rancho Landero No. 83</v>
          </cell>
          <cell r="E6134" t="str">
            <v>Aguilar</v>
          </cell>
          <cell r="F6134">
            <v>300</v>
          </cell>
          <cell r="G6134">
            <v>1</v>
          </cell>
          <cell r="H6134">
            <v>350</v>
          </cell>
          <cell r="I6134">
            <v>42047</v>
          </cell>
          <cell r="J6134">
            <v>0</v>
          </cell>
          <cell r="W6134">
            <v>0</v>
          </cell>
          <cell r="AJ6134">
            <v>0</v>
          </cell>
          <cell r="AW6134">
            <v>0</v>
          </cell>
          <cell r="AY6134">
            <v>350</v>
          </cell>
          <cell r="BJ6134">
            <v>350</v>
          </cell>
        </row>
        <row r="6135">
          <cell r="B6135">
            <v>8926</v>
          </cell>
          <cell r="C6135" t="str">
            <v>RV_3_</v>
          </cell>
          <cell r="D6135" t="str">
            <v>Rancho Recoveco No. 3</v>
          </cell>
          <cell r="E6135" t="str">
            <v>Garduño</v>
          </cell>
          <cell r="F6135">
            <v>300</v>
          </cell>
          <cell r="G6135">
            <v>1</v>
          </cell>
          <cell r="H6135">
            <v>300</v>
          </cell>
          <cell r="I6135">
            <v>42048</v>
          </cell>
          <cell r="J6135">
            <v>0</v>
          </cell>
          <cell r="W6135">
            <v>0</v>
          </cell>
          <cell r="AJ6135">
            <v>0</v>
          </cell>
          <cell r="AW6135">
            <v>0</v>
          </cell>
          <cell r="AY6135">
            <v>300</v>
          </cell>
          <cell r="BJ6135">
            <v>300</v>
          </cell>
        </row>
        <row r="6136">
          <cell r="B6136">
            <v>8927</v>
          </cell>
          <cell r="C6136" t="str">
            <v>UP_99_</v>
          </cell>
          <cell r="D6136" t="str">
            <v>Rancho Upácuaro No. 99</v>
          </cell>
          <cell r="E6136" t="str">
            <v>Frías</v>
          </cell>
          <cell r="F6136">
            <v>300</v>
          </cell>
          <cell r="G6136">
            <v>1</v>
          </cell>
          <cell r="H6136">
            <v>800</v>
          </cell>
          <cell r="I6136">
            <v>42050</v>
          </cell>
          <cell r="J6136">
            <v>0</v>
          </cell>
          <cell r="W6136">
            <v>0</v>
          </cell>
          <cell r="AJ6136">
            <v>0</v>
          </cell>
          <cell r="AW6136">
            <v>0</v>
          </cell>
          <cell r="AX6136">
            <v>200</v>
          </cell>
          <cell r="AY6136">
            <v>200</v>
          </cell>
          <cell r="AZ6136">
            <v>200</v>
          </cell>
          <cell r="BA6136">
            <v>200</v>
          </cell>
          <cell r="BJ6136">
            <v>800</v>
          </cell>
        </row>
        <row r="6137">
          <cell r="B6137">
            <v>8928</v>
          </cell>
          <cell r="C6137" t="str">
            <v>CL_46_</v>
          </cell>
          <cell r="D6137" t="str">
            <v>Rancho La Cuchilla No. 46</v>
          </cell>
          <cell r="E6137" t="str">
            <v>Cruz López</v>
          </cell>
          <cell r="F6137">
            <v>300</v>
          </cell>
          <cell r="G6137">
            <v>1</v>
          </cell>
          <cell r="H6137">
            <v>800</v>
          </cell>
          <cell r="I6137">
            <v>42050</v>
          </cell>
          <cell r="J6137">
            <v>0</v>
          </cell>
          <cell r="W6137">
            <v>0</v>
          </cell>
          <cell r="AJ6137">
            <v>0</v>
          </cell>
          <cell r="AV6137">
            <v>400</v>
          </cell>
          <cell r="AW6137">
            <v>400</v>
          </cell>
          <cell r="AY6137">
            <v>400</v>
          </cell>
          <cell r="BJ6137">
            <v>400</v>
          </cell>
        </row>
        <row r="6138">
          <cell r="B6138">
            <v>8929</v>
          </cell>
          <cell r="C6138" t="str">
            <v>RV_181_</v>
          </cell>
          <cell r="D6138" t="str">
            <v>Rancho Recoveco No. 181</v>
          </cell>
          <cell r="E6138" t="str">
            <v>Castillo</v>
          </cell>
          <cell r="F6138">
            <v>300</v>
          </cell>
          <cell r="G6138">
            <v>1</v>
          </cell>
          <cell r="H6138">
            <v>800</v>
          </cell>
          <cell r="I6138">
            <v>42050</v>
          </cell>
          <cell r="J6138">
            <v>0</v>
          </cell>
          <cell r="W6138">
            <v>0</v>
          </cell>
          <cell r="AJ6138">
            <v>0</v>
          </cell>
          <cell r="AW6138">
            <v>0</v>
          </cell>
          <cell r="AX6138">
            <v>400</v>
          </cell>
          <cell r="AY6138">
            <v>400</v>
          </cell>
          <cell r="BJ6138">
            <v>800</v>
          </cell>
        </row>
        <row r="6139">
          <cell r="B6139">
            <v>8930</v>
          </cell>
          <cell r="C6139" t="str">
            <v>EZ_55_</v>
          </cell>
          <cell r="D6139" t="str">
            <v>Rancho Estanzuela No. 55</v>
          </cell>
          <cell r="E6139" t="str">
            <v>Rodríguez Acevedo</v>
          </cell>
          <cell r="F6139">
            <v>300</v>
          </cell>
          <cell r="G6139">
            <v>1</v>
          </cell>
          <cell r="H6139">
            <v>400</v>
          </cell>
          <cell r="I6139">
            <v>42050</v>
          </cell>
          <cell r="J6139">
            <v>0</v>
          </cell>
          <cell r="W6139">
            <v>0</v>
          </cell>
          <cell r="AJ6139">
            <v>0</v>
          </cell>
          <cell r="AW6139">
            <v>0</v>
          </cell>
          <cell r="AY6139">
            <v>400</v>
          </cell>
          <cell r="BJ6139">
            <v>400</v>
          </cell>
        </row>
        <row r="6140">
          <cell r="B6140">
            <v>8931</v>
          </cell>
          <cell r="C6140" t="str">
            <v>UP_86_</v>
          </cell>
          <cell r="D6140" t="str">
            <v>Rancho Upácuaro No. 86</v>
          </cell>
          <cell r="E6140" t="str">
            <v>López Canseco</v>
          </cell>
          <cell r="F6140">
            <v>300</v>
          </cell>
          <cell r="G6140">
            <v>1</v>
          </cell>
          <cell r="H6140">
            <v>4400</v>
          </cell>
          <cell r="I6140">
            <v>42050</v>
          </cell>
          <cell r="J6140">
            <v>0</v>
          </cell>
          <cell r="W6140">
            <v>0</v>
          </cell>
          <cell r="AJ6140">
            <v>0</v>
          </cell>
          <cell r="AW6140">
            <v>0</v>
          </cell>
          <cell r="AX6140">
            <v>400</v>
          </cell>
          <cell r="AY6140">
            <v>400</v>
          </cell>
          <cell r="AZ6140">
            <v>400</v>
          </cell>
          <cell r="BA6140">
            <v>400</v>
          </cell>
          <cell r="BB6140">
            <v>400</v>
          </cell>
          <cell r="BC6140">
            <v>400</v>
          </cell>
          <cell r="BD6140">
            <v>400</v>
          </cell>
          <cell r="BE6140">
            <v>400</v>
          </cell>
          <cell r="BF6140">
            <v>400</v>
          </cell>
          <cell r="BG6140">
            <v>400</v>
          </cell>
          <cell r="BH6140">
            <v>400</v>
          </cell>
          <cell r="BJ6140">
            <v>4400</v>
          </cell>
        </row>
        <row r="6141">
          <cell r="B6141">
            <v>8932</v>
          </cell>
          <cell r="C6141" t="str">
            <v>EZ_119_1</v>
          </cell>
          <cell r="D6141" t="str">
            <v>Rancho Estanzuela No. 119, 1</v>
          </cell>
          <cell r="E6141" t="str">
            <v>López Tovar</v>
          </cell>
          <cell r="F6141">
            <v>300</v>
          </cell>
          <cell r="G6141">
            <v>3</v>
          </cell>
          <cell r="H6141">
            <v>320</v>
          </cell>
          <cell r="I6141">
            <v>42050</v>
          </cell>
          <cell r="J6141" t="str">
            <v>NO SUMA</v>
          </cell>
          <cell r="W6141">
            <v>0</v>
          </cell>
          <cell r="AJ6141">
            <v>0</v>
          </cell>
          <cell r="AW6141">
            <v>0</v>
          </cell>
          <cell r="BJ6141">
            <v>0</v>
          </cell>
        </row>
        <row r="6142">
          <cell r="B6142">
            <v>8933</v>
          </cell>
          <cell r="C6142" t="str">
            <v>CL_55_</v>
          </cell>
          <cell r="D6142" t="str">
            <v>Rancho La Cuchilla No. 55</v>
          </cell>
          <cell r="E6142" t="str">
            <v>López Velázquez</v>
          </cell>
          <cell r="F6142">
            <v>300</v>
          </cell>
          <cell r="G6142">
            <v>1</v>
          </cell>
          <cell r="H6142">
            <v>800</v>
          </cell>
          <cell r="I6142">
            <v>42050</v>
          </cell>
          <cell r="J6142">
            <v>0</v>
          </cell>
          <cell r="W6142">
            <v>0</v>
          </cell>
          <cell r="AJ6142">
            <v>0</v>
          </cell>
          <cell r="AW6142">
            <v>0</v>
          </cell>
          <cell r="AX6142">
            <v>400</v>
          </cell>
          <cell r="AY6142">
            <v>400</v>
          </cell>
          <cell r="BJ6142">
            <v>800</v>
          </cell>
        </row>
        <row r="6143">
          <cell r="B6143">
            <v>8934</v>
          </cell>
          <cell r="C6143" t="str">
            <v>EP_18_</v>
          </cell>
          <cell r="D6143" t="str">
            <v>Rancho Estopila No. 18</v>
          </cell>
          <cell r="E6143" t="str">
            <v>Aguilar Zarmeño</v>
          </cell>
          <cell r="F6143">
            <v>300</v>
          </cell>
          <cell r="G6143">
            <v>1</v>
          </cell>
          <cell r="H6143">
            <v>800</v>
          </cell>
          <cell r="I6143">
            <v>42050</v>
          </cell>
          <cell r="J6143">
            <v>0</v>
          </cell>
          <cell r="W6143">
            <v>0</v>
          </cell>
          <cell r="AJ6143">
            <v>0</v>
          </cell>
          <cell r="AW6143">
            <v>0</v>
          </cell>
          <cell r="AZ6143">
            <v>400</v>
          </cell>
          <cell r="BA6143">
            <v>400</v>
          </cell>
          <cell r="BJ6143">
            <v>800</v>
          </cell>
        </row>
        <row r="6144">
          <cell r="B6144">
            <v>8935</v>
          </cell>
          <cell r="D6144" t="str">
            <v/>
          </cell>
          <cell r="E6144" t="str">
            <v/>
          </cell>
          <cell r="F6144" t="str">
            <v/>
          </cell>
          <cell r="G6144">
            <v>8</v>
          </cell>
          <cell r="J6144" t="str">
            <v>NO SUMA</v>
          </cell>
          <cell r="W6144">
            <v>0</v>
          </cell>
          <cell r="AJ6144">
            <v>0</v>
          </cell>
          <cell r="AW6144">
            <v>0</v>
          </cell>
          <cell r="BJ6144">
            <v>0</v>
          </cell>
        </row>
        <row r="6145">
          <cell r="B6145">
            <v>8936</v>
          </cell>
          <cell r="C6145" t="str">
            <v>UP_101_</v>
          </cell>
          <cell r="D6145" t="str">
            <v>Rancho Upácuaro No. 101</v>
          </cell>
          <cell r="E6145" t="str">
            <v>Chávez, Arturo</v>
          </cell>
          <cell r="F6145">
            <v>300</v>
          </cell>
          <cell r="G6145">
            <v>1</v>
          </cell>
          <cell r="H6145">
            <v>400</v>
          </cell>
          <cell r="I6145">
            <v>42050</v>
          </cell>
          <cell r="J6145">
            <v>0</v>
          </cell>
          <cell r="W6145">
            <v>0</v>
          </cell>
          <cell r="AJ6145">
            <v>0</v>
          </cell>
          <cell r="AW6145">
            <v>0</v>
          </cell>
          <cell r="AY6145">
            <v>400</v>
          </cell>
          <cell r="BJ6145">
            <v>400</v>
          </cell>
        </row>
        <row r="6146">
          <cell r="B6146">
            <v>8936</v>
          </cell>
          <cell r="C6146" t="str">
            <v>UP_101_</v>
          </cell>
          <cell r="D6146" t="str">
            <v>Rancho Upácuaro No. 101</v>
          </cell>
          <cell r="E6146" t="str">
            <v>Chávez, Arturo</v>
          </cell>
          <cell r="F6146">
            <v>300</v>
          </cell>
          <cell r="G6146">
            <v>4</v>
          </cell>
          <cell r="H6146">
            <v>160</v>
          </cell>
          <cell r="I6146">
            <v>42050</v>
          </cell>
          <cell r="J6146" t="str">
            <v>NO SUMA</v>
          </cell>
          <cell r="W6146">
            <v>0</v>
          </cell>
          <cell r="AJ6146">
            <v>0</v>
          </cell>
          <cell r="AW6146">
            <v>0</v>
          </cell>
          <cell r="BJ6146">
            <v>0</v>
          </cell>
        </row>
        <row r="6147">
          <cell r="B6147">
            <v>8937</v>
          </cell>
          <cell r="C6147" t="str">
            <v>LD_84_</v>
          </cell>
          <cell r="D6147" t="str">
            <v>Rancho Landero No. 84</v>
          </cell>
          <cell r="E6147" t="str">
            <v>Alcántara</v>
          </cell>
          <cell r="F6147">
            <v>300</v>
          </cell>
          <cell r="G6147">
            <v>1</v>
          </cell>
          <cell r="H6147">
            <v>400</v>
          </cell>
          <cell r="I6147">
            <v>42050</v>
          </cell>
          <cell r="J6147">
            <v>0</v>
          </cell>
          <cell r="W6147">
            <v>0</v>
          </cell>
          <cell r="AJ6147">
            <v>0</v>
          </cell>
          <cell r="AW6147">
            <v>0</v>
          </cell>
          <cell r="AY6147">
            <v>400</v>
          </cell>
          <cell r="BJ6147">
            <v>400</v>
          </cell>
        </row>
        <row r="6148">
          <cell r="B6148">
            <v>8937</v>
          </cell>
          <cell r="C6148" t="str">
            <v>LD_84_</v>
          </cell>
          <cell r="D6148" t="str">
            <v>Rancho Landero No. 84</v>
          </cell>
          <cell r="E6148" t="str">
            <v>Alcántara</v>
          </cell>
          <cell r="F6148">
            <v>300</v>
          </cell>
          <cell r="G6148">
            <v>3</v>
          </cell>
          <cell r="H6148">
            <v>160</v>
          </cell>
          <cell r="I6148">
            <v>42050</v>
          </cell>
          <cell r="J6148" t="str">
            <v>NO SUMA</v>
          </cell>
          <cell r="W6148">
            <v>0</v>
          </cell>
          <cell r="AJ6148">
            <v>0</v>
          </cell>
          <cell r="AW6148">
            <v>0</v>
          </cell>
          <cell r="BJ6148">
            <v>0</v>
          </cell>
        </row>
        <row r="6149">
          <cell r="B6149">
            <v>8938</v>
          </cell>
          <cell r="C6149" t="str">
            <v>EZ_151_</v>
          </cell>
          <cell r="D6149" t="str">
            <v>Rancho Estanzuela No. 151</v>
          </cell>
          <cell r="E6149" t="str">
            <v>Pérez Salazar</v>
          </cell>
          <cell r="F6149">
            <v>300</v>
          </cell>
          <cell r="G6149">
            <v>1</v>
          </cell>
          <cell r="H6149">
            <v>400</v>
          </cell>
          <cell r="I6149">
            <v>42050</v>
          </cell>
          <cell r="J6149">
            <v>0</v>
          </cell>
          <cell r="W6149">
            <v>0</v>
          </cell>
          <cell r="AJ6149">
            <v>0</v>
          </cell>
          <cell r="AW6149">
            <v>0</v>
          </cell>
          <cell r="AY6149">
            <v>400</v>
          </cell>
          <cell r="BJ6149">
            <v>400</v>
          </cell>
        </row>
        <row r="6150">
          <cell r="B6150">
            <v>8939</v>
          </cell>
          <cell r="C6150" t="str">
            <v>LD_40_</v>
          </cell>
          <cell r="D6150" t="str">
            <v>Rancho Landero No. 40</v>
          </cell>
          <cell r="E6150" t="str">
            <v>Almaguer Mireles</v>
          </cell>
          <cell r="F6150">
            <v>300</v>
          </cell>
          <cell r="G6150">
            <v>1</v>
          </cell>
          <cell r="H6150">
            <v>800</v>
          </cell>
          <cell r="I6150">
            <v>42050</v>
          </cell>
          <cell r="J6150">
            <v>0</v>
          </cell>
          <cell r="W6150">
            <v>0</v>
          </cell>
          <cell r="AJ6150">
            <v>0</v>
          </cell>
          <cell r="AT6150">
            <v>400</v>
          </cell>
          <cell r="AU6150">
            <v>400</v>
          </cell>
          <cell r="AW6150">
            <v>800</v>
          </cell>
          <cell r="BJ6150">
            <v>0</v>
          </cell>
        </row>
        <row r="6151">
          <cell r="B6151">
            <v>8940</v>
          </cell>
          <cell r="C6151" t="str">
            <v>LD_40_</v>
          </cell>
          <cell r="D6151" t="str">
            <v>Rancho Landero No. 40</v>
          </cell>
          <cell r="E6151" t="str">
            <v>Almaguer Mireles</v>
          </cell>
          <cell r="F6151">
            <v>300</v>
          </cell>
          <cell r="G6151">
            <v>3</v>
          </cell>
          <cell r="H6151">
            <v>160</v>
          </cell>
          <cell r="I6151">
            <v>42050</v>
          </cell>
          <cell r="J6151" t="str">
            <v>NO SUMA</v>
          </cell>
          <cell r="W6151">
            <v>0</v>
          </cell>
          <cell r="AJ6151">
            <v>0</v>
          </cell>
          <cell r="AW6151">
            <v>0</v>
          </cell>
          <cell r="BJ6151">
            <v>0</v>
          </cell>
        </row>
        <row r="6152">
          <cell r="B6152">
            <v>8941</v>
          </cell>
          <cell r="C6152" t="str">
            <v>RV_187_</v>
          </cell>
          <cell r="D6152" t="str">
            <v>Rancho Recoveco No. 187</v>
          </cell>
          <cell r="E6152" t="str">
            <v>Moreno</v>
          </cell>
          <cell r="F6152">
            <v>300</v>
          </cell>
          <cell r="G6152">
            <v>1</v>
          </cell>
          <cell r="H6152">
            <v>800</v>
          </cell>
          <cell r="I6152">
            <v>42050</v>
          </cell>
          <cell r="J6152">
            <v>0</v>
          </cell>
          <cell r="W6152">
            <v>0</v>
          </cell>
          <cell r="AJ6152">
            <v>0</v>
          </cell>
          <cell r="AW6152">
            <v>0</v>
          </cell>
          <cell r="AX6152">
            <v>400</v>
          </cell>
          <cell r="AY6152">
            <v>400</v>
          </cell>
          <cell r="BJ6152">
            <v>800</v>
          </cell>
        </row>
        <row r="6153">
          <cell r="B6153">
            <v>8942</v>
          </cell>
          <cell r="C6153" t="str">
            <v>UP_47_</v>
          </cell>
          <cell r="D6153" t="str">
            <v>Rancho Upácuaro No. 47</v>
          </cell>
          <cell r="E6153" t="str">
            <v>Flores Muñoz</v>
          </cell>
          <cell r="F6153">
            <v>300</v>
          </cell>
          <cell r="G6153">
            <v>1</v>
          </cell>
          <cell r="H6153">
            <v>400</v>
          </cell>
          <cell r="I6153">
            <v>42050</v>
          </cell>
          <cell r="J6153">
            <v>0</v>
          </cell>
          <cell r="W6153">
            <v>0</v>
          </cell>
          <cell r="AJ6153">
            <v>0</v>
          </cell>
          <cell r="AW6153">
            <v>0</v>
          </cell>
          <cell r="AY6153">
            <v>400</v>
          </cell>
          <cell r="BJ6153">
            <v>400</v>
          </cell>
        </row>
        <row r="6154">
          <cell r="B6154">
            <v>8943</v>
          </cell>
          <cell r="C6154" t="str">
            <v>ZB_76_</v>
          </cell>
          <cell r="D6154" t="str">
            <v>Rancho Zinamba No. 76</v>
          </cell>
          <cell r="E6154" t="str">
            <v>Márquez</v>
          </cell>
          <cell r="F6154">
            <v>300</v>
          </cell>
          <cell r="G6154">
            <v>1</v>
          </cell>
          <cell r="H6154">
            <v>1200</v>
          </cell>
          <cell r="I6154">
            <v>42050</v>
          </cell>
          <cell r="J6154">
            <v>0</v>
          </cell>
          <cell r="W6154">
            <v>0</v>
          </cell>
          <cell r="AJ6154">
            <v>0</v>
          </cell>
          <cell r="AV6154">
            <v>400</v>
          </cell>
          <cell r="AW6154">
            <v>400</v>
          </cell>
          <cell r="AX6154">
            <v>400</v>
          </cell>
          <cell r="AY6154">
            <v>400</v>
          </cell>
          <cell r="BJ6154">
            <v>800</v>
          </cell>
        </row>
        <row r="6155">
          <cell r="B6155">
            <v>8944</v>
          </cell>
          <cell r="C6155" t="str">
            <v>CL_45_</v>
          </cell>
          <cell r="D6155" t="str">
            <v>Rancho La Cuchilla No. 45</v>
          </cell>
          <cell r="E6155" t="str">
            <v>Estévez Hernández</v>
          </cell>
          <cell r="F6155">
            <v>300</v>
          </cell>
          <cell r="G6155">
            <v>1</v>
          </cell>
          <cell r="H6155">
            <v>400</v>
          </cell>
          <cell r="I6155">
            <v>42050</v>
          </cell>
          <cell r="J6155">
            <v>0</v>
          </cell>
          <cell r="W6155">
            <v>0</v>
          </cell>
          <cell r="AJ6155">
            <v>0</v>
          </cell>
          <cell r="AW6155">
            <v>0</v>
          </cell>
          <cell r="AY6155">
            <v>400</v>
          </cell>
          <cell r="BJ6155">
            <v>400</v>
          </cell>
        </row>
        <row r="6156">
          <cell r="B6156">
            <v>8945</v>
          </cell>
          <cell r="C6156" t="str">
            <v>CL_115_</v>
          </cell>
          <cell r="D6156" t="str">
            <v>Rancho La Cuchilla No. 115</v>
          </cell>
          <cell r="E6156" t="str">
            <v>Alfaro</v>
          </cell>
          <cell r="F6156">
            <v>300</v>
          </cell>
          <cell r="G6156">
            <v>1</v>
          </cell>
          <cell r="H6156">
            <v>800</v>
          </cell>
          <cell r="I6156">
            <v>42050</v>
          </cell>
          <cell r="J6156">
            <v>0</v>
          </cell>
          <cell r="W6156">
            <v>0</v>
          </cell>
          <cell r="AJ6156">
            <v>0</v>
          </cell>
          <cell r="AU6156">
            <v>400</v>
          </cell>
          <cell r="AV6156">
            <v>400</v>
          </cell>
          <cell r="AW6156">
            <v>800</v>
          </cell>
          <cell r="BJ6156">
            <v>0</v>
          </cell>
        </row>
        <row r="6157">
          <cell r="B6157">
            <v>8946</v>
          </cell>
          <cell r="C6157" t="str">
            <v>EZ_139_</v>
          </cell>
          <cell r="D6157" t="str">
            <v>Rancho Estanzuela No. 139</v>
          </cell>
          <cell r="E6157" t="str">
            <v xml:space="preserve">Ortiz   </v>
          </cell>
          <cell r="F6157">
            <v>300</v>
          </cell>
          <cell r="G6157">
            <v>1</v>
          </cell>
          <cell r="H6157">
            <v>400</v>
          </cell>
          <cell r="I6157">
            <v>42050</v>
          </cell>
          <cell r="J6157">
            <v>0</v>
          </cell>
          <cell r="W6157">
            <v>0</v>
          </cell>
          <cell r="AJ6157">
            <v>0</v>
          </cell>
          <cell r="AW6157">
            <v>0</v>
          </cell>
          <cell r="AX6157">
            <v>400</v>
          </cell>
          <cell r="BJ6157">
            <v>400</v>
          </cell>
        </row>
        <row r="6158">
          <cell r="B6158">
            <v>8947</v>
          </cell>
          <cell r="C6158" t="str">
            <v>LD_18_</v>
          </cell>
          <cell r="D6158" t="str">
            <v>Rancho Landero No. 18</v>
          </cell>
          <cell r="E6158" t="str">
            <v>Rosado</v>
          </cell>
          <cell r="F6158">
            <v>250</v>
          </cell>
          <cell r="G6158">
            <v>1</v>
          </cell>
          <cell r="H6158">
            <v>300</v>
          </cell>
          <cell r="I6158">
            <v>42050</v>
          </cell>
          <cell r="J6158">
            <v>0</v>
          </cell>
          <cell r="W6158">
            <v>0</v>
          </cell>
          <cell r="AJ6158">
            <v>0</v>
          </cell>
          <cell r="AW6158">
            <v>0</v>
          </cell>
          <cell r="AX6158">
            <v>300</v>
          </cell>
          <cell r="BJ6158">
            <v>300</v>
          </cell>
        </row>
        <row r="6159">
          <cell r="B6159">
            <v>8948</v>
          </cell>
          <cell r="C6159" t="str">
            <v>CL_89_</v>
          </cell>
          <cell r="D6159" t="str">
            <v>Rancho La Cuchilla No. 89</v>
          </cell>
          <cell r="E6159" t="str">
            <v>Gálvez</v>
          </cell>
          <cell r="F6159">
            <v>300</v>
          </cell>
          <cell r="G6159">
            <v>1</v>
          </cell>
          <cell r="H6159">
            <v>400</v>
          </cell>
          <cell r="I6159">
            <v>42050</v>
          </cell>
          <cell r="J6159">
            <v>0</v>
          </cell>
          <cell r="W6159">
            <v>0</v>
          </cell>
          <cell r="AJ6159">
            <v>0</v>
          </cell>
          <cell r="AW6159">
            <v>0</v>
          </cell>
          <cell r="AY6159">
            <v>400</v>
          </cell>
          <cell r="BJ6159">
            <v>400</v>
          </cell>
        </row>
        <row r="6160">
          <cell r="B6160">
            <v>8949</v>
          </cell>
          <cell r="C6160" t="str">
            <v>CL_94_</v>
          </cell>
          <cell r="D6160" t="str">
            <v>Rancho La Cuchilla No. 94</v>
          </cell>
          <cell r="E6160" t="str">
            <v>Sánchez Márquez</v>
          </cell>
          <cell r="F6160">
            <v>300</v>
          </cell>
          <cell r="G6160">
            <v>1</v>
          </cell>
          <cell r="H6160">
            <v>400</v>
          </cell>
          <cell r="I6160">
            <v>42050</v>
          </cell>
          <cell r="J6160">
            <v>0</v>
          </cell>
          <cell r="W6160">
            <v>0</v>
          </cell>
          <cell r="AJ6160">
            <v>0</v>
          </cell>
          <cell r="AW6160">
            <v>0</v>
          </cell>
          <cell r="AY6160">
            <v>400</v>
          </cell>
          <cell r="BJ6160">
            <v>400</v>
          </cell>
        </row>
        <row r="6161">
          <cell r="B6161">
            <v>8950</v>
          </cell>
          <cell r="C6161" t="str">
            <v>UP_63_</v>
          </cell>
          <cell r="D6161" t="str">
            <v>Rancho Upácuaro No. 63</v>
          </cell>
          <cell r="E6161" t="str">
            <v>González Benavides</v>
          </cell>
          <cell r="F6161">
            <v>300</v>
          </cell>
          <cell r="G6161">
            <v>1</v>
          </cell>
          <cell r="H6161">
            <v>1200</v>
          </cell>
          <cell r="I6161">
            <v>42050</v>
          </cell>
          <cell r="J6161">
            <v>0</v>
          </cell>
          <cell r="W6161">
            <v>0</v>
          </cell>
          <cell r="AJ6161">
            <v>0</v>
          </cell>
          <cell r="AW6161">
            <v>0</v>
          </cell>
          <cell r="AX6161">
            <v>400</v>
          </cell>
          <cell r="AY6161">
            <v>400</v>
          </cell>
          <cell r="AZ6161">
            <v>400</v>
          </cell>
          <cell r="BJ6161">
            <v>1200</v>
          </cell>
        </row>
        <row r="6162">
          <cell r="B6162">
            <v>8951</v>
          </cell>
          <cell r="C6162" t="str">
            <v>RV_1_</v>
          </cell>
          <cell r="D6162" t="str">
            <v>Rancho Recoveco No. 1</v>
          </cell>
          <cell r="E6162" t="str">
            <v>Díaz</v>
          </cell>
          <cell r="F6162">
            <v>300</v>
          </cell>
          <cell r="G6162">
            <v>1</v>
          </cell>
          <cell r="H6162">
            <v>300</v>
          </cell>
          <cell r="I6162">
            <v>42050</v>
          </cell>
          <cell r="J6162">
            <v>0</v>
          </cell>
          <cell r="W6162">
            <v>0</v>
          </cell>
          <cell r="AJ6162">
            <v>0</v>
          </cell>
          <cell r="AW6162">
            <v>0</v>
          </cell>
          <cell r="AY6162">
            <v>300</v>
          </cell>
          <cell r="BJ6162">
            <v>300</v>
          </cell>
        </row>
        <row r="6163">
          <cell r="B6163">
            <v>8952</v>
          </cell>
          <cell r="C6163" t="str">
            <v>RV_197_</v>
          </cell>
          <cell r="D6163" t="str">
            <v>Rancho Recoveco No. 197</v>
          </cell>
          <cell r="E6163" t="str">
            <v>Colín González</v>
          </cell>
          <cell r="F6163">
            <v>300</v>
          </cell>
          <cell r="G6163">
            <v>1</v>
          </cell>
          <cell r="H6163">
            <v>400</v>
          </cell>
          <cell r="I6163">
            <v>42050</v>
          </cell>
          <cell r="J6163">
            <v>0</v>
          </cell>
          <cell r="W6163">
            <v>0</v>
          </cell>
          <cell r="AJ6163">
            <v>0</v>
          </cell>
          <cell r="AW6163">
            <v>0</v>
          </cell>
          <cell r="AY6163">
            <v>400</v>
          </cell>
          <cell r="BJ6163">
            <v>400</v>
          </cell>
        </row>
        <row r="6164">
          <cell r="B6164">
            <v>8953</v>
          </cell>
          <cell r="C6164" t="str">
            <v>EZ_115_</v>
          </cell>
          <cell r="D6164" t="str">
            <v>Rancho Estanzuela No. 115</v>
          </cell>
          <cell r="E6164" t="str">
            <v>Frías Solórzano</v>
          </cell>
          <cell r="F6164">
            <v>200</v>
          </cell>
          <cell r="G6164">
            <v>1</v>
          </cell>
          <cell r="H6164">
            <v>500</v>
          </cell>
          <cell r="I6164">
            <v>42050</v>
          </cell>
          <cell r="J6164">
            <v>0</v>
          </cell>
          <cell r="W6164">
            <v>0</v>
          </cell>
          <cell r="AJ6164">
            <v>0</v>
          </cell>
          <cell r="AW6164">
            <v>0</v>
          </cell>
          <cell r="AY6164">
            <v>250</v>
          </cell>
          <cell r="AZ6164">
            <v>250</v>
          </cell>
          <cell r="BJ6164">
            <v>500</v>
          </cell>
        </row>
        <row r="6165">
          <cell r="B6165">
            <v>8954</v>
          </cell>
          <cell r="C6165" t="str">
            <v>EZ_31_</v>
          </cell>
          <cell r="D6165" t="str">
            <v>Rancho Estanzuela No. 31</v>
          </cell>
          <cell r="E6165" t="str">
            <v>Chávez Valdés</v>
          </cell>
          <cell r="F6165">
            <v>300</v>
          </cell>
          <cell r="G6165">
            <v>1</v>
          </cell>
          <cell r="H6165">
            <v>400</v>
          </cell>
          <cell r="I6165">
            <v>42050</v>
          </cell>
          <cell r="J6165">
            <v>0</v>
          </cell>
          <cell r="W6165">
            <v>0</v>
          </cell>
          <cell r="AJ6165">
            <v>0</v>
          </cell>
          <cell r="AW6165">
            <v>0</v>
          </cell>
          <cell r="AX6165">
            <v>400</v>
          </cell>
          <cell r="BJ6165">
            <v>400</v>
          </cell>
        </row>
        <row r="6166">
          <cell r="B6166">
            <v>8955</v>
          </cell>
          <cell r="C6166" t="str">
            <v>CL_79_</v>
          </cell>
          <cell r="D6166" t="str">
            <v>Rancho La Cuchilla No. 79</v>
          </cell>
          <cell r="E6166" t="str">
            <v>Hernández Laurel</v>
          </cell>
          <cell r="F6166">
            <v>300</v>
          </cell>
          <cell r="G6166">
            <v>1</v>
          </cell>
          <cell r="H6166">
            <v>200</v>
          </cell>
          <cell r="I6166">
            <v>42050</v>
          </cell>
          <cell r="J6166">
            <v>0</v>
          </cell>
          <cell r="W6166">
            <v>0</v>
          </cell>
          <cell r="AJ6166">
            <v>0</v>
          </cell>
          <cell r="AW6166">
            <v>0</v>
          </cell>
          <cell r="AY6166">
            <v>200</v>
          </cell>
          <cell r="BJ6166">
            <v>200</v>
          </cell>
        </row>
        <row r="6167">
          <cell r="B6167">
            <v>8956</v>
          </cell>
          <cell r="C6167" t="str">
            <v>LD_90_</v>
          </cell>
          <cell r="D6167" t="str">
            <v>Rancho Landero No. 90</v>
          </cell>
          <cell r="E6167" t="str">
            <v>Córdova Reséndiz</v>
          </cell>
          <cell r="F6167">
            <v>300</v>
          </cell>
          <cell r="G6167">
            <v>1</v>
          </cell>
          <cell r="H6167">
            <v>300</v>
          </cell>
          <cell r="I6167">
            <v>42050</v>
          </cell>
          <cell r="J6167">
            <v>0</v>
          </cell>
          <cell r="W6167">
            <v>0</v>
          </cell>
          <cell r="AJ6167">
            <v>0</v>
          </cell>
          <cell r="AW6167">
            <v>0</v>
          </cell>
          <cell r="AY6167">
            <v>300</v>
          </cell>
          <cell r="BJ6167">
            <v>300</v>
          </cell>
        </row>
        <row r="6168">
          <cell r="B6168">
            <v>8957</v>
          </cell>
          <cell r="C6168" t="str">
            <v>ZB_88_</v>
          </cell>
          <cell r="D6168" t="str">
            <v>Rancho Zinamba No. 88</v>
          </cell>
          <cell r="E6168" t="str">
            <v>Martínez</v>
          </cell>
          <cell r="F6168">
            <v>250</v>
          </cell>
          <cell r="G6168">
            <v>1</v>
          </cell>
          <cell r="H6168">
            <v>350</v>
          </cell>
          <cell r="I6168">
            <v>42050</v>
          </cell>
          <cell r="J6168">
            <v>0</v>
          </cell>
          <cell r="W6168">
            <v>0</v>
          </cell>
          <cell r="AJ6168">
            <v>0</v>
          </cell>
          <cell r="AW6168">
            <v>0</v>
          </cell>
          <cell r="AY6168">
            <v>350</v>
          </cell>
          <cell r="BJ6168">
            <v>350</v>
          </cell>
        </row>
        <row r="6169">
          <cell r="B6169">
            <v>8958</v>
          </cell>
          <cell r="C6169" t="str">
            <v>CL_118_</v>
          </cell>
          <cell r="D6169" t="str">
            <v>Rancho La Cuchilla No. 118</v>
          </cell>
          <cell r="E6169" t="str">
            <v>Astorga Ruiz</v>
          </cell>
          <cell r="F6169">
            <v>300</v>
          </cell>
          <cell r="G6169">
            <v>1</v>
          </cell>
          <cell r="H6169">
            <v>1200</v>
          </cell>
          <cell r="I6169">
            <v>42050</v>
          </cell>
          <cell r="J6169">
            <v>0</v>
          </cell>
          <cell r="W6169">
            <v>0</v>
          </cell>
          <cell r="AJ6169">
            <v>0</v>
          </cell>
          <cell r="AU6169">
            <v>400</v>
          </cell>
          <cell r="AV6169">
            <v>400</v>
          </cell>
          <cell r="AW6169">
            <v>800</v>
          </cell>
          <cell r="AX6169">
            <v>400</v>
          </cell>
          <cell r="BJ6169">
            <v>400</v>
          </cell>
        </row>
        <row r="6170">
          <cell r="B6170">
            <v>8959</v>
          </cell>
          <cell r="C6170" t="str">
            <v>ZB_50_</v>
          </cell>
          <cell r="D6170" t="str">
            <v>Rancho Zinamba No. 50</v>
          </cell>
          <cell r="E6170" t="str">
            <v>Del Castillo</v>
          </cell>
          <cell r="F6170">
            <v>300</v>
          </cell>
          <cell r="G6170">
            <v>1</v>
          </cell>
          <cell r="H6170">
            <v>400</v>
          </cell>
          <cell r="I6170">
            <v>42050</v>
          </cell>
          <cell r="J6170">
            <v>0</v>
          </cell>
          <cell r="W6170">
            <v>0</v>
          </cell>
          <cell r="AJ6170">
            <v>0</v>
          </cell>
          <cell r="AW6170">
            <v>0</v>
          </cell>
          <cell r="AX6170">
            <v>400</v>
          </cell>
          <cell r="BJ6170">
            <v>400</v>
          </cell>
        </row>
        <row r="6171">
          <cell r="B6171">
            <v>8960</v>
          </cell>
          <cell r="C6171" t="str">
            <v>UP_71_</v>
          </cell>
          <cell r="D6171" t="str">
            <v>Rancho Upácuaro No. 71</v>
          </cell>
          <cell r="E6171" t="str">
            <v>Trejo Méndez</v>
          </cell>
          <cell r="F6171">
            <v>300</v>
          </cell>
          <cell r="G6171">
            <v>1</v>
          </cell>
          <cell r="H6171">
            <v>400</v>
          </cell>
          <cell r="I6171">
            <v>42050</v>
          </cell>
          <cell r="J6171">
            <v>0</v>
          </cell>
          <cell r="W6171">
            <v>0</v>
          </cell>
          <cell r="AJ6171">
            <v>0</v>
          </cell>
          <cell r="AW6171">
            <v>0</v>
          </cell>
          <cell r="AY6171">
            <v>400</v>
          </cell>
          <cell r="BJ6171">
            <v>400</v>
          </cell>
        </row>
        <row r="6172">
          <cell r="B6172">
            <v>8961</v>
          </cell>
          <cell r="C6172" t="str">
            <v>RV_193_</v>
          </cell>
          <cell r="D6172" t="str">
            <v>Rancho Recoveco No. 193</v>
          </cell>
          <cell r="E6172" t="str">
            <v>Salazar Pérez</v>
          </cell>
          <cell r="F6172">
            <v>300</v>
          </cell>
          <cell r="G6172">
            <v>1</v>
          </cell>
          <cell r="H6172">
            <v>400</v>
          </cell>
          <cell r="I6172">
            <v>42050</v>
          </cell>
          <cell r="J6172">
            <v>0</v>
          </cell>
          <cell r="W6172">
            <v>0</v>
          </cell>
          <cell r="AJ6172">
            <v>0</v>
          </cell>
          <cell r="AW6172">
            <v>0</v>
          </cell>
          <cell r="AY6172">
            <v>400</v>
          </cell>
          <cell r="BJ6172">
            <v>400</v>
          </cell>
        </row>
        <row r="6173">
          <cell r="B6173">
            <v>8962</v>
          </cell>
          <cell r="C6173" t="str">
            <v>UP_130_</v>
          </cell>
          <cell r="D6173" t="str">
            <v>Rancho Upácuaro No. 130</v>
          </cell>
          <cell r="E6173" t="str">
            <v>Rodríguez Álvarez</v>
          </cell>
          <cell r="F6173">
            <v>150</v>
          </cell>
          <cell r="G6173">
            <v>1</v>
          </cell>
          <cell r="H6173">
            <v>200</v>
          </cell>
          <cell r="I6173">
            <v>42050</v>
          </cell>
          <cell r="J6173">
            <v>0</v>
          </cell>
          <cell r="W6173">
            <v>0</v>
          </cell>
          <cell r="AJ6173">
            <v>0</v>
          </cell>
          <cell r="AW6173">
            <v>0</v>
          </cell>
          <cell r="AY6173">
            <v>200</v>
          </cell>
          <cell r="BJ6173">
            <v>200</v>
          </cell>
        </row>
        <row r="6174">
          <cell r="B6174">
            <v>8963</v>
          </cell>
          <cell r="C6174" t="str">
            <v>UP_136_</v>
          </cell>
          <cell r="D6174" t="str">
            <v>Rancho Upácuaro No. 136</v>
          </cell>
          <cell r="E6174" t="str">
            <v>López Lena</v>
          </cell>
          <cell r="F6174">
            <v>300</v>
          </cell>
          <cell r="G6174">
            <v>1</v>
          </cell>
          <cell r="H6174">
            <v>1600</v>
          </cell>
          <cell r="I6174">
            <v>42050</v>
          </cell>
          <cell r="J6174">
            <v>0</v>
          </cell>
          <cell r="W6174">
            <v>0</v>
          </cell>
          <cell r="AJ6174">
            <v>0</v>
          </cell>
          <cell r="AU6174">
            <v>400</v>
          </cell>
          <cell r="AV6174">
            <v>400</v>
          </cell>
          <cell r="AW6174">
            <v>800</v>
          </cell>
          <cell r="AX6174">
            <v>400</v>
          </cell>
          <cell r="AY6174">
            <v>400</v>
          </cell>
          <cell r="BJ6174">
            <v>800</v>
          </cell>
        </row>
        <row r="6175">
          <cell r="B6175">
            <v>8964</v>
          </cell>
          <cell r="C6175" t="str">
            <v>EZ_143_B</v>
          </cell>
          <cell r="D6175" t="str">
            <v>Rancho Estanzuela No. 143, B</v>
          </cell>
          <cell r="E6175" t="str">
            <v>López</v>
          </cell>
          <cell r="F6175">
            <v>300</v>
          </cell>
          <cell r="G6175">
            <v>1</v>
          </cell>
          <cell r="H6175">
            <v>400</v>
          </cell>
          <cell r="I6175">
            <v>42050</v>
          </cell>
          <cell r="J6175">
            <v>0</v>
          </cell>
          <cell r="W6175">
            <v>0</v>
          </cell>
          <cell r="AJ6175">
            <v>0</v>
          </cell>
          <cell r="AW6175">
            <v>0</v>
          </cell>
          <cell r="AY6175">
            <v>400</v>
          </cell>
          <cell r="BJ6175">
            <v>400</v>
          </cell>
        </row>
        <row r="6176">
          <cell r="B6176">
            <v>8965</v>
          </cell>
          <cell r="C6176" t="str">
            <v>LD_58_</v>
          </cell>
          <cell r="D6176" t="str">
            <v>Rancho Landero No. 58</v>
          </cell>
          <cell r="E6176" t="str">
            <v>Valero</v>
          </cell>
          <cell r="F6176">
            <v>300</v>
          </cell>
          <cell r="G6176">
            <v>1</v>
          </cell>
          <cell r="H6176">
            <v>400</v>
          </cell>
          <cell r="I6176">
            <v>42050</v>
          </cell>
          <cell r="J6176">
            <v>0</v>
          </cell>
          <cell r="W6176">
            <v>0</v>
          </cell>
          <cell r="AJ6176">
            <v>0</v>
          </cell>
          <cell r="AW6176">
            <v>0</v>
          </cell>
          <cell r="AY6176">
            <v>400</v>
          </cell>
          <cell r="BJ6176">
            <v>400</v>
          </cell>
        </row>
        <row r="6177">
          <cell r="B6177">
            <v>8965</v>
          </cell>
          <cell r="C6177" t="str">
            <v>LD_58_</v>
          </cell>
          <cell r="D6177" t="str">
            <v>Rancho Landero No. 58</v>
          </cell>
          <cell r="E6177" t="str">
            <v>Valero</v>
          </cell>
          <cell r="F6177">
            <v>300</v>
          </cell>
          <cell r="G6177">
            <v>4</v>
          </cell>
          <cell r="H6177">
            <v>160</v>
          </cell>
          <cell r="I6177">
            <v>42050</v>
          </cell>
          <cell r="J6177" t="str">
            <v>NO SUMA</v>
          </cell>
          <cell r="W6177">
            <v>0</v>
          </cell>
          <cell r="AJ6177">
            <v>0</v>
          </cell>
          <cell r="AW6177">
            <v>0</v>
          </cell>
          <cell r="BJ6177">
            <v>0</v>
          </cell>
        </row>
        <row r="6178">
          <cell r="B6178">
            <v>8966</v>
          </cell>
          <cell r="C6178" t="str">
            <v>RV_195_</v>
          </cell>
          <cell r="D6178" t="str">
            <v>Rancho Recoveco No. 195</v>
          </cell>
          <cell r="E6178" t="str">
            <v>Sandoval</v>
          </cell>
          <cell r="F6178">
            <v>300</v>
          </cell>
          <cell r="G6178">
            <v>1</v>
          </cell>
          <cell r="H6178">
            <v>400</v>
          </cell>
          <cell r="I6178">
            <v>42050</v>
          </cell>
          <cell r="J6178">
            <v>0</v>
          </cell>
          <cell r="W6178">
            <v>0</v>
          </cell>
          <cell r="AJ6178">
            <v>0</v>
          </cell>
          <cell r="AW6178">
            <v>0</v>
          </cell>
          <cell r="AX6178">
            <v>400</v>
          </cell>
          <cell r="BJ6178">
            <v>400</v>
          </cell>
        </row>
        <row r="6179">
          <cell r="B6179">
            <v>8967</v>
          </cell>
          <cell r="C6179" t="str">
            <v>EZ_159_</v>
          </cell>
          <cell r="D6179" t="str">
            <v>Rancho Estanzuela No. 159</v>
          </cell>
          <cell r="E6179" t="str">
            <v>Silva</v>
          </cell>
          <cell r="F6179">
            <v>250</v>
          </cell>
          <cell r="G6179">
            <v>1</v>
          </cell>
          <cell r="H6179">
            <v>300</v>
          </cell>
          <cell r="I6179">
            <v>42050</v>
          </cell>
          <cell r="J6179">
            <v>0</v>
          </cell>
          <cell r="W6179">
            <v>0</v>
          </cell>
          <cell r="AJ6179">
            <v>0</v>
          </cell>
          <cell r="AW6179">
            <v>0</v>
          </cell>
          <cell r="AY6179">
            <v>300</v>
          </cell>
          <cell r="BJ6179">
            <v>300</v>
          </cell>
        </row>
        <row r="6180">
          <cell r="B6180">
            <v>8968</v>
          </cell>
          <cell r="C6180" t="str">
            <v>ZB_38_</v>
          </cell>
          <cell r="D6180" t="str">
            <v>Rancho Zinamba No. 38</v>
          </cell>
          <cell r="E6180" t="str">
            <v>Ramírez Díaz</v>
          </cell>
          <cell r="F6180">
            <v>300</v>
          </cell>
          <cell r="G6180">
            <v>1</v>
          </cell>
          <cell r="H6180">
            <v>400</v>
          </cell>
          <cell r="I6180">
            <v>42050</v>
          </cell>
          <cell r="J6180">
            <v>0</v>
          </cell>
          <cell r="W6180">
            <v>0</v>
          </cell>
          <cell r="AJ6180">
            <v>0</v>
          </cell>
          <cell r="AW6180">
            <v>0</v>
          </cell>
          <cell r="AY6180">
            <v>400</v>
          </cell>
          <cell r="BJ6180">
            <v>400</v>
          </cell>
        </row>
        <row r="6181">
          <cell r="B6181">
            <v>8969</v>
          </cell>
          <cell r="C6181" t="str">
            <v>CL_43_A</v>
          </cell>
          <cell r="D6181" t="str">
            <v>Rancho La Cuchilla No. 43, A</v>
          </cell>
          <cell r="E6181" t="str">
            <v>De la Rosa</v>
          </cell>
          <cell r="F6181">
            <v>200</v>
          </cell>
          <cell r="G6181">
            <v>1</v>
          </cell>
          <cell r="H6181">
            <v>400</v>
          </cell>
          <cell r="I6181">
            <v>42050</v>
          </cell>
          <cell r="J6181">
            <v>0</v>
          </cell>
          <cell r="W6181">
            <v>0</v>
          </cell>
          <cell r="AJ6181">
            <v>0</v>
          </cell>
          <cell r="AW6181">
            <v>0</v>
          </cell>
          <cell r="AX6181">
            <v>400</v>
          </cell>
          <cell r="BJ6181">
            <v>400</v>
          </cell>
        </row>
        <row r="6182">
          <cell r="B6182">
            <v>8969</v>
          </cell>
          <cell r="C6182" t="str">
            <v>CL_43_A</v>
          </cell>
          <cell r="D6182" t="str">
            <v>Rancho La Cuchilla No. 43, A</v>
          </cell>
          <cell r="E6182" t="str">
            <v>De la Rosa</v>
          </cell>
          <cell r="F6182">
            <v>200</v>
          </cell>
          <cell r="G6182">
            <v>4</v>
          </cell>
          <cell r="H6182">
            <v>160</v>
          </cell>
          <cell r="I6182">
            <v>42050</v>
          </cell>
          <cell r="J6182" t="str">
            <v>NO SUMA</v>
          </cell>
          <cell r="W6182">
            <v>0</v>
          </cell>
          <cell r="AJ6182">
            <v>0</v>
          </cell>
          <cell r="AW6182">
            <v>0</v>
          </cell>
          <cell r="BJ6182">
            <v>0</v>
          </cell>
        </row>
        <row r="6183">
          <cell r="B6183">
            <v>8970</v>
          </cell>
          <cell r="C6183" t="str">
            <v>ZB_18_</v>
          </cell>
          <cell r="D6183" t="str">
            <v>Rancho Zinamba No. 18</v>
          </cell>
          <cell r="E6183" t="str">
            <v>Hernández Castro</v>
          </cell>
          <cell r="F6183">
            <v>300</v>
          </cell>
          <cell r="G6183">
            <v>3</v>
          </cell>
          <cell r="H6183">
            <v>160</v>
          </cell>
          <cell r="I6183">
            <v>42051</v>
          </cell>
          <cell r="J6183" t="str">
            <v>NO SUMA</v>
          </cell>
          <cell r="W6183">
            <v>0</v>
          </cell>
          <cell r="AJ6183">
            <v>0</v>
          </cell>
          <cell r="AW6183">
            <v>0</v>
          </cell>
          <cell r="BJ6183">
            <v>0</v>
          </cell>
        </row>
        <row r="6184">
          <cell r="B6184">
            <v>8971</v>
          </cell>
          <cell r="C6184" t="str">
            <v>EZ_129_</v>
          </cell>
          <cell r="D6184" t="str">
            <v>Rancho Estanzuela No. 129</v>
          </cell>
          <cell r="E6184" t="str">
            <v>González</v>
          </cell>
          <cell r="F6184">
            <v>300</v>
          </cell>
          <cell r="G6184">
            <v>3</v>
          </cell>
          <cell r="H6184">
            <v>160</v>
          </cell>
          <cell r="I6184">
            <v>42053</v>
          </cell>
          <cell r="J6184" t="str">
            <v>NO SUMA</v>
          </cell>
          <cell r="W6184">
            <v>0</v>
          </cell>
          <cell r="AJ6184">
            <v>0</v>
          </cell>
          <cell r="AW6184">
            <v>0</v>
          </cell>
          <cell r="BJ6184">
            <v>0</v>
          </cell>
        </row>
        <row r="6185">
          <cell r="B6185">
            <v>8972</v>
          </cell>
          <cell r="C6185" t="str">
            <v>CM_130_A</v>
          </cell>
          <cell r="D6185" t="str">
            <v>Rancho Estanzuela No. 130, A</v>
          </cell>
          <cell r="E6185" t="str">
            <v>Colegio Carmel</v>
          </cell>
          <cell r="F6185">
            <v>10000</v>
          </cell>
          <cell r="G6185">
            <v>3</v>
          </cell>
          <cell r="H6185">
            <v>160</v>
          </cell>
          <cell r="I6185">
            <v>42054</v>
          </cell>
          <cell r="J6185" t="str">
            <v>NO SUMA</v>
          </cell>
          <cell r="W6185">
            <v>0</v>
          </cell>
          <cell r="AJ6185">
            <v>0</v>
          </cell>
          <cell r="AW6185">
            <v>0</v>
          </cell>
          <cell r="BJ6185">
            <v>0</v>
          </cell>
        </row>
        <row r="6186">
          <cell r="B6186">
            <v>8973</v>
          </cell>
          <cell r="C6186" t="str">
            <v>CL_91_</v>
          </cell>
          <cell r="D6186" t="str">
            <v>Rancho La Cuchilla No. 91</v>
          </cell>
          <cell r="E6186" t="str">
            <v>Roldán Flores</v>
          </cell>
          <cell r="F6186">
            <v>300</v>
          </cell>
          <cell r="G6186">
            <v>1</v>
          </cell>
          <cell r="H6186">
            <v>4400</v>
          </cell>
          <cell r="I6186">
            <v>42057</v>
          </cell>
          <cell r="J6186">
            <v>0</v>
          </cell>
          <cell r="W6186">
            <v>0</v>
          </cell>
          <cell r="AJ6186">
            <v>0</v>
          </cell>
          <cell r="AW6186">
            <v>0</v>
          </cell>
          <cell r="AX6186">
            <v>400</v>
          </cell>
          <cell r="AY6186">
            <v>400</v>
          </cell>
          <cell r="AZ6186">
            <v>400</v>
          </cell>
          <cell r="BA6186">
            <v>400</v>
          </cell>
          <cell r="BB6186">
            <v>400</v>
          </cell>
          <cell r="BC6186">
            <v>400</v>
          </cell>
          <cell r="BD6186">
            <v>400</v>
          </cell>
          <cell r="BE6186">
            <v>400</v>
          </cell>
          <cell r="BF6186">
            <v>400</v>
          </cell>
          <cell r="BG6186">
            <v>400</v>
          </cell>
          <cell r="BH6186">
            <v>400</v>
          </cell>
          <cell r="BJ6186">
            <v>4400</v>
          </cell>
        </row>
        <row r="6187">
          <cell r="B6187">
            <v>8974</v>
          </cell>
          <cell r="C6187" t="str">
            <v>LD_73_</v>
          </cell>
          <cell r="D6187" t="str">
            <v>Rancho Landero No. 73</v>
          </cell>
          <cell r="E6187" t="str">
            <v>Islas Palacios</v>
          </cell>
          <cell r="F6187">
            <v>300</v>
          </cell>
          <cell r="G6187">
            <v>1</v>
          </cell>
          <cell r="H6187">
            <v>800</v>
          </cell>
          <cell r="I6187">
            <v>42057</v>
          </cell>
          <cell r="J6187">
            <v>0</v>
          </cell>
          <cell r="W6187">
            <v>0</v>
          </cell>
          <cell r="AJ6187">
            <v>0</v>
          </cell>
          <cell r="AW6187">
            <v>0</v>
          </cell>
          <cell r="AX6187">
            <v>400</v>
          </cell>
          <cell r="AY6187">
            <v>400</v>
          </cell>
          <cell r="BJ6187">
            <v>800</v>
          </cell>
        </row>
        <row r="6188">
          <cell r="B6188">
            <v>8975</v>
          </cell>
          <cell r="C6188" t="str">
            <v>EZ_149_</v>
          </cell>
          <cell r="D6188" t="str">
            <v>Rancho Estanzuela No. 149</v>
          </cell>
          <cell r="E6188" t="str">
            <v>Sala</v>
          </cell>
          <cell r="F6188">
            <v>300</v>
          </cell>
          <cell r="G6188">
            <v>1</v>
          </cell>
          <cell r="H6188">
            <v>4400</v>
          </cell>
          <cell r="I6188">
            <v>42057</v>
          </cell>
          <cell r="J6188">
            <v>0</v>
          </cell>
          <cell r="W6188">
            <v>0</v>
          </cell>
          <cell r="AJ6188">
            <v>0</v>
          </cell>
          <cell r="AW6188">
            <v>0</v>
          </cell>
          <cell r="AX6188">
            <v>400</v>
          </cell>
          <cell r="AY6188">
            <v>400</v>
          </cell>
          <cell r="AZ6188">
            <v>400</v>
          </cell>
          <cell r="BA6188">
            <v>400</v>
          </cell>
          <cell r="BB6188">
            <v>400</v>
          </cell>
          <cell r="BC6188">
            <v>400</v>
          </cell>
          <cell r="BD6188">
            <v>400</v>
          </cell>
          <cell r="BE6188">
            <v>400</v>
          </cell>
          <cell r="BF6188">
            <v>400</v>
          </cell>
          <cell r="BG6188">
            <v>400</v>
          </cell>
          <cell r="BH6188">
            <v>400</v>
          </cell>
          <cell r="BJ6188">
            <v>4400</v>
          </cell>
        </row>
        <row r="6189">
          <cell r="B6189">
            <v>8976</v>
          </cell>
          <cell r="C6189" t="str">
            <v>RM_10_A</v>
          </cell>
          <cell r="D6189" t="str">
            <v>Rancho Romeral No. 10, A</v>
          </cell>
          <cell r="E6189" t="str">
            <v>Casillas Álvarez</v>
          </cell>
          <cell r="F6189">
            <v>150</v>
          </cell>
          <cell r="G6189">
            <v>1</v>
          </cell>
          <cell r="H6189">
            <v>400</v>
          </cell>
          <cell r="I6189">
            <v>42057</v>
          </cell>
          <cell r="J6189">
            <v>0</v>
          </cell>
          <cell r="W6189">
            <v>0</v>
          </cell>
          <cell r="AJ6189">
            <v>0</v>
          </cell>
          <cell r="AW6189">
            <v>0</v>
          </cell>
          <cell r="AZ6189">
            <v>200</v>
          </cell>
          <cell r="BA6189">
            <v>200</v>
          </cell>
          <cell r="BJ6189">
            <v>400</v>
          </cell>
        </row>
        <row r="6190">
          <cell r="B6190">
            <v>8977</v>
          </cell>
          <cell r="C6190" t="str">
            <v>LD_91_</v>
          </cell>
          <cell r="D6190" t="str">
            <v>Rancho Landero No. 91</v>
          </cell>
          <cell r="E6190" t="str">
            <v>Llaca</v>
          </cell>
          <cell r="F6190">
            <v>300</v>
          </cell>
          <cell r="G6190">
            <v>1</v>
          </cell>
          <cell r="H6190">
            <v>400</v>
          </cell>
          <cell r="I6190">
            <v>42057</v>
          </cell>
          <cell r="J6190">
            <v>0</v>
          </cell>
          <cell r="W6190">
            <v>0</v>
          </cell>
          <cell r="AJ6190">
            <v>0</v>
          </cell>
          <cell r="AW6190">
            <v>0</v>
          </cell>
          <cell r="AY6190">
            <v>400</v>
          </cell>
          <cell r="BJ6190">
            <v>400</v>
          </cell>
        </row>
        <row r="6191">
          <cell r="B6191">
            <v>8978</v>
          </cell>
          <cell r="C6191" t="str">
            <v>ZB_8_</v>
          </cell>
          <cell r="D6191" t="str">
            <v>Rancho Zinamba No. 8</v>
          </cell>
          <cell r="E6191" t="str">
            <v>Florido</v>
          </cell>
          <cell r="F6191">
            <v>300</v>
          </cell>
          <cell r="G6191">
            <v>1</v>
          </cell>
          <cell r="H6191">
            <v>400</v>
          </cell>
          <cell r="I6191">
            <v>42057</v>
          </cell>
          <cell r="J6191">
            <v>0</v>
          </cell>
          <cell r="W6191">
            <v>0</v>
          </cell>
          <cell r="AJ6191">
            <v>0</v>
          </cell>
          <cell r="AV6191">
            <v>400</v>
          </cell>
          <cell r="AW6191">
            <v>400</v>
          </cell>
          <cell r="BJ6191">
            <v>0</v>
          </cell>
        </row>
        <row r="6192">
          <cell r="B6192">
            <v>8979</v>
          </cell>
          <cell r="C6192" t="str">
            <v>UP_116_</v>
          </cell>
          <cell r="D6192" t="str">
            <v>Rancho Upácuaro No. 116</v>
          </cell>
          <cell r="E6192" t="str">
            <v>García Zamudio</v>
          </cell>
          <cell r="F6192">
            <v>300</v>
          </cell>
          <cell r="G6192">
            <v>1</v>
          </cell>
          <cell r="H6192">
            <v>800</v>
          </cell>
          <cell r="I6192">
            <v>42057</v>
          </cell>
          <cell r="J6192">
            <v>0</v>
          </cell>
          <cell r="W6192">
            <v>0</v>
          </cell>
          <cell r="AJ6192">
            <v>0</v>
          </cell>
          <cell r="AW6192">
            <v>0</v>
          </cell>
          <cell r="AX6192">
            <v>400</v>
          </cell>
          <cell r="AY6192">
            <v>400</v>
          </cell>
          <cell r="BJ6192">
            <v>800</v>
          </cell>
        </row>
        <row r="6193">
          <cell r="B6193">
            <v>8980</v>
          </cell>
          <cell r="C6193" t="str">
            <v>ZB_34_</v>
          </cell>
          <cell r="D6193" t="str">
            <v>Rancho Zinamba No. 34</v>
          </cell>
          <cell r="E6193" t="str">
            <v>Torres Zavala</v>
          </cell>
          <cell r="F6193">
            <v>300</v>
          </cell>
          <cell r="G6193">
            <v>1</v>
          </cell>
          <cell r="H6193">
            <v>400</v>
          </cell>
          <cell r="I6193">
            <v>42057</v>
          </cell>
          <cell r="J6193">
            <v>0</v>
          </cell>
          <cell r="W6193">
            <v>0</v>
          </cell>
          <cell r="AJ6193">
            <v>0</v>
          </cell>
          <cell r="AW6193">
            <v>0</v>
          </cell>
          <cell r="AY6193">
            <v>400</v>
          </cell>
          <cell r="BJ6193">
            <v>400</v>
          </cell>
        </row>
        <row r="6194">
          <cell r="B6194">
            <v>8981</v>
          </cell>
          <cell r="C6194" t="str">
            <v>RV_179_</v>
          </cell>
          <cell r="D6194" t="str">
            <v>Rancho Recoveco No. 179</v>
          </cell>
          <cell r="E6194" t="str">
            <v>Flores Delgado</v>
          </cell>
          <cell r="F6194">
            <v>300</v>
          </cell>
          <cell r="G6194">
            <v>1</v>
          </cell>
          <cell r="H6194">
            <v>300</v>
          </cell>
          <cell r="I6194">
            <v>42057</v>
          </cell>
          <cell r="J6194">
            <v>0</v>
          </cell>
          <cell r="W6194">
            <v>0</v>
          </cell>
          <cell r="AJ6194">
            <v>0</v>
          </cell>
          <cell r="AW6194">
            <v>0</v>
          </cell>
          <cell r="AY6194">
            <v>300</v>
          </cell>
          <cell r="BJ6194">
            <v>300</v>
          </cell>
        </row>
        <row r="6195">
          <cell r="B6195">
            <v>8982</v>
          </cell>
          <cell r="C6195" t="str">
            <v>LD_14_</v>
          </cell>
          <cell r="D6195" t="str">
            <v>Rancho Landero No. 14</v>
          </cell>
          <cell r="E6195" t="str">
            <v xml:space="preserve">Castrejón  </v>
          </cell>
          <cell r="F6195">
            <v>300</v>
          </cell>
          <cell r="G6195">
            <v>1</v>
          </cell>
          <cell r="H6195">
            <v>800</v>
          </cell>
          <cell r="I6195">
            <v>42057</v>
          </cell>
          <cell r="J6195">
            <v>0</v>
          </cell>
          <cell r="W6195">
            <v>0</v>
          </cell>
          <cell r="AJ6195">
            <v>0</v>
          </cell>
          <cell r="AW6195">
            <v>0</v>
          </cell>
          <cell r="AZ6195">
            <v>400</v>
          </cell>
          <cell r="BA6195">
            <v>400</v>
          </cell>
          <cell r="BJ6195">
            <v>800</v>
          </cell>
        </row>
        <row r="6196">
          <cell r="B6196">
            <v>8983</v>
          </cell>
          <cell r="C6196" t="str">
            <v>CL_20_</v>
          </cell>
          <cell r="D6196" t="str">
            <v>Rancho La Cuchilla No. 20</v>
          </cell>
          <cell r="E6196" t="str">
            <v>Sánchez López</v>
          </cell>
          <cell r="F6196">
            <v>300</v>
          </cell>
          <cell r="G6196">
            <v>1</v>
          </cell>
          <cell r="H6196">
            <v>800</v>
          </cell>
          <cell r="I6196">
            <v>42057</v>
          </cell>
          <cell r="J6196">
            <v>0</v>
          </cell>
          <cell r="W6196">
            <v>0</v>
          </cell>
          <cell r="AJ6196">
            <v>0</v>
          </cell>
          <cell r="AW6196">
            <v>0</v>
          </cell>
          <cell r="AZ6196">
            <v>400</v>
          </cell>
          <cell r="BA6196">
            <v>400</v>
          </cell>
          <cell r="BJ6196">
            <v>800</v>
          </cell>
        </row>
        <row r="6197">
          <cell r="B6197">
            <v>8984</v>
          </cell>
          <cell r="C6197" t="str">
            <v>CL_92_</v>
          </cell>
          <cell r="D6197" t="str">
            <v>Rancho La Cuchilla No. 92</v>
          </cell>
          <cell r="E6197" t="str">
            <v>Cabrera</v>
          </cell>
          <cell r="F6197">
            <v>300</v>
          </cell>
          <cell r="G6197">
            <v>1</v>
          </cell>
          <cell r="H6197">
            <v>400</v>
          </cell>
          <cell r="I6197">
            <v>42057</v>
          </cell>
          <cell r="J6197">
            <v>0</v>
          </cell>
          <cell r="W6197">
            <v>0</v>
          </cell>
          <cell r="AJ6197">
            <v>0</v>
          </cell>
          <cell r="AW6197">
            <v>0</v>
          </cell>
          <cell r="AY6197">
            <v>400</v>
          </cell>
          <cell r="BJ6197">
            <v>400</v>
          </cell>
        </row>
        <row r="6198">
          <cell r="B6198">
            <v>8985</v>
          </cell>
          <cell r="C6198" t="str">
            <v>LD_51_</v>
          </cell>
          <cell r="D6198" t="str">
            <v>Rancho Landero No. 51</v>
          </cell>
          <cell r="E6198" t="str">
            <v>H. Robles Tamayo</v>
          </cell>
          <cell r="F6198">
            <v>300</v>
          </cell>
          <cell r="G6198">
            <v>1</v>
          </cell>
          <cell r="H6198">
            <v>400</v>
          </cell>
          <cell r="I6198">
            <v>42057</v>
          </cell>
          <cell r="J6198">
            <v>0</v>
          </cell>
          <cell r="W6198">
            <v>0</v>
          </cell>
          <cell r="AJ6198">
            <v>0</v>
          </cell>
          <cell r="AW6198">
            <v>0</v>
          </cell>
          <cell r="AY6198">
            <v>400</v>
          </cell>
          <cell r="BJ6198">
            <v>400</v>
          </cell>
        </row>
        <row r="6199">
          <cell r="B6199">
            <v>8986</v>
          </cell>
          <cell r="C6199" t="str">
            <v>EZ_69_</v>
          </cell>
          <cell r="D6199" t="str">
            <v>Rancho Estanzuela No. 69</v>
          </cell>
          <cell r="E6199" t="str">
            <v>Apaez</v>
          </cell>
          <cell r="F6199">
            <v>300</v>
          </cell>
          <cell r="G6199">
            <v>1</v>
          </cell>
          <cell r="H6199">
            <v>400</v>
          </cell>
          <cell r="I6199">
            <v>42057</v>
          </cell>
          <cell r="J6199">
            <v>0</v>
          </cell>
          <cell r="W6199">
            <v>0</v>
          </cell>
          <cell r="AJ6199">
            <v>0</v>
          </cell>
          <cell r="AW6199">
            <v>0</v>
          </cell>
          <cell r="AY6199">
            <v>400</v>
          </cell>
          <cell r="BJ6199">
            <v>400</v>
          </cell>
        </row>
        <row r="6200">
          <cell r="B6200">
            <v>8987</v>
          </cell>
          <cell r="C6200" t="str">
            <v>CL_145_</v>
          </cell>
          <cell r="D6200" t="str">
            <v>Rancho La Cuchilla No. 145</v>
          </cell>
          <cell r="E6200" t="str">
            <v>Arámburu C.</v>
          </cell>
          <cell r="F6200">
            <v>300</v>
          </cell>
          <cell r="G6200">
            <v>1</v>
          </cell>
          <cell r="H6200">
            <v>4400</v>
          </cell>
          <cell r="I6200">
            <v>42057</v>
          </cell>
          <cell r="J6200">
            <v>0</v>
          </cell>
          <cell r="W6200">
            <v>0</v>
          </cell>
          <cell r="AJ6200">
            <v>0</v>
          </cell>
          <cell r="AW6200">
            <v>0</v>
          </cell>
          <cell r="AX6200">
            <v>400</v>
          </cell>
          <cell r="AY6200">
            <v>400</v>
          </cell>
          <cell r="AZ6200">
            <v>400</v>
          </cell>
          <cell r="BA6200">
            <v>400</v>
          </cell>
          <cell r="BB6200">
            <v>400</v>
          </cell>
          <cell r="BC6200">
            <v>400</v>
          </cell>
          <cell r="BD6200">
            <v>400</v>
          </cell>
          <cell r="BE6200">
            <v>400</v>
          </cell>
          <cell r="BF6200">
            <v>400</v>
          </cell>
          <cell r="BG6200">
            <v>400</v>
          </cell>
          <cell r="BH6200">
            <v>400</v>
          </cell>
          <cell r="BJ6200">
            <v>4400</v>
          </cell>
        </row>
        <row r="6201">
          <cell r="B6201">
            <v>8988</v>
          </cell>
          <cell r="C6201" t="str">
            <v>CL_129_</v>
          </cell>
          <cell r="D6201" t="str">
            <v>Rancho La Cuchilla No. 129</v>
          </cell>
          <cell r="E6201" t="str">
            <v>Gamboa Rueda</v>
          </cell>
          <cell r="F6201">
            <v>200</v>
          </cell>
          <cell r="G6201">
            <v>1</v>
          </cell>
          <cell r="H6201">
            <v>300</v>
          </cell>
          <cell r="I6201">
            <v>42057</v>
          </cell>
          <cell r="J6201">
            <v>0</v>
          </cell>
          <cell r="W6201">
            <v>0</v>
          </cell>
          <cell r="AJ6201">
            <v>0</v>
          </cell>
          <cell r="AW6201">
            <v>0</v>
          </cell>
          <cell r="AY6201">
            <v>300</v>
          </cell>
          <cell r="BJ6201">
            <v>300</v>
          </cell>
        </row>
        <row r="6202">
          <cell r="B6202">
            <v>8989</v>
          </cell>
          <cell r="C6202" t="str">
            <v>ZB_42_</v>
          </cell>
          <cell r="D6202" t="str">
            <v>Rancho Zinamba No. 42</v>
          </cell>
          <cell r="E6202" t="str">
            <v>López Aldave</v>
          </cell>
          <cell r="F6202">
            <v>250</v>
          </cell>
          <cell r="G6202">
            <v>1</v>
          </cell>
          <cell r="H6202">
            <v>600</v>
          </cell>
          <cell r="I6202">
            <v>42057</v>
          </cell>
          <cell r="J6202">
            <v>0</v>
          </cell>
          <cell r="W6202">
            <v>0</v>
          </cell>
          <cell r="AJ6202">
            <v>0</v>
          </cell>
          <cell r="AW6202">
            <v>0</v>
          </cell>
          <cell r="AX6202">
            <v>300</v>
          </cell>
          <cell r="AY6202">
            <v>300</v>
          </cell>
          <cell r="BJ6202">
            <v>600</v>
          </cell>
        </row>
        <row r="6203">
          <cell r="B6203">
            <v>8990</v>
          </cell>
          <cell r="C6203" t="str">
            <v>LD_88_</v>
          </cell>
          <cell r="D6203" t="str">
            <v>Rancho Landero No. 88</v>
          </cell>
          <cell r="E6203" t="str">
            <v>Torres Raúl</v>
          </cell>
          <cell r="F6203">
            <v>300</v>
          </cell>
          <cell r="G6203">
            <v>1</v>
          </cell>
          <cell r="H6203">
            <v>800</v>
          </cell>
          <cell r="I6203">
            <v>42057</v>
          </cell>
          <cell r="J6203">
            <v>0</v>
          </cell>
          <cell r="W6203">
            <v>0</v>
          </cell>
          <cell r="AJ6203">
            <v>0</v>
          </cell>
          <cell r="AW6203">
            <v>0</v>
          </cell>
          <cell r="AX6203">
            <v>400</v>
          </cell>
          <cell r="AY6203">
            <v>400</v>
          </cell>
          <cell r="BJ6203">
            <v>800</v>
          </cell>
        </row>
        <row r="6204">
          <cell r="B6204">
            <v>8991</v>
          </cell>
          <cell r="C6204" t="str">
            <v>LD_80_</v>
          </cell>
          <cell r="D6204" t="str">
            <v>Rancho Landero No. 80</v>
          </cell>
          <cell r="E6204" t="str">
            <v>Villaseñor Sánchez</v>
          </cell>
          <cell r="F6204">
            <v>300</v>
          </cell>
          <cell r="G6204">
            <v>1</v>
          </cell>
          <cell r="H6204">
            <v>800</v>
          </cell>
          <cell r="I6204">
            <v>42057</v>
          </cell>
          <cell r="J6204">
            <v>0</v>
          </cell>
          <cell r="W6204">
            <v>0</v>
          </cell>
          <cell r="AJ6204">
            <v>0</v>
          </cell>
          <cell r="AW6204">
            <v>0</v>
          </cell>
          <cell r="AY6204">
            <v>400</v>
          </cell>
          <cell r="AZ6204">
            <v>400</v>
          </cell>
          <cell r="BJ6204">
            <v>800</v>
          </cell>
        </row>
        <row r="6205">
          <cell r="B6205">
            <v>8992</v>
          </cell>
          <cell r="C6205" t="str">
            <v>EZ_143_B</v>
          </cell>
          <cell r="D6205" t="str">
            <v>Rancho Estanzuela No. 143, B</v>
          </cell>
          <cell r="E6205" t="str">
            <v>López</v>
          </cell>
          <cell r="F6205">
            <v>300</v>
          </cell>
          <cell r="G6205">
            <v>3</v>
          </cell>
          <cell r="H6205">
            <v>160</v>
          </cell>
          <cell r="I6205">
            <v>42057</v>
          </cell>
          <cell r="J6205" t="str">
            <v>NO SUMA</v>
          </cell>
          <cell r="W6205">
            <v>0</v>
          </cell>
          <cell r="AJ6205">
            <v>0</v>
          </cell>
          <cell r="AW6205">
            <v>0</v>
          </cell>
          <cell r="BJ6205">
            <v>0</v>
          </cell>
        </row>
        <row r="6206">
          <cell r="B6206">
            <v>8993</v>
          </cell>
          <cell r="C6206" t="str">
            <v>UP_73_A</v>
          </cell>
          <cell r="D6206" t="str">
            <v>Rancho Upácuaro No. 73, A</v>
          </cell>
          <cell r="E6206" t="str">
            <v>Ortega</v>
          </cell>
          <cell r="F6206">
            <v>150</v>
          </cell>
          <cell r="G6206">
            <v>1</v>
          </cell>
          <cell r="H6206">
            <v>200</v>
          </cell>
          <cell r="I6206">
            <v>42057</v>
          </cell>
          <cell r="J6206">
            <v>0</v>
          </cell>
          <cell r="W6206">
            <v>0</v>
          </cell>
          <cell r="AJ6206">
            <v>0</v>
          </cell>
          <cell r="AW6206">
            <v>0</v>
          </cell>
          <cell r="AX6206">
            <v>200</v>
          </cell>
          <cell r="BJ6206">
            <v>200</v>
          </cell>
        </row>
        <row r="6207">
          <cell r="B6207">
            <v>8994</v>
          </cell>
          <cell r="C6207" t="str">
            <v>CL_115_</v>
          </cell>
          <cell r="D6207" t="str">
            <v>Rancho La Cuchilla No. 115</v>
          </cell>
          <cell r="E6207" t="str">
            <v>Alfaro</v>
          </cell>
          <cell r="F6207">
            <v>300</v>
          </cell>
          <cell r="G6207">
            <v>3</v>
          </cell>
          <cell r="H6207">
            <v>320</v>
          </cell>
          <cell r="I6207">
            <v>42057</v>
          </cell>
          <cell r="J6207" t="str">
            <v>NO SUMA</v>
          </cell>
          <cell r="W6207">
            <v>0</v>
          </cell>
          <cell r="AJ6207">
            <v>0</v>
          </cell>
          <cell r="AW6207">
            <v>0</v>
          </cell>
          <cell r="BJ6207">
            <v>0</v>
          </cell>
        </row>
        <row r="6208">
          <cell r="B6208">
            <v>8995</v>
          </cell>
          <cell r="C6208" t="str">
            <v>LD_94_</v>
          </cell>
          <cell r="D6208" t="str">
            <v>Rancho Landero No. 94</v>
          </cell>
          <cell r="E6208" t="str">
            <v>Medina</v>
          </cell>
          <cell r="F6208">
            <v>150</v>
          </cell>
          <cell r="G6208">
            <v>1</v>
          </cell>
          <cell r="H6208">
            <v>300</v>
          </cell>
          <cell r="I6208">
            <v>42057</v>
          </cell>
          <cell r="J6208">
            <v>0</v>
          </cell>
          <cell r="W6208">
            <v>0</v>
          </cell>
          <cell r="AJ6208">
            <v>0</v>
          </cell>
          <cell r="AW6208">
            <v>0</v>
          </cell>
          <cell r="AX6208">
            <v>150</v>
          </cell>
          <cell r="AY6208">
            <v>150</v>
          </cell>
          <cell r="BJ6208">
            <v>300</v>
          </cell>
        </row>
        <row r="6209">
          <cell r="B6209">
            <v>8996</v>
          </cell>
          <cell r="C6209" t="str">
            <v>CL_71_</v>
          </cell>
          <cell r="D6209" t="str">
            <v>Rancho La Cuchilla No. 71</v>
          </cell>
          <cell r="E6209" t="str">
            <v>Pulido</v>
          </cell>
          <cell r="F6209">
            <v>300</v>
          </cell>
          <cell r="G6209">
            <v>1</v>
          </cell>
          <cell r="H6209">
            <v>1050</v>
          </cell>
          <cell r="I6209">
            <v>42057</v>
          </cell>
          <cell r="J6209">
            <v>0</v>
          </cell>
          <cell r="W6209">
            <v>0</v>
          </cell>
          <cell r="AJ6209">
            <v>0</v>
          </cell>
          <cell r="AU6209">
            <v>350</v>
          </cell>
          <cell r="AV6209">
            <v>350</v>
          </cell>
          <cell r="AW6209">
            <v>700</v>
          </cell>
          <cell r="AX6209">
            <v>350</v>
          </cell>
          <cell r="BJ6209">
            <v>350</v>
          </cell>
        </row>
        <row r="6210">
          <cell r="B6210">
            <v>8997</v>
          </cell>
          <cell r="D6210" t="str">
            <v/>
          </cell>
          <cell r="E6210" t="str">
            <v/>
          </cell>
          <cell r="F6210" t="str">
            <v/>
          </cell>
          <cell r="G6210">
            <v>8</v>
          </cell>
          <cell r="J6210" t="str">
            <v>NO SUMA</v>
          </cell>
          <cell r="W6210">
            <v>0</v>
          </cell>
          <cell r="AJ6210">
            <v>0</v>
          </cell>
          <cell r="AW6210">
            <v>0</v>
          </cell>
          <cell r="BJ6210">
            <v>0</v>
          </cell>
        </row>
        <row r="6211">
          <cell r="B6211">
            <v>8998</v>
          </cell>
          <cell r="C6211" t="str">
            <v>RV_195_</v>
          </cell>
          <cell r="D6211" t="str">
            <v>Rancho Recoveco No. 195</v>
          </cell>
          <cell r="E6211" t="str">
            <v>Sandoval</v>
          </cell>
          <cell r="F6211">
            <v>300</v>
          </cell>
          <cell r="G6211">
            <v>1</v>
          </cell>
          <cell r="H6211">
            <v>400</v>
          </cell>
          <cell r="I6211">
            <v>42057</v>
          </cell>
          <cell r="J6211">
            <v>0</v>
          </cell>
          <cell r="W6211">
            <v>0</v>
          </cell>
          <cell r="AJ6211">
            <v>0</v>
          </cell>
          <cell r="AW6211">
            <v>0</v>
          </cell>
          <cell r="AY6211">
            <v>400</v>
          </cell>
          <cell r="BJ6211">
            <v>400</v>
          </cell>
        </row>
        <row r="6212">
          <cell r="B6212">
            <v>8999</v>
          </cell>
          <cell r="C6212" t="str">
            <v>UP_14_</v>
          </cell>
          <cell r="D6212" t="str">
            <v>Rancho Upácuaro No. 14</v>
          </cell>
          <cell r="E6212" t="str">
            <v>Castillo Hernández</v>
          </cell>
          <cell r="F6212">
            <v>300</v>
          </cell>
          <cell r="G6212">
            <v>1</v>
          </cell>
          <cell r="H6212">
            <v>800</v>
          </cell>
          <cell r="I6212">
            <v>42057</v>
          </cell>
          <cell r="J6212">
            <v>0</v>
          </cell>
          <cell r="W6212">
            <v>0</v>
          </cell>
          <cell r="AJ6212">
            <v>0</v>
          </cell>
          <cell r="AW6212">
            <v>0</v>
          </cell>
          <cell r="AY6212">
            <v>400</v>
          </cell>
          <cell r="AZ6212">
            <v>400</v>
          </cell>
          <cell r="BJ6212">
            <v>800</v>
          </cell>
        </row>
        <row r="6213">
          <cell r="B6213">
            <v>9000</v>
          </cell>
          <cell r="C6213" t="str">
            <v>CL_77_</v>
          </cell>
          <cell r="D6213" t="str">
            <v>Rancho La Cuchilla No. 77</v>
          </cell>
          <cell r="E6213" t="str">
            <v>Loperena</v>
          </cell>
          <cell r="F6213">
            <v>300</v>
          </cell>
          <cell r="G6213">
            <v>1</v>
          </cell>
          <cell r="H6213">
            <v>600</v>
          </cell>
          <cell r="I6213">
            <v>42057</v>
          </cell>
          <cell r="J6213">
            <v>0</v>
          </cell>
          <cell r="W6213">
            <v>0</v>
          </cell>
          <cell r="AJ6213">
            <v>0</v>
          </cell>
          <cell r="AW6213">
            <v>0</v>
          </cell>
          <cell r="AX6213">
            <v>300</v>
          </cell>
          <cell r="AY6213">
            <v>300</v>
          </cell>
          <cell r="BJ6213">
            <v>600</v>
          </cell>
        </row>
        <row r="6214">
          <cell r="B6214">
            <v>9001</v>
          </cell>
          <cell r="C6214" t="str">
            <v>UP_87_</v>
          </cell>
          <cell r="D6214" t="str">
            <v>Rancho Upácuaro No. 87</v>
          </cell>
          <cell r="E6214" t="str">
            <v>Rodríguez Parés</v>
          </cell>
          <cell r="F6214">
            <v>300</v>
          </cell>
          <cell r="G6214">
            <v>1</v>
          </cell>
          <cell r="H6214">
            <v>400</v>
          </cell>
          <cell r="I6214">
            <v>42057</v>
          </cell>
          <cell r="J6214">
            <v>0</v>
          </cell>
          <cell r="W6214">
            <v>0</v>
          </cell>
          <cell r="AJ6214">
            <v>0</v>
          </cell>
          <cell r="AW6214">
            <v>0</v>
          </cell>
          <cell r="AY6214">
            <v>400</v>
          </cell>
          <cell r="BJ6214">
            <v>400</v>
          </cell>
        </row>
        <row r="6215">
          <cell r="B6215">
            <v>9153</v>
          </cell>
          <cell r="C6215" t="str">
            <v>CL_29_</v>
          </cell>
          <cell r="D6215" t="str">
            <v>Rancho La Cuchilla No. 29</v>
          </cell>
          <cell r="E6215" t="str">
            <v>Vega Sánchez C.</v>
          </cell>
          <cell r="F6215">
            <v>300</v>
          </cell>
          <cell r="G6215">
            <v>1</v>
          </cell>
          <cell r="H6215">
            <v>400</v>
          </cell>
          <cell r="I6215">
            <v>42044</v>
          </cell>
          <cell r="J6215">
            <v>0</v>
          </cell>
          <cell r="W6215">
            <v>0</v>
          </cell>
          <cell r="AJ6215">
            <v>0</v>
          </cell>
          <cell r="AW6215">
            <v>0</v>
          </cell>
          <cell r="AX6215">
            <v>400</v>
          </cell>
          <cell r="BJ6215">
            <v>400</v>
          </cell>
        </row>
        <row r="6216">
          <cell r="B6216" t="str">
            <v>NÚMERO</v>
          </cell>
          <cell r="C6216" t="str">
            <v>CASA</v>
          </cell>
          <cell r="D6216" t="str">
            <v>DOMICILIO</v>
          </cell>
          <cell r="E6216" t="str">
            <v>FAMILIA</v>
          </cell>
          <cell r="F6216" t="str">
            <v>CUOTA</v>
          </cell>
          <cell r="G6216" t="str">
            <v>C_ING</v>
          </cell>
          <cell r="H6216" t="str">
            <v>IMPORTE</v>
          </cell>
          <cell r="I6216" t="str">
            <v>FECHA</v>
          </cell>
          <cell r="J6216" t="str">
            <v>CHK</v>
          </cell>
          <cell r="K6216" t="str">
            <v>ENE
2012</v>
          </cell>
          <cell r="L6216" t="str">
            <v>FEB
2012</v>
          </cell>
          <cell r="M6216" t="str">
            <v>MAR
2012</v>
          </cell>
          <cell r="N6216" t="str">
            <v>ABR
2012</v>
          </cell>
          <cell r="O6216" t="str">
            <v>MAY
2012</v>
          </cell>
          <cell r="P6216" t="str">
            <v>JUN
2012</v>
          </cell>
          <cell r="Q6216" t="str">
            <v>JUL
2012</v>
          </cell>
          <cell r="R6216" t="str">
            <v>AGO
2012</v>
          </cell>
          <cell r="S6216" t="str">
            <v>SEP
2012</v>
          </cell>
          <cell r="T6216" t="str">
            <v>OCT
2012</v>
          </cell>
          <cell r="U6216" t="str">
            <v>NOV
2012</v>
          </cell>
          <cell r="V6216" t="str">
            <v>DIC
2012</v>
          </cell>
          <cell r="W6216" t="str">
            <v>SUMA
2012</v>
          </cell>
          <cell r="X6216" t="str">
            <v>ENE
2013</v>
          </cell>
          <cell r="Y6216" t="str">
            <v>FEB
2013</v>
          </cell>
          <cell r="Z6216" t="str">
            <v>MAR
2013</v>
          </cell>
          <cell r="AA6216" t="str">
            <v>ABR
2013</v>
          </cell>
          <cell r="AB6216" t="str">
            <v>MAY
2013</v>
          </cell>
          <cell r="AC6216" t="str">
            <v>JUN
2013</v>
          </cell>
          <cell r="AD6216" t="str">
            <v>JUL
2013</v>
          </cell>
          <cell r="AE6216" t="str">
            <v>AGO
2013</v>
          </cell>
          <cell r="AF6216" t="str">
            <v>SEP
2013</v>
          </cell>
          <cell r="AG6216" t="str">
            <v>OCT
2013</v>
          </cell>
          <cell r="AH6216" t="str">
            <v>NOV
2013</v>
          </cell>
          <cell r="AI6216" t="str">
            <v>DIC
2013</v>
          </cell>
          <cell r="AJ6216" t="str">
            <v>SUMA
2013</v>
          </cell>
          <cell r="AK6216" t="str">
            <v>ENE
2014</v>
          </cell>
          <cell r="AL6216" t="str">
            <v>FEB
2014</v>
          </cell>
          <cell r="AM6216" t="str">
            <v>MAR
2014</v>
          </cell>
          <cell r="AN6216" t="str">
            <v>ABR
2014</v>
          </cell>
          <cell r="AO6216" t="str">
            <v>MAY
2014</v>
          </cell>
          <cell r="AP6216" t="str">
            <v>JUN
2014</v>
          </cell>
          <cell r="AQ6216" t="str">
            <v>JUL
2014</v>
          </cell>
          <cell r="AR6216" t="str">
            <v>AGO
2014</v>
          </cell>
          <cell r="AS6216" t="str">
            <v>SEP
2014</v>
          </cell>
          <cell r="AT6216" t="str">
            <v>OCT
2014</v>
          </cell>
          <cell r="AU6216" t="str">
            <v>NOV
2014</v>
          </cell>
          <cell r="AV6216" t="str">
            <v>DIC
2014</v>
          </cell>
          <cell r="AW6216" t="str">
            <v>SUMA
2014</v>
          </cell>
          <cell r="AX6216" t="str">
            <v>ENE
2015</v>
          </cell>
          <cell r="AY6216" t="str">
            <v>FEB
2015</v>
          </cell>
          <cell r="AZ6216" t="str">
            <v>MAR
2015</v>
          </cell>
          <cell r="BA6216" t="str">
            <v>ABR
2015</v>
          </cell>
          <cell r="BB6216" t="str">
            <v>MAY
2015</v>
          </cell>
          <cell r="BC6216" t="str">
            <v>JUN
2015</v>
          </cell>
          <cell r="BD6216" t="str">
            <v>JUL
2015</v>
          </cell>
          <cell r="BE6216" t="str">
            <v>AGO
2015</v>
          </cell>
          <cell r="BF6216" t="str">
            <v>SEP
2015</v>
          </cell>
          <cell r="BG6216" t="str">
            <v>OCT
2015</v>
          </cell>
          <cell r="BH6216" t="str">
            <v>NOV
2015</v>
          </cell>
          <cell r="BI6216" t="str">
            <v>DIC
2015</v>
          </cell>
          <cell r="BJ6216" t="str">
            <v>SUMA
2015</v>
          </cell>
        </row>
        <row r="6217">
          <cell r="B6217">
            <v>9002</v>
          </cell>
          <cell r="C6217" t="str">
            <v>UP_5_B</v>
          </cell>
          <cell r="D6217" t="str">
            <v>Rancho Upácuaro No. 5, B</v>
          </cell>
          <cell r="E6217" t="str">
            <v>Cervantes</v>
          </cell>
          <cell r="F6217">
            <v>300</v>
          </cell>
          <cell r="G6217">
            <v>1</v>
          </cell>
          <cell r="H6217">
            <v>400</v>
          </cell>
          <cell r="I6217">
            <v>42058</v>
          </cell>
          <cell r="J6217">
            <v>0</v>
          </cell>
          <cell r="W6217">
            <v>0</v>
          </cell>
          <cell r="AJ6217">
            <v>0</v>
          </cell>
          <cell r="AW6217">
            <v>0</v>
          </cell>
          <cell r="AY6217">
            <v>400</v>
          </cell>
          <cell r="BJ6217">
            <v>400</v>
          </cell>
        </row>
        <row r="6218">
          <cell r="B6218">
            <v>9003</v>
          </cell>
          <cell r="C6218" t="str">
            <v>UP_100_</v>
          </cell>
          <cell r="D6218" t="str">
            <v>Rancho Upácuaro No. 100</v>
          </cell>
          <cell r="E6218" t="str">
            <v>Mancera Rodríguez</v>
          </cell>
          <cell r="F6218">
            <v>300</v>
          </cell>
          <cell r="G6218">
            <v>1</v>
          </cell>
          <cell r="H6218">
            <v>400</v>
          </cell>
          <cell r="I6218">
            <v>42058</v>
          </cell>
          <cell r="J6218">
            <v>0</v>
          </cell>
          <cell r="W6218">
            <v>0</v>
          </cell>
          <cell r="AJ6218">
            <v>0</v>
          </cell>
          <cell r="AW6218">
            <v>0</v>
          </cell>
          <cell r="AY6218">
            <v>400</v>
          </cell>
          <cell r="BJ6218">
            <v>400</v>
          </cell>
        </row>
        <row r="6219">
          <cell r="B6219">
            <v>9004</v>
          </cell>
          <cell r="C6219" t="str">
            <v>CL_93_</v>
          </cell>
          <cell r="D6219" t="str">
            <v>Rancho La Cuchilla No. 93</v>
          </cell>
          <cell r="E6219" t="str">
            <v>Alcántara Silva</v>
          </cell>
          <cell r="F6219">
            <v>300</v>
          </cell>
          <cell r="G6219">
            <v>1</v>
          </cell>
          <cell r="H6219">
            <v>400</v>
          </cell>
          <cell r="I6219">
            <v>42058</v>
          </cell>
          <cell r="J6219">
            <v>0</v>
          </cell>
          <cell r="W6219">
            <v>0</v>
          </cell>
          <cell r="AJ6219">
            <v>0</v>
          </cell>
          <cell r="AW6219">
            <v>0</v>
          </cell>
          <cell r="AZ6219">
            <v>400</v>
          </cell>
          <cell r="BJ6219">
            <v>400</v>
          </cell>
        </row>
        <row r="6220">
          <cell r="B6220">
            <v>9005</v>
          </cell>
          <cell r="C6220" t="str">
            <v>UP_101_</v>
          </cell>
          <cell r="D6220" t="str">
            <v>Rancho Upácuaro No. 101</v>
          </cell>
          <cell r="E6220" t="str">
            <v>Chávez, Arturo</v>
          </cell>
          <cell r="F6220">
            <v>300</v>
          </cell>
          <cell r="G6220">
            <v>1</v>
          </cell>
          <cell r="H6220">
            <v>400</v>
          </cell>
          <cell r="I6220">
            <v>42058</v>
          </cell>
          <cell r="J6220">
            <v>0</v>
          </cell>
          <cell r="W6220">
            <v>0</v>
          </cell>
          <cell r="AJ6220">
            <v>0</v>
          </cell>
          <cell r="AW6220">
            <v>0</v>
          </cell>
          <cell r="AZ6220">
            <v>400</v>
          </cell>
          <cell r="BJ6220">
            <v>400</v>
          </cell>
        </row>
        <row r="6221">
          <cell r="B6221">
            <v>9006</v>
          </cell>
          <cell r="C6221" t="str">
            <v>UP_33_</v>
          </cell>
          <cell r="D6221" t="str">
            <v>Rancho Upácuaro No. 33</v>
          </cell>
          <cell r="E6221" t="str">
            <v>Ulloa Miranda</v>
          </cell>
          <cell r="F6221">
            <v>300</v>
          </cell>
          <cell r="G6221">
            <v>1</v>
          </cell>
          <cell r="H6221">
            <v>400</v>
          </cell>
          <cell r="I6221">
            <v>42058</v>
          </cell>
          <cell r="J6221">
            <v>0</v>
          </cell>
          <cell r="W6221">
            <v>0</v>
          </cell>
          <cell r="AJ6221">
            <v>0</v>
          </cell>
          <cell r="AW6221">
            <v>0</v>
          </cell>
          <cell r="AZ6221">
            <v>400</v>
          </cell>
          <cell r="BJ6221">
            <v>400</v>
          </cell>
        </row>
        <row r="6222">
          <cell r="B6222">
            <v>9007</v>
          </cell>
          <cell r="C6222" t="str">
            <v>CL_112_PA</v>
          </cell>
          <cell r="D6222" t="str">
            <v>Rancho La Cuchilla No. 112, PA</v>
          </cell>
          <cell r="E6222" t="str">
            <v>Villalpando Pineda</v>
          </cell>
          <cell r="F6222">
            <v>150</v>
          </cell>
          <cell r="G6222">
            <v>1</v>
          </cell>
          <cell r="H6222">
            <v>200</v>
          </cell>
          <cell r="I6222">
            <v>42064</v>
          </cell>
          <cell r="J6222">
            <v>0</v>
          </cell>
          <cell r="W6222">
            <v>0</v>
          </cell>
          <cell r="AJ6222">
            <v>0</v>
          </cell>
          <cell r="AW6222">
            <v>0</v>
          </cell>
          <cell r="AX6222">
            <v>200</v>
          </cell>
          <cell r="BJ6222">
            <v>200</v>
          </cell>
        </row>
        <row r="6223">
          <cell r="B6223">
            <v>9008</v>
          </cell>
          <cell r="C6223" t="str">
            <v>CL_46_</v>
          </cell>
          <cell r="D6223" t="str">
            <v>Rancho La Cuchilla No. 46</v>
          </cell>
          <cell r="E6223" t="str">
            <v>Cruz López</v>
          </cell>
          <cell r="F6223">
            <v>300</v>
          </cell>
          <cell r="G6223">
            <v>1</v>
          </cell>
          <cell r="H6223">
            <v>400</v>
          </cell>
          <cell r="I6223">
            <v>42064</v>
          </cell>
          <cell r="J6223">
            <v>0</v>
          </cell>
          <cell r="W6223">
            <v>0</v>
          </cell>
          <cell r="AJ6223">
            <v>0</v>
          </cell>
          <cell r="AW6223">
            <v>0</v>
          </cell>
          <cell r="AZ6223">
            <v>400</v>
          </cell>
          <cell r="BJ6223">
            <v>400</v>
          </cell>
        </row>
        <row r="6224">
          <cell r="B6224">
            <v>9009</v>
          </cell>
          <cell r="C6224" t="str">
            <v>EZ_31_</v>
          </cell>
          <cell r="D6224" t="str">
            <v>Rancho Estanzuela No. 31</v>
          </cell>
          <cell r="E6224" t="str">
            <v>Chávez Valdés</v>
          </cell>
          <cell r="F6224">
            <v>300</v>
          </cell>
          <cell r="G6224">
            <v>3</v>
          </cell>
          <cell r="H6224">
            <v>160</v>
          </cell>
          <cell r="I6224">
            <v>42064</v>
          </cell>
          <cell r="J6224" t="str">
            <v>NO SUMA</v>
          </cell>
          <cell r="W6224">
            <v>0</v>
          </cell>
          <cell r="AJ6224">
            <v>0</v>
          </cell>
          <cell r="AW6224">
            <v>0</v>
          </cell>
          <cell r="BJ6224">
            <v>0</v>
          </cell>
        </row>
        <row r="6225">
          <cell r="B6225">
            <v>9010</v>
          </cell>
          <cell r="C6225" t="str">
            <v>EZ_49_</v>
          </cell>
          <cell r="D6225" t="str">
            <v>Rancho Estanzuela No. 49</v>
          </cell>
          <cell r="E6225" t="str">
            <v>Sánchez Zamora</v>
          </cell>
          <cell r="F6225">
            <v>300</v>
          </cell>
          <cell r="G6225">
            <v>1</v>
          </cell>
          <cell r="H6225">
            <v>400</v>
          </cell>
          <cell r="I6225">
            <v>42064</v>
          </cell>
          <cell r="J6225">
            <v>0</v>
          </cell>
          <cell r="W6225">
            <v>0</v>
          </cell>
          <cell r="AJ6225">
            <v>0</v>
          </cell>
          <cell r="AU6225">
            <v>200</v>
          </cell>
          <cell r="AV6225">
            <v>200</v>
          </cell>
          <cell r="AW6225">
            <v>400</v>
          </cell>
          <cell r="BJ6225">
            <v>0</v>
          </cell>
        </row>
        <row r="6226">
          <cell r="B6226">
            <v>9011</v>
          </cell>
          <cell r="C6226" t="str">
            <v>CL_139_</v>
          </cell>
          <cell r="D6226" t="str">
            <v>Rancho La Cuchilla No. 139</v>
          </cell>
          <cell r="E6226" t="str">
            <v>Garcia</v>
          </cell>
          <cell r="F6226">
            <v>200</v>
          </cell>
          <cell r="G6226">
            <v>1</v>
          </cell>
          <cell r="H6226">
            <v>200</v>
          </cell>
          <cell r="I6226">
            <v>42064</v>
          </cell>
          <cell r="J6226">
            <v>0</v>
          </cell>
          <cell r="W6226">
            <v>0</v>
          </cell>
          <cell r="AJ6226">
            <v>0</v>
          </cell>
          <cell r="AW6226">
            <v>0</v>
          </cell>
          <cell r="AZ6226">
            <v>200</v>
          </cell>
          <cell r="BJ6226">
            <v>200</v>
          </cell>
        </row>
        <row r="6227">
          <cell r="B6227">
            <v>9012</v>
          </cell>
          <cell r="C6227" t="str">
            <v>CL_107_</v>
          </cell>
          <cell r="D6227" t="str">
            <v>Rancho La Cuchilla No. 107</v>
          </cell>
          <cell r="E6227" t="str">
            <v>Olivares Rivera</v>
          </cell>
          <cell r="F6227">
            <v>300</v>
          </cell>
          <cell r="G6227">
            <v>1</v>
          </cell>
          <cell r="H6227">
            <v>400</v>
          </cell>
          <cell r="I6227">
            <v>42064</v>
          </cell>
          <cell r="J6227">
            <v>0</v>
          </cell>
          <cell r="W6227">
            <v>0</v>
          </cell>
          <cell r="AJ6227">
            <v>0</v>
          </cell>
          <cell r="AW6227">
            <v>0</v>
          </cell>
          <cell r="AY6227">
            <v>400</v>
          </cell>
          <cell r="BJ6227">
            <v>400</v>
          </cell>
        </row>
        <row r="6228">
          <cell r="B6228">
            <v>9013</v>
          </cell>
          <cell r="C6228" t="str">
            <v>ZB_72_</v>
          </cell>
          <cell r="D6228" t="str">
            <v>Rancho Zinamba No. 72</v>
          </cell>
          <cell r="E6228" t="str">
            <v>Romo de Vivar</v>
          </cell>
          <cell r="F6228">
            <v>300</v>
          </cell>
          <cell r="G6228">
            <v>1</v>
          </cell>
          <cell r="H6228">
            <v>200</v>
          </cell>
          <cell r="I6228">
            <v>42064</v>
          </cell>
          <cell r="J6228">
            <v>0</v>
          </cell>
          <cell r="W6228">
            <v>0</v>
          </cell>
          <cell r="AJ6228">
            <v>0</v>
          </cell>
          <cell r="AW6228">
            <v>0</v>
          </cell>
          <cell r="AY6228">
            <v>200</v>
          </cell>
          <cell r="BJ6228">
            <v>200</v>
          </cell>
        </row>
        <row r="6229">
          <cell r="B6229">
            <v>9014</v>
          </cell>
          <cell r="C6229" t="str">
            <v>CL_53_</v>
          </cell>
          <cell r="D6229" t="str">
            <v>Rancho La Cuchilla No. 53</v>
          </cell>
          <cell r="E6229" t="str">
            <v>Rivera Hernández</v>
          </cell>
          <cell r="F6229">
            <v>400</v>
          </cell>
          <cell r="G6229">
            <v>1</v>
          </cell>
          <cell r="H6229">
            <v>4400</v>
          </cell>
          <cell r="I6229">
            <v>42064</v>
          </cell>
          <cell r="J6229">
            <v>0</v>
          </cell>
          <cell r="W6229">
            <v>0</v>
          </cell>
          <cell r="AJ6229">
            <v>0</v>
          </cell>
          <cell r="AW6229">
            <v>0</v>
          </cell>
          <cell r="AX6229">
            <v>400</v>
          </cell>
          <cell r="AY6229">
            <v>400</v>
          </cell>
          <cell r="AZ6229">
            <v>400</v>
          </cell>
          <cell r="BA6229">
            <v>400</v>
          </cell>
          <cell r="BB6229">
            <v>400</v>
          </cell>
          <cell r="BC6229">
            <v>400</v>
          </cell>
          <cell r="BD6229">
            <v>400</v>
          </cell>
          <cell r="BE6229">
            <v>400</v>
          </cell>
          <cell r="BF6229">
            <v>400</v>
          </cell>
          <cell r="BG6229">
            <v>400</v>
          </cell>
          <cell r="BH6229">
            <v>400</v>
          </cell>
          <cell r="BJ6229">
            <v>4400</v>
          </cell>
        </row>
        <row r="6230">
          <cell r="B6230">
            <v>9015</v>
          </cell>
          <cell r="C6230" t="str">
            <v>RV_181_</v>
          </cell>
          <cell r="D6230" t="str">
            <v>Rancho Recoveco No. 181</v>
          </cell>
          <cell r="E6230" t="str">
            <v>Castillo</v>
          </cell>
          <cell r="F6230">
            <v>300</v>
          </cell>
          <cell r="G6230">
            <v>4</v>
          </cell>
          <cell r="H6230">
            <v>160</v>
          </cell>
          <cell r="I6230">
            <v>42064</v>
          </cell>
          <cell r="J6230" t="str">
            <v>NO SUMA</v>
          </cell>
          <cell r="W6230">
            <v>0</v>
          </cell>
          <cell r="AJ6230">
            <v>0</v>
          </cell>
          <cell r="AW6230">
            <v>0</v>
          </cell>
          <cell r="BJ6230">
            <v>0</v>
          </cell>
        </row>
        <row r="6231">
          <cell r="B6231">
            <v>9016</v>
          </cell>
          <cell r="C6231" t="str">
            <v>LD_8_</v>
          </cell>
          <cell r="D6231" t="str">
            <v>Rancho Landero No. 8</v>
          </cell>
          <cell r="E6231" t="str">
            <v>Peña Torres</v>
          </cell>
          <cell r="F6231">
            <v>250</v>
          </cell>
          <cell r="G6231">
            <v>1</v>
          </cell>
          <cell r="H6231">
            <v>500</v>
          </cell>
          <cell r="I6231">
            <v>42064</v>
          </cell>
          <cell r="J6231">
            <v>0</v>
          </cell>
          <cell r="W6231">
            <v>0</v>
          </cell>
          <cell r="AJ6231">
            <v>0</v>
          </cell>
          <cell r="AW6231">
            <v>0</v>
          </cell>
          <cell r="AZ6231">
            <v>250</v>
          </cell>
          <cell r="BA6231">
            <v>250</v>
          </cell>
          <cell r="BJ6231">
            <v>500</v>
          </cell>
        </row>
        <row r="6232">
          <cell r="B6232">
            <v>9017</v>
          </cell>
          <cell r="C6232" t="str">
            <v>UP_30_</v>
          </cell>
          <cell r="D6232" t="str">
            <v>Rancho Upácuaro No. 30</v>
          </cell>
          <cell r="E6232" t="str">
            <v>Dorantes</v>
          </cell>
          <cell r="F6232">
            <v>300</v>
          </cell>
          <cell r="G6232">
            <v>1</v>
          </cell>
          <cell r="H6232">
            <v>200</v>
          </cell>
          <cell r="I6232">
            <v>42064</v>
          </cell>
          <cell r="J6232">
            <v>0</v>
          </cell>
          <cell r="W6232">
            <v>0</v>
          </cell>
          <cell r="AJ6232">
            <v>0</v>
          </cell>
          <cell r="AW6232">
            <v>0</v>
          </cell>
          <cell r="AZ6232">
            <v>200</v>
          </cell>
          <cell r="BJ6232">
            <v>200</v>
          </cell>
        </row>
        <row r="6233">
          <cell r="B6233">
            <v>9018</v>
          </cell>
          <cell r="C6233" t="str">
            <v>EZ_115_</v>
          </cell>
          <cell r="D6233" t="str">
            <v>Rancho Estanzuela No. 115</v>
          </cell>
          <cell r="E6233" t="str">
            <v>Frías Solórzano</v>
          </cell>
          <cell r="F6233">
            <v>200</v>
          </cell>
          <cell r="G6233">
            <v>4</v>
          </cell>
          <cell r="H6233">
            <v>320</v>
          </cell>
          <cell r="I6233">
            <v>42064</v>
          </cell>
          <cell r="J6233" t="str">
            <v>NO SUMA</v>
          </cell>
          <cell r="W6233">
            <v>0</v>
          </cell>
          <cell r="AJ6233">
            <v>0</v>
          </cell>
          <cell r="AW6233">
            <v>0</v>
          </cell>
          <cell r="BJ6233">
            <v>0</v>
          </cell>
        </row>
        <row r="6234">
          <cell r="B6234">
            <v>9019</v>
          </cell>
          <cell r="C6234" t="str">
            <v>UP_87_</v>
          </cell>
          <cell r="D6234" t="str">
            <v>Rancho Upácuaro No. 87</v>
          </cell>
          <cell r="E6234" t="str">
            <v>Rodríguez Parés</v>
          </cell>
          <cell r="F6234">
            <v>300</v>
          </cell>
          <cell r="G6234">
            <v>1</v>
          </cell>
          <cell r="H6234">
            <v>400</v>
          </cell>
          <cell r="I6234">
            <v>42064</v>
          </cell>
          <cell r="J6234">
            <v>0</v>
          </cell>
          <cell r="W6234">
            <v>0</v>
          </cell>
          <cell r="AJ6234">
            <v>0</v>
          </cell>
          <cell r="AW6234">
            <v>0</v>
          </cell>
          <cell r="AZ6234">
            <v>400</v>
          </cell>
          <cell r="BJ6234">
            <v>400</v>
          </cell>
        </row>
        <row r="6235">
          <cell r="B6235">
            <v>9020</v>
          </cell>
          <cell r="C6235" t="str">
            <v>CL_111_</v>
          </cell>
          <cell r="D6235" t="str">
            <v>Rancho La Cuchilla No. 111</v>
          </cell>
          <cell r="E6235" t="str">
            <v>García Santos Ofelia</v>
          </cell>
          <cell r="F6235">
            <v>150</v>
          </cell>
          <cell r="G6235">
            <v>1</v>
          </cell>
          <cell r="H6235">
            <v>400</v>
          </cell>
          <cell r="I6235">
            <v>42064</v>
          </cell>
          <cell r="J6235">
            <v>0</v>
          </cell>
          <cell r="W6235">
            <v>0</v>
          </cell>
          <cell r="AJ6235">
            <v>0</v>
          </cell>
          <cell r="AW6235">
            <v>0</v>
          </cell>
          <cell r="AY6235">
            <v>200</v>
          </cell>
          <cell r="AZ6235">
            <v>200</v>
          </cell>
          <cell r="BJ6235">
            <v>400</v>
          </cell>
        </row>
        <row r="6236">
          <cell r="B6236">
            <v>9021</v>
          </cell>
          <cell r="C6236" t="str">
            <v>UP_79_</v>
          </cell>
          <cell r="D6236" t="str">
            <v>Rancho Upácuaro No. 79</v>
          </cell>
          <cell r="E6236" t="str">
            <v>Macías</v>
          </cell>
          <cell r="F6236">
            <v>300</v>
          </cell>
          <cell r="G6236">
            <v>1</v>
          </cell>
          <cell r="H6236">
            <v>1200</v>
          </cell>
          <cell r="I6236">
            <v>42064</v>
          </cell>
          <cell r="J6236">
            <v>0</v>
          </cell>
          <cell r="W6236">
            <v>0</v>
          </cell>
          <cell r="AJ6236">
            <v>0</v>
          </cell>
          <cell r="AW6236">
            <v>0</v>
          </cell>
          <cell r="AY6236">
            <v>400</v>
          </cell>
          <cell r="AZ6236">
            <v>400</v>
          </cell>
          <cell r="BA6236">
            <v>400</v>
          </cell>
          <cell r="BJ6236">
            <v>1200</v>
          </cell>
        </row>
        <row r="6237">
          <cell r="B6237">
            <v>9022</v>
          </cell>
          <cell r="C6237" t="str">
            <v>EZ_161_1</v>
          </cell>
          <cell r="D6237" t="str">
            <v>Rancho Estanzuela No. 161, 1</v>
          </cell>
          <cell r="E6237" t="str">
            <v>Guevara</v>
          </cell>
          <cell r="F6237">
            <v>150</v>
          </cell>
          <cell r="G6237">
            <v>1</v>
          </cell>
          <cell r="H6237">
            <v>400</v>
          </cell>
          <cell r="I6237">
            <v>42064</v>
          </cell>
          <cell r="J6237">
            <v>0</v>
          </cell>
          <cell r="W6237">
            <v>0</v>
          </cell>
          <cell r="AJ6237">
            <v>0</v>
          </cell>
          <cell r="AW6237">
            <v>0</v>
          </cell>
          <cell r="AX6237">
            <v>200</v>
          </cell>
          <cell r="AY6237">
            <v>200</v>
          </cell>
          <cell r="BJ6237">
            <v>400</v>
          </cell>
        </row>
        <row r="6238">
          <cell r="B6238">
            <v>9023</v>
          </cell>
          <cell r="C6238" t="str">
            <v>ZB_68_</v>
          </cell>
          <cell r="D6238" t="str">
            <v>Rancho Zinamba No. 68</v>
          </cell>
          <cell r="E6238" t="str">
            <v>Rivera Villicaña</v>
          </cell>
          <cell r="F6238">
            <v>300</v>
          </cell>
          <cell r="G6238">
            <v>1</v>
          </cell>
          <cell r="H6238">
            <v>300</v>
          </cell>
          <cell r="I6238">
            <v>42064</v>
          </cell>
          <cell r="J6238">
            <v>0</v>
          </cell>
          <cell r="W6238">
            <v>0</v>
          </cell>
          <cell r="AJ6238">
            <v>0</v>
          </cell>
          <cell r="AW6238">
            <v>0</v>
          </cell>
          <cell r="AZ6238">
            <v>300</v>
          </cell>
          <cell r="BJ6238">
            <v>300</v>
          </cell>
        </row>
        <row r="6239">
          <cell r="B6239">
            <v>9024</v>
          </cell>
          <cell r="C6239" t="str">
            <v>RM_10_B</v>
          </cell>
          <cell r="D6239" t="str">
            <v>Rancho Romeral No. 10, B</v>
          </cell>
          <cell r="E6239" t="str">
            <v>López Castellano</v>
          </cell>
          <cell r="F6239">
            <v>300</v>
          </cell>
          <cell r="G6239">
            <v>1</v>
          </cell>
          <cell r="H6239">
            <v>600</v>
          </cell>
          <cell r="I6239">
            <v>42064</v>
          </cell>
          <cell r="J6239">
            <v>0</v>
          </cell>
          <cell r="W6239">
            <v>0</v>
          </cell>
          <cell r="AJ6239">
            <v>0</v>
          </cell>
          <cell r="AW6239">
            <v>0</v>
          </cell>
          <cell r="AY6239">
            <v>300</v>
          </cell>
          <cell r="AZ6239">
            <v>300</v>
          </cell>
          <cell r="BJ6239">
            <v>600</v>
          </cell>
        </row>
        <row r="6240">
          <cell r="B6240">
            <v>9025</v>
          </cell>
          <cell r="C6240" t="str">
            <v>EZ_9_B</v>
          </cell>
          <cell r="D6240" t="str">
            <v>Rancho Estanzuela No. 9, B</v>
          </cell>
          <cell r="E6240" t="str">
            <v>Velasco Rojas</v>
          </cell>
          <cell r="F6240">
            <v>200</v>
          </cell>
          <cell r="G6240">
            <v>1</v>
          </cell>
          <cell r="H6240">
            <v>400</v>
          </cell>
          <cell r="I6240">
            <v>42064</v>
          </cell>
          <cell r="J6240">
            <v>0</v>
          </cell>
          <cell r="W6240">
            <v>0</v>
          </cell>
          <cell r="AJ6240">
            <v>0</v>
          </cell>
          <cell r="AW6240">
            <v>0</v>
          </cell>
          <cell r="AX6240">
            <v>200</v>
          </cell>
          <cell r="AY6240">
            <v>200</v>
          </cell>
          <cell r="BJ6240">
            <v>400</v>
          </cell>
        </row>
        <row r="6241">
          <cell r="B6241">
            <v>9025</v>
          </cell>
          <cell r="C6241" t="str">
            <v>EZ_9_B</v>
          </cell>
          <cell r="D6241" t="str">
            <v>Rancho Estanzuela No. 9, B</v>
          </cell>
          <cell r="E6241" t="str">
            <v>Velasco Rojas</v>
          </cell>
          <cell r="F6241">
            <v>200</v>
          </cell>
          <cell r="G6241">
            <v>3</v>
          </cell>
          <cell r="H6241">
            <v>320</v>
          </cell>
          <cell r="I6241">
            <v>42064</v>
          </cell>
          <cell r="J6241" t="str">
            <v>NO SUMA</v>
          </cell>
          <cell r="W6241">
            <v>0</v>
          </cell>
          <cell r="AJ6241">
            <v>0</v>
          </cell>
          <cell r="AW6241">
            <v>0</v>
          </cell>
          <cell r="BJ6241">
            <v>0</v>
          </cell>
        </row>
        <row r="6242">
          <cell r="B6242">
            <v>9026</v>
          </cell>
          <cell r="C6242" t="str">
            <v>LD_63_</v>
          </cell>
          <cell r="D6242" t="str">
            <v>Rancho Landero No. 63</v>
          </cell>
          <cell r="E6242" t="str">
            <v>Hernández Chávez</v>
          </cell>
          <cell r="F6242">
            <v>300</v>
          </cell>
          <cell r="G6242">
            <v>1</v>
          </cell>
          <cell r="H6242">
            <v>1200</v>
          </cell>
          <cell r="I6242">
            <v>42064</v>
          </cell>
          <cell r="J6242">
            <v>0</v>
          </cell>
          <cell r="W6242">
            <v>0</v>
          </cell>
          <cell r="AJ6242">
            <v>0</v>
          </cell>
          <cell r="AU6242">
            <v>400</v>
          </cell>
          <cell r="AV6242">
            <v>400</v>
          </cell>
          <cell r="AW6242">
            <v>800</v>
          </cell>
          <cell r="AX6242">
            <v>400</v>
          </cell>
          <cell r="BJ6242">
            <v>400</v>
          </cell>
        </row>
        <row r="6243">
          <cell r="B6243">
            <v>9027</v>
          </cell>
          <cell r="C6243" t="str">
            <v>EZ_99_</v>
          </cell>
          <cell r="D6243" t="str">
            <v>Rancho Estanzuela No. 99</v>
          </cell>
          <cell r="E6243" t="str">
            <v>García López</v>
          </cell>
          <cell r="F6243">
            <v>300</v>
          </cell>
          <cell r="G6243">
            <v>1</v>
          </cell>
          <cell r="H6243">
            <v>800</v>
          </cell>
          <cell r="I6243">
            <v>42064</v>
          </cell>
          <cell r="J6243">
            <v>0</v>
          </cell>
          <cell r="W6243">
            <v>0</v>
          </cell>
          <cell r="AJ6243">
            <v>0</v>
          </cell>
          <cell r="AW6243">
            <v>0</v>
          </cell>
          <cell r="AX6243">
            <v>400</v>
          </cell>
          <cell r="AY6243">
            <v>400</v>
          </cell>
          <cell r="BJ6243">
            <v>800</v>
          </cell>
        </row>
        <row r="6244">
          <cell r="B6244">
            <v>9028</v>
          </cell>
          <cell r="C6244" t="str">
            <v>UP_70_</v>
          </cell>
          <cell r="D6244" t="str">
            <v>Rancho Upácuaro No. 70</v>
          </cell>
          <cell r="E6244" t="str">
            <v>Ramírez Tejeda</v>
          </cell>
          <cell r="F6244">
            <v>300</v>
          </cell>
          <cell r="G6244">
            <v>1</v>
          </cell>
          <cell r="H6244">
            <v>300</v>
          </cell>
          <cell r="I6244">
            <v>42064</v>
          </cell>
          <cell r="J6244">
            <v>0</v>
          </cell>
          <cell r="W6244">
            <v>0</v>
          </cell>
          <cell r="AJ6244">
            <v>0</v>
          </cell>
          <cell r="AW6244">
            <v>0</v>
          </cell>
          <cell r="AZ6244">
            <v>300</v>
          </cell>
          <cell r="BJ6244">
            <v>300</v>
          </cell>
        </row>
        <row r="6245">
          <cell r="B6245">
            <v>9029</v>
          </cell>
          <cell r="C6245" t="str">
            <v>UP_48_</v>
          </cell>
          <cell r="D6245" t="str">
            <v>Rancho Upácuaro No. 48</v>
          </cell>
          <cell r="E6245" t="str">
            <v>Bernal</v>
          </cell>
          <cell r="F6245">
            <v>200</v>
          </cell>
          <cell r="G6245">
            <v>1</v>
          </cell>
          <cell r="H6245">
            <v>200</v>
          </cell>
          <cell r="I6245">
            <v>42064</v>
          </cell>
          <cell r="J6245">
            <v>0</v>
          </cell>
          <cell r="W6245">
            <v>0</v>
          </cell>
          <cell r="AJ6245">
            <v>0</v>
          </cell>
          <cell r="AP6245">
            <v>200</v>
          </cell>
          <cell r="AW6245">
            <v>200</v>
          </cell>
          <cell r="BJ6245">
            <v>0</v>
          </cell>
        </row>
        <row r="6246">
          <cell r="B6246">
            <v>9030</v>
          </cell>
          <cell r="C6246" t="str">
            <v>UP_120_</v>
          </cell>
          <cell r="D6246" t="str">
            <v>Rancho Upácuaro No. 120</v>
          </cell>
          <cell r="E6246" t="str">
            <v>Rayas Rivera</v>
          </cell>
          <cell r="F6246">
            <v>300</v>
          </cell>
          <cell r="G6246">
            <v>1</v>
          </cell>
          <cell r="H6246">
            <v>400</v>
          </cell>
          <cell r="I6246">
            <v>42064</v>
          </cell>
          <cell r="J6246">
            <v>0</v>
          </cell>
          <cell r="W6246">
            <v>0</v>
          </cell>
          <cell r="AJ6246">
            <v>0</v>
          </cell>
          <cell r="AW6246">
            <v>0</v>
          </cell>
          <cell r="AZ6246">
            <v>400</v>
          </cell>
          <cell r="BJ6246">
            <v>400</v>
          </cell>
        </row>
        <row r="6247">
          <cell r="B6247">
            <v>9031</v>
          </cell>
          <cell r="C6247" t="str">
            <v>UP_76_</v>
          </cell>
          <cell r="D6247" t="str">
            <v>Rancho Upácuaro No. 76</v>
          </cell>
          <cell r="E6247" t="str">
            <v>Ruiz de San Pedro</v>
          </cell>
          <cell r="F6247">
            <v>300</v>
          </cell>
          <cell r="G6247">
            <v>1</v>
          </cell>
          <cell r="H6247">
            <v>800</v>
          </cell>
          <cell r="I6247">
            <v>42064</v>
          </cell>
          <cell r="J6247">
            <v>0</v>
          </cell>
          <cell r="W6247">
            <v>0</v>
          </cell>
          <cell r="AJ6247">
            <v>0</v>
          </cell>
          <cell r="AW6247">
            <v>0</v>
          </cell>
          <cell r="AY6247">
            <v>400</v>
          </cell>
          <cell r="AZ6247">
            <v>400</v>
          </cell>
          <cell r="BJ6247">
            <v>800</v>
          </cell>
        </row>
        <row r="6248">
          <cell r="B6248">
            <v>9032</v>
          </cell>
          <cell r="C6248" t="str">
            <v>UP_18_</v>
          </cell>
          <cell r="D6248" t="str">
            <v>Rancho Upácuaro No. 18</v>
          </cell>
          <cell r="E6248" t="str">
            <v>Guzmán</v>
          </cell>
          <cell r="F6248">
            <v>300</v>
          </cell>
          <cell r="G6248">
            <v>1</v>
          </cell>
          <cell r="H6248">
            <v>400</v>
          </cell>
          <cell r="I6248">
            <v>42064</v>
          </cell>
          <cell r="J6248">
            <v>0</v>
          </cell>
          <cell r="W6248">
            <v>0</v>
          </cell>
          <cell r="AJ6248">
            <v>0</v>
          </cell>
          <cell r="AW6248">
            <v>0</v>
          </cell>
          <cell r="AZ6248">
            <v>400</v>
          </cell>
          <cell r="BJ6248">
            <v>400</v>
          </cell>
        </row>
        <row r="6249">
          <cell r="B6249">
            <v>9033</v>
          </cell>
          <cell r="C6249" t="str">
            <v>CL_131_</v>
          </cell>
          <cell r="D6249" t="str">
            <v>Rancho La Cuchilla No. 131</v>
          </cell>
          <cell r="E6249" t="str">
            <v>Cabrera Marquez</v>
          </cell>
          <cell r="F6249">
            <v>300</v>
          </cell>
          <cell r="G6249">
            <v>1</v>
          </cell>
          <cell r="H6249">
            <v>400</v>
          </cell>
          <cell r="I6249">
            <v>42064</v>
          </cell>
          <cell r="J6249">
            <v>0</v>
          </cell>
          <cell r="W6249">
            <v>0</v>
          </cell>
          <cell r="AJ6249">
            <v>0</v>
          </cell>
          <cell r="AW6249">
            <v>0</v>
          </cell>
          <cell r="AX6249">
            <v>400</v>
          </cell>
          <cell r="BJ6249">
            <v>400</v>
          </cell>
        </row>
        <row r="6250">
          <cell r="B6250">
            <v>9034</v>
          </cell>
          <cell r="C6250" t="str">
            <v>CL_72_</v>
          </cell>
          <cell r="D6250" t="str">
            <v>Rancho La Cuchilla No. 72</v>
          </cell>
          <cell r="E6250" t="str">
            <v>Ortiz González</v>
          </cell>
          <cell r="F6250">
            <v>300</v>
          </cell>
          <cell r="G6250">
            <v>1</v>
          </cell>
          <cell r="H6250">
            <v>400</v>
          </cell>
          <cell r="I6250">
            <v>42064</v>
          </cell>
          <cell r="J6250">
            <v>0</v>
          </cell>
          <cell r="W6250">
            <v>0</v>
          </cell>
          <cell r="AJ6250">
            <v>0</v>
          </cell>
          <cell r="AW6250">
            <v>0</v>
          </cell>
          <cell r="AZ6250">
            <v>400</v>
          </cell>
          <cell r="BJ6250">
            <v>400</v>
          </cell>
        </row>
        <row r="6251">
          <cell r="B6251">
            <v>9035</v>
          </cell>
          <cell r="C6251" t="str">
            <v>CL_33_</v>
          </cell>
          <cell r="D6251" t="str">
            <v>Rancho La Cuchilla No. 33</v>
          </cell>
          <cell r="E6251" t="str">
            <v>Tanús</v>
          </cell>
          <cell r="F6251">
            <v>300</v>
          </cell>
          <cell r="G6251">
            <v>1</v>
          </cell>
          <cell r="H6251">
            <v>400</v>
          </cell>
          <cell r="I6251">
            <v>42064</v>
          </cell>
          <cell r="J6251">
            <v>0</v>
          </cell>
          <cell r="W6251">
            <v>0</v>
          </cell>
          <cell r="AJ6251">
            <v>0</v>
          </cell>
          <cell r="AW6251">
            <v>0</v>
          </cell>
          <cell r="AZ6251">
            <v>400</v>
          </cell>
          <cell r="BJ6251">
            <v>400</v>
          </cell>
        </row>
        <row r="6252">
          <cell r="B6252">
            <v>9036</v>
          </cell>
          <cell r="C6252" t="str">
            <v>RV_175_0</v>
          </cell>
          <cell r="D6252" t="str">
            <v>Rancho Recoveco No. 175</v>
          </cell>
          <cell r="E6252" t="str">
            <v>Ramírez</v>
          </cell>
          <cell r="F6252">
            <v>300</v>
          </cell>
          <cell r="G6252">
            <v>1</v>
          </cell>
          <cell r="H6252">
            <v>800</v>
          </cell>
          <cell r="I6252">
            <v>42064</v>
          </cell>
          <cell r="J6252">
            <v>0</v>
          </cell>
          <cell r="W6252">
            <v>0</v>
          </cell>
          <cell r="AJ6252">
            <v>0</v>
          </cell>
          <cell r="AW6252">
            <v>0</v>
          </cell>
          <cell r="AZ6252">
            <v>400</v>
          </cell>
          <cell r="BA6252">
            <v>400</v>
          </cell>
          <cell r="BJ6252">
            <v>800</v>
          </cell>
        </row>
        <row r="6253">
          <cell r="B6253">
            <v>9037</v>
          </cell>
          <cell r="C6253" t="str">
            <v>LD_25_</v>
          </cell>
          <cell r="D6253" t="str">
            <v>Rancho Landero No. 25</v>
          </cell>
          <cell r="E6253" t="str">
            <v>Escamilla Martínez</v>
          </cell>
          <cell r="F6253">
            <v>300</v>
          </cell>
          <cell r="G6253">
            <v>1</v>
          </cell>
          <cell r="H6253">
            <v>400</v>
          </cell>
          <cell r="I6253">
            <v>42064</v>
          </cell>
          <cell r="J6253">
            <v>0</v>
          </cell>
          <cell r="W6253">
            <v>0</v>
          </cell>
          <cell r="AJ6253">
            <v>0</v>
          </cell>
          <cell r="AW6253">
            <v>0</v>
          </cell>
          <cell r="AY6253">
            <v>400</v>
          </cell>
          <cell r="BJ6253">
            <v>400</v>
          </cell>
        </row>
        <row r="6254">
          <cell r="B6254">
            <v>9038</v>
          </cell>
          <cell r="C6254" t="str">
            <v>LD_33_</v>
          </cell>
          <cell r="D6254" t="str">
            <v>Rancho Landero No. 33</v>
          </cell>
          <cell r="E6254" t="str">
            <v>González Uribe</v>
          </cell>
          <cell r="F6254">
            <v>300</v>
          </cell>
          <cell r="G6254">
            <v>1</v>
          </cell>
          <cell r="H6254">
            <v>800</v>
          </cell>
          <cell r="I6254">
            <v>42064</v>
          </cell>
          <cell r="J6254">
            <v>0</v>
          </cell>
          <cell r="W6254">
            <v>0</v>
          </cell>
          <cell r="AJ6254">
            <v>0</v>
          </cell>
          <cell r="AW6254">
            <v>0</v>
          </cell>
          <cell r="AX6254">
            <v>400</v>
          </cell>
          <cell r="AY6254">
            <v>400</v>
          </cell>
          <cell r="BJ6254">
            <v>800</v>
          </cell>
        </row>
        <row r="6255">
          <cell r="B6255">
            <v>9039</v>
          </cell>
          <cell r="C6255" t="str">
            <v>UP_32_</v>
          </cell>
          <cell r="D6255" t="str">
            <v>Rancho Upácuaro No. 32</v>
          </cell>
          <cell r="E6255" t="str">
            <v>Sairafi Carmen</v>
          </cell>
          <cell r="F6255">
            <v>300</v>
          </cell>
          <cell r="G6255">
            <v>1</v>
          </cell>
          <cell r="H6255">
            <v>400</v>
          </cell>
          <cell r="I6255">
            <v>42064</v>
          </cell>
          <cell r="J6255">
            <v>0</v>
          </cell>
          <cell r="W6255">
            <v>0</v>
          </cell>
          <cell r="AJ6255">
            <v>0</v>
          </cell>
          <cell r="AW6255">
            <v>0</v>
          </cell>
          <cell r="AZ6255">
            <v>400</v>
          </cell>
          <cell r="BJ6255">
            <v>400</v>
          </cell>
        </row>
        <row r="6256">
          <cell r="B6256">
            <v>9040</v>
          </cell>
          <cell r="C6256" t="str">
            <v>CL_18_</v>
          </cell>
          <cell r="D6256" t="str">
            <v>Rancho La Cuchilla No. 18</v>
          </cell>
          <cell r="E6256" t="str">
            <v>Aldana Sánchez</v>
          </cell>
          <cell r="F6256">
            <v>300</v>
          </cell>
          <cell r="G6256">
            <v>1</v>
          </cell>
          <cell r="H6256">
            <v>800</v>
          </cell>
          <cell r="I6256">
            <v>42064</v>
          </cell>
          <cell r="J6256">
            <v>0</v>
          </cell>
          <cell r="W6256">
            <v>0</v>
          </cell>
          <cell r="AJ6256">
            <v>0</v>
          </cell>
          <cell r="AW6256">
            <v>0</v>
          </cell>
          <cell r="AY6256">
            <v>400</v>
          </cell>
          <cell r="AZ6256">
            <v>400</v>
          </cell>
          <cell r="BJ6256">
            <v>800</v>
          </cell>
        </row>
        <row r="6257">
          <cell r="B6257">
            <v>9041</v>
          </cell>
          <cell r="C6257" t="str">
            <v>CL_54_</v>
          </cell>
          <cell r="D6257" t="str">
            <v>Rancho La Cuchilla No. 54</v>
          </cell>
          <cell r="E6257" t="str">
            <v>Mendoza León</v>
          </cell>
          <cell r="F6257">
            <v>300</v>
          </cell>
          <cell r="G6257">
            <v>1</v>
          </cell>
          <cell r="H6257">
            <v>800</v>
          </cell>
          <cell r="I6257">
            <v>42064</v>
          </cell>
          <cell r="J6257">
            <v>0</v>
          </cell>
          <cell r="W6257">
            <v>0</v>
          </cell>
          <cell r="AJ6257">
            <v>0</v>
          </cell>
          <cell r="AW6257">
            <v>0</v>
          </cell>
          <cell r="AX6257">
            <v>400</v>
          </cell>
          <cell r="AY6257">
            <v>400</v>
          </cell>
          <cell r="BJ6257">
            <v>800</v>
          </cell>
        </row>
        <row r="6258">
          <cell r="B6258">
            <v>9042</v>
          </cell>
          <cell r="C6258" t="str">
            <v>UP_73_A</v>
          </cell>
          <cell r="D6258" t="str">
            <v>Rancho Upácuaro No. 73, A</v>
          </cell>
          <cell r="E6258" t="str">
            <v>Ortega</v>
          </cell>
          <cell r="F6258">
            <v>150</v>
          </cell>
          <cell r="G6258">
            <v>1</v>
          </cell>
          <cell r="H6258">
            <v>200</v>
          </cell>
          <cell r="I6258">
            <v>42064</v>
          </cell>
          <cell r="J6258">
            <v>0</v>
          </cell>
          <cell r="W6258">
            <v>0</v>
          </cell>
          <cell r="AJ6258">
            <v>0</v>
          </cell>
          <cell r="AW6258">
            <v>0</v>
          </cell>
          <cell r="AY6258">
            <v>200</v>
          </cell>
          <cell r="BJ6258">
            <v>200</v>
          </cell>
        </row>
        <row r="6259">
          <cell r="B6259">
            <v>9043</v>
          </cell>
          <cell r="C6259" t="str">
            <v>UP_140_</v>
          </cell>
          <cell r="D6259" t="str">
            <v>Rancho Upácuaro No. 140</v>
          </cell>
          <cell r="E6259" t="str">
            <v>Gozain</v>
          </cell>
          <cell r="F6259">
            <v>300</v>
          </cell>
          <cell r="G6259">
            <v>1</v>
          </cell>
          <cell r="H6259">
            <v>400</v>
          </cell>
          <cell r="I6259">
            <v>42064</v>
          </cell>
          <cell r="J6259">
            <v>0</v>
          </cell>
          <cell r="W6259">
            <v>0</v>
          </cell>
          <cell r="AJ6259">
            <v>0</v>
          </cell>
          <cell r="AW6259">
            <v>0</v>
          </cell>
          <cell r="AZ6259">
            <v>400</v>
          </cell>
          <cell r="BJ6259">
            <v>400</v>
          </cell>
        </row>
        <row r="6260">
          <cell r="B6260">
            <v>9044</v>
          </cell>
          <cell r="C6260" t="str">
            <v>ZB_26_</v>
          </cell>
          <cell r="D6260" t="str">
            <v>Rancho Zinamba No. 26</v>
          </cell>
          <cell r="E6260" t="str">
            <v>Ayala</v>
          </cell>
          <cell r="F6260">
            <v>300</v>
          </cell>
          <cell r="G6260">
            <v>1</v>
          </cell>
          <cell r="H6260">
            <v>400</v>
          </cell>
          <cell r="I6260">
            <v>42064</v>
          </cell>
          <cell r="J6260">
            <v>0</v>
          </cell>
          <cell r="W6260">
            <v>0</v>
          </cell>
          <cell r="AJ6260">
            <v>0</v>
          </cell>
          <cell r="AW6260">
            <v>0</v>
          </cell>
          <cell r="AX6260">
            <v>400</v>
          </cell>
          <cell r="BJ6260">
            <v>400</v>
          </cell>
        </row>
        <row r="6261">
          <cell r="B6261">
            <v>9045</v>
          </cell>
          <cell r="C6261" t="str">
            <v>ZB_74_</v>
          </cell>
          <cell r="D6261" t="str">
            <v>Rancho Zinamba No. 74</v>
          </cell>
          <cell r="E6261" t="str">
            <v>García Castellanos</v>
          </cell>
          <cell r="F6261">
            <v>300</v>
          </cell>
          <cell r="G6261">
            <v>1</v>
          </cell>
          <cell r="H6261">
            <v>400</v>
          </cell>
          <cell r="I6261">
            <v>42064</v>
          </cell>
          <cell r="J6261">
            <v>0</v>
          </cell>
          <cell r="W6261">
            <v>0</v>
          </cell>
          <cell r="AJ6261">
            <v>0</v>
          </cell>
          <cell r="AW6261">
            <v>0</v>
          </cell>
          <cell r="AY6261">
            <v>400</v>
          </cell>
          <cell r="BJ6261">
            <v>400</v>
          </cell>
        </row>
        <row r="6262">
          <cell r="B6262">
            <v>9046</v>
          </cell>
          <cell r="C6262" t="str">
            <v>UP_19_</v>
          </cell>
          <cell r="D6262" t="str">
            <v>Rancho Upácuaro No. 19</v>
          </cell>
          <cell r="E6262" t="str">
            <v>Peña Inclán</v>
          </cell>
          <cell r="F6262">
            <v>200</v>
          </cell>
          <cell r="G6262">
            <v>1</v>
          </cell>
          <cell r="H6262">
            <v>300</v>
          </cell>
          <cell r="I6262">
            <v>42064</v>
          </cell>
          <cell r="J6262">
            <v>0</v>
          </cell>
          <cell r="W6262">
            <v>0</v>
          </cell>
          <cell r="AJ6262">
            <v>0</v>
          </cell>
          <cell r="AW6262">
            <v>0</v>
          </cell>
          <cell r="AY6262">
            <v>300</v>
          </cell>
          <cell r="BJ6262">
            <v>300</v>
          </cell>
        </row>
        <row r="6263">
          <cell r="B6263">
            <v>9047</v>
          </cell>
          <cell r="C6263" t="str">
            <v>RM_17_</v>
          </cell>
          <cell r="D6263" t="str">
            <v>Rancho Romeral No. 17</v>
          </cell>
          <cell r="E6263" t="str">
            <v>Aguilar Lomelí</v>
          </cell>
          <cell r="F6263">
            <v>300</v>
          </cell>
          <cell r="G6263">
            <v>1</v>
          </cell>
          <cell r="H6263">
            <v>400</v>
          </cell>
          <cell r="I6263">
            <v>42064</v>
          </cell>
          <cell r="J6263">
            <v>0</v>
          </cell>
          <cell r="W6263">
            <v>0</v>
          </cell>
          <cell r="AJ6263">
            <v>0</v>
          </cell>
          <cell r="AW6263">
            <v>0</v>
          </cell>
          <cell r="AY6263">
            <v>400</v>
          </cell>
          <cell r="BJ6263">
            <v>400</v>
          </cell>
        </row>
        <row r="6264">
          <cell r="B6264">
            <v>9048</v>
          </cell>
          <cell r="C6264" t="str">
            <v>LD_39_</v>
          </cell>
          <cell r="D6264" t="str">
            <v>Rancho Landero No. 39</v>
          </cell>
          <cell r="E6264" t="str">
            <v>Soto del Cueto</v>
          </cell>
          <cell r="F6264">
            <v>250</v>
          </cell>
          <cell r="G6264">
            <v>1</v>
          </cell>
          <cell r="H6264">
            <v>750</v>
          </cell>
          <cell r="I6264">
            <v>42064</v>
          </cell>
          <cell r="J6264">
            <v>0</v>
          </cell>
          <cell r="W6264">
            <v>0</v>
          </cell>
          <cell r="AJ6264">
            <v>0</v>
          </cell>
          <cell r="AV6264">
            <v>250</v>
          </cell>
          <cell r="AW6264">
            <v>250</v>
          </cell>
          <cell r="AX6264">
            <v>250</v>
          </cell>
          <cell r="AY6264">
            <v>250</v>
          </cell>
          <cell r="BJ6264">
            <v>500</v>
          </cell>
        </row>
        <row r="6265">
          <cell r="B6265">
            <v>9049</v>
          </cell>
          <cell r="C6265" t="str">
            <v>LD_38_</v>
          </cell>
          <cell r="D6265" t="str">
            <v>Rancho Landero No. 38</v>
          </cell>
          <cell r="E6265" t="str">
            <v>Sánchez Peña</v>
          </cell>
          <cell r="F6265">
            <v>300</v>
          </cell>
          <cell r="G6265">
            <v>1</v>
          </cell>
          <cell r="H6265">
            <v>800</v>
          </cell>
          <cell r="I6265">
            <v>42064</v>
          </cell>
          <cell r="J6265">
            <v>0</v>
          </cell>
          <cell r="W6265">
            <v>0</v>
          </cell>
          <cell r="AJ6265">
            <v>0</v>
          </cell>
          <cell r="AW6265">
            <v>0</v>
          </cell>
          <cell r="AZ6265">
            <v>400</v>
          </cell>
          <cell r="BA6265">
            <v>400</v>
          </cell>
          <cell r="BJ6265">
            <v>800</v>
          </cell>
        </row>
        <row r="6266">
          <cell r="B6266">
            <v>9050</v>
          </cell>
          <cell r="C6266" t="str">
            <v>CL_89_</v>
          </cell>
          <cell r="D6266" t="str">
            <v>Rancho La Cuchilla No. 89</v>
          </cell>
          <cell r="E6266" t="str">
            <v>Gálvez</v>
          </cell>
          <cell r="F6266">
            <v>300</v>
          </cell>
          <cell r="G6266">
            <v>1</v>
          </cell>
          <cell r="H6266">
            <v>400</v>
          </cell>
          <cell r="I6266">
            <v>42064</v>
          </cell>
          <cell r="J6266">
            <v>0</v>
          </cell>
          <cell r="W6266">
            <v>0</v>
          </cell>
          <cell r="AJ6266">
            <v>0</v>
          </cell>
          <cell r="AW6266">
            <v>0</v>
          </cell>
          <cell r="AZ6266">
            <v>400</v>
          </cell>
          <cell r="BJ6266">
            <v>400</v>
          </cell>
        </row>
        <row r="6267">
          <cell r="B6267">
            <v>9051</v>
          </cell>
          <cell r="C6267" t="str">
            <v>CL_87_</v>
          </cell>
          <cell r="D6267" t="str">
            <v>Rancho La Cuchilla No. 87</v>
          </cell>
          <cell r="E6267" t="str">
            <v>Villanueva S.</v>
          </cell>
          <cell r="F6267">
            <v>300</v>
          </cell>
          <cell r="G6267">
            <v>1</v>
          </cell>
          <cell r="H6267">
            <v>400</v>
          </cell>
          <cell r="I6267">
            <v>42064</v>
          </cell>
          <cell r="J6267">
            <v>0</v>
          </cell>
          <cell r="W6267">
            <v>0</v>
          </cell>
          <cell r="AJ6267">
            <v>0</v>
          </cell>
          <cell r="AW6267">
            <v>0</v>
          </cell>
          <cell r="AZ6267">
            <v>400</v>
          </cell>
          <cell r="BJ6267">
            <v>400</v>
          </cell>
        </row>
        <row r="6268">
          <cell r="B6268">
            <v>9052</v>
          </cell>
          <cell r="C6268" t="str">
            <v>UP_23_</v>
          </cell>
          <cell r="D6268" t="str">
            <v>Rancho Upácuaro No. 23</v>
          </cell>
          <cell r="E6268" t="str">
            <v>Arredondo</v>
          </cell>
          <cell r="F6268">
            <v>300</v>
          </cell>
          <cell r="G6268">
            <v>1</v>
          </cell>
          <cell r="H6268">
            <v>350</v>
          </cell>
          <cell r="I6268">
            <v>42064</v>
          </cell>
          <cell r="J6268">
            <v>0</v>
          </cell>
          <cell r="W6268">
            <v>0</v>
          </cell>
          <cell r="AJ6268">
            <v>0</v>
          </cell>
          <cell r="AW6268">
            <v>0</v>
          </cell>
          <cell r="AZ6268">
            <v>350</v>
          </cell>
          <cell r="BJ6268">
            <v>350</v>
          </cell>
        </row>
        <row r="6269">
          <cell r="B6269">
            <v>9053</v>
          </cell>
          <cell r="C6269" t="str">
            <v>RV_175_B</v>
          </cell>
          <cell r="D6269" t="str">
            <v>Rancho Recoveco No. 175, B</v>
          </cell>
          <cell r="E6269" t="str">
            <v>García Calderón</v>
          </cell>
          <cell r="F6269">
            <v>150</v>
          </cell>
          <cell r="G6269">
            <v>1</v>
          </cell>
          <cell r="H6269">
            <v>200</v>
          </cell>
          <cell r="I6269">
            <v>42064</v>
          </cell>
          <cell r="J6269">
            <v>0</v>
          </cell>
          <cell r="W6269">
            <v>0</v>
          </cell>
          <cell r="AJ6269">
            <v>0</v>
          </cell>
          <cell r="AW6269">
            <v>0</v>
          </cell>
          <cell r="AZ6269">
            <v>200</v>
          </cell>
          <cell r="BJ6269">
            <v>200</v>
          </cell>
        </row>
        <row r="6270">
          <cell r="B6270">
            <v>9054</v>
          </cell>
          <cell r="C6270" t="str">
            <v>ZB_42_</v>
          </cell>
          <cell r="D6270" t="str">
            <v>Rancho Zinamba No. 42</v>
          </cell>
          <cell r="E6270" t="str">
            <v>López Aldave</v>
          </cell>
          <cell r="F6270">
            <v>250</v>
          </cell>
          <cell r="G6270">
            <v>1</v>
          </cell>
          <cell r="H6270">
            <v>300</v>
          </cell>
          <cell r="I6270">
            <v>42064</v>
          </cell>
          <cell r="J6270">
            <v>0</v>
          </cell>
          <cell r="W6270">
            <v>0</v>
          </cell>
          <cell r="AJ6270">
            <v>0</v>
          </cell>
          <cell r="AW6270">
            <v>0</v>
          </cell>
          <cell r="AZ6270">
            <v>300</v>
          </cell>
          <cell r="BJ6270">
            <v>300</v>
          </cell>
        </row>
        <row r="6271">
          <cell r="B6271">
            <v>9055</v>
          </cell>
          <cell r="C6271" t="str">
            <v>LD_99_</v>
          </cell>
          <cell r="D6271" t="str">
            <v>Rancho Landero No. 99</v>
          </cell>
          <cell r="E6271" t="str">
            <v>Rangel</v>
          </cell>
          <cell r="F6271">
            <v>300</v>
          </cell>
          <cell r="G6271">
            <v>3</v>
          </cell>
          <cell r="H6271">
            <v>160</v>
          </cell>
          <cell r="I6271">
            <v>42064</v>
          </cell>
          <cell r="J6271" t="str">
            <v>NO SUMA</v>
          </cell>
          <cell r="W6271">
            <v>0</v>
          </cell>
          <cell r="AJ6271">
            <v>0</v>
          </cell>
          <cell r="AW6271">
            <v>0</v>
          </cell>
          <cell r="BJ6271">
            <v>0</v>
          </cell>
        </row>
        <row r="6272">
          <cell r="B6272">
            <v>9056</v>
          </cell>
          <cell r="C6272" t="str">
            <v>LD_1_A</v>
          </cell>
          <cell r="D6272" t="str">
            <v>Rancho Landero No. 1, A</v>
          </cell>
          <cell r="E6272" t="str">
            <v>Ebysos</v>
          </cell>
          <cell r="F6272">
            <v>300</v>
          </cell>
          <cell r="G6272">
            <v>1</v>
          </cell>
          <cell r="H6272">
            <v>600</v>
          </cell>
          <cell r="I6272">
            <v>42064</v>
          </cell>
          <cell r="J6272">
            <v>0</v>
          </cell>
          <cell r="W6272">
            <v>0</v>
          </cell>
          <cell r="AJ6272">
            <v>0</v>
          </cell>
          <cell r="AW6272">
            <v>0</v>
          </cell>
          <cell r="AY6272">
            <v>600</v>
          </cell>
          <cell r="BJ6272">
            <v>600</v>
          </cell>
        </row>
        <row r="6273">
          <cell r="B6273">
            <v>9057</v>
          </cell>
          <cell r="D6273" t="str">
            <v/>
          </cell>
          <cell r="E6273" t="str">
            <v/>
          </cell>
          <cell r="F6273" t="str">
            <v/>
          </cell>
          <cell r="G6273">
            <v>8</v>
          </cell>
          <cell r="J6273" t="str">
            <v>NO SUMA</v>
          </cell>
          <cell r="W6273">
            <v>0</v>
          </cell>
          <cell r="AJ6273">
            <v>0</v>
          </cell>
          <cell r="AW6273">
            <v>0</v>
          </cell>
          <cell r="BJ6273">
            <v>0</v>
          </cell>
        </row>
        <row r="6274">
          <cell r="B6274">
            <v>9058</v>
          </cell>
          <cell r="C6274" t="str">
            <v>ZB_84_</v>
          </cell>
          <cell r="D6274" t="str">
            <v>Rancho Zinamba No. 84</v>
          </cell>
          <cell r="E6274" t="str">
            <v>Lobato</v>
          </cell>
          <cell r="F6274">
            <v>300</v>
          </cell>
          <cell r="G6274">
            <v>1</v>
          </cell>
          <cell r="H6274">
            <v>800</v>
          </cell>
          <cell r="I6274">
            <v>42065</v>
          </cell>
          <cell r="J6274">
            <v>0</v>
          </cell>
          <cell r="W6274">
            <v>0</v>
          </cell>
          <cell r="AJ6274">
            <v>0</v>
          </cell>
          <cell r="AW6274">
            <v>0</v>
          </cell>
          <cell r="AX6274">
            <v>400</v>
          </cell>
          <cell r="AY6274">
            <v>400</v>
          </cell>
          <cell r="BJ6274">
            <v>800</v>
          </cell>
        </row>
        <row r="6275">
          <cell r="B6275">
            <v>9058</v>
          </cell>
          <cell r="C6275" t="str">
            <v>ZB_84_</v>
          </cell>
          <cell r="D6275" t="str">
            <v>Rancho Zinamba No. 84</v>
          </cell>
          <cell r="E6275" t="str">
            <v>Lobato</v>
          </cell>
          <cell r="F6275">
            <v>300</v>
          </cell>
          <cell r="G6275">
            <v>4</v>
          </cell>
          <cell r="H6275">
            <v>160</v>
          </cell>
          <cell r="I6275">
            <v>42065</v>
          </cell>
          <cell r="J6275" t="str">
            <v>NO SUMA</v>
          </cell>
          <cell r="W6275">
            <v>0</v>
          </cell>
          <cell r="AJ6275">
            <v>0</v>
          </cell>
          <cell r="AW6275">
            <v>0</v>
          </cell>
          <cell r="BJ6275">
            <v>0</v>
          </cell>
        </row>
        <row r="6276">
          <cell r="B6276">
            <v>9059</v>
          </cell>
          <cell r="C6276" t="str">
            <v>UP_46_</v>
          </cell>
          <cell r="D6276" t="str">
            <v>Rancho Upácuaro No. 46</v>
          </cell>
          <cell r="E6276" t="str">
            <v>Fuentes</v>
          </cell>
          <cell r="F6276">
            <v>300</v>
          </cell>
          <cell r="G6276">
            <v>1</v>
          </cell>
          <cell r="H6276">
            <v>300</v>
          </cell>
          <cell r="I6276">
            <v>42065</v>
          </cell>
          <cell r="J6276">
            <v>0</v>
          </cell>
          <cell r="W6276">
            <v>0</v>
          </cell>
          <cell r="AJ6276">
            <v>0</v>
          </cell>
          <cell r="AW6276">
            <v>0</v>
          </cell>
          <cell r="AZ6276">
            <v>300</v>
          </cell>
          <cell r="BJ6276">
            <v>300</v>
          </cell>
        </row>
        <row r="6277">
          <cell r="B6277">
            <v>9060</v>
          </cell>
          <cell r="C6277" t="str">
            <v>UP_51_2</v>
          </cell>
          <cell r="D6277" t="str">
            <v>Rancho Upácuaro No. 51, 2</v>
          </cell>
          <cell r="E6277" t="str">
            <v>Santoyo</v>
          </cell>
          <cell r="F6277">
            <v>300</v>
          </cell>
          <cell r="G6277">
            <v>1</v>
          </cell>
          <cell r="H6277">
            <v>200</v>
          </cell>
          <cell r="I6277">
            <v>42067</v>
          </cell>
          <cell r="J6277">
            <v>0</v>
          </cell>
          <cell r="W6277">
            <v>0</v>
          </cell>
          <cell r="AJ6277">
            <v>0</v>
          </cell>
          <cell r="AW6277">
            <v>0</v>
          </cell>
          <cell r="AY6277">
            <v>200</v>
          </cell>
          <cell r="BJ6277">
            <v>200</v>
          </cell>
        </row>
        <row r="6278">
          <cell r="B6278">
            <v>9060</v>
          </cell>
          <cell r="C6278" t="str">
            <v>UP_51_2</v>
          </cell>
          <cell r="D6278" t="str">
            <v>Rancho Upácuaro No. 51, 2</v>
          </cell>
          <cell r="E6278" t="str">
            <v>Santoyo</v>
          </cell>
          <cell r="F6278">
            <v>300</v>
          </cell>
          <cell r="G6278">
            <v>3</v>
          </cell>
          <cell r="H6278">
            <v>160</v>
          </cell>
          <cell r="I6278">
            <v>42067</v>
          </cell>
          <cell r="J6278" t="str">
            <v>NO SUMA</v>
          </cell>
          <cell r="W6278">
            <v>0</v>
          </cell>
          <cell r="AJ6278">
            <v>0</v>
          </cell>
          <cell r="AW6278">
            <v>0</v>
          </cell>
          <cell r="BJ6278">
            <v>0</v>
          </cell>
        </row>
        <row r="6279">
          <cell r="B6279">
            <v>9061</v>
          </cell>
          <cell r="C6279" t="str">
            <v>EZ_67_</v>
          </cell>
          <cell r="D6279" t="str">
            <v>Rancho Estanzuela No. 67</v>
          </cell>
          <cell r="E6279" t="str">
            <v>Carmona Galarza</v>
          </cell>
          <cell r="F6279">
            <v>300</v>
          </cell>
          <cell r="G6279">
            <v>1</v>
          </cell>
          <cell r="H6279">
            <v>800</v>
          </cell>
          <cell r="I6279">
            <v>42068</v>
          </cell>
          <cell r="J6279">
            <v>0</v>
          </cell>
          <cell r="W6279">
            <v>0</v>
          </cell>
          <cell r="AJ6279">
            <v>0</v>
          </cell>
          <cell r="AW6279">
            <v>0</v>
          </cell>
          <cell r="AX6279">
            <v>400</v>
          </cell>
          <cell r="AY6279">
            <v>400</v>
          </cell>
          <cell r="BJ6279">
            <v>800</v>
          </cell>
        </row>
        <row r="6280">
          <cell r="B6280">
            <v>9061</v>
          </cell>
          <cell r="C6280" t="str">
            <v>EZ_67_</v>
          </cell>
          <cell r="D6280" t="str">
            <v>Rancho Estanzuela No. 67</v>
          </cell>
          <cell r="E6280" t="str">
            <v>Carmona Galarza</v>
          </cell>
          <cell r="F6280">
            <v>300</v>
          </cell>
          <cell r="G6280">
            <v>4</v>
          </cell>
          <cell r="H6280">
            <v>160</v>
          </cell>
          <cell r="I6280">
            <v>42068</v>
          </cell>
          <cell r="J6280" t="str">
            <v>NO SUMA</v>
          </cell>
          <cell r="W6280">
            <v>0</v>
          </cell>
          <cell r="AJ6280">
            <v>0</v>
          </cell>
          <cell r="AW6280">
            <v>0</v>
          </cell>
          <cell r="BJ6280">
            <v>0</v>
          </cell>
        </row>
        <row r="6281">
          <cell r="B6281">
            <v>9062</v>
          </cell>
          <cell r="C6281" t="str">
            <v>CL_61_</v>
          </cell>
          <cell r="D6281" t="str">
            <v>Rancho La Cuchilla No. 61</v>
          </cell>
          <cell r="E6281" t="str">
            <v>Rivera</v>
          </cell>
          <cell r="F6281">
            <v>300</v>
          </cell>
          <cell r="G6281">
            <v>1</v>
          </cell>
          <cell r="H6281">
            <v>400</v>
          </cell>
          <cell r="I6281">
            <v>42068</v>
          </cell>
          <cell r="J6281">
            <v>0</v>
          </cell>
          <cell r="W6281">
            <v>0</v>
          </cell>
          <cell r="AJ6281">
            <v>0</v>
          </cell>
          <cell r="AW6281">
            <v>0</v>
          </cell>
          <cell r="AX6281">
            <v>200</v>
          </cell>
          <cell r="AY6281">
            <v>200</v>
          </cell>
          <cell r="BJ6281">
            <v>400</v>
          </cell>
        </row>
        <row r="6282">
          <cell r="B6282">
            <v>9063</v>
          </cell>
          <cell r="C6282" t="str">
            <v>CL_121_</v>
          </cell>
          <cell r="D6282" t="str">
            <v>Rancho La Cuchilla No. 121</v>
          </cell>
          <cell r="E6282" t="str">
            <v>Ramírez Márquez</v>
          </cell>
          <cell r="F6282">
            <v>300</v>
          </cell>
          <cell r="G6282">
            <v>7</v>
          </cell>
          <cell r="H6282">
            <v>1200</v>
          </cell>
          <cell r="I6282">
            <v>42070</v>
          </cell>
          <cell r="J6282" t="str">
            <v>NO SUMA</v>
          </cell>
          <cell r="W6282">
            <v>0</v>
          </cell>
          <cell r="AJ6282">
            <v>0</v>
          </cell>
          <cell r="AW6282">
            <v>0</v>
          </cell>
          <cell r="BJ6282">
            <v>0</v>
          </cell>
        </row>
        <row r="6283">
          <cell r="B6283">
            <v>9064</v>
          </cell>
          <cell r="C6283" t="str">
            <v>LD_91_</v>
          </cell>
          <cell r="D6283" t="str">
            <v>Rancho Landero No. 91</v>
          </cell>
          <cell r="E6283" t="str">
            <v>Llaca</v>
          </cell>
          <cell r="F6283">
            <v>300</v>
          </cell>
          <cell r="G6283">
            <v>1</v>
          </cell>
          <cell r="H6283">
            <v>400</v>
          </cell>
          <cell r="I6283">
            <v>42071</v>
          </cell>
          <cell r="J6283">
            <v>0</v>
          </cell>
          <cell r="W6283">
            <v>0</v>
          </cell>
          <cell r="AJ6283">
            <v>0</v>
          </cell>
          <cell r="AW6283">
            <v>0</v>
          </cell>
          <cell r="AZ6283">
            <v>400</v>
          </cell>
          <cell r="BJ6283">
            <v>400</v>
          </cell>
        </row>
        <row r="6284">
          <cell r="B6284">
            <v>9065</v>
          </cell>
          <cell r="C6284" t="str">
            <v>UP_80_</v>
          </cell>
          <cell r="D6284" t="str">
            <v>Rancho Upácuaro No. 80</v>
          </cell>
          <cell r="E6284" t="str">
            <v>De los Ríos</v>
          </cell>
          <cell r="F6284">
            <v>300</v>
          </cell>
          <cell r="G6284">
            <v>1</v>
          </cell>
          <cell r="H6284">
            <v>800</v>
          </cell>
          <cell r="I6284">
            <v>42071</v>
          </cell>
          <cell r="J6284">
            <v>0</v>
          </cell>
          <cell r="W6284">
            <v>0</v>
          </cell>
          <cell r="AJ6284">
            <v>0</v>
          </cell>
          <cell r="AW6284">
            <v>0</v>
          </cell>
          <cell r="AY6284">
            <v>400</v>
          </cell>
          <cell r="AZ6284">
            <v>400</v>
          </cell>
          <cell r="BJ6284">
            <v>800</v>
          </cell>
        </row>
        <row r="6285">
          <cell r="B6285">
            <v>9066</v>
          </cell>
          <cell r="C6285" t="str">
            <v>EZ_31_</v>
          </cell>
          <cell r="D6285" t="str">
            <v>Rancho Estanzuela No. 31</v>
          </cell>
          <cell r="E6285" t="str">
            <v>Chávez Valdés</v>
          </cell>
          <cell r="F6285">
            <v>300</v>
          </cell>
          <cell r="G6285">
            <v>1</v>
          </cell>
          <cell r="H6285">
            <v>400</v>
          </cell>
          <cell r="I6285">
            <v>42071</v>
          </cell>
          <cell r="J6285">
            <v>0</v>
          </cell>
          <cell r="W6285">
            <v>0</v>
          </cell>
          <cell r="AJ6285">
            <v>0</v>
          </cell>
          <cell r="AW6285">
            <v>0</v>
          </cell>
          <cell r="AY6285">
            <v>400</v>
          </cell>
          <cell r="BJ6285">
            <v>400</v>
          </cell>
        </row>
        <row r="6286">
          <cell r="B6286">
            <v>9067</v>
          </cell>
          <cell r="C6286" t="str">
            <v>LD_83_</v>
          </cell>
          <cell r="D6286" t="str">
            <v>Rancho Landero No. 83</v>
          </cell>
          <cell r="E6286" t="str">
            <v>Aguilar</v>
          </cell>
          <cell r="F6286">
            <v>300</v>
          </cell>
          <cell r="G6286">
            <v>1</v>
          </cell>
          <cell r="H6286">
            <v>350</v>
          </cell>
          <cell r="I6286">
            <v>42071</v>
          </cell>
          <cell r="J6286">
            <v>0</v>
          </cell>
          <cell r="W6286">
            <v>0</v>
          </cell>
          <cell r="AJ6286">
            <v>0</v>
          </cell>
          <cell r="AW6286">
            <v>0</v>
          </cell>
          <cell r="AZ6286">
            <v>350</v>
          </cell>
          <cell r="BJ6286">
            <v>350</v>
          </cell>
        </row>
        <row r="6287">
          <cell r="B6287">
            <v>9068</v>
          </cell>
          <cell r="C6287" t="str">
            <v>EZ_91_</v>
          </cell>
          <cell r="D6287" t="str">
            <v>Rancho Estanzuela No. 91</v>
          </cell>
          <cell r="E6287" t="str">
            <v>Lobato Torres</v>
          </cell>
          <cell r="F6287">
            <v>300</v>
          </cell>
          <cell r="G6287">
            <v>1</v>
          </cell>
          <cell r="H6287">
            <v>400</v>
          </cell>
          <cell r="I6287">
            <v>42071</v>
          </cell>
          <cell r="J6287">
            <v>0</v>
          </cell>
          <cell r="W6287">
            <v>0</v>
          </cell>
          <cell r="AJ6287">
            <v>0</v>
          </cell>
          <cell r="AW6287">
            <v>0</v>
          </cell>
          <cell r="AZ6287">
            <v>400</v>
          </cell>
          <cell r="BJ6287">
            <v>400</v>
          </cell>
        </row>
        <row r="6288">
          <cell r="B6288">
            <v>9069</v>
          </cell>
          <cell r="C6288" t="str">
            <v>ZB_24_</v>
          </cell>
          <cell r="D6288" t="str">
            <v>Rancho Zinamba No. 24</v>
          </cell>
          <cell r="E6288" t="str">
            <v>Monroy García</v>
          </cell>
          <cell r="F6288">
            <v>300</v>
          </cell>
          <cell r="G6288">
            <v>1</v>
          </cell>
          <cell r="H6288">
            <v>400</v>
          </cell>
          <cell r="I6288">
            <v>42071</v>
          </cell>
          <cell r="J6288">
            <v>0</v>
          </cell>
          <cell r="W6288">
            <v>0</v>
          </cell>
          <cell r="AJ6288">
            <v>0</v>
          </cell>
          <cell r="AW6288">
            <v>0</v>
          </cell>
          <cell r="AZ6288">
            <v>400</v>
          </cell>
          <cell r="BJ6288">
            <v>400</v>
          </cell>
        </row>
        <row r="6289">
          <cell r="B6289">
            <v>9070</v>
          </cell>
          <cell r="C6289" t="str">
            <v>ZB_88_</v>
          </cell>
          <cell r="D6289" t="str">
            <v>Rancho Zinamba No. 88</v>
          </cell>
          <cell r="E6289" t="str">
            <v>Martínez</v>
          </cell>
          <cell r="F6289">
            <v>250</v>
          </cell>
          <cell r="G6289">
            <v>1</v>
          </cell>
          <cell r="H6289">
            <v>350</v>
          </cell>
          <cell r="I6289">
            <v>42071</v>
          </cell>
          <cell r="J6289">
            <v>0</v>
          </cell>
          <cell r="W6289">
            <v>0</v>
          </cell>
          <cell r="AJ6289">
            <v>0</v>
          </cell>
          <cell r="AW6289">
            <v>0</v>
          </cell>
          <cell r="AZ6289">
            <v>350</v>
          </cell>
          <cell r="BJ6289">
            <v>350</v>
          </cell>
        </row>
        <row r="6290">
          <cell r="B6290">
            <v>9071</v>
          </cell>
          <cell r="C6290" t="str">
            <v>CL_43_B</v>
          </cell>
          <cell r="D6290" t="str">
            <v>Rancho La Cuchilla No. 43, B</v>
          </cell>
          <cell r="E6290" t="str">
            <v>Luna Albertano</v>
          </cell>
          <cell r="F6290">
            <v>125</v>
          </cell>
          <cell r="G6290">
            <v>1</v>
          </cell>
          <cell r="H6290">
            <v>125</v>
          </cell>
          <cell r="I6290">
            <v>42071</v>
          </cell>
          <cell r="J6290">
            <v>0</v>
          </cell>
          <cell r="W6290">
            <v>0</v>
          </cell>
          <cell r="AJ6290">
            <v>0</v>
          </cell>
          <cell r="AW6290">
            <v>0</v>
          </cell>
          <cell r="AZ6290">
            <v>125</v>
          </cell>
          <cell r="BJ6290">
            <v>125</v>
          </cell>
        </row>
        <row r="6291">
          <cell r="B6291">
            <v>9072</v>
          </cell>
          <cell r="C6291" t="str">
            <v>CL_120_</v>
          </cell>
          <cell r="D6291" t="str">
            <v>Rancho La Cuchilla No. 120</v>
          </cell>
          <cell r="E6291" t="str">
            <v>Pozos Vilchis</v>
          </cell>
          <cell r="F6291">
            <v>300</v>
          </cell>
          <cell r="G6291">
            <v>1</v>
          </cell>
          <cell r="H6291">
            <v>400</v>
          </cell>
          <cell r="I6291">
            <v>42071</v>
          </cell>
          <cell r="J6291">
            <v>0</v>
          </cell>
          <cell r="W6291">
            <v>0</v>
          </cell>
          <cell r="AJ6291">
            <v>0</v>
          </cell>
          <cell r="AW6291">
            <v>0</v>
          </cell>
          <cell r="AZ6291">
            <v>400</v>
          </cell>
          <cell r="BJ6291">
            <v>400</v>
          </cell>
        </row>
        <row r="6292">
          <cell r="B6292">
            <v>9073</v>
          </cell>
          <cell r="C6292" t="str">
            <v>LD_18_</v>
          </cell>
          <cell r="D6292" t="str">
            <v>Rancho Landero No. 18</v>
          </cell>
          <cell r="E6292" t="str">
            <v>Rosado</v>
          </cell>
          <cell r="F6292">
            <v>250</v>
          </cell>
          <cell r="G6292">
            <v>1</v>
          </cell>
          <cell r="H6292">
            <v>300</v>
          </cell>
          <cell r="I6292">
            <v>42071</v>
          </cell>
          <cell r="J6292">
            <v>0</v>
          </cell>
          <cell r="W6292">
            <v>0</v>
          </cell>
          <cell r="AJ6292">
            <v>0</v>
          </cell>
          <cell r="AW6292">
            <v>0</v>
          </cell>
          <cell r="AY6292">
            <v>300</v>
          </cell>
          <cell r="BJ6292">
            <v>300</v>
          </cell>
        </row>
        <row r="6293">
          <cell r="B6293">
            <v>9074</v>
          </cell>
          <cell r="C6293" t="str">
            <v>EZ_61_</v>
          </cell>
          <cell r="D6293" t="str">
            <v>Rancho Estanzuela No. 61</v>
          </cell>
          <cell r="E6293" t="str">
            <v>González Almazán</v>
          </cell>
          <cell r="F6293">
            <v>300</v>
          </cell>
          <cell r="G6293">
            <v>1</v>
          </cell>
          <cell r="H6293">
            <v>600</v>
          </cell>
          <cell r="I6293">
            <v>42071</v>
          </cell>
          <cell r="J6293">
            <v>0</v>
          </cell>
          <cell r="W6293">
            <v>0</v>
          </cell>
          <cell r="AJ6293">
            <v>0</v>
          </cell>
          <cell r="AW6293">
            <v>0</v>
          </cell>
          <cell r="AY6293">
            <v>300</v>
          </cell>
          <cell r="AZ6293">
            <v>300</v>
          </cell>
          <cell r="BJ6293">
            <v>600</v>
          </cell>
        </row>
        <row r="6294">
          <cell r="B6294">
            <v>9075</v>
          </cell>
          <cell r="D6294" t="str">
            <v/>
          </cell>
          <cell r="E6294" t="str">
            <v/>
          </cell>
          <cell r="F6294" t="str">
            <v/>
          </cell>
          <cell r="G6294">
            <v>8</v>
          </cell>
          <cell r="J6294" t="str">
            <v>NO SUMA</v>
          </cell>
          <cell r="W6294">
            <v>0</v>
          </cell>
          <cell r="AJ6294">
            <v>0</v>
          </cell>
          <cell r="AW6294">
            <v>0</v>
          </cell>
          <cell r="BJ6294">
            <v>0</v>
          </cell>
        </row>
        <row r="6295">
          <cell r="B6295">
            <v>9076</v>
          </cell>
          <cell r="C6295" t="str">
            <v>LD_71_</v>
          </cell>
          <cell r="D6295" t="str">
            <v>Rancho Landero No. 71</v>
          </cell>
          <cell r="E6295" t="str">
            <v>Cabrera Balcázar</v>
          </cell>
          <cell r="F6295">
            <v>300</v>
          </cell>
          <cell r="G6295">
            <v>1</v>
          </cell>
          <cell r="H6295">
            <v>400</v>
          </cell>
          <cell r="I6295">
            <v>42071</v>
          </cell>
          <cell r="J6295">
            <v>0</v>
          </cell>
          <cell r="W6295">
            <v>0</v>
          </cell>
          <cell r="AJ6295">
            <v>0</v>
          </cell>
          <cell r="AW6295">
            <v>0</v>
          </cell>
          <cell r="AZ6295">
            <v>400</v>
          </cell>
          <cell r="BJ6295">
            <v>400</v>
          </cell>
        </row>
        <row r="6296">
          <cell r="B6296">
            <v>9077</v>
          </cell>
          <cell r="C6296" t="str">
            <v>UP_21_</v>
          </cell>
          <cell r="D6296" t="str">
            <v>Rancho Upácuaro No. 21</v>
          </cell>
          <cell r="E6296" t="str">
            <v>Fierro Betancourt</v>
          </cell>
          <cell r="F6296">
            <v>150</v>
          </cell>
          <cell r="G6296">
            <v>1</v>
          </cell>
          <cell r="H6296">
            <v>200</v>
          </cell>
          <cell r="I6296">
            <v>42043</v>
          </cell>
          <cell r="J6296">
            <v>0</v>
          </cell>
          <cell r="W6296">
            <v>0</v>
          </cell>
          <cell r="AJ6296">
            <v>0</v>
          </cell>
          <cell r="AW6296">
            <v>0</v>
          </cell>
          <cell r="AY6296">
            <v>200</v>
          </cell>
          <cell r="BJ6296">
            <v>200</v>
          </cell>
        </row>
        <row r="6297">
          <cell r="B6297">
            <v>9078</v>
          </cell>
          <cell r="C6297" t="str">
            <v>CL_32_</v>
          </cell>
          <cell r="D6297" t="str">
            <v>Rancho La Cuchilla No. 32</v>
          </cell>
          <cell r="E6297" t="str">
            <v>Hernández</v>
          </cell>
          <cell r="F6297">
            <v>300</v>
          </cell>
          <cell r="G6297">
            <v>1</v>
          </cell>
          <cell r="H6297">
            <v>800</v>
          </cell>
          <cell r="I6297">
            <v>42071</v>
          </cell>
          <cell r="J6297">
            <v>0</v>
          </cell>
          <cell r="W6297">
            <v>0</v>
          </cell>
          <cell r="AJ6297">
            <v>0</v>
          </cell>
          <cell r="AV6297">
            <v>400</v>
          </cell>
          <cell r="AW6297">
            <v>400</v>
          </cell>
          <cell r="AX6297">
            <v>400</v>
          </cell>
          <cell r="BJ6297">
            <v>400</v>
          </cell>
        </row>
        <row r="6298">
          <cell r="B6298">
            <v>9079</v>
          </cell>
          <cell r="C6298" t="str">
            <v>LD_68_</v>
          </cell>
          <cell r="D6298" t="str">
            <v>Rancho Landero No. 68</v>
          </cell>
          <cell r="E6298" t="str">
            <v>Moreno</v>
          </cell>
          <cell r="F6298">
            <v>300</v>
          </cell>
          <cell r="G6298">
            <v>1</v>
          </cell>
          <cell r="H6298">
            <v>800</v>
          </cell>
          <cell r="I6298">
            <v>42071</v>
          </cell>
          <cell r="J6298">
            <v>0</v>
          </cell>
          <cell r="W6298">
            <v>0</v>
          </cell>
          <cell r="AJ6298">
            <v>0</v>
          </cell>
          <cell r="AW6298">
            <v>0</v>
          </cell>
          <cell r="AX6298">
            <v>400</v>
          </cell>
          <cell r="AY6298">
            <v>400</v>
          </cell>
          <cell r="BJ6298">
            <v>800</v>
          </cell>
        </row>
        <row r="6299">
          <cell r="B6299">
            <v>9080</v>
          </cell>
          <cell r="C6299" t="str">
            <v>EZ_55_</v>
          </cell>
          <cell r="D6299" t="str">
            <v>Rancho Estanzuela No. 55</v>
          </cell>
          <cell r="E6299" t="str">
            <v>Rodríguez Acevedo</v>
          </cell>
          <cell r="F6299">
            <v>300</v>
          </cell>
          <cell r="G6299">
            <v>1</v>
          </cell>
          <cell r="H6299">
            <v>400</v>
          </cell>
          <cell r="I6299">
            <v>42071</v>
          </cell>
          <cell r="J6299">
            <v>0</v>
          </cell>
          <cell r="W6299">
            <v>0</v>
          </cell>
          <cell r="AJ6299">
            <v>0</v>
          </cell>
          <cell r="AW6299">
            <v>0</v>
          </cell>
          <cell r="AZ6299">
            <v>400</v>
          </cell>
          <cell r="BJ6299">
            <v>400</v>
          </cell>
        </row>
        <row r="6300">
          <cell r="B6300">
            <v>9080</v>
          </cell>
          <cell r="C6300" t="str">
            <v>EZ_55_</v>
          </cell>
          <cell r="D6300" t="str">
            <v>Rancho Estanzuela No. 55</v>
          </cell>
          <cell r="E6300" t="str">
            <v>Rodríguez Acevedo</v>
          </cell>
          <cell r="F6300">
            <v>300</v>
          </cell>
          <cell r="G6300">
            <v>3</v>
          </cell>
          <cell r="H6300">
            <v>160</v>
          </cell>
          <cell r="I6300">
            <v>42071</v>
          </cell>
          <cell r="J6300" t="str">
            <v>NO SUMA</v>
          </cell>
          <cell r="W6300">
            <v>0</v>
          </cell>
          <cell r="AJ6300">
            <v>0</v>
          </cell>
          <cell r="AW6300">
            <v>0</v>
          </cell>
          <cell r="BJ6300">
            <v>0</v>
          </cell>
        </row>
        <row r="6301">
          <cell r="B6301">
            <v>9081</v>
          </cell>
          <cell r="C6301" t="str">
            <v>LD_7_</v>
          </cell>
          <cell r="D6301" t="str">
            <v>Rancho Landero No. 7</v>
          </cell>
          <cell r="E6301" t="str">
            <v>Robles</v>
          </cell>
          <cell r="F6301">
            <v>150</v>
          </cell>
          <cell r="G6301">
            <v>1</v>
          </cell>
          <cell r="H6301">
            <v>150</v>
          </cell>
          <cell r="I6301">
            <v>42071</v>
          </cell>
          <cell r="J6301">
            <v>0</v>
          </cell>
          <cell r="W6301">
            <v>0</v>
          </cell>
          <cell r="AJ6301">
            <v>0</v>
          </cell>
          <cell r="AW6301">
            <v>0</v>
          </cell>
          <cell r="AZ6301">
            <v>150</v>
          </cell>
          <cell r="BJ6301">
            <v>150</v>
          </cell>
        </row>
        <row r="6302">
          <cell r="B6302">
            <v>9082</v>
          </cell>
          <cell r="C6302" t="str">
            <v>UP_110_</v>
          </cell>
          <cell r="D6302" t="str">
            <v>Rancho Upácuaro No. 110</v>
          </cell>
          <cell r="E6302" t="str">
            <v>Ruiz Mijangos</v>
          </cell>
          <cell r="F6302">
            <v>300</v>
          </cell>
          <cell r="G6302">
            <v>1</v>
          </cell>
          <cell r="H6302">
            <v>900</v>
          </cell>
          <cell r="I6302">
            <v>42071</v>
          </cell>
          <cell r="J6302">
            <v>0</v>
          </cell>
          <cell r="W6302">
            <v>0</v>
          </cell>
          <cell r="AJ6302">
            <v>0</v>
          </cell>
          <cell r="AW6302">
            <v>0</v>
          </cell>
          <cell r="AX6302">
            <v>300</v>
          </cell>
          <cell r="AY6302">
            <v>300</v>
          </cell>
          <cell r="AZ6302">
            <v>300</v>
          </cell>
          <cell r="BJ6302">
            <v>900</v>
          </cell>
        </row>
        <row r="6303">
          <cell r="B6303">
            <v>9083</v>
          </cell>
          <cell r="C6303" t="str">
            <v>RV_1_</v>
          </cell>
          <cell r="D6303" t="str">
            <v>Rancho Recoveco No. 1</v>
          </cell>
          <cell r="E6303" t="str">
            <v>Díaz</v>
          </cell>
          <cell r="F6303">
            <v>300</v>
          </cell>
          <cell r="G6303">
            <v>1</v>
          </cell>
          <cell r="H6303">
            <v>300</v>
          </cell>
          <cell r="I6303">
            <v>42071</v>
          </cell>
          <cell r="J6303">
            <v>0</v>
          </cell>
          <cell r="W6303">
            <v>0</v>
          </cell>
          <cell r="AJ6303">
            <v>0</v>
          </cell>
          <cell r="AW6303">
            <v>0</v>
          </cell>
          <cell r="AZ6303">
            <v>300</v>
          </cell>
          <cell r="BJ6303">
            <v>300</v>
          </cell>
        </row>
        <row r="6304">
          <cell r="B6304">
            <v>9084</v>
          </cell>
          <cell r="C6304" t="str">
            <v>RM_9_B</v>
          </cell>
          <cell r="D6304" t="str">
            <v>Rancho Romeral No. 9, B</v>
          </cell>
          <cell r="E6304" t="str">
            <v>Morales Macías</v>
          </cell>
          <cell r="F6304">
            <v>100</v>
          </cell>
          <cell r="G6304">
            <v>1</v>
          </cell>
          <cell r="H6304">
            <v>300</v>
          </cell>
          <cell r="I6304">
            <v>42071</v>
          </cell>
          <cell r="J6304">
            <v>0</v>
          </cell>
          <cell r="W6304">
            <v>0</v>
          </cell>
          <cell r="AJ6304">
            <v>0</v>
          </cell>
          <cell r="AW6304">
            <v>0</v>
          </cell>
          <cell r="AX6304">
            <v>100</v>
          </cell>
          <cell r="AY6304">
            <v>100</v>
          </cell>
          <cell r="AZ6304">
            <v>100</v>
          </cell>
          <cell r="BJ6304">
            <v>300</v>
          </cell>
        </row>
        <row r="6305">
          <cell r="B6305">
            <v>9085</v>
          </cell>
          <cell r="C6305" t="str">
            <v>EZ_7_A</v>
          </cell>
          <cell r="D6305" t="str">
            <v>Rancho Estanzuela No. 7, A</v>
          </cell>
          <cell r="E6305" t="str">
            <v>Herrera Izquierdo</v>
          </cell>
          <cell r="F6305">
            <v>150</v>
          </cell>
          <cell r="G6305">
            <v>1</v>
          </cell>
          <cell r="H6305">
            <v>400</v>
          </cell>
          <cell r="I6305">
            <v>42071</v>
          </cell>
          <cell r="J6305">
            <v>0</v>
          </cell>
          <cell r="W6305">
            <v>0</v>
          </cell>
          <cell r="AJ6305">
            <v>0</v>
          </cell>
          <cell r="AW6305">
            <v>0</v>
          </cell>
          <cell r="AY6305">
            <v>200</v>
          </cell>
          <cell r="AZ6305">
            <v>200</v>
          </cell>
          <cell r="BJ6305">
            <v>400</v>
          </cell>
        </row>
        <row r="6306">
          <cell r="B6306">
            <v>9086</v>
          </cell>
          <cell r="C6306" t="str">
            <v>EZ_63_</v>
          </cell>
          <cell r="D6306" t="str">
            <v>Rancho Estanzuela No. 63</v>
          </cell>
          <cell r="E6306" t="str">
            <v>Mendoza Q.</v>
          </cell>
          <cell r="F6306">
            <v>200</v>
          </cell>
          <cell r="G6306">
            <v>1</v>
          </cell>
          <cell r="H6306">
            <v>1800</v>
          </cell>
          <cell r="I6306">
            <v>42071</v>
          </cell>
          <cell r="J6306">
            <v>0</v>
          </cell>
          <cell r="W6306">
            <v>0</v>
          </cell>
          <cell r="AJ6306">
            <v>0</v>
          </cell>
          <cell r="AW6306">
            <v>0</v>
          </cell>
          <cell r="AX6306">
            <v>300</v>
          </cell>
          <cell r="AY6306">
            <v>300</v>
          </cell>
          <cell r="AZ6306">
            <v>300</v>
          </cell>
          <cell r="BA6306">
            <v>300</v>
          </cell>
          <cell r="BB6306">
            <v>300</v>
          </cell>
          <cell r="BC6306">
            <v>300</v>
          </cell>
          <cell r="BJ6306">
            <v>1800</v>
          </cell>
        </row>
        <row r="6307">
          <cell r="B6307">
            <v>9087</v>
          </cell>
          <cell r="C6307" t="str">
            <v>EZ_63_</v>
          </cell>
          <cell r="D6307" t="str">
            <v>Rancho Estanzuela No. 63</v>
          </cell>
          <cell r="E6307" t="str">
            <v>Mendoza Q.</v>
          </cell>
          <cell r="F6307">
            <v>200</v>
          </cell>
          <cell r="G6307">
            <v>4</v>
          </cell>
          <cell r="H6307">
            <v>160</v>
          </cell>
          <cell r="I6307">
            <v>42071</v>
          </cell>
          <cell r="J6307" t="str">
            <v>NO SUMA</v>
          </cell>
          <cell r="W6307">
            <v>0</v>
          </cell>
          <cell r="AJ6307">
            <v>0</v>
          </cell>
          <cell r="AW6307">
            <v>0</v>
          </cell>
          <cell r="BJ6307">
            <v>0</v>
          </cell>
        </row>
        <row r="6308">
          <cell r="B6308">
            <v>9088</v>
          </cell>
          <cell r="C6308" t="str">
            <v>CL_40_</v>
          </cell>
          <cell r="D6308" t="str">
            <v>Rancho La Cuchilla No. 40</v>
          </cell>
          <cell r="E6308" t="str">
            <v>López Pico</v>
          </cell>
          <cell r="F6308">
            <v>300</v>
          </cell>
          <cell r="G6308">
            <v>1</v>
          </cell>
          <cell r="H6308">
            <v>400</v>
          </cell>
          <cell r="I6308">
            <v>42071</v>
          </cell>
          <cell r="J6308">
            <v>0</v>
          </cell>
          <cell r="W6308">
            <v>0</v>
          </cell>
          <cell r="AJ6308">
            <v>0</v>
          </cell>
          <cell r="AW6308">
            <v>0</v>
          </cell>
          <cell r="AZ6308">
            <v>400</v>
          </cell>
          <cell r="BJ6308">
            <v>400</v>
          </cell>
        </row>
        <row r="6309">
          <cell r="B6309">
            <v>9089</v>
          </cell>
          <cell r="C6309" t="str">
            <v>CL_41_</v>
          </cell>
          <cell r="D6309" t="str">
            <v>Rancho La Cuchilla No. 41</v>
          </cell>
          <cell r="E6309" t="str">
            <v>Arriaga Lemus</v>
          </cell>
          <cell r="F6309">
            <v>250</v>
          </cell>
          <cell r="G6309">
            <v>1</v>
          </cell>
          <cell r="H6309">
            <v>400</v>
          </cell>
          <cell r="I6309">
            <v>42071</v>
          </cell>
          <cell r="J6309">
            <v>0</v>
          </cell>
          <cell r="W6309">
            <v>0</v>
          </cell>
          <cell r="AJ6309">
            <v>0</v>
          </cell>
          <cell r="AW6309">
            <v>0</v>
          </cell>
          <cell r="AZ6309">
            <v>400</v>
          </cell>
          <cell r="BJ6309">
            <v>400</v>
          </cell>
        </row>
        <row r="6310">
          <cell r="B6310">
            <v>9090</v>
          </cell>
          <cell r="C6310" t="str">
            <v>EZ_79_</v>
          </cell>
          <cell r="D6310" t="str">
            <v>Rancho Estanzuela No. 79</v>
          </cell>
          <cell r="E6310" t="str">
            <v>Mendoza</v>
          </cell>
          <cell r="F6310">
            <v>300</v>
          </cell>
          <cell r="G6310">
            <v>1</v>
          </cell>
          <cell r="H6310">
            <v>1200</v>
          </cell>
          <cell r="I6310">
            <v>42071</v>
          </cell>
          <cell r="J6310">
            <v>0</v>
          </cell>
          <cell r="W6310">
            <v>0</v>
          </cell>
          <cell r="AJ6310">
            <v>0</v>
          </cell>
          <cell r="AW6310">
            <v>0</v>
          </cell>
          <cell r="AX6310">
            <v>400</v>
          </cell>
          <cell r="AY6310">
            <v>400</v>
          </cell>
          <cell r="AZ6310">
            <v>400</v>
          </cell>
          <cell r="BJ6310">
            <v>1200</v>
          </cell>
        </row>
        <row r="6311">
          <cell r="B6311">
            <v>9091</v>
          </cell>
          <cell r="C6311" t="str">
            <v>EZ_79_</v>
          </cell>
          <cell r="D6311" t="str">
            <v>Rancho Estanzuela No. 79</v>
          </cell>
          <cell r="E6311" t="str">
            <v>Mendoza</v>
          </cell>
          <cell r="F6311">
            <v>300</v>
          </cell>
          <cell r="G6311">
            <v>4</v>
          </cell>
          <cell r="H6311">
            <v>320</v>
          </cell>
          <cell r="I6311">
            <v>42071</v>
          </cell>
          <cell r="J6311" t="str">
            <v>NO SUMA</v>
          </cell>
          <cell r="W6311">
            <v>0</v>
          </cell>
          <cell r="AJ6311">
            <v>0</v>
          </cell>
          <cell r="AW6311">
            <v>0</v>
          </cell>
          <cell r="BJ6311">
            <v>0</v>
          </cell>
        </row>
        <row r="6312">
          <cell r="B6312">
            <v>9092</v>
          </cell>
          <cell r="C6312" t="str">
            <v>RV_193_</v>
          </cell>
          <cell r="D6312" t="str">
            <v>Rancho Recoveco No. 193</v>
          </cell>
          <cell r="E6312" t="str">
            <v>Salazar Pérez</v>
          </cell>
          <cell r="F6312">
            <v>300</v>
          </cell>
          <cell r="G6312">
            <v>1</v>
          </cell>
          <cell r="H6312">
            <v>400</v>
          </cell>
          <cell r="I6312">
            <v>42071</v>
          </cell>
          <cell r="J6312">
            <v>0</v>
          </cell>
          <cell r="W6312">
            <v>0</v>
          </cell>
          <cell r="AJ6312">
            <v>0</v>
          </cell>
          <cell r="AW6312">
            <v>0</v>
          </cell>
          <cell r="AZ6312">
            <v>400</v>
          </cell>
          <cell r="BJ6312">
            <v>400</v>
          </cell>
        </row>
        <row r="6313">
          <cell r="B6313">
            <v>9093</v>
          </cell>
          <cell r="C6313" t="str">
            <v>UP_78_</v>
          </cell>
          <cell r="D6313" t="str">
            <v>Rancho Upácuaro No. 78</v>
          </cell>
          <cell r="E6313" t="str">
            <v>Villaseñor Carranza</v>
          </cell>
          <cell r="F6313">
            <v>300</v>
          </cell>
          <cell r="G6313">
            <v>1</v>
          </cell>
          <cell r="H6313">
            <v>4800</v>
          </cell>
          <cell r="I6313">
            <v>42071</v>
          </cell>
          <cell r="J6313">
            <v>0</v>
          </cell>
          <cell r="W6313">
            <v>0</v>
          </cell>
          <cell r="AJ6313">
            <v>0</v>
          </cell>
          <cell r="AW6313">
            <v>0</v>
          </cell>
          <cell r="AX6313">
            <v>400</v>
          </cell>
          <cell r="AY6313">
            <v>400</v>
          </cell>
          <cell r="AZ6313">
            <v>400</v>
          </cell>
          <cell r="BA6313">
            <v>400</v>
          </cell>
          <cell r="BB6313">
            <v>400</v>
          </cell>
          <cell r="BC6313">
            <v>400</v>
          </cell>
          <cell r="BD6313">
            <v>400</v>
          </cell>
          <cell r="BE6313">
            <v>400</v>
          </cell>
          <cell r="BF6313">
            <v>400</v>
          </cell>
          <cell r="BG6313">
            <v>400</v>
          </cell>
          <cell r="BH6313">
            <v>400</v>
          </cell>
          <cell r="BI6313">
            <v>400</v>
          </cell>
          <cell r="BJ6313">
            <v>4800</v>
          </cell>
        </row>
        <row r="6314">
          <cell r="B6314">
            <v>9094</v>
          </cell>
          <cell r="C6314" t="str">
            <v>CL_66_</v>
          </cell>
          <cell r="D6314" t="str">
            <v>Rancho La Cuchilla No. 66</v>
          </cell>
          <cell r="E6314" t="str">
            <v>Prieto</v>
          </cell>
          <cell r="F6314">
            <v>300</v>
          </cell>
          <cell r="G6314">
            <v>1</v>
          </cell>
          <cell r="H6314">
            <v>400</v>
          </cell>
          <cell r="I6314">
            <v>42071</v>
          </cell>
          <cell r="J6314">
            <v>0</v>
          </cell>
          <cell r="W6314">
            <v>0</v>
          </cell>
          <cell r="AJ6314">
            <v>0</v>
          </cell>
          <cell r="AW6314">
            <v>0</v>
          </cell>
          <cell r="AZ6314">
            <v>400</v>
          </cell>
          <cell r="BJ6314">
            <v>400</v>
          </cell>
        </row>
        <row r="6315">
          <cell r="B6315">
            <v>9095</v>
          </cell>
          <cell r="C6315" t="str">
            <v>EZ_65_</v>
          </cell>
          <cell r="D6315" t="str">
            <v>Rancho Estanzuela No. 65</v>
          </cell>
          <cell r="E6315" t="str">
            <v>López Becerril</v>
          </cell>
          <cell r="F6315">
            <v>300</v>
          </cell>
          <cell r="G6315">
            <v>1</v>
          </cell>
          <cell r="H6315">
            <v>400</v>
          </cell>
          <cell r="I6315">
            <v>42071</v>
          </cell>
          <cell r="J6315">
            <v>0</v>
          </cell>
          <cell r="W6315">
            <v>0</v>
          </cell>
          <cell r="AJ6315">
            <v>0</v>
          </cell>
          <cell r="AW6315">
            <v>0</v>
          </cell>
          <cell r="AZ6315">
            <v>400</v>
          </cell>
          <cell r="BJ6315">
            <v>400</v>
          </cell>
        </row>
        <row r="6316">
          <cell r="B6316">
            <v>9096</v>
          </cell>
          <cell r="C6316" t="str">
            <v>RM_9_A</v>
          </cell>
          <cell r="D6316" t="str">
            <v>Rancho Romeral No. 9, A</v>
          </cell>
          <cell r="E6316" t="str">
            <v>Quiñones Hernández</v>
          </cell>
          <cell r="F6316">
            <v>300</v>
          </cell>
          <cell r="G6316">
            <v>1</v>
          </cell>
          <cell r="H6316">
            <v>800</v>
          </cell>
          <cell r="I6316">
            <v>42071</v>
          </cell>
          <cell r="J6316">
            <v>0</v>
          </cell>
          <cell r="W6316">
            <v>0</v>
          </cell>
          <cell r="AJ6316">
            <v>0</v>
          </cell>
          <cell r="AW6316">
            <v>0</v>
          </cell>
          <cell r="AY6316">
            <v>400</v>
          </cell>
          <cell r="AZ6316">
            <v>400</v>
          </cell>
          <cell r="BJ6316">
            <v>800</v>
          </cell>
        </row>
        <row r="6317">
          <cell r="B6317">
            <v>9097</v>
          </cell>
          <cell r="C6317" t="str">
            <v>UP_71_</v>
          </cell>
          <cell r="D6317" t="str">
            <v>Rancho Upácuaro No. 71</v>
          </cell>
          <cell r="E6317" t="str">
            <v>Trejo Méndez</v>
          </cell>
          <cell r="F6317">
            <v>300</v>
          </cell>
          <cell r="G6317">
            <v>1</v>
          </cell>
          <cell r="H6317">
            <v>400</v>
          </cell>
          <cell r="I6317">
            <v>42071</v>
          </cell>
          <cell r="J6317">
            <v>0</v>
          </cell>
          <cell r="W6317">
            <v>0</v>
          </cell>
          <cell r="AJ6317">
            <v>0</v>
          </cell>
          <cell r="AW6317">
            <v>0</v>
          </cell>
          <cell r="AZ6317">
            <v>400</v>
          </cell>
          <cell r="BJ6317">
            <v>400</v>
          </cell>
        </row>
        <row r="6318">
          <cell r="B6318">
            <v>9098</v>
          </cell>
          <cell r="C6318" t="str">
            <v>LD_101_</v>
          </cell>
          <cell r="D6318" t="str">
            <v>Rancho Landero No. 101</v>
          </cell>
          <cell r="E6318" t="str">
            <v>Ramírez</v>
          </cell>
          <cell r="F6318">
            <v>300</v>
          </cell>
          <cell r="G6318">
            <v>1</v>
          </cell>
          <cell r="H6318">
            <v>400</v>
          </cell>
          <cell r="I6318">
            <v>42071</v>
          </cell>
          <cell r="J6318">
            <v>0</v>
          </cell>
          <cell r="W6318">
            <v>0</v>
          </cell>
          <cell r="AJ6318">
            <v>0</v>
          </cell>
          <cell r="AW6318">
            <v>0</v>
          </cell>
          <cell r="AZ6318">
            <v>400</v>
          </cell>
          <cell r="BJ6318">
            <v>400</v>
          </cell>
        </row>
        <row r="6319">
          <cell r="B6319">
            <v>9099</v>
          </cell>
          <cell r="C6319" t="str">
            <v>LD_77_</v>
          </cell>
          <cell r="D6319" t="str">
            <v>Rancho Landero No. 77</v>
          </cell>
          <cell r="E6319" t="str">
            <v>Muñoz</v>
          </cell>
          <cell r="F6319">
            <v>300</v>
          </cell>
          <cell r="G6319">
            <v>1</v>
          </cell>
          <cell r="H6319">
            <v>800</v>
          </cell>
          <cell r="I6319">
            <v>42071</v>
          </cell>
          <cell r="J6319">
            <v>0</v>
          </cell>
          <cell r="W6319">
            <v>0</v>
          </cell>
          <cell r="AJ6319">
            <v>0</v>
          </cell>
          <cell r="AW6319">
            <v>0</v>
          </cell>
          <cell r="AY6319">
            <v>400</v>
          </cell>
          <cell r="AZ6319">
            <v>400</v>
          </cell>
          <cell r="BJ6319">
            <v>800</v>
          </cell>
        </row>
        <row r="6320">
          <cell r="B6320">
            <v>9100</v>
          </cell>
          <cell r="C6320" t="str">
            <v>CL_90_</v>
          </cell>
          <cell r="D6320" t="str">
            <v>Rancho La Cuchilla No. 90</v>
          </cell>
          <cell r="E6320" t="str">
            <v>Porras Fuentes</v>
          </cell>
          <cell r="F6320">
            <v>150</v>
          </cell>
          <cell r="G6320">
            <v>1</v>
          </cell>
          <cell r="H6320">
            <v>200</v>
          </cell>
          <cell r="I6320">
            <v>42071</v>
          </cell>
          <cell r="J6320">
            <v>0</v>
          </cell>
          <cell r="W6320">
            <v>0</v>
          </cell>
          <cell r="AJ6320">
            <v>0</v>
          </cell>
          <cell r="AW6320">
            <v>0</v>
          </cell>
          <cell r="AY6320">
            <v>200</v>
          </cell>
          <cell r="BJ6320">
            <v>200</v>
          </cell>
        </row>
        <row r="6321">
          <cell r="B6321">
            <v>9101</v>
          </cell>
          <cell r="C6321" t="str">
            <v>CL_112_PB</v>
          </cell>
          <cell r="D6321" t="str">
            <v>Rancho La Cuchilla No. 112, PB</v>
          </cell>
          <cell r="E6321" t="str">
            <v>Soreque</v>
          </cell>
          <cell r="F6321">
            <v>150</v>
          </cell>
          <cell r="G6321">
            <v>1</v>
          </cell>
          <cell r="H6321">
            <v>200</v>
          </cell>
          <cell r="I6321">
            <v>42071</v>
          </cell>
          <cell r="J6321">
            <v>0</v>
          </cell>
          <cell r="W6321">
            <v>0</v>
          </cell>
          <cell r="AJ6321">
            <v>0</v>
          </cell>
          <cell r="AW6321">
            <v>0</v>
          </cell>
          <cell r="AZ6321">
            <v>200</v>
          </cell>
          <cell r="BJ6321">
            <v>200</v>
          </cell>
        </row>
        <row r="6322">
          <cell r="B6322">
            <v>9102</v>
          </cell>
          <cell r="C6322" t="str">
            <v>RV_175_A</v>
          </cell>
          <cell r="D6322" t="str">
            <v>Rancho Recoveco No. 175, A</v>
          </cell>
          <cell r="E6322" t="str">
            <v>Pérez</v>
          </cell>
          <cell r="F6322">
            <v>300</v>
          </cell>
          <cell r="G6322">
            <v>1</v>
          </cell>
          <cell r="H6322">
            <v>400</v>
          </cell>
          <cell r="I6322">
            <v>42071</v>
          </cell>
          <cell r="J6322">
            <v>0</v>
          </cell>
          <cell r="W6322">
            <v>0</v>
          </cell>
          <cell r="AJ6322">
            <v>0</v>
          </cell>
          <cell r="AW6322">
            <v>0</v>
          </cell>
          <cell r="AY6322">
            <v>400</v>
          </cell>
          <cell r="BJ6322">
            <v>400</v>
          </cell>
        </row>
        <row r="6323">
          <cell r="B6323">
            <v>9103</v>
          </cell>
          <cell r="C6323" t="str">
            <v>LD_99_</v>
          </cell>
          <cell r="D6323" t="str">
            <v>Rancho Landero No. 99</v>
          </cell>
          <cell r="E6323" t="str">
            <v>Rangel</v>
          </cell>
          <cell r="F6323">
            <v>300</v>
          </cell>
          <cell r="G6323">
            <v>1</v>
          </cell>
          <cell r="H6323">
            <v>300</v>
          </cell>
          <cell r="I6323">
            <v>42071</v>
          </cell>
          <cell r="J6323">
            <v>0</v>
          </cell>
          <cell r="W6323">
            <v>0</v>
          </cell>
          <cell r="AJ6323">
            <v>0</v>
          </cell>
          <cell r="AW6323">
            <v>0</v>
          </cell>
          <cell r="AX6323">
            <v>300</v>
          </cell>
          <cell r="BJ6323">
            <v>300</v>
          </cell>
        </row>
        <row r="6324">
          <cell r="B6324">
            <v>9104</v>
          </cell>
          <cell r="C6324" t="str">
            <v>CL_45_</v>
          </cell>
          <cell r="D6324" t="str">
            <v>Rancho La Cuchilla No. 45</v>
          </cell>
          <cell r="E6324" t="str">
            <v>Estévez Hernández</v>
          </cell>
          <cell r="F6324">
            <v>300</v>
          </cell>
          <cell r="G6324">
            <v>1</v>
          </cell>
          <cell r="H6324">
            <v>400</v>
          </cell>
          <cell r="I6324">
            <v>42071</v>
          </cell>
          <cell r="J6324">
            <v>0</v>
          </cell>
          <cell r="W6324">
            <v>0</v>
          </cell>
          <cell r="AJ6324">
            <v>0</v>
          </cell>
          <cell r="AW6324">
            <v>0</v>
          </cell>
          <cell r="AZ6324">
            <v>400</v>
          </cell>
          <cell r="BJ6324">
            <v>400</v>
          </cell>
        </row>
        <row r="6325">
          <cell r="B6325">
            <v>9105</v>
          </cell>
          <cell r="C6325" t="str">
            <v>EZ_69_</v>
          </cell>
          <cell r="D6325" t="str">
            <v>Rancho Estanzuela No. 69</v>
          </cell>
          <cell r="E6325" t="str">
            <v>Apaez</v>
          </cell>
          <cell r="F6325">
            <v>300</v>
          </cell>
          <cell r="G6325">
            <v>1</v>
          </cell>
          <cell r="H6325">
            <v>400</v>
          </cell>
          <cell r="I6325">
            <v>42071</v>
          </cell>
          <cell r="J6325">
            <v>0</v>
          </cell>
          <cell r="W6325">
            <v>0</v>
          </cell>
          <cell r="AJ6325">
            <v>0</v>
          </cell>
          <cell r="AW6325">
            <v>0</v>
          </cell>
          <cell r="AZ6325">
            <v>400</v>
          </cell>
          <cell r="BJ6325">
            <v>400</v>
          </cell>
        </row>
        <row r="6326">
          <cell r="B6326">
            <v>9106</v>
          </cell>
          <cell r="C6326" t="str">
            <v>CL_78_</v>
          </cell>
          <cell r="D6326" t="str">
            <v>Rancho La Cuchilla No. 78</v>
          </cell>
          <cell r="E6326" t="str">
            <v>García</v>
          </cell>
          <cell r="F6326">
            <v>400</v>
          </cell>
          <cell r="G6326">
            <v>1</v>
          </cell>
          <cell r="H6326">
            <v>400</v>
          </cell>
          <cell r="I6326">
            <v>42071</v>
          </cell>
          <cell r="J6326">
            <v>0</v>
          </cell>
          <cell r="W6326">
            <v>0</v>
          </cell>
          <cell r="AJ6326">
            <v>0</v>
          </cell>
          <cell r="AW6326">
            <v>0</v>
          </cell>
          <cell r="AZ6326">
            <v>400</v>
          </cell>
          <cell r="BJ6326">
            <v>400</v>
          </cell>
        </row>
        <row r="6327">
          <cell r="B6327">
            <v>9107</v>
          </cell>
          <cell r="C6327" t="str">
            <v>EZ_35_</v>
          </cell>
          <cell r="D6327" t="str">
            <v>Rancho Estanzuela No. 35</v>
          </cell>
          <cell r="E6327" t="str">
            <v>Rodríguez</v>
          </cell>
          <cell r="F6327">
            <v>300</v>
          </cell>
          <cell r="G6327">
            <v>1</v>
          </cell>
          <cell r="H6327">
            <v>400</v>
          </cell>
          <cell r="I6327">
            <v>42071</v>
          </cell>
          <cell r="J6327">
            <v>0</v>
          </cell>
          <cell r="W6327">
            <v>0</v>
          </cell>
          <cell r="AJ6327">
            <v>0</v>
          </cell>
          <cell r="AW6327">
            <v>0</v>
          </cell>
          <cell r="AY6327">
            <v>400</v>
          </cell>
          <cell r="BJ6327">
            <v>400</v>
          </cell>
        </row>
        <row r="6328">
          <cell r="B6328">
            <v>9108</v>
          </cell>
          <cell r="C6328" t="str">
            <v>ZB_8_</v>
          </cell>
          <cell r="D6328" t="str">
            <v>Rancho Zinamba No. 8</v>
          </cell>
          <cell r="E6328" t="str">
            <v>Florido</v>
          </cell>
          <cell r="F6328">
            <v>300</v>
          </cell>
          <cell r="G6328">
            <v>1</v>
          </cell>
          <cell r="H6328">
            <v>400</v>
          </cell>
          <cell r="I6328">
            <v>42072</v>
          </cell>
          <cell r="J6328">
            <v>0</v>
          </cell>
          <cell r="W6328">
            <v>0</v>
          </cell>
          <cell r="AJ6328">
            <v>0</v>
          </cell>
          <cell r="AW6328">
            <v>0</v>
          </cell>
          <cell r="AX6328">
            <v>400</v>
          </cell>
          <cell r="BJ6328">
            <v>400</v>
          </cell>
        </row>
        <row r="6329">
          <cell r="B6329">
            <v>9109</v>
          </cell>
          <cell r="C6329" t="str">
            <v>EZ_55_</v>
          </cell>
          <cell r="D6329" t="str">
            <v>Rancho Estanzuela No. 55</v>
          </cell>
          <cell r="E6329" t="str">
            <v>Rodríguez Acevedo</v>
          </cell>
          <cell r="F6329">
            <v>300</v>
          </cell>
          <cell r="G6329">
            <v>7</v>
          </cell>
          <cell r="H6329">
            <v>1000</v>
          </cell>
          <cell r="I6329">
            <v>42072</v>
          </cell>
          <cell r="J6329" t="str">
            <v>NO SUMA</v>
          </cell>
          <cell r="W6329">
            <v>0</v>
          </cell>
          <cell r="AJ6329">
            <v>0</v>
          </cell>
          <cell r="AW6329">
            <v>0</v>
          </cell>
          <cell r="BJ6329">
            <v>0</v>
          </cell>
        </row>
        <row r="6330">
          <cell r="B6330">
            <v>9110</v>
          </cell>
          <cell r="C6330" t="str">
            <v>LD_85_</v>
          </cell>
          <cell r="D6330" t="str">
            <v>Rancho Landero No. 85</v>
          </cell>
          <cell r="E6330" t="str">
            <v>Martínez Olague</v>
          </cell>
          <cell r="F6330">
            <v>300</v>
          </cell>
          <cell r="G6330">
            <v>1</v>
          </cell>
          <cell r="H6330">
            <v>400</v>
          </cell>
          <cell r="I6330">
            <v>42074</v>
          </cell>
          <cell r="J6330">
            <v>0</v>
          </cell>
          <cell r="W6330">
            <v>0</v>
          </cell>
          <cell r="AJ6330">
            <v>0</v>
          </cell>
          <cell r="AW6330">
            <v>0</v>
          </cell>
          <cell r="AZ6330">
            <v>400</v>
          </cell>
          <cell r="BJ6330">
            <v>400</v>
          </cell>
        </row>
        <row r="6331">
          <cell r="B6331">
            <v>9111</v>
          </cell>
          <cell r="C6331" t="str">
            <v>UP_118_</v>
          </cell>
          <cell r="D6331" t="str">
            <v>Rancho Upácuaro No. 118</v>
          </cell>
          <cell r="E6331" t="str">
            <v>Siegrist</v>
          </cell>
          <cell r="F6331">
            <v>300</v>
          </cell>
          <cell r="G6331">
            <v>1</v>
          </cell>
          <cell r="H6331">
            <v>1200</v>
          </cell>
          <cell r="I6331">
            <v>42074</v>
          </cell>
          <cell r="J6331">
            <v>0</v>
          </cell>
          <cell r="W6331">
            <v>0</v>
          </cell>
          <cell r="AJ6331">
            <v>0</v>
          </cell>
          <cell r="AW6331">
            <v>0</v>
          </cell>
          <cell r="AX6331">
            <v>400</v>
          </cell>
          <cell r="AY6331">
            <v>400</v>
          </cell>
          <cell r="AZ6331">
            <v>400</v>
          </cell>
          <cell r="BJ6331">
            <v>1200</v>
          </cell>
        </row>
        <row r="6332">
          <cell r="B6332">
            <v>9112</v>
          </cell>
          <cell r="C6332" t="str">
            <v>CM_130_A</v>
          </cell>
          <cell r="D6332" t="str">
            <v>Rancho Estanzuela No. 130, A</v>
          </cell>
          <cell r="E6332" t="str">
            <v>Colegio Carmel</v>
          </cell>
          <cell r="F6332">
            <v>10000</v>
          </cell>
          <cell r="G6332">
            <v>3</v>
          </cell>
          <cell r="H6332">
            <v>160</v>
          </cell>
          <cell r="I6332">
            <v>42076</v>
          </cell>
          <cell r="J6332" t="str">
            <v>NO SUMA</v>
          </cell>
          <cell r="W6332">
            <v>0</v>
          </cell>
          <cell r="AJ6332">
            <v>0</v>
          </cell>
          <cell r="AW6332">
            <v>0</v>
          </cell>
          <cell r="BJ6332">
            <v>0</v>
          </cell>
        </row>
        <row r="6333">
          <cell r="B6333">
            <v>9113</v>
          </cell>
          <cell r="C6333" t="str">
            <v>CL_97_</v>
          </cell>
          <cell r="D6333" t="str">
            <v>Rancho La Cuchilla No. 97</v>
          </cell>
          <cell r="E6333" t="str">
            <v>López Ruiz</v>
          </cell>
          <cell r="F6333">
            <v>300</v>
          </cell>
          <cell r="G6333">
            <v>1</v>
          </cell>
          <cell r="H6333">
            <v>600</v>
          </cell>
          <cell r="I6333">
            <v>42076</v>
          </cell>
          <cell r="J6333">
            <v>0</v>
          </cell>
          <cell r="W6333">
            <v>0</v>
          </cell>
          <cell r="AJ6333">
            <v>0</v>
          </cell>
          <cell r="AW6333">
            <v>0</v>
          </cell>
          <cell r="AX6333">
            <v>300</v>
          </cell>
          <cell r="AY6333">
            <v>300</v>
          </cell>
          <cell r="BJ6333">
            <v>600</v>
          </cell>
        </row>
        <row r="6334">
          <cell r="B6334">
            <v>9114</v>
          </cell>
          <cell r="C6334" t="str">
            <v>EZ_47_</v>
          </cell>
          <cell r="D6334" t="str">
            <v>Rancho Estanzuela No. 47</v>
          </cell>
          <cell r="E6334" t="str">
            <v>Bussey García</v>
          </cell>
          <cell r="F6334">
            <v>300</v>
          </cell>
          <cell r="G6334">
            <v>1</v>
          </cell>
          <cell r="H6334">
            <v>400</v>
          </cell>
          <cell r="I6334">
            <v>42078</v>
          </cell>
          <cell r="J6334">
            <v>0</v>
          </cell>
          <cell r="W6334">
            <v>0</v>
          </cell>
          <cell r="AJ6334">
            <v>0</v>
          </cell>
          <cell r="AW6334">
            <v>0</v>
          </cell>
          <cell r="AZ6334">
            <v>400</v>
          </cell>
          <cell r="BJ6334">
            <v>400</v>
          </cell>
        </row>
        <row r="6335">
          <cell r="B6335">
            <v>9115</v>
          </cell>
          <cell r="C6335" t="str">
            <v>LD_2_B</v>
          </cell>
          <cell r="D6335" t="str">
            <v>Rancho Landero No. 2, B</v>
          </cell>
          <cell r="E6335" t="str">
            <v>Zamora Vera</v>
          </cell>
          <cell r="F6335">
            <v>150</v>
          </cell>
          <cell r="G6335">
            <v>1</v>
          </cell>
          <cell r="H6335">
            <v>300</v>
          </cell>
          <cell r="I6335">
            <v>42078</v>
          </cell>
          <cell r="J6335">
            <v>0</v>
          </cell>
          <cell r="W6335">
            <v>0</v>
          </cell>
          <cell r="AJ6335">
            <v>0</v>
          </cell>
          <cell r="AW6335">
            <v>0</v>
          </cell>
          <cell r="AY6335">
            <v>150</v>
          </cell>
          <cell r="AZ6335">
            <v>150</v>
          </cell>
          <cell r="BJ6335">
            <v>300</v>
          </cell>
        </row>
        <row r="6336">
          <cell r="B6336">
            <v>9116</v>
          </cell>
          <cell r="C6336" t="str">
            <v>RV_197_</v>
          </cell>
          <cell r="D6336" t="str">
            <v>Rancho Recoveco No. 197</v>
          </cell>
          <cell r="E6336" t="str">
            <v>Colín González</v>
          </cell>
          <cell r="F6336">
            <v>300</v>
          </cell>
          <cell r="G6336">
            <v>1</v>
          </cell>
          <cell r="H6336">
            <v>400</v>
          </cell>
          <cell r="I6336">
            <v>42078</v>
          </cell>
          <cell r="J6336">
            <v>0</v>
          </cell>
          <cell r="W6336">
            <v>0</v>
          </cell>
          <cell r="AJ6336">
            <v>0</v>
          </cell>
          <cell r="AW6336">
            <v>0</v>
          </cell>
          <cell r="AZ6336">
            <v>400</v>
          </cell>
          <cell r="BJ6336">
            <v>400</v>
          </cell>
        </row>
        <row r="6337">
          <cell r="B6337">
            <v>9117</v>
          </cell>
          <cell r="C6337" t="str">
            <v>LD_89_</v>
          </cell>
          <cell r="D6337" t="str">
            <v>Rancho Landero No. 89</v>
          </cell>
          <cell r="E6337" t="str">
            <v>Del Pozo Solís</v>
          </cell>
          <cell r="F6337">
            <v>300</v>
          </cell>
          <cell r="G6337">
            <v>1</v>
          </cell>
          <cell r="H6337">
            <v>300</v>
          </cell>
          <cell r="I6337">
            <v>42078</v>
          </cell>
          <cell r="J6337">
            <v>0</v>
          </cell>
          <cell r="W6337">
            <v>0</v>
          </cell>
          <cell r="AJ6337">
            <v>0</v>
          </cell>
          <cell r="AW6337">
            <v>0</v>
          </cell>
          <cell r="AZ6337">
            <v>300</v>
          </cell>
          <cell r="BJ6337">
            <v>300</v>
          </cell>
        </row>
        <row r="6338">
          <cell r="B6338">
            <v>9118</v>
          </cell>
          <cell r="C6338" t="str">
            <v>EP_22_A</v>
          </cell>
          <cell r="D6338" t="str">
            <v>Rancho Estopila No. 22, A</v>
          </cell>
          <cell r="E6338" t="str">
            <v>Ayala Carranza</v>
          </cell>
          <cell r="F6338">
            <v>150</v>
          </cell>
          <cell r="G6338">
            <v>1</v>
          </cell>
          <cell r="H6338">
            <v>200</v>
          </cell>
          <cell r="I6338">
            <v>42078</v>
          </cell>
          <cell r="J6338">
            <v>0</v>
          </cell>
          <cell r="W6338">
            <v>0</v>
          </cell>
          <cell r="AJ6338">
            <v>0</v>
          </cell>
          <cell r="AW6338">
            <v>0</v>
          </cell>
          <cell r="AY6338">
            <v>200</v>
          </cell>
          <cell r="BJ6338">
            <v>200</v>
          </cell>
        </row>
        <row r="6339">
          <cell r="B6339">
            <v>9119</v>
          </cell>
          <cell r="C6339" t="str">
            <v>RM_33_</v>
          </cell>
          <cell r="D6339" t="str">
            <v>Rancho Romeral No. 33</v>
          </cell>
          <cell r="E6339" t="str">
            <v>Juárez Alva</v>
          </cell>
          <cell r="F6339">
            <v>300</v>
          </cell>
          <cell r="G6339">
            <v>1</v>
          </cell>
          <cell r="H6339">
            <v>1600</v>
          </cell>
          <cell r="I6339">
            <v>42078</v>
          </cell>
          <cell r="J6339">
            <v>0</v>
          </cell>
          <cell r="W6339">
            <v>0</v>
          </cell>
          <cell r="AJ6339">
            <v>0</v>
          </cell>
          <cell r="AV6339">
            <v>400</v>
          </cell>
          <cell r="AW6339">
            <v>400</v>
          </cell>
          <cell r="AX6339">
            <v>400</v>
          </cell>
          <cell r="AY6339">
            <v>400</v>
          </cell>
          <cell r="AZ6339">
            <v>400</v>
          </cell>
          <cell r="BJ6339">
            <v>1200</v>
          </cell>
        </row>
        <row r="6340">
          <cell r="B6340">
            <v>9120</v>
          </cell>
          <cell r="C6340" t="str">
            <v>CL_149_</v>
          </cell>
          <cell r="D6340" t="str">
            <v>Rancho La Cuchilla No. 149</v>
          </cell>
          <cell r="E6340" t="str">
            <v>Montes Irineos</v>
          </cell>
          <cell r="F6340">
            <v>300</v>
          </cell>
          <cell r="G6340">
            <v>1</v>
          </cell>
          <cell r="H6340">
            <v>2200</v>
          </cell>
          <cell r="I6340">
            <v>42078</v>
          </cell>
          <cell r="J6340">
            <v>0</v>
          </cell>
          <cell r="W6340">
            <v>0</v>
          </cell>
          <cell r="AJ6340">
            <v>0</v>
          </cell>
          <cell r="AW6340">
            <v>0</v>
          </cell>
          <cell r="AX6340">
            <v>200</v>
          </cell>
          <cell r="AY6340">
            <v>200</v>
          </cell>
          <cell r="AZ6340">
            <v>200</v>
          </cell>
          <cell r="BA6340">
            <v>200</v>
          </cell>
          <cell r="BB6340">
            <v>200</v>
          </cell>
          <cell r="BC6340">
            <v>200</v>
          </cell>
          <cell r="BD6340">
            <v>200</v>
          </cell>
          <cell r="BE6340">
            <v>200</v>
          </cell>
          <cell r="BF6340">
            <v>200</v>
          </cell>
          <cell r="BG6340">
            <v>200</v>
          </cell>
          <cell r="BH6340">
            <v>200</v>
          </cell>
          <cell r="BJ6340">
            <v>2200</v>
          </cell>
        </row>
        <row r="6341">
          <cell r="B6341">
            <v>9121</v>
          </cell>
          <cell r="C6341" t="str">
            <v>ZB_8_</v>
          </cell>
          <cell r="D6341" t="str">
            <v>Rancho Zinamba No. 8</v>
          </cell>
          <cell r="E6341" t="str">
            <v>Florido</v>
          </cell>
          <cell r="F6341">
            <v>300</v>
          </cell>
          <cell r="G6341">
            <v>1</v>
          </cell>
          <cell r="H6341">
            <v>800</v>
          </cell>
          <cell r="I6341">
            <v>42078</v>
          </cell>
          <cell r="J6341">
            <v>0</v>
          </cell>
          <cell r="W6341">
            <v>0</v>
          </cell>
          <cell r="AJ6341">
            <v>0</v>
          </cell>
          <cell r="AW6341">
            <v>0</v>
          </cell>
          <cell r="AY6341">
            <v>400</v>
          </cell>
          <cell r="AZ6341">
            <v>400</v>
          </cell>
          <cell r="BJ6341">
            <v>800</v>
          </cell>
        </row>
        <row r="6342">
          <cell r="B6342">
            <v>9122</v>
          </cell>
          <cell r="C6342" t="str">
            <v>ZB_76_</v>
          </cell>
          <cell r="D6342" t="str">
            <v>Rancho Zinamba No. 76</v>
          </cell>
          <cell r="E6342" t="str">
            <v>Márquez</v>
          </cell>
          <cell r="F6342">
            <v>300</v>
          </cell>
          <cell r="G6342">
            <v>1</v>
          </cell>
          <cell r="H6342">
            <v>400</v>
          </cell>
          <cell r="I6342">
            <v>42078</v>
          </cell>
          <cell r="J6342">
            <v>0</v>
          </cell>
          <cell r="W6342">
            <v>0</v>
          </cell>
          <cell r="AJ6342">
            <v>0</v>
          </cell>
          <cell r="AW6342">
            <v>0</v>
          </cell>
          <cell r="AZ6342">
            <v>400</v>
          </cell>
          <cell r="BJ6342">
            <v>400</v>
          </cell>
        </row>
        <row r="6343">
          <cell r="B6343">
            <v>9123</v>
          </cell>
          <cell r="C6343" t="str">
            <v>ZB_76_</v>
          </cell>
          <cell r="D6343" t="str">
            <v>Rancho Zinamba No. 76</v>
          </cell>
          <cell r="E6343" t="str">
            <v>Márquez</v>
          </cell>
          <cell r="F6343">
            <v>300</v>
          </cell>
          <cell r="G6343">
            <v>3</v>
          </cell>
          <cell r="H6343">
            <v>160</v>
          </cell>
          <cell r="I6343">
            <v>42078</v>
          </cell>
          <cell r="J6343" t="str">
            <v>NO SUMA</v>
          </cell>
          <cell r="W6343">
            <v>0</v>
          </cell>
          <cell r="AJ6343">
            <v>0</v>
          </cell>
          <cell r="AW6343">
            <v>0</v>
          </cell>
          <cell r="BJ6343">
            <v>0</v>
          </cell>
        </row>
        <row r="6344">
          <cell r="B6344">
            <v>9124</v>
          </cell>
          <cell r="C6344" t="str">
            <v>LD_90_</v>
          </cell>
          <cell r="D6344" t="str">
            <v>Rancho Landero No. 90</v>
          </cell>
          <cell r="E6344" t="str">
            <v>Córdova Reséndiz</v>
          </cell>
          <cell r="F6344">
            <v>300</v>
          </cell>
          <cell r="G6344">
            <v>1</v>
          </cell>
          <cell r="H6344">
            <v>300</v>
          </cell>
          <cell r="I6344">
            <v>42078</v>
          </cell>
          <cell r="J6344">
            <v>0</v>
          </cell>
          <cell r="W6344">
            <v>0</v>
          </cell>
          <cell r="AJ6344">
            <v>0</v>
          </cell>
          <cell r="AW6344">
            <v>0</v>
          </cell>
          <cell r="AZ6344">
            <v>300</v>
          </cell>
          <cell r="BJ6344">
            <v>300</v>
          </cell>
        </row>
        <row r="6345">
          <cell r="B6345">
            <v>9125</v>
          </cell>
          <cell r="C6345" t="str">
            <v>ZB_38_</v>
          </cell>
          <cell r="D6345" t="str">
            <v>Rancho Zinamba No. 38</v>
          </cell>
          <cell r="E6345" t="str">
            <v>Ramírez Díaz</v>
          </cell>
          <cell r="F6345">
            <v>300</v>
          </cell>
          <cell r="G6345">
            <v>1</v>
          </cell>
          <cell r="H6345">
            <v>400</v>
          </cell>
          <cell r="I6345">
            <v>42078</v>
          </cell>
          <cell r="J6345">
            <v>0</v>
          </cell>
          <cell r="W6345">
            <v>0</v>
          </cell>
          <cell r="AJ6345">
            <v>0</v>
          </cell>
          <cell r="AW6345">
            <v>0</v>
          </cell>
          <cell r="AZ6345">
            <v>400</v>
          </cell>
          <cell r="BJ6345">
            <v>400</v>
          </cell>
        </row>
        <row r="6346">
          <cell r="B6346">
            <v>9126</v>
          </cell>
          <cell r="C6346" t="str">
            <v>LD_84_</v>
          </cell>
          <cell r="D6346" t="str">
            <v>Rancho Landero No. 84</v>
          </cell>
          <cell r="E6346" t="str">
            <v>Alcántara</v>
          </cell>
          <cell r="F6346">
            <v>300</v>
          </cell>
          <cell r="G6346">
            <v>1</v>
          </cell>
          <cell r="H6346">
            <v>400</v>
          </cell>
          <cell r="I6346">
            <v>42078</v>
          </cell>
          <cell r="J6346">
            <v>0</v>
          </cell>
          <cell r="W6346">
            <v>0</v>
          </cell>
          <cell r="AJ6346">
            <v>0</v>
          </cell>
          <cell r="AW6346">
            <v>0</v>
          </cell>
          <cell r="AZ6346">
            <v>400</v>
          </cell>
          <cell r="BJ6346">
            <v>400</v>
          </cell>
        </row>
        <row r="6347">
          <cell r="B6347">
            <v>9127</v>
          </cell>
          <cell r="C6347" t="str">
            <v>UP_40_</v>
          </cell>
          <cell r="D6347" t="str">
            <v>Rancho Upácuaro No. 40</v>
          </cell>
          <cell r="E6347" t="str">
            <v>López Ramírez</v>
          </cell>
          <cell r="F6347">
            <v>300</v>
          </cell>
          <cell r="G6347">
            <v>1</v>
          </cell>
          <cell r="H6347">
            <v>1200</v>
          </cell>
          <cell r="I6347">
            <v>42078</v>
          </cell>
          <cell r="J6347">
            <v>0</v>
          </cell>
          <cell r="W6347">
            <v>0</v>
          </cell>
          <cell r="AJ6347">
            <v>0</v>
          </cell>
          <cell r="AS6347">
            <v>300</v>
          </cell>
          <cell r="AT6347">
            <v>300</v>
          </cell>
          <cell r="AU6347">
            <v>300</v>
          </cell>
          <cell r="AV6347">
            <v>300</v>
          </cell>
          <cell r="AW6347">
            <v>1200</v>
          </cell>
          <cell r="BJ6347">
            <v>0</v>
          </cell>
        </row>
        <row r="6348">
          <cell r="B6348">
            <v>9128</v>
          </cell>
          <cell r="C6348" t="str">
            <v>RM_17_</v>
          </cell>
          <cell r="D6348" t="str">
            <v>Rancho Romeral No. 17</v>
          </cell>
          <cell r="E6348" t="str">
            <v>Aguilar Lomelí</v>
          </cell>
          <cell r="F6348">
            <v>300</v>
          </cell>
          <cell r="G6348">
            <v>1</v>
          </cell>
          <cell r="H6348">
            <v>400</v>
          </cell>
          <cell r="I6348">
            <v>42078</v>
          </cell>
          <cell r="J6348">
            <v>0</v>
          </cell>
          <cell r="W6348">
            <v>0</v>
          </cell>
          <cell r="AJ6348">
            <v>0</v>
          </cell>
          <cell r="AW6348">
            <v>0</v>
          </cell>
          <cell r="AZ6348">
            <v>400</v>
          </cell>
          <cell r="BJ6348">
            <v>400</v>
          </cell>
        </row>
        <row r="6349">
          <cell r="B6349">
            <v>9129</v>
          </cell>
          <cell r="C6349" t="str">
            <v>UP_100_</v>
          </cell>
          <cell r="D6349" t="str">
            <v>Rancho Upácuaro No. 100</v>
          </cell>
          <cell r="E6349" t="str">
            <v>Mancera Rodríguez</v>
          </cell>
          <cell r="F6349">
            <v>300</v>
          </cell>
          <cell r="G6349">
            <v>1</v>
          </cell>
          <cell r="H6349">
            <v>400</v>
          </cell>
          <cell r="I6349">
            <v>42078</v>
          </cell>
          <cell r="J6349">
            <v>0</v>
          </cell>
          <cell r="W6349">
            <v>0</v>
          </cell>
          <cell r="AJ6349">
            <v>0</v>
          </cell>
          <cell r="AW6349">
            <v>0</v>
          </cell>
          <cell r="AZ6349">
            <v>400</v>
          </cell>
          <cell r="BJ6349">
            <v>400</v>
          </cell>
        </row>
        <row r="6350">
          <cell r="B6350">
            <v>9130</v>
          </cell>
          <cell r="C6350" t="str">
            <v>UP_40_</v>
          </cell>
          <cell r="D6350" t="str">
            <v>Rancho Upácuaro No. 40</v>
          </cell>
          <cell r="E6350" t="str">
            <v>López Ramírez</v>
          </cell>
          <cell r="F6350">
            <v>300</v>
          </cell>
          <cell r="G6350">
            <v>4</v>
          </cell>
          <cell r="H6350">
            <v>160</v>
          </cell>
          <cell r="I6350">
            <v>42078</v>
          </cell>
          <cell r="J6350" t="str">
            <v>NO SUMA</v>
          </cell>
          <cell r="W6350">
            <v>0</v>
          </cell>
          <cell r="AJ6350">
            <v>0</v>
          </cell>
          <cell r="AW6350">
            <v>0</v>
          </cell>
          <cell r="BJ6350">
            <v>0</v>
          </cell>
        </row>
        <row r="6351">
          <cell r="B6351">
            <v>9131</v>
          </cell>
          <cell r="C6351" t="str">
            <v>RV_175_A</v>
          </cell>
          <cell r="D6351" t="str">
            <v>Rancho Recoveco No. 175, A</v>
          </cell>
          <cell r="E6351" t="str">
            <v>Pérez</v>
          </cell>
          <cell r="F6351">
            <v>300</v>
          </cell>
          <cell r="G6351">
            <v>3</v>
          </cell>
          <cell r="H6351">
            <v>160</v>
          </cell>
          <cell r="I6351">
            <v>42078</v>
          </cell>
          <cell r="J6351" t="str">
            <v>NO SUMA</v>
          </cell>
          <cell r="W6351">
            <v>0</v>
          </cell>
          <cell r="AJ6351">
            <v>0</v>
          </cell>
          <cell r="AW6351">
            <v>0</v>
          </cell>
          <cell r="BJ6351">
            <v>0</v>
          </cell>
        </row>
        <row r="6352">
          <cell r="B6352">
            <v>9132</v>
          </cell>
          <cell r="C6352" t="str">
            <v>RV_179_</v>
          </cell>
          <cell r="D6352" t="str">
            <v>Rancho Recoveco No. 179</v>
          </cell>
          <cell r="E6352" t="str">
            <v>Flores Delgado</v>
          </cell>
          <cell r="F6352">
            <v>300</v>
          </cell>
          <cell r="G6352">
            <v>1</v>
          </cell>
          <cell r="H6352">
            <v>300</v>
          </cell>
          <cell r="I6352">
            <v>42078</v>
          </cell>
          <cell r="J6352">
            <v>0</v>
          </cell>
          <cell r="W6352">
            <v>0</v>
          </cell>
          <cell r="AJ6352">
            <v>0</v>
          </cell>
          <cell r="AW6352">
            <v>0</v>
          </cell>
          <cell r="AZ6352">
            <v>300</v>
          </cell>
          <cell r="BJ6352">
            <v>300</v>
          </cell>
        </row>
        <row r="6353">
          <cell r="B6353">
            <v>9133</v>
          </cell>
          <cell r="C6353" t="str">
            <v>CL_32_</v>
          </cell>
          <cell r="D6353" t="str">
            <v>Rancho La Cuchilla No. 32</v>
          </cell>
          <cell r="E6353" t="str">
            <v>Hernández</v>
          </cell>
          <cell r="F6353">
            <v>300</v>
          </cell>
          <cell r="G6353">
            <v>1</v>
          </cell>
          <cell r="H6353">
            <v>400</v>
          </cell>
          <cell r="I6353">
            <v>42078</v>
          </cell>
          <cell r="J6353">
            <v>0</v>
          </cell>
          <cell r="W6353">
            <v>0</v>
          </cell>
          <cell r="AJ6353">
            <v>0</v>
          </cell>
          <cell r="AW6353">
            <v>0</v>
          </cell>
          <cell r="AY6353">
            <v>400</v>
          </cell>
          <cell r="BJ6353">
            <v>400</v>
          </cell>
        </row>
        <row r="6354">
          <cell r="B6354">
            <v>9134</v>
          </cell>
          <cell r="C6354" t="str">
            <v>ZB_44_</v>
          </cell>
          <cell r="D6354" t="str">
            <v>Rancho Zinamba No. 44</v>
          </cell>
          <cell r="E6354" t="str">
            <v>Canales</v>
          </cell>
          <cell r="F6354">
            <v>300</v>
          </cell>
          <cell r="G6354">
            <v>1</v>
          </cell>
          <cell r="H6354">
            <v>400</v>
          </cell>
          <cell r="I6354">
            <v>42078</v>
          </cell>
          <cell r="J6354">
            <v>0</v>
          </cell>
          <cell r="W6354">
            <v>0</v>
          </cell>
          <cell r="AJ6354">
            <v>0</v>
          </cell>
          <cell r="AW6354">
            <v>0</v>
          </cell>
          <cell r="AZ6354">
            <v>400</v>
          </cell>
          <cell r="BJ6354">
            <v>400</v>
          </cell>
        </row>
        <row r="6355">
          <cell r="B6355">
            <v>9135</v>
          </cell>
          <cell r="C6355" t="str">
            <v>CL_19_</v>
          </cell>
          <cell r="D6355" t="str">
            <v>Rancho La Cuchilla No. 19</v>
          </cell>
          <cell r="E6355" t="str">
            <v>Tapia Vázquez</v>
          </cell>
          <cell r="F6355">
            <v>300</v>
          </cell>
          <cell r="G6355">
            <v>1</v>
          </cell>
          <cell r="H6355">
            <v>300</v>
          </cell>
          <cell r="I6355">
            <v>42078</v>
          </cell>
          <cell r="J6355">
            <v>0</v>
          </cell>
          <cell r="W6355">
            <v>0</v>
          </cell>
          <cell r="AJ6355">
            <v>0</v>
          </cell>
          <cell r="AW6355">
            <v>0</v>
          </cell>
          <cell r="AZ6355">
            <v>300</v>
          </cell>
          <cell r="BJ6355">
            <v>300</v>
          </cell>
        </row>
        <row r="6356">
          <cell r="B6356">
            <v>9136</v>
          </cell>
          <cell r="C6356" t="str">
            <v>EZ_100_</v>
          </cell>
          <cell r="D6356" t="str">
            <v>Rancho Estanzuela No. 100</v>
          </cell>
          <cell r="E6356" t="str">
            <v>Arias Monter</v>
          </cell>
          <cell r="F6356">
            <v>300</v>
          </cell>
          <cell r="G6356">
            <v>1</v>
          </cell>
          <cell r="H6356">
            <v>1200</v>
          </cell>
          <cell r="I6356">
            <v>42078</v>
          </cell>
          <cell r="J6356">
            <v>0</v>
          </cell>
          <cell r="W6356">
            <v>0</v>
          </cell>
          <cell r="AJ6356">
            <v>0</v>
          </cell>
          <cell r="AW6356">
            <v>0</v>
          </cell>
          <cell r="AX6356">
            <v>400</v>
          </cell>
          <cell r="AY6356">
            <v>400</v>
          </cell>
          <cell r="AZ6356">
            <v>400</v>
          </cell>
          <cell r="BJ6356">
            <v>1200</v>
          </cell>
        </row>
        <row r="6357">
          <cell r="B6357">
            <v>9137</v>
          </cell>
          <cell r="C6357" t="str">
            <v>EZ_143_B</v>
          </cell>
          <cell r="D6357" t="str">
            <v>Rancho Estanzuela No. 143, B</v>
          </cell>
          <cell r="E6357" t="str">
            <v>López</v>
          </cell>
          <cell r="F6357">
            <v>300</v>
          </cell>
          <cell r="G6357">
            <v>1</v>
          </cell>
          <cell r="H6357">
            <v>400</v>
          </cell>
          <cell r="I6357">
            <v>42078</v>
          </cell>
          <cell r="J6357">
            <v>0</v>
          </cell>
          <cell r="W6357">
            <v>0</v>
          </cell>
          <cell r="AJ6357">
            <v>0</v>
          </cell>
          <cell r="AW6357">
            <v>0</v>
          </cell>
          <cell r="AZ6357">
            <v>400</v>
          </cell>
          <cell r="BJ6357">
            <v>400</v>
          </cell>
        </row>
        <row r="6358">
          <cell r="B6358">
            <v>9137</v>
          </cell>
          <cell r="C6358" t="str">
            <v>EZ_143_B</v>
          </cell>
          <cell r="D6358" t="str">
            <v>Rancho Estanzuela No. 143, B</v>
          </cell>
          <cell r="E6358" t="str">
            <v>López</v>
          </cell>
          <cell r="F6358">
            <v>300</v>
          </cell>
          <cell r="G6358">
            <v>3</v>
          </cell>
          <cell r="H6358">
            <v>160</v>
          </cell>
          <cell r="I6358">
            <v>42078</v>
          </cell>
          <cell r="J6358" t="str">
            <v>NO SUMA</v>
          </cell>
          <cell r="W6358">
            <v>0</v>
          </cell>
          <cell r="AJ6358">
            <v>0</v>
          </cell>
          <cell r="AW6358">
            <v>0</v>
          </cell>
          <cell r="BJ6358">
            <v>0</v>
          </cell>
        </row>
        <row r="6359">
          <cell r="B6359">
            <v>9138</v>
          </cell>
          <cell r="C6359" t="str">
            <v>ZB_6_</v>
          </cell>
          <cell r="D6359" t="str">
            <v>Rancho Zinamba No. 6</v>
          </cell>
          <cell r="E6359" t="str">
            <v>Villafaña</v>
          </cell>
          <cell r="F6359">
            <v>300</v>
          </cell>
          <cell r="G6359">
            <v>1</v>
          </cell>
          <cell r="H6359">
            <v>2000</v>
          </cell>
          <cell r="I6359">
            <v>42078</v>
          </cell>
          <cell r="J6359">
            <v>0</v>
          </cell>
          <cell r="W6359">
            <v>0</v>
          </cell>
          <cell r="AJ6359">
            <v>0</v>
          </cell>
          <cell r="AW6359">
            <v>0</v>
          </cell>
          <cell r="AX6359">
            <v>400</v>
          </cell>
          <cell r="AY6359">
            <v>400</v>
          </cell>
          <cell r="AZ6359">
            <v>400</v>
          </cell>
          <cell r="BA6359">
            <v>400</v>
          </cell>
          <cell r="BB6359">
            <v>400</v>
          </cell>
          <cell r="BJ6359">
            <v>2000</v>
          </cell>
        </row>
        <row r="6360">
          <cell r="B6360">
            <v>9139</v>
          </cell>
          <cell r="C6360" t="str">
            <v>UP_21_</v>
          </cell>
          <cell r="D6360" t="str">
            <v>Rancho Upácuaro No. 21</v>
          </cell>
          <cell r="E6360" t="str">
            <v>Fierro Betancourt</v>
          </cell>
          <cell r="F6360">
            <v>150</v>
          </cell>
          <cell r="G6360">
            <v>1</v>
          </cell>
          <cell r="H6360">
            <v>200</v>
          </cell>
          <cell r="I6360">
            <v>42078</v>
          </cell>
          <cell r="J6360">
            <v>0</v>
          </cell>
          <cell r="W6360">
            <v>0</v>
          </cell>
          <cell r="AJ6360">
            <v>0</v>
          </cell>
          <cell r="AW6360">
            <v>0</v>
          </cell>
          <cell r="AZ6360">
            <v>200</v>
          </cell>
          <cell r="BJ6360">
            <v>200</v>
          </cell>
        </row>
        <row r="6361">
          <cell r="B6361">
            <v>9140</v>
          </cell>
          <cell r="C6361" t="str">
            <v>LD_42_</v>
          </cell>
          <cell r="D6361" t="str">
            <v>Rancho Landero No. 42</v>
          </cell>
          <cell r="E6361" t="str">
            <v>Ávila Fidel</v>
          </cell>
          <cell r="F6361">
            <v>300</v>
          </cell>
          <cell r="G6361">
            <v>1</v>
          </cell>
          <cell r="H6361">
            <v>400</v>
          </cell>
          <cell r="I6361">
            <v>42078</v>
          </cell>
          <cell r="J6361">
            <v>0</v>
          </cell>
          <cell r="W6361">
            <v>0</v>
          </cell>
          <cell r="AJ6361">
            <v>0</v>
          </cell>
          <cell r="AW6361">
            <v>0</v>
          </cell>
          <cell r="AZ6361">
            <v>400</v>
          </cell>
          <cell r="BJ6361">
            <v>400</v>
          </cell>
        </row>
        <row r="6362">
          <cell r="B6362">
            <v>9141</v>
          </cell>
          <cell r="C6362" t="str">
            <v>CL_110_</v>
          </cell>
          <cell r="D6362" t="str">
            <v>Rancho La Cuchilla No. 110</v>
          </cell>
          <cell r="E6362" t="str">
            <v>Domínguez Canudas</v>
          </cell>
          <cell r="F6362">
            <v>300</v>
          </cell>
          <cell r="G6362">
            <v>1</v>
          </cell>
          <cell r="H6362">
            <v>800</v>
          </cell>
          <cell r="I6362">
            <v>42078</v>
          </cell>
          <cell r="J6362">
            <v>0</v>
          </cell>
          <cell r="W6362">
            <v>0</v>
          </cell>
          <cell r="AJ6362">
            <v>0</v>
          </cell>
          <cell r="AW6362">
            <v>0</v>
          </cell>
          <cell r="AZ6362">
            <v>400</v>
          </cell>
          <cell r="BA6362">
            <v>400</v>
          </cell>
          <cell r="BJ6362">
            <v>800</v>
          </cell>
        </row>
        <row r="6363">
          <cell r="B6363">
            <v>9142</v>
          </cell>
          <cell r="C6363" t="str">
            <v>CL_110_</v>
          </cell>
          <cell r="D6363" t="str">
            <v>Rancho La Cuchilla No. 110</v>
          </cell>
          <cell r="E6363" t="str">
            <v>Domínguez Canudas</v>
          </cell>
          <cell r="F6363">
            <v>300</v>
          </cell>
          <cell r="G6363">
            <v>3</v>
          </cell>
          <cell r="H6363">
            <v>160</v>
          </cell>
          <cell r="I6363">
            <v>42078</v>
          </cell>
          <cell r="J6363" t="str">
            <v>NO SUMA</v>
          </cell>
          <cell r="W6363">
            <v>0</v>
          </cell>
          <cell r="AJ6363">
            <v>0</v>
          </cell>
          <cell r="AW6363">
            <v>0</v>
          </cell>
          <cell r="BJ6363">
            <v>0</v>
          </cell>
        </row>
        <row r="6364">
          <cell r="B6364">
            <v>9143</v>
          </cell>
          <cell r="C6364" t="str">
            <v>LD_24_</v>
          </cell>
          <cell r="D6364" t="str">
            <v>Rancho Landero No. 24</v>
          </cell>
          <cell r="E6364" t="str">
            <v>Vázquez Peralta</v>
          </cell>
          <cell r="F6364">
            <v>300</v>
          </cell>
          <cell r="G6364">
            <v>1</v>
          </cell>
          <cell r="H6364">
            <v>800</v>
          </cell>
          <cell r="I6364">
            <v>42078</v>
          </cell>
          <cell r="J6364">
            <v>0</v>
          </cell>
          <cell r="W6364">
            <v>0</v>
          </cell>
          <cell r="AJ6364">
            <v>0</v>
          </cell>
          <cell r="AW6364">
            <v>0</v>
          </cell>
          <cell r="AY6364">
            <v>400</v>
          </cell>
          <cell r="AZ6364">
            <v>400</v>
          </cell>
          <cell r="BJ6364">
            <v>800</v>
          </cell>
        </row>
        <row r="6365">
          <cell r="B6365">
            <v>9144</v>
          </cell>
          <cell r="D6365" t="str">
            <v/>
          </cell>
          <cell r="E6365" t="str">
            <v/>
          </cell>
          <cell r="F6365" t="str">
            <v/>
          </cell>
          <cell r="G6365">
            <v>8</v>
          </cell>
          <cell r="J6365" t="str">
            <v>NO SUMA</v>
          </cell>
          <cell r="W6365">
            <v>0</v>
          </cell>
          <cell r="AJ6365">
            <v>0</v>
          </cell>
          <cell r="AW6365">
            <v>0</v>
          </cell>
          <cell r="BJ6365">
            <v>0</v>
          </cell>
        </row>
        <row r="6366">
          <cell r="B6366">
            <v>9145</v>
          </cell>
          <cell r="C6366" t="str">
            <v>UP_68_</v>
          </cell>
          <cell r="D6366" t="str">
            <v>Rancho Upácuaro No. 68</v>
          </cell>
          <cell r="E6366" t="str">
            <v>Colin Guerrero</v>
          </cell>
          <cell r="F6366">
            <v>300</v>
          </cell>
          <cell r="G6366">
            <v>1</v>
          </cell>
          <cell r="H6366">
            <v>200</v>
          </cell>
          <cell r="I6366">
            <v>42078</v>
          </cell>
          <cell r="J6366">
            <v>0</v>
          </cell>
          <cell r="W6366">
            <v>0</v>
          </cell>
          <cell r="AJ6366">
            <v>0</v>
          </cell>
          <cell r="AW6366">
            <v>0</v>
          </cell>
          <cell r="AY6366">
            <v>200</v>
          </cell>
          <cell r="BJ6366">
            <v>200</v>
          </cell>
        </row>
        <row r="6367">
          <cell r="B6367">
            <v>9146</v>
          </cell>
          <cell r="C6367" t="str">
            <v>CL_59_</v>
          </cell>
          <cell r="D6367" t="str">
            <v>Rancho La Cuchilla No. 59</v>
          </cell>
          <cell r="E6367" t="str">
            <v>Ortega Vega</v>
          </cell>
          <cell r="F6367">
            <v>300</v>
          </cell>
          <cell r="G6367">
            <v>1</v>
          </cell>
          <cell r="H6367">
            <v>600</v>
          </cell>
          <cell r="I6367">
            <v>42079</v>
          </cell>
          <cell r="J6367">
            <v>200</v>
          </cell>
          <cell r="W6367">
            <v>0</v>
          </cell>
          <cell r="AJ6367">
            <v>0</v>
          </cell>
          <cell r="AW6367">
            <v>0</v>
          </cell>
          <cell r="AX6367">
            <v>200</v>
          </cell>
          <cell r="AY6367">
            <v>200</v>
          </cell>
          <cell r="AZ6367">
            <v>200</v>
          </cell>
          <cell r="BA6367">
            <v>200</v>
          </cell>
          <cell r="BJ6367">
            <v>800</v>
          </cell>
        </row>
        <row r="6368">
          <cell r="B6368">
            <v>9147</v>
          </cell>
          <cell r="D6368" t="str">
            <v/>
          </cell>
          <cell r="E6368" t="str">
            <v/>
          </cell>
          <cell r="F6368" t="str">
            <v/>
          </cell>
          <cell r="G6368">
            <v>8</v>
          </cell>
          <cell r="J6368" t="str">
            <v>NO SUMA</v>
          </cell>
          <cell r="W6368">
            <v>0</v>
          </cell>
          <cell r="AJ6368">
            <v>0</v>
          </cell>
          <cell r="AW6368">
            <v>0</v>
          </cell>
          <cell r="BJ6368">
            <v>0</v>
          </cell>
        </row>
        <row r="6369">
          <cell r="B6369">
            <v>9148</v>
          </cell>
          <cell r="C6369" t="str">
            <v>LD_2_3</v>
          </cell>
          <cell r="D6369" t="str">
            <v>Rancho Landero No. 2, 3</v>
          </cell>
          <cell r="E6369" t="str">
            <v>Pineda Laura</v>
          </cell>
          <cell r="F6369">
            <v>150</v>
          </cell>
          <cell r="G6369">
            <v>1</v>
          </cell>
          <cell r="H6369">
            <v>1800</v>
          </cell>
          <cell r="I6369">
            <v>42080</v>
          </cell>
          <cell r="J6369">
            <v>0</v>
          </cell>
          <cell r="W6369">
            <v>0</v>
          </cell>
          <cell r="AJ6369">
            <v>0</v>
          </cell>
          <cell r="AV6369">
            <v>300</v>
          </cell>
          <cell r="AW6369">
            <v>300</v>
          </cell>
          <cell r="AX6369">
            <v>300</v>
          </cell>
          <cell r="AY6369">
            <v>300</v>
          </cell>
          <cell r="AZ6369">
            <v>300</v>
          </cell>
          <cell r="BA6369">
            <v>300</v>
          </cell>
          <cell r="BB6369">
            <v>300</v>
          </cell>
          <cell r="BJ6369">
            <v>1500</v>
          </cell>
        </row>
        <row r="6370">
          <cell r="B6370">
            <v>9149</v>
          </cell>
          <cell r="C6370" t="str">
            <v>ZB_14_</v>
          </cell>
          <cell r="D6370" t="str">
            <v>Rancho Zinamba No. 14</v>
          </cell>
          <cell r="E6370" t="str">
            <v>Gutiérrez García</v>
          </cell>
          <cell r="F6370">
            <v>300</v>
          </cell>
          <cell r="G6370">
            <v>1</v>
          </cell>
          <cell r="H6370">
            <v>800</v>
          </cell>
          <cell r="I6370">
            <v>42080</v>
          </cell>
          <cell r="J6370">
            <v>0</v>
          </cell>
          <cell r="W6370">
            <v>0</v>
          </cell>
          <cell r="AJ6370">
            <v>0</v>
          </cell>
          <cell r="AW6370">
            <v>0</v>
          </cell>
          <cell r="AZ6370">
            <v>400</v>
          </cell>
          <cell r="BA6370">
            <v>400</v>
          </cell>
          <cell r="BJ6370">
            <v>800</v>
          </cell>
        </row>
        <row r="6371">
          <cell r="B6371">
            <v>9150</v>
          </cell>
          <cell r="C6371" t="str">
            <v>LD_37_</v>
          </cell>
          <cell r="D6371" t="str">
            <v>Rancho Landero No. 37</v>
          </cell>
          <cell r="E6371" t="str">
            <v>Hernández</v>
          </cell>
          <cell r="F6371">
            <v>300</v>
          </cell>
          <cell r="G6371">
            <v>1</v>
          </cell>
          <cell r="H6371">
            <v>1800</v>
          </cell>
          <cell r="I6371">
            <v>42080</v>
          </cell>
          <cell r="J6371">
            <v>0</v>
          </cell>
          <cell r="W6371">
            <v>0</v>
          </cell>
          <cell r="AJ6371">
            <v>0</v>
          </cell>
          <cell r="AS6371">
            <v>300</v>
          </cell>
          <cell r="AT6371">
            <v>300</v>
          </cell>
          <cell r="AU6371">
            <v>300</v>
          </cell>
          <cell r="AV6371">
            <v>300</v>
          </cell>
          <cell r="AW6371">
            <v>1200</v>
          </cell>
          <cell r="AX6371">
            <v>300</v>
          </cell>
          <cell r="AY6371">
            <v>300</v>
          </cell>
          <cell r="BJ6371">
            <v>600</v>
          </cell>
        </row>
        <row r="6372">
          <cell r="B6372">
            <v>9151</v>
          </cell>
          <cell r="C6372" t="str">
            <v>EZ_75_</v>
          </cell>
          <cell r="D6372" t="str">
            <v>Rancho Estanzuela No. 75</v>
          </cell>
          <cell r="E6372" t="str">
            <v>Candela Pons</v>
          </cell>
          <cell r="F6372">
            <v>150</v>
          </cell>
          <cell r="G6372">
            <v>1</v>
          </cell>
          <cell r="H6372">
            <v>600</v>
          </cell>
          <cell r="I6372">
            <v>42080</v>
          </cell>
          <cell r="J6372">
            <v>0</v>
          </cell>
          <cell r="W6372">
            <v>0</v>
          </cell>
          <cell r="AJ6372">
            <v>0</v>
          </cell>
          <cell r="AW6372">
            <v>0</v>
          </cell>
          <cell r="AX6372">
            <v>200</v>
          </cell>
          <cell r="AY6372">
            <v>200</v>
          </cell>
          <cell r="AZ6372">
            <v>200</v>
          </cell>
          <cell r="BJ6372">
            <v>600</v>
          </cell>
        </row>
        <row r="6373">
          <cell r="B6373">
            <v>9152</v>
          </cell>
          <cell r="C6373" t="str">
            <v>CL_29_</v>
          </cell>
          <cell r="D6373" t="str">
            <v>Rancho La Cuchilla No. 29</v>
          </cell>
          <cell r="E6373" t="str">
            <v>Vega Sánchez C.</v>
          </cell>
          <cell r="F6373">
            <v>300</v>
          </cell>
          <cell r="I6373">
            <v>42081</v>
          </cell>
          <cell r="J6373" t="str">
            <v>NO SUMA</v>
          </cell>
          <cell r="W6373">
            <v>0</v>
          </cell>
          <cell r="AJ6373">
            <v>0</v>
          </cell>
          <cell r="AW6373">
            <v>0</v>
          </cell>
          <cell r="BJ6373">
            <v>0</v>
          </cell>
        </row>
        <row r="6374">
          <cell r="B6374">
            <v>9153</v>
          </cell>
          <cell r="C6374" t="str">
            <v>CL_29_</v>
          </cell>
          <cell r="D6374" t="str">
            <v>Rancho La Cuchilla No. 29</v>
          </cell>
          <cell r="E6374" t="str">
            <v>Vega Sánchez C.</v>
          </cell>
          <cell r="F6374">
            <v>300</v>
          </cell>
          <cell r="I6374">
            <v>42081</v>
          </cell>
          <cell r="J6374" t="str">
            <v>NO SUMA</v>
          </cell>
          <cell r="W6374">
            <v>0</v>
          </cell>
          <cell r="AJ6374">
            <v>0</v>
          </cell>
          <cell r="AW6374">
            <v>0</v>
          </cell>
          <cell r="BJ6374">
            <v>0</v>
          </cell>
        </row>
        <row r="6375">
          <cell r="B6375">
            <v>9154</v>
          </cell>
          <cell r="C6375" t="str">
            <v>ZB_20_</v>
          </cell>
          <cell r="D6375" t="str">
            <v>Rancho Zinamba No. 20</v>
          </cell>
          <cell r="E6375" t="str">
            <v>Alegre Retana</v>
          </cell>
          <cell r="F6375">
            <v>300</v>
          </cell>
          <cell r="G6375">
            <v>1</v>
          </cell>
          <cell r="H6375">
            <v>2000</v>
          </cell>
          <cell r="I6375">
            <v>42082</v>
          </cell>
          <cell r="J6375">
            <v>0</v>
          </cell>
          <cell r="W6375">
            <v>0</v>
          </cell>
          <cell r="AJ6375">
            <v>0</v>
          </cell>
          <cell r="AU6375">
            <v>400</v>
          </cell>
          <cell r="AV6375">
            <v>400</v>
          </cell>
          <cell r="AW6375">
            <v>800</v>
          </cell>
          <cell r="AX6375">
            <v>400</v>
          </cell>
          <cell r="AY6375">
            <v>400</v>
          </cell>
          <cell r="AZ6375">
            <v>400</v>
          </cell>
          <cell r="BJ6375">
            <v>1200</v>
          </cell>
        </row>
        <row r="6376">
          <cell r="B6376">
            <v>9155</v>
          </cell>
          <cell r="C6376" t="str">
            <v>UP_5_B</v>
          </cell>
          <cell r="D6376" t="str">
            <v>Rancho Upácuaro No. 5, B</v>
          </cell>
          <cell r="E6376" t="str">
            <v>Cervantes</v>
          </cell>
          <cell r="F6376">
            <v>300</v>
          </cell>
          <cell r="G6376">
            <v>1</v>
          </cell>
          <cell r="H6376">
            <v>800</v>
          </cell>
          <cell r="I6376">
            <v>42083</v>
          </cell>
          <cell r="J6376">
            <v>0</v>
          </cell>
          <cell r="W6376">
            <v>0</v>
          </cell>
          <cell r="AJ6376">
            <v>0</v>
          </cell>
          <cell r="AW6376">
            <v>0</v>
          </cell>
          <cell r="AZ6376">
            <v>400</v>
          </cell>
          <cell r="BA6376">
            <v>400</v>
          </cell>
          <cell r="BJ6376">
            <v>800</v>
          </cell>
        </row>
        <row r="6377">
          <cell r="B6377">
            <v>9156</v>
          </cell>
          <cell r="C6377" t="str">
            <v>UP_74_</v>
          </cell>
          <cell r="D6377" t="str">
            <v>Rancho Upácuaro No. 74</v>
          </cell>
          <cell r="E6377" t="str">
            <v>Flores</v>
          </cell>
          <cell r="F6377">
            <v>300</v>
          </cell>
          <cell r="G6377">
            <v>1</v>
          </cell>
          <cell r="H6377">
            <v>1600</v>
          </cell>
          <cell r="I6377">
            <v>42083</v>
          </cell>
          <cell r="J6377">
            <v>0</v>
          </cell>
          <cell r="W6377">
            <v>0</v>
          </cell>
          <cell r="AJ6377">
            <v>0</v>
          </cell>
          <cell r="AV6377">
            <v>400</v>
          </cell>
          <cell r="AW6377">
            <v>400</v>
          </cell>
          <cell r="AX6377">
            <v>400</v>
          </cell>
          <cell r="AY6377">
            <v>400</v>
          </cell>
          <cell r="AZ6377">
            <v>400</v>
          </cell>
          <cell r="BJ6377">
            <v>1200</v>
          </cell>
        </row>
        <row r="6378">
          <cell r="B6378">
            <v>9157</v>
          </cell>
          <cell r="C6378" t="str">
            <v>LD_54_2</v>
          </cell>
          <cell r="D6378" t="str">
            <v>Rancho Landero No. 54, 2</v>
          </cell>
          <cell r="E6378" t="str">
            <v>Montemayor Santana</v>
          </cell>
          <cell r="F6378">
            <v>300</v>
          </cell>
          <cell r="G6378">
            <v>1</v>
          </cell>
          <cell r="H6378">
            <v>900</v>
          </cell>
          <cell r="I6378">
            <v>42083</v>
          </cell>
          <cell r="J6378">
            <v>0</v>
          </cell>
          <cell r="W6378">
            <v>0</v>
          </cell>
          <cell r="AJ6378">
            <v>0</v>
          </cell>
          <cell r="AQ6378">
            <v>150</v>
          </cell>
          <cell r="AR6378">
            <v>150</v>
          </cell>
          <cell r="AS6378">
            <v>150</v>
          </cell>
          <cell r="AT6378">
            <v>150</v>
          </cell>
          <cell r="AU6378">
            <v>150</v>
          </cell>
          <cell r="AV6378">
            <v>150</v>
          </cell>
          <cell r="AW6378">
            <v>900</v>
          </cell>
          <cell r="BJ6378">
            <v>0</v>
          </cell>
        </row>
        <row r="6379">
          <cell r="B6379">
            <v>9158</v>
          </cell>
          <cell r="C6379" t="str">
            <v>ZB_30_</v>
          </cell>
          <cell r="D6379" t="str">
            <v>Rancho Zinamba No. 30</v>
          </cell>
          <cell r="E6379" t="str">
            <v xml:space="preserve">Arroyo </v>
          </cell>
          <cell r="F6379">
            <v>300</v>
          </cell>
          <cell r="G6379">
            <v>1</v>
          </cell>
          <cell r="H6379">
            <v>6000</v>
          </cell>
          <cell r="I6379">
            <v>42084</v>
          </cell>
          <cell r="J6379">
            <v>0</v>
          </cell>
          <cell r="W6379">
            <v>0</v>
          </cell>
          <cell r="AJ6379">
            <v>0</v>
          </cell>
          <cell r="AS6379">
            <v>400</v>
          </cell>
          <cell r="AT6379">
            <v>400</v>
          </cell>
          <cell r="AU6379">
            <v>400</v>
          </cell>
          <cell r="AV6379">
            <v>400</v>
          </cell>
          <cell r="AW6379">
            <v>1600</v>
          </cell>
          <cell r="AX6379">
            <v>400</v>
          </cell>
          <cell r="AY6379">
            <v>400</v>
          </cell>
          <cell r="AZ6379">
            <v>400</v>
          </cell>
          <cell r="BA6379">
            <v>400</v>
          </cell>
          <cell r="BB6379">
            <v>400</v>
          </cell>
          <cell r="BC6379">
            <v>400</v>
          </cell>
          <cell r="BD6379">
            <v>400</v>
          </cell>
          <cell r="BE6379">
            <v>400</v>
          </cell>
          <cell r="BF6379">
            <v>400</v>
          </cell>
          <cell r="BG6379">
            <v>400</v>
          </cell>
          <cell r="BH6379">
            <v>400</v>
          </cell>
          <cell r="BJ6379">
            <v>4400</v>
          </cell>
        </row>
        <row r="6380">
          <cell r="B6380">
            <v>9159</v>
          </cell>
          <cell r="C6380" t="str">
            <v>CL_81_A</v>
          </cell>
          <cell r="D6380" t="str">
            <v>Rancho La Cuchilla No. 81, A</v>
          </cell>
          <cell r="E6380" t="str">
            <v>Barrientos López</v>
          </cell>
          <cell r="F6380">
            <v>300</v>
          </cell>
          <cell r="G6380">
            <v>1</v>
          </cell>
          <cell r="H6380">
            <v>800</v>
          </cell>
          <cell r="I6380">
            <v>42085</v>
          </cell>
          <cell r="J6380">
            <v>0</v>
          </cell>
          <cell r="W6380">
            <v>0</v>
          </cell>
          <cell r="AJ6380">
            <v>0</v>
          </cell>
          <cell r="AW6380">
            <v>0</v>
          </cell>
          <cell r="AZ6380">
            <v>400</v>
          </cell>
          <cell r="BA6380">
            <v>400</v>
          </cell>
          <cell r="BJ6380">
            <v>800</v>
          </cell>
        </row>
        <row r="6381">
          <cell r="B6381">
            <v>9160</v>
          </cell>
          <cell r="C6381" t="str">
            <v>UP_114_</v>
          </cell>
          <cell r="D6381" t="str">
            <v>Rancho Upácuaro No. 114</v>
          </cell>
          <cell r="E6381" t="str">
            <v>Hernández Cornejo</v>
          </cell>
          <cell r="F6381">
            <v>300</v>
          </cell>
          <cell r="G6381">
            <v>1</v>
          </cell>
          <cell r="H6381">
            <v>800</v>
          </cell>
          <cell r="I6381">
            <v>42085</v>
          </cell>
          <cell r="J6381">
            <v>0</v>
          </cell>
          <cell r="W6381">
            <v>0</v>
          </cell>
          <cell r="AJ6381">
            <v>0</v>
          </cell>
          <cell r="AW6381">
            <v>0</v>
          </cell>
          <cell r="AY6381">
            <v>400</v>
          </cell>
          <cell r="AZ6381">
            <v>400</v>
          </cell>
          <cell r="BJ6381">
            <v>800</v>
          </cell>
        </row>
        <row r="6382">
          <cell r="B6382">
            <v>9161</v>
          </cell>
          <cell r="C6382" t="str">
            <v>EZ_89_</v>
          </cell>
          <cell r="D6382" t="str">
            <v>Rancho Estanzuela No. 89</v>
          </cell>
          <cell r="E6382" t="str">
            <v>Romero Ortiz</v>
          </cell>
          <cell r="F6382">
            <v>300</v>
          </cell>
          <cell r="G6382">
            <v>1</v>
          </cell>
          <cell r="H6382">
            <v>400</v>
          </cell>
          <cell r="I6382">
            <v>42085</v>
          </cell>
          <cell r="J6382">
            <v>0</v>
          </cell>
          <cell r="W6382">
            <v>0</v>
          </cell>
          <cell r="AJ6382">
            <v>0</v>
          </cell>
          <cell r="AW6382">
            <v>0</v>
          </cell>
          <cell r="AZ6382">
            <v>400</v>
          </cell>
          <cell r="BJ6382">
            <v>400</v>
          </cell>
        </row>
        <row r="6383">
          <cell r="B6383">
            <v>9162</v>
          </cell>
          <cell r="C6383" t="str">
            <v>EZ_151_</v>
          </cell>
          <cell r="D6383" t="str">
            <v>Rancho Estanzuela No. 151</v>
          </cell>
          <cell r="E6383" t="str">
            <v>Pérez Salazar</v>
          </cell>
          <cell r="F6383">
            <v>300</v>
          </cell>
          <cell r="G6383">
            <v>1</v>
          </cell>
          <cell r="H6383">
            <v>400</v>
          </cell>
          <cell r="I6383">
            <v>42085</v>
          </cell>
          <cell r="J6383">
            <v>0</v>
          </cell>
          <cell r="W6383">
            <v>0</v>
          </cell>
          <cell r="AJ6383">
            <v>0</v>
          </cell>
          <cell r="AW6383">
            <v>0</v>
          </cell>
          <cell r="AZ6383">
            <v>400</v>
          </cell>
          <cell r="BJ6383">
            <v>400</v>
          </cell>
        </row>
        <row r="6384">
          <cell r="B6384">
            <v>9163</v>
          </cell>
          <cell r="C6384" t="str">
            <v>UP_60_</v>
          </cell>
          <cell r="D6384" t="str">
            <v>Rancho Upácuaro No. 60</v>
          </cell>
          <cell r="E6384" t="str">
            <v>Zavala</v>
          </cell>
          <cell r="F6384">
            <v>300</v>
          </cell>
          <cell r="G6384">
            <v>1</v>
          </cell>
          <cell r="H6384">
            <v>400</v>
          </cell>
          <cell r="I6384">
            <v>42085</v>
          </cell>
          <cell r="J6384">
            <v>0</v>
          </cell>
          <cell r="W6384">
            <v>0</v>
          </cell>
          <cell r="AJ6384">
            <v>0</v>
          </cell>
          <cell r="AW6384">
            <v>0</v>
          </cell>
          <cell r="AZ6384">
            <v>400</v>
          </cell>
          <cell r="BJ6384">
            <v>400</v>
          </cell>
        </row>
        <row r="6385">
          <cell r="B6385">
            <v>9164</v>
          </cell>
          <cell r="C6385" t="str">
            <v>LD_18_</v>
          </cell>
          <cell r="D6385" t="str">
            <v>Rancho Landero No. 18</v>
          </cell>
          <cell r="E6385" t="str">
            <v>Rosado</v>
          </cell>
          <cell r="F6385">
            <v>250</v>
          </cell>
          <cell r="G6385">
            <v>1</v>
          </cell>
          <cell r="H6385">
            <v>300</v>
          </cell>
          <cell r="I6385">
            <v>42085</v>
          </cell>
          <cell r="J6385">
            <v>0</v>
          </cell>
          <cell r="W6385">
            <v>0</v>
          </cell>
          <cell r="AJ6385">
            <v>0</v>
          </cell>
          <cell r="AW6385">
            <v>0</v>
          </cell>
          <cell r="AZ6385">
            <v>300</v>
          </cell>
          <cell r="BJ6385">
            <v>300</v>
          </cell>
        </row>
        <row r="6386">
          <cell r="B6386">
            <v>9165</v>
          </cell>
          <cell r="C6386" t="str">
            <v>ZB_84_</v>
          </cell>
          <cell r="D6386" t="str">
            <v>Rancho Zinamba No. 84</v>
          </cell>
          <cell r="E6386" t="str">
            <v>Lobato</v>
          </cell>
          <cell r="F6386">
            <v>300</v>
          </cell>
          <cell r="G6386">
            <v>1</v>
          </cell>
          <cell r="H6386">
            <v>400</v>
          </cell>
          <cell r="I6386">
            <v>42085</v>
          </cell>
          <cell r="J6386">
            <v>0</v>
          </cell>
          <cell r="W6386">
            <v>0</v>
          </cell>
          <cell r="AJ6386">
            <v>0</v>
          </cell>
          <cell r="AW6386">
            <v>0</v>
          </cell>
          <cell r="AZ6386">
            <v>400</v>
          </cell>
          <cell r="BJ6386">
            <v>400</v>
          </cell>
        </row>
        <row r="6387">
          <cell r="B6387">
            <v>9166</v>
          </cell>
          <cell r="C6387" t="str">
            <v>UP_104_</v>
          </cell>
          <cell r="D6387" t="str">
            <v>Rancho Upácuaro No. 104</v>
          </cell>
          <cell r="E6387" t="str">
            <v>Jiménez Almazo</v>
          </cell>
          <cell r="F6387">
            <v>300</v>
          </cell>
          <cell r="G6387">
            <v>3</v>
          </cell>
          <cell r="H6387">
            <v>160</v>
          </cell>
          <cell r="I6387">
            <v>42085</v>
          </cell>
          <cell r="J6387" t="str">
            <v>NO SUMA</v>
          </cell>
          <cell r="W6387">
            <v>0</v>
          </cell>
          <cell r="AJ6387">
            <v>0</v>
          </cell>
          <cell r="AW6387">
            <v>0</v>
          </cell>
          <cell r="BJ6387">
            <v>0</v>
          </cell>
        </row>
        <row r="6388">
          <cell r="B6388">
            <v>9167</v>
          </cell>
          <cell r="C6388" t="str">
            <v>CL_129_</v>
          </cell>
          <cell r="D6388" t="str">
            <v>Rancho La Cuchilla No. 129</v>
          </cell>
          <cell r="E6388" t="str">
            <v>Gamboa Rueda</v>
          </cell>
          <cell r="F6388">
            <v>200</v>
          </cell>
          <cell r="G6388">
            <v>1</v>
          </cell>
          <cell r="H6388">
            <v>300</v>
          </cell>
          <cell r="I6388">
            <v>42085</v>
          </cell>
          <cell r="J6388">
            <v>0</v>
          </cell>
          <cell r="W6388">
            <v>0</v>
          </cell>
          <cell r="AJ6388">
            <v>0</v>
          </cell>
          <cell r="AW6388">
            <v>0</v>
          </cell>
          <cell r="AZ6388">
            <v>300</v>
          </cell>
          <cell r="BJ6388">
            <v>300</v>
          </cell>
        </row>
        <row r="6389">
          <cell r="B6389">
            <v>9168</v>
          </cell>
          <cell r="C6389" t="str">
            <v>UP_108_</v>
          </cell>
          <cell r="D6389" t="str">
            <v>Rancho Upácuaro No. 108</v>
          </cell>
          <cell r="E6389" t="str">
            <v>Mejía</v>
          </cell>
          <cell r="F6389">
            <v>300</v>
          </cell>
          <cell r="G6389">
            <v>1</v>
          </cell>
          <cell r="H6389">
            <v>600</v>
          </cell>
          <cell r="I6389">
            <v>42085</v>
          </cell>
          <cell r="J6389">
            <v>0</v>
          </cell>
          <cell r="W6389">
            <v>0</v>
          </cell>
          <cell r="AJ6389">
            <v>0</v>
          </cell>
          <cell r="AW6389">
            <v>0</v>
          </cell>
          <cell r="AX6389">
            <v>300</v>
          </cell>
          <cell r="AY6389">
            <v>300</v>
          </cell>
          <cell r="BJ6389">
            <v>600</v>
          </cell>
        </row>
        <row r="6390">
          <cell r="B6390">
            <v>9169</v>
          </cell>
          <cell r="C6390" t="str">
            <v>UP_52_</v>
          </cell>
          <cell r="D6390" t="str">
            <v>Rancho Upácuaro No. 52</v>
          </cell>
          <cell r="E6390" t="str">
            <v>Velázquez V.</v>
          </cell>
          <cell r="F6390">
            <v>300</v>
          </cell>
          <cell r="G6390">
            <v>1</v>
          </cell>
          <cell r="H6390">
            <v>1500</v>
          </cell>
          <cell r="I6390">
            <v>42085</v>
          </cell>
          <cell r="J6390">
            <v>0</v>
          </cell>
          <cell r="W6390">
            <v>0</v>
          </cell>
          <cell r="AJ6390">
            <v>0</v>
          </cell>
          <cell r="AN6390">
            <v>150</v>
          </cell>
          <cell r="AO6390">
            <v>150</v>
          </cell>
          <cell r="AP6390">
            <v>150</v>
          </cell>
          <cell r="AQ6390">
            <v>150</v>
          </cell>
          <cell r="AR6390">
            <v>150</v>
          </cell>
          <cell r="AS6390">
            <v>150</v>
          </cell>
          <cell r="AT6390">
            <v>150</v>
          </cell>
          <cell r="AU6390">
            <v>150</v>
          </cell>
          <cell r="AV6390">
            <v>150</v>
          </cell>
          <cell r="AW6390">
            <v>1350</v>
          </cell>
          <cell r="AX6390">
            <v>150</v>
          </cell>
          <cell r="BJ6390">
            <v>150</v>
          </cell>
        </row>
        <row r="6391">
          <cell r="B6391">
            <v>9170</v>
          </cell>
          <cell r="D6391" t="str">
            <v/>
          </cell>
          <cell r="E6391" t="str">
            <v/>
          </cell>
          <cell r="F6391" t="str">
            <v/>
          </cell>
          <cell r="G6391">
            <v>8</v>
          </cell>
          <cell r="J6391" t="str">
            <v>NO SUMA</v>
          </cell>
          <cell r="W6391">
            <v>0</v>
          </cell>
          <cell r="AJ6391">
            <v>0</v>
          </cell>
          <cell r="AW6391">
            <v>0</v>
          </cell>
          <cell r="BJ6391">
            <v>0</v>
          </cell>
        </row>
        <row r="6392">
          <cell r="B6392">
            <v>9171</v>
          </cell>
          <cell r="C6392" t="str">
            <v>CL_55_</v>
          </cell>
          <cell r="D6392" t="str">
            <v>Rancho La Cuchilla No. 55</v>
          </cell>
          <cell r="E6392" t="str">
            <v>López Velázquez</v>
          </cell>
          <cell r="F6392">
            <v>300</v>
          </cell>
          <cell r="G6392">
            <v>1</v>
          </cell>
          <cell r="H6392">
            <v>800</v>
          </cell>
          <cell r="I6392">
            <v>42085</v>
          </cell>
          <cell r="J6392">
            <v>0</v>
          </cell>
          <cell r="W6392">
            <v>0</v>
          </cell>
          <cell r="AJ6392">
            <v>0</v>
          </cell>
          <cell r="AW6392">
            <v>0</v>
          </cell>
          <cell r="AZ6392">
            <v>400</v>
          </cell>
          <cell r="BA6392">
            <v>400</v>
          </cell>
          <cell r="BJ6392">
            <v>800</v>
          </cell>
        </row>
        <row r="6393">
          <cell r="B6393">
            <v>9172</v>
          </cell>
          <cell r="C6393" t="str">
            <v>CL_117_</v>
          </cell>
          <cell r="D6393" t="str">
            <v>Rancho La Cuchilla No. 117</v>
          </cell>
          <cell r="E6393" t="str">
            <v>Gómez</v>
          </cell>
          <cell r="F6393">
            <v>300</v>
          </cell>
          <cell r="G6393">
            <v>1</v>
          </cell>
          <cell r="H6393">
            <v>400</v>
          </cell>
          <cell r="I6393">
            <v>42085</v>
          </cell>
          <cell r="J6393">
            <v>0</v>
          </cell>
          <cell r="W6393">
            <v>0</v>
          </cell>
          <cell r="AJ6393">
            <v>0</v>
          </cell>
          <cell r="AW6393">
            <v>0</v>
          </cell>
          <cell r="AZ6393">
            <v>400</v>
          </cell>
          <cell r="BJ6393">
            <v>400</v>
          </cell>
        </row>
        <row r="6394">
          <cell r="B6394">
            <v>9173</v>
          </cell>
          <cell r="C6394" t="str">
            <v>LD_17_</v>
          </cell>
          <cell r="D6394" t="str">
            <v>Rancho Landero No. 17</v>
          </cell>
          <cell r="E6394" t="str">
            <v>González</v>
          </cell>
          <cell r="F6394">
            <v>300</v>
          </cell>
          <cell r="G6394">
            <v>1</v>
          </cell>
          <cell r="H6394">
            <v>1200</v>
          </cell>
          <cell r="I6394">
            <v>42085</v>
          </cell>
          <cell r="J6394">
            <v>0</v>
          </cell>
          <cell r="W6394">
            <v>0</v>
          </cell>
          <cell r="AJ6394">
            <v>0</v>
          </cell>
          <cell r="AT6394">
            <v>400</v>
          </cell>
          <cell r="AU6394">
            <v>400</v>
          </cell>
          <cell r="AV6394">
            <v>400</v>
          </cell>
          <cell r="AW6394">
            <v>1200</v>
          </cell>
          <cell r="BJ6394">
            <v>0</v>
          </cell>
        </row>
        <row r="6395">
          <cell r="B6395">
            <v>9174</v>
          </cell>
          <cell r="C6395" t="str">
            <v>LD_76_</v>
          </cell>
          <cell r="D6395" t="str">
            <v>Rancho Landero No. 76</v>
          </cell>
          <cell r="E6395" t="str">
            <v>Ugarte</v>
          </cell>
          <cell r="F6395">
            <v>300</v>
          </cell>
          <cell r="G6395">
            <v>1</v>
          </cell>
          <cell r="H6395">
            <v>400</v>
          </cell>
          <cell r="I6395">
            <v>42085</v>
          </cell>
          <cell r="J6395">
            <v>0</v>
          </cell>
          <cell r="W6395">
            <v>0</v>
          </cell>
          <cell r="AJ6395">
            <v>0</v>
          </cell>
          <cell r="AW6395">
            <v>0</v>
          </cell>
          <cell r="AZ6395">
            <v>400</v>
          </cell>
          <cell r="BJ6395">
            <v>400</v>
          </cell>
        </row>
        <row r="6396">
          <cell r="B6396">
            <v>9175</v>
          </cell>
          <cell r="C6396" t="str">
            <v>ZB_80_</v>
          </cell>
          <cell r="D6396" t="str">
            <v>Rancho Zinamba No. 80</v>
          </cell>
          <cell r="E6396" t="str">
            <v>Vázquez</v>
          </cell>
          <cell r="F6396">
            <v>250</v>
          </cell>
          <cell r="G6396">
            <v>1</v>
          </cell>
          <cell r="H6396">
            <v>300</v>
          </cell>
          <cell r="I6396">
            <v>42085</v>
          </cell>
          <cell r="J6396">
            <v>0</v>
          </cell>
          <cell r="W6396">
            <v>0</v>
          </cell>
          <cell r="AJ6396">
            <v>0</v>
          </cell>
          <cell r="AW6396">
            <v>0</v>
          </cell>
          <cell r="AZ6396">
            <v>300</v>
          </cell>
          <cell r="BJ6396">
            <v>300</v>
          </cell>
        </row>
        <row r="6397">
          <cell r="B6397">
            <v>9176</v>
          </cell>
          <cell r="D6397" t="str">
            <v/>
          </cell>
          <cell r="E6397" t="str">
            <v/>
          </cell>
          <cell r="F6397" t="str">
            <v/>
          </cell>
          <cell r="G6397">
            <v>8</v>
          </cell>
          <cell r="J6397" t="str">
            <v>NO SUMA</v>
          </cell>
          <cell r="W6397">
            <v>0</v>
          </cell>
          <cell r="AJ6397">
            <v>0</v>
          </cell>
          <cell r="AW6397">
            <v>0</v>
          </cell>
          <cell r="BJ6397">
            <v>0</v>
          </cell>
        </row>
        <row r="6398">
          <cell r="B6398">
            <v>9177</v>
          </cell>
          <cell r="C6398" t="str">
            <v>LD_63_</v>
          </cell>
          <cell r="D6398" t="str">
            <v>Rancho Landero No. 63</v>
          </cell>
          <cell r="E6398" t="str">
            <v>Hernández Chávez</v>
          </cell>
          <cell r="F6398">
            <v>300</v>
          </cell>
          <cell r="G6398">
            <v>1</v>
          </cell>
          <cell r="H6398">
            <v>400</v>
          </cell>
          <cell r="I6398">
            <v>42085</v>
          </cell>
          <cell r="J6398">
            <v>0</v>
          </cell>
          <cell r="W6398">
            <v>0</v>
          </cell>
          <cell r="AJ6398">
            <v>0</v>
          </cell>
          <cell r="AW6398">
            <v>0</v>
          </cell>
          <cell r="AY6398">
            <v>400</v>
          </cell>
          <cell r="BJ6398">
            <v>400</v>
          </cell>
        </row>
        <row r="6399">
          <cell r="B6399">
            <v>9178</v>
          </cell>
          <cell r="C6399" t="str">
            <v>EZ_117_</v>
          </cell>
          <cell r="D6399" t="str">
            <v>Rancho Estanzuela No. 117</v>
          </cell>
          <cell r="E6399" t="str">
            <v>Cordero Nieto</v>
          </cell>
          <cell r="F6399">
            <v>300</v>
          </cell>
          <cell r="G6399">
            <v>1</v>
          </cell>
          <cell r="H6399">
            <v>2500</v>
          </cell>
          <cell r="I6399">
            <v>42085</v>
          </cell>
          <cell r="J6399">
            <v>0</v>
          </cell>
          <cell r="W6399">
            <v>0</v>
          </cell>
          <cell r="AJ6399">
            <v>0</v>
          </cell>
          <cell r="AP6399">
            <v>250</v>
          </cell>
          <cell r="AQ6399">
            <v>250</v>
          </cell>
          <cell r="AR6399">
            <v>250</v>
          </cell>
          <cell r="AS6399">
            <v>250</v>
          </cell>
          <cell r="AT6399">
            <v>250</v>
          </cell>
          <cell r="AU6399">
            <v>250</v>
          </cell>
          <cell r="AV6399">
            <v>250</v>
          </cell>
          <cell r="AW6399">
            <v>1750</v>
          </cell>
          <cell r="AX6399">
            <v>250</v>
          </cell>
          <cell r="AY6399">
            <v>250</v>
          </cell>
          <cell r="AZ6399">
            <v>250</v>
          </cell>
          <cell r="BJ6399">
            <v>750</v>
          </cell>
        </row>
        <row r="6400">
          <cell r="B6400">
            <v>9178</v>
          </cell>
          <cell r="C6400" t="str">
            <v>EZ_117_</v>
          </cell>
          <cell r="D6400" t="str">
            <v>Rancho Estanzuela No. 117</v>
          </cell>
          <cell r="E6400" t="str">
            <v>Cordero Nieto</v>
          </cell>
          <cell r="F6400">
            <v>300</v>
          </cell>
          <cell r="G6400">
            <v>3</v>
          </cell>
          <cell r="H6400">
            <v>320</v>
          </cell>
          <cell r="I6400">
            <v>42085</v>
          </cell>
          <cell r="J6400" t="str">
            <v>NO SUMA</v>
          </cell>
          <cell r="W6400">
            <v>0</v>
          </cell>
          <cell r="AJ6400">
            <v>0</v>
          </cell>
          <cell r="AW6400">
            <v>0</v>
          </cell>
          <cell r="BJ6400">
            <v>0</v>
          </cell>
        </row>
        <row r="6401">
          <cell r="B6401">
            <v>9178</v>
          </cell>
          <cell r="C6401" t="str">
            <v>EZ_117_</v>
          </cell>
          <cell r="D6401" t="str">
            <v>Rancho Estanzuela No. 117</v>
          </cell>
          <cell r="E6401" t="str">
            <v>Cordero Nieto</v>
          </cell>
          <cell r="F6401">
            <v>300</v>
          </cell>
          <cell r="G6401">
            <v>4</v>
          </cell>
          <cell r="H6401">
            <v>160</v>
          </cell>
          <cell r="I6401">
            <v>42085</v>
          </cell>
          <cell r="J6401" t="str">
            <v>NO SUMA</v>
          </cell>
          <cell r="W6401">
            <v>0</v>
          </cell>
          <cell r="AJ6401">
            <v>0</v>
          </cell>
          <cell r="AW6401">
            <v>0</v>
          </cell>
          <cell r="BJ6401">
            <v>0</v>
          </cell>
        </row>
        <row r="6402">
          <cell r="B6402">
            <v>9179</v>
          </cell>
          <cell r="C6402" t="str">
            <v>RV_195_</v>
          </cell>
          <cell r="D6402" t="str">
            <v>Rancho Recoveco No. 195</v>
          </cell>
          <cell r="E6402" t="str">
            <v>Sandoval</v>
          </cell>
          <cell r="F6402">
            <v>300</v>
          </cell>
          <cell r="G6402">
            <v>1</v>
          </cell>
          <cell r="H6402">
            <v>400</v>
          </cell>
          <cell r="I6402">
            <v>42085</v>
          </cell>
          <cell r="J6402">
            <v>0</v>
          </cell>
          <cell r="W6402">
            <v>0</v>
          </cell>
          <cell r="AJ6402">
            <v>0</v>
          </cell>
          <cell r="AW6402">
            <v>0</v>
          </cell>
          <cell r="AZ6402">
            <v>400</v>
          </cell>
          <cell r="BJ6402">
            <v>400</v>
          </cell>
        </row>
        <row r="6403">
          <cell r="B6403">
            <v>9180</v>
          </cell>
          <cell r="C6403" t="str">
            <v>CL_82_</v>
          </cell>
          <cell r="D6403" t="str">
            <v>Rancho La Cuchilla No. 82</v>
          </cell>
          <cell r="E6403" t="str">
            <v>Cruz</v>
          </cell>
          <cell r="F6403">
            <v>300</v>
          </cell>
          <cell r="G6403">
            <v>1</v>
          </cell>
          <cell r="H6403">
            <v>800</v>
          </cell>
          <cell r="I6403">
            <v>42085</v>
          </cell>
          <cell r="J6403">
            <v>0</v>
          </cell>
          <cell r="W6403">
            <v>0</v>
          </cell>
          <cell r="AJ6403">
            <v>0</v>
          </cell>
          <cell r="AW6403">
            <v>0</v>
          </cell>
          <cell r="AX6403">
            <v>400</v>
          </cell>
          <cell r="AY6403">
            <v>400</v>
          </cell>
          <cell r="BJ6403">
            <v>800</v>
          </cell>
        </row>
        <row r="6404">
          <cell r="B6404">
            <v>9181</v>
          </cell>
          <cell r="C6404" t="str">
            <v>ZB_82_</v>
          </cell>
          <cell r="D6404" t="str">
            <v>Rancho Zinamba No. 82</v>
          </cell>
          <cell r="E6404" t="str">
            <v>Morán Carmona</v>
          </cell>
          <cell r="F6404">
            <v>150</v>
          </cell>
          <cell r="G6404">
            <v>1</v>
          </cell>
          <cell r="H6404">
            <v>600</v>
          </cell>
          <cell r="I6404">
            <v>42085</v>
          </cell>
          <cell r="J6404">
            <v>0</v>
          </cell>
          <cell r="W6404">
            <v>0</v>
          </cell>
          <cell r="AJ6404">
            <v>0</v>
          </cell>
          <cell r="AW6404">
            <v>0</v>
          </cell>
          <cell r="AX6404">
            <v>200</v>
          </cell>
          <cell r="AY6404">
            <v>200</v>
          </cell>
          <cell r="AZ6404">
            <v>200</v>
          </cell>
          <cell r="BJ6404">
            <v>600</v>
          </cell>
        </row>
        <row r="6405">
          <cell r="B6405">
            <v>9182</v>
          </cell>
          <cell r="C6405" t="str">
            <v>UP_73_A</v>
          </cell>
          <cell r="D6405" t="str">
            <v>Rancho Upácuaro No. 73, A</v>
          </cell>
          <cell r="E6405" t="str">
            <v>Ortega</v>
          </cell>
          <cell r="F6405">
            <v>150</v>
          </cell>
          <cell r="G6405">
            <v>1</v>
          </cell>
          <cell r="H6405">
            <v>200</v>
          </cell>
          <cell r="I6405">
            <v>42085</v>
          </cell>
          <cell r="J6405">
            <v>0</v>
          </cell>
          <cell r="W6405">
            <v>0</v>
          </cell>
          <cell r="AJ6405">
            <v>0</v>
          </cell>
          <cell r="AW6405">
            <v>0</v>
          </cell>
          <cell r="AZ6405">
            <v>200</v>
          </cell>
          <cell r="BJ6405">
            <v>200</v>
          </cell>
        </row>
        <row r="6406">
          <cell r="B6406">
            <v>9183</v>
          </cell>
          <cell r="C6406" t="str">
            <v>EZ_77_</v>
          </cell>
          <cell r="D6406" t="str">
            <v>Rancho Estanzuela No. 77</v>
          </cell>
          <cell r="E6406" t="str">
            <v>De la Rosa Rico</v>
          </cell>
          <cell r="F6406">
            <v>300</v>
          </cell>
          <cell r="G6406">
            <v>1</v>
          </cell>
          <cell r="H6406">
            <v>800</v>
          </cell>
          <cell r="I6406">
            <v>42085</v>
          </cell>
          <cell r="J6406">
            <v>0</v>
          </cell>
          <cell r="W6406">
            <v>0</v>
          </cell>
          <cell r="AJ6406">
            <v>0</v>
          </cell>
          <cell r="AW6406">
            <v>0</v>
          </cell>
          <cell r="AX6406">
            <v>400</v>
          </cell>
          <cell r="AY6406">
            <v>400</v>
          </cell>
          <cell r="BJ6406">
            <v>800</v>
          </cell>
        </row>
        <row r="6407">
          <cell r="B6407">
            <v>9184</v>
          </cell>
          <cell r="C6407" t="str">
            <v>LD_45_</v>
          </cell>
          <cell r="D6407" t="str">
            <v>Rancho Landero No. 45</v>
          </cell>
          <cell r="E6407" t="str">
            <v>Solano</v>
          </cell>
          <cell r="F6407">
            <v>250</v>
          </cell>
          <cell r="G6407">
            <v>1</v>
          </cell>
          <cell r="H6407">
            <v>400</v>
          </cell>
          <cell r="I6407">
            <v>42085</v>
          </cell>
          <cell r="J6407">
            <v>0</v>
          </cell>
          <cell r="W6407">
            <v>0</v>
          </cell>
          <cell r="AJ6407">
            <v>0</v>
          </cell>
          <cell r="AW6407">
            <v>0</v>
          </cell>
          <cell r="BA6407">
            <v>400</v>
          </cell>
          <cell r="BJ6407">
            <v>400</v>
          </cell>
        </row>
        <row r="6408">
          <cell r="B6408">
            <v>9185</v>
          </cell>
          <cell r="C6408" t="str">
            <v>UP_88_</v>
          </cell>
          <cell r="D6408" t="str">
            <v>Rancho Upácuaro No. 88</v>
          </cell>
          <cell r="E6408" t="str">
            <v>Millán Núñez</v>
          </cell>
          <cell r="F6408">
            <v>300</v>
          </cell>
          <cell r="G6408">
            <v>1</v>
          </cell>
          <cell r="H6408">
            <v>800</v>
          </cell>
          <cell r="I6408">
            <v>42085</v>
          </cell>
          <cell r="J6408">
            <v>0</v>
          </cell>
          <cell r="W6408">
            <v>0</v>
          </cell>
          <cell r="AJ6408">
            <v>0</v>
          </cell>
          <cell r="AW6408">
            <v>0</v>
          </cell>
          <cell r="AY6408">
            <v>400</v>
          </cell>
          <cell r="AZ6408">
            <v>400</v>
          </cell>
          <cell r="BJ6408">
            <v>800</v>
          </cell>
        </row>
        <row r="6409">
          <cell r="B6409">
            <v>9186</v>
          </cell>
          <cell r="C6409" t="str">
            <v>RV_173_</v>
          </cell>
          <cell r="D6409" t="str">
            <v>Rancho Recoveco No. 173</v>
          </cell>
          <cell r="E6409" t="str">
            <v>Velarde</v>
          </cell>
          <cell r="F6409">
            <v>300</v>
          </cell>
          <cell r="G6409">
            <v>1</v>
          </cell>
          <cell r="H6409">
            <v>600</v>
          </cell>
          <cell r="I6409">
            <v>42086</v>
          </cell>
          <cell r="J6409">
            <v>0</v>
          </cell>
          <cell r="W6409">
            <v>0</v>
          </cell>
          <cell r="AJ6409">
            <v>0</v>
          </cell>
          <cell r="AW6409">
            <v>0</v>
          </cell>
          <cell r="AZ6409">
            <v>300</v>
          </cell>
          <cell r="BA6409">
            <v>300</v>
          </cell>
          <cell r="BJ6409">
            <v>600</v>
          </cell>
        </row>
        <row r="6410">
          <cell r="B6410">
            <v>9187</v>
          </cell>
          <cell r="C6410" t="str">
            <v>EZ_49_</v>
          </cell>
          <cell r="D6410" t="str">
            <v>Rancho Estanzuela No. 49</v>
          </cell>
          <cell r="E6410" t="str">
            <v>Sánchez Zamora</v>
          </cell>
          <cell r="F6410">
            <v>300</v>
          </cell>
          <cell r="G6410">
            <v>4</v>
          </cell>
          <cell r="H6410">
            <v>160</v>
          </cell>
          <cell r="I6410">
            <v>42087</v>
          </cell>
          <cell r="J6410" t="str">
            <v>NO SUMA</v>
          </cell>
          <cell r="W6410">
            <v>0</v>
          </cell>
          <cell r="AJ6410">
            <v>0</v>
          </cell>
          <cell r="AW6410">
            <v>0</v>
          </cell>
          <cell r="BJ6410">
            <v>0</v>
          </cell>
        </row>
        <row r="6411">
          <cell r="B6411">
            <v>9188</v>
          </cell>
          <cell r="C6411" t="str">
            <v>LD_87_</v>
          </cell>
          <cell r="D6411" t="str">
            <v>Rancho Landero No. 87</v>
          </cell>
          <cell r="E6411" t="str">
            <v>Fey Lafferla</v>
          </cell>
          <cell r="F6411">
            <v>300</v>
          </cell>
          <cell r="G6411">
            <v>1</v>
          </cell>
          <cell r="H6411">
            <v>1200</v>
          </cell>
          <cell r="I6411">
            <v>42088</v>
          </cell>
          <cell r="J6411">
            <v>0</v>
          </cell>
          <cell r="W6411">
            <v>0</v>
          </cell>
          <cell r="AJ6411">
            <v>0</v>
          </cell>
          <cell r="AW6411">
            <v>0</v>
          </cell>
          <cell r="AX6411">
            <v>300</v>
          </cell>
          <cell r="AY6411">
            <v>300</v>
          </cell>
          <cell r="AZ6411">
            <v>300</v>
          </cell>
          <cell r="BA6411">
            <v>300</v>
          </cell>
          <cell r="BJ6411">
            <v>1200</v>
          </cell>
        </row>
        <row r="6412">
          <cell r="B6412">
            <v>9189</v>
          </cell>
          <cell r="C6412" t="str">
            <v>UP_35_</v>
          </cell>
          <cell r="D6412" t="str">
            <v>Rancho Upácuaro No. 35</v>
          </cell>
          <cell r="E6412" t="str">
            <v>García</v>
          </cell>
          <cell r="F6412">
            <v>300</v>
          </cell>
          <cell r="G6412">
            <v>7</v>
          </cell>
          <cell r="H6412">
            <v>500</v>
          </cell>
          <cell r="I6412">
            <v>42088</v>
          </cell>
          <cell r="J6412" t="str">
            <v>NO SUMA</v>
          </cell>
          <cell r="W6412">
            <v>0</v>
          </cell>
          <cell r="AJ6412">
            <v>0</v>
          </cell>
          <cell r="AW6412">
            <v>0</v>
          </cell>
          <cell r="BJ6412">
            <v>0</v>
          </cell>
        </row>
        <row r="6413">
          <cell r="B6413">
            <v>9190</v>
          </cell>
          <cell r="C6413" t="str">
            <v>RV_3_</v>
          </cell>
          <cell r="D6413" t="str">
            <v>Rancho Recoveco No. 3</v>
          </cell>
          <cell r="E6413" t="str">
            <v>Garduño</v>
          </cell>
          <cell r="F6413">
            <v>300</v>
          </cell>
          <cell r="G6413">
            <v>1</v>
          </cell>
          <cell r="H6413">
            <v>300</v>
          </cell>
          <cell r="I6413">
            <v>42090</v>
          </cell>
          <cell r="J6413">
            <v>0</v>
          </cell>
          <cell r="W6413">
            <v>0</v>
          </cell>
          <cell r="AJ6413">
            <v>0</v>
          </cell>
          <cell r="AW6413">
            <v>0</v>
          </cell>
          <cell r="AZ6413">
            <v>300</v>
          </cell>
          <cell r="BJ6413">
            <v>300</v>
          </cell>
        </row>
        <row r="6414">
          <cell r="B6414">
            <v>9191</v>
          </cell>
          <cell r="C6414" t="str">
            <v>RV_3_</v>
          </cell>
          <cell r="D6414" t="str">
            <v>Rancho Recoveco No. 3</v>
          </cell>
          <cell r="E6414" t="str">
            <v>Garduño</v>
          </cell>
          <cell r="F6414">
            <v>300</v>
          </cell>
          <cell r="G6414">
            <v>3</v>
          </cell>
          <cell r="H6414">
            <v>160</v>
          </cell>
          <cell r="I6414">
            <v>42091</v>
          </cell>
          <cell r="J6414" t="str">
            <v>NO SUMA</v>
          </cell>
          <cell r="W6414">
            <v>0</v>
          </cell>
          <cell r="AJ6414">
            <v>0</v>
          </cell>
          <cell r="AW6414">
            <v>0</v>
          </cell>
          <cell r="BJ6414">
            <v>0</v>
          </cell>
        </row>
        <row r="6415">
          <cell r="B6415">
            <v>9192</v>
          </cell>
          <cell r="C6415" t="str">
            <v>UP_70_</v>
          </cell>
          <cell r="D6415" t="str">
            <v>Rancho Upácuaro No. 70</v>
          </cell>
          <cell r="E6415" t="str">
            <v>Ramírez Tejeda</v>
          </cell>
          <cell r="F6415">
            <v>300</v>
          </cell>
          <cell r="G6415">
            <v>1</v>
          </cell>
          <cell r="H6415">
            <v>300</v>
          </cell>
          <cell r="I6415">
            <v>42092</v>
          </cell>
          <cell r="J6415">
            <v>0</v>
          </cell>
          <cell r="W6415">
            <v>0</v>
          </cell>
          <cell r="AJ6415">
            <v>0</v>
          </cell>
          <cell r="AW6415">
            <v>0</v>
          </cell>
          <cell r="BA6415">
            <v>300</v>
          </cell>
          <cell r="BJ6415">
            <v>300</v>
          </cell>
        </row>
        <row r="6416">
          <cell r="B6416">
            <v>9193</v>
          </cell>
          <cell r="C6416" t="str">
            <v>UP_64_</v>
          </cell>
          <cell r="D6416" t="str">
            <v>Rancho Upácuaro No. 64</v>
          </cell>
          <cell r="E6416" t="str">
            <v>Méndez Oliva</v>
          </cell>
          <cell r="F6416">
            <v>300</v>
          </cell>
          <cell r="G6416">
            <v>1</v>
          </cell>
          <cell r="H6416">
            <v>300</v>
          </cell>
          <cell r="I6416">
            <v>42092</v>
          </cell>
          <cell r="J6416">
            <v>0</v>
          </cell>
          <cell r="W6416">
            <v>0</v>
          </cell>
          <cell r="AJ6416">
            <v>0</v>
          </cell>
          <cell r="AW6416">
            <v>0</v>
          </cell>
          <cell r="AZ6416">
            <v>300</v>
          </cell>
          <cell r="BJ6416">
            <v>300</v>
          </cell>
        </row>
        <row r="6417">
          <cell r="B6417">
            <v>9194</v>
          </cell>
          <cell r="C6417" t="str">
            <v>CL_93_</v>
          </cell>
          <cell r="D6417" t="str">
            <v>Rancho La Cuchilla No. 93</v>
          </cell>
          <cell r="E6417" t="str">
            <v>Alcántara Silva</v>
          </cell>
          <cell r="F6417">
            <v>300</v>
          </cell>
          <cell r="G6417">
            <v>1</v>
          </cell>
          <cell r="H6417">
            <v>400</v>
          </cell>
          <cell r="I6417">
            <v>42092</v>
          </cell>
          <cell r="J6417">
            <v>0</v>
          </cell>
          <cell r="W6417">
            <v>0</v>
          </cell>
          <cell r="AJ6417">
            <v>0</v>
          </cell>
          <cell r="AW6417">
            <v>0</v>
          </cell>
          <cell r="BA6417">
            <v>400</v>
          </cell>
          <cell r="BJ6417">
            <v>400</v>
          </cell>
        </row>
        <row r="6418">
          <cell r="B6418">
            <v>9195</v>
          </cell>
          <cell r="C6418" t="str">
            <v>LD_76_</v>
          </cell>
          <cell r="D6418" t="str">
            <v>Rancho Landero No. 76</v>
          </cell>
          <cell r="E6418" t="str">
            <v>Ugarte</v>
          </cell>
          <cell r="F6418">
            <v>300</v>
          </cell>
          <cell r="G6418">
            <v>1</v>
          </cell>
          <cell r="H6418">
            <v>400</v>
          </cell>
          <cell r="I6418">
            <v>42092</v>
          </cell>
          <cell r="J6418">
            <v>0</v>
          </cell>
          <cell r="W6418">
            <v>0</v>
          </cell>
          <cell r="AJ6418">
            <v>0</v>
          </cell>
          <cell r="AW6418">
            <v>0</v>
          </cell>
          <cell r="BA6418">
            <v>400</v>
          </cell>
          <cell r="BJ6418">
            <v>400</v>
          </cell>
        </row>
        <row r="6419">
          <cell r="B6419">
            <v>9196</v>
          </cell>
          <cell r="C6419" t="str">
            <v>CL_130_</v>
          </cell>
          <cell r="D6419" t="str">
            <v>Rancho La Cuchilla No. 130</v>
          </cell>
          <cell r="E6419" t="str">
            <v>Gonzalez</v>
          </cell>
          <cell r="F6419">
            <v>300</v>
          </cell>
          <cell r="G6419">
            <v>1</v>
          </cell>
          <cell r="H6419">
            <v>400</v>
          </cell>
          <cell r="I6419">
            <v>42092</v>
          </cell>
          <cell r="J6419">
            <v>0</v>
          </cell>
          <cell r="W6419">
            <v>0</v>
          </cell>
          <cell r="AJ6419">
            <v>0</v>
          </cell>
          <cell r="AW6419">
            <v>0</v>
          </cell>
          <cell r="AZ6419">
            <v>400</v>
          </cell>
          <cell r="BJ6419">
            <v>400</v>
          </cell>
        </row>
        <row r="6420">
          <cell r="B6420">
            <v>9196</v>
          </cell>
          <cell r="C6420" t="str">
            <v>CL_130_</v>
          </cell>
          <cell r="D6420" t="str">
            <v>Rancho La Cuchilla No. 130</v>
          </cell>
          <cell r="E6420" t="str">
            <v>Gonzalez</v>
          </cell>
          <cell r="F6420">
            <v>300</v>
          </cell>
          <cell r="G6420">
            <v>4</v>
          </cell>
          <cell r="H6420">
            <v>320</v>
          </cell>
          <cell r="I6420">
            <v>42092</v>
          </cell>
          <cell r="J6420" t="str">
            <v>NO SUMA</v>
          </cell>
          <cell r="W6420">
            <v>0</v>
          </cell>
          <cell r="AJ6420">
            <v>0</v>
          </cell>
          <cell r="AW6420">
            <v>0</v>
          </cell>
          <cell r="BJ6420">
            <v>0</v>
          </cell>
        </row>
        <row r="6421">
          <cell r="B6421">
            <v>9197</v>
          </cell>
          <cell r="C6421" t="str">
            <v>EZ_111_</v>
          </cell>
          <cell r="D6421" t="str">
            <v>Rancho Estanzuela No. 111</v>
          </cell>
          <cell r="E6421" t="str">
            <v>Flores Pérez</v>
          </cell>
          <cell r="F6421">
            <v>300</v>
          </cell>
          <cell r="G6421">
            <v>1</v>
          </cell>
          <cell r="H6421">
            <v>400</v>
          </cell>
          <cell r="I6421">
            <v>42092</v>
          </cell>
          <cell r="J6421">
            <v>0</v>
          </cell>
          <cell r="W6421">
            <v>0</v>
          </cell>
          <cell r="AJ6421">
            <v>0</v>
          </cell>
          <cell r="AW6421">
            <v>0</v>
          </cell>
          <cell r="AY6421">
            <v>400</v>
          </cell>
          <cell r="BJ6421">
            <v>400</v>
          </cell>
        </row>
        <row r="6422">
          <cell r="B6422">
            <v>9198</v>
          </cell>
          <cell r="C6422" t="str">
            <v>UP_14_</v>
          </cell>
          <cell r="D6422" t="str">
            <v>Rancho Upácuaro No. 14</v>
          </cell>
          <cell r="E6422" t="str">
            <v>Castillo Hernández</v>
          </cell>
          <cell r="F6422">
            <v>300</v>
          </cell>
          <cell r="G6422">
            <v>1</v>
          </cell>
          <cell r="H6422">
            <v>400</v>
          </cell>
          <cell r="I6422">
            <v>42092</v>
          </cell>
          <cell r="J6422">
            <v>0</v>
          </cell>
          <cell r="W6422">
            <v>0</v>
          </cell>
          <cell r="AJ6422">
            <v>0</v>
          </cell>
          <cell r="AW6422">
            <v>0</v>
          </cell>
          <cell r="BA6422">
            <v>400</v>
          </cell>
          <cell r="BJ6422">
            <v>400</v>
          </cell>
        </row>
        <row r="6423">
          <cell r="B6423">
            <v>9199</v>
          </cell>
          <cell r="C6423" t="str">
            <v>ZB_36_</v>
          </cell>
          <cell r="D6423" t="str">
            <v>Rancho Zinamba No. 36</v>
          </cell>
          <cell r="E6423" t="str">
            <v>Rodríguez Ortiz</v>
          </cell>
          <cell r="F6423">
            <v>300</v>
          </cell>
          <cell r="G6423">
            <v>1</v>
          </cell>
          <cell r="H6423">
            <v>800</v>
          </cell>
          <cell r="I6423">
            <v>42092</v>
          </cell>
          <cell r="J6423">
            <v>0</v>
          </cell>
          <cell r="W6423">
            <v>0</v>
          </cell>
          <cell r="AJ6423">
            <v>0</v>
          </cell>
          <cell r="AW6423">
            <v>0</v>
          </cell>
          <cell r="AZ6423">
            <v>400</v>
          </cell>
          <cell r="BA6423">
            <v>400</v>
          </cell>
          <cell r="BJ6423">
            <v>800</v>
          </cell>
        </row>
        <row r="6424">
          <cell r="B6424">
            <v>9200</v>
          </cell>
          <cell r="C6424" t="str">
            <v>CL_132_</v>
          </cell>
          <cell r="D6424" t="str">
            <v>Rancho La Cuchilla No. 132</v>
          </cell>
          <cell r="E6424" t="str">
            <v>Téllez Girón</v>
          </cell>
          <cell r="F6424">
            <v>300</v>
          </cell>
          <cell r="G6424">
            <v>1</v>
          </cell>
          <cell r="H6424">
            <v>600</v>
          </cell>
          <cell r="I6424">
            <v>42092</v>
          </cell>
          <cell r="J6424">
            <v>0</v>
          </cell>
          <cell r="W6424">
            <v>0</v>
          </cell>
          <cell r="AJ6424">
            <v>0</v>
          </cell>
          <cell r="AW6424">
            <v>0</v>
          </cell>
          <cell r="AY6424">
            <v>300</v>
          </cell>
          <cell r="AZ6424">
            <v>300</v>
          </cell>
          <cell r="BJ6424">
            <v>600</v>
          </cell>
        </row>
        <row r="6425">
          <cell r="B6425">
            <v>9201</v>
          </cell>
          <cell r="C6425" t="str">
            <v>ZB_34_</v>
          </cell>
          <cell r="D6425" t="str">
            <v>Rancho Zinamba No. 34</v>
          </cell>
          <cell r="E6425" t="str">
            <v>Torres Zavala</v>
          </cell>
          <cell r="F6425">
            <v>300</v>
          </cell>
          <cell r="G6425">
            <v>1</v>
          </cell>
          <cell r="H6425">
            <v>400</v>
          </cell>
          <cell r="I6425">
            <v>42092</v>
          </cell>
          <cell r="J6425">
            <v>0</v>
          </cell>
          <cell r="W6425">
            <v>0</v>
          </cell>
          <cell r="AJ6425">
            <v>0</v>
          </cell>
          <cell r="AW6425">
            <v>0</v>
          </cell>
          <cell r="AZ6425">
            <v>400</v>
          </cell>
          <cell r="BJ6425">
            <v>400</v>
          </cell>
        </row>
        <row r="6426">
          <cell r="B6426">
            <v>9202</v>
          </cell>
          <cell r="C6426" t="str">
            <v>UP_35_</v>
          </cell>
          <cell r="D6426" t="str">
            <v>Rancho Upácuaro No. 35</v>
          </cell>
          <cell r="E6426" t="str">
            <v>García</v>
          </cell>
          <cell r="F6426">
            <v>300</v>
          </cell>
          <cell r="G6426">
            <v>1</v>
          </cell>
          <cell r="H6426">
            <v>200</v>
          </cell>
          <cell r="I6426">
            <v>42092</v>
          </cell>
          <cell r="J6426">
            <v>0</v>
          </cell>
          <cell r="W6426">
            <v>0</v>
          </cell>
          <cell r="AJ6426">
            <v>0</v>
          </cell>
          <cell r="AW6426">
            <v>0</v>
          </cell>
          <cell r="AZ6426">
            <v>200</v>
          </cell>
          <cell r="BJ6426">
            <v>200</v>
          </cell>
        </row>
        <row r="6427">
          <cell r="B6427">
            <v>9203</v>
          </cell>
          <cell r="C6427" t="str">
            <v>CL_71_</v>
          </cell>
          <cell r="D6427" t="str">
            <v>Rancho La Cuchilla No. 71</v>
          </cell>
          <cell r="E6427" t="str">
            <v>Pulido</v>
          </cell>
          <cell r="F6427">
            <v>300</v>
          </cell>
          <cell r="G6427">
            <v>1</v>
          </cell>
          <cell r="H6427">
            <v>700</v>
          </cell>
          <cell r="I6427">
            <v>42092</v>
          </cell>
          <cell r="J6427">
            <v>0</v>
          </cell>
          <cell r="W6427">
            <v>0</v>
          </cell>
          <cell r="AJ6427">
            <v>0</v>
          </cell>
          <cell r="AW6427">
            <v>0</v>
          </cell>
          <cell r="AY6427">
            <v>350</v>
          </cell>
          <cell r="AZ6427">
            <v>350</v>
          </cell>
          <cell r="BJ6427">
            <v>700</v>
          </cell>
        </row>
        <row r="6428">
          <cell r="B6428">
            <v>9204</v>
          </cell>
          <cell r="C6428" t="str">
            <v>CL_14_</v>
          </cell>
          <cell r="D6428" t="str">
            <v>Rancho La Cuchilla No. 14</v>
          </cell>
          <cell r="E6428" t="str">
            <v>Chávez Lara</v>
          </cell>
          <cell r="F6428">
            <v>300</v>
          </cell>
          <cell r="G6428">
            <v>1</v>
          </cell>
          <cell r="H6428">
            <v>800</v>
          </cell>
          <cell r="I6428">
            <v>42092</v>
          </cell>
          <cell r="J6428">
            <v>0</v>
          </cell>
          <cell r="W6428">
            <v>0</v>
          </cell>
          <cell r="AJ6428">
            <v>0</v>
          </cell>
          <cell r="AW6428">
            <v>0</v>
          </cell>
          <cell r="AZ6428">
            <v>400</v>
          </cell>
          <cell r="BA6428">
            <v>400</v>
          </cell>
          <cell r="BJ6428">
            <v>800</v>
          </cell>
        </row>
        <row r="6429">
          <cell r="B6429">
            <v>9205</v>
          </cell>
          <cell r="C6429" t="str">
            <v>LD_73_</v>
          </cell>
          <cell r="D6429" t="str">
            <v>Rancho Landero No. 73</v>
          </cell>
          <cell r="E6429" t="str">
            <v>Islas Palacios</v>
          </cell>
          <cell r="F6429">
            <v>300</v>
          </cell>
          <cell r="G6429">
            <v>1</v>
          </cell>
          <cell r="H6429">
            <v>400</v>
          </cell>
          <cell r="I6429">
            <v>42092</v>
          </cell>
          <cell r="J6429">
            <v>0</v>
          </cell>
          <cell r="W6429">
            <v>0</v>
          </cell>
          <cell r="AJ6429">
            <v>0</v>
          </cell>
          <cell r="AW6429">
            <v>0</v>
          </cell>
          <cell r="AZ6429">
            <v>400</v>
          </cell>
          <cell r="BJ6429">
            <v>400</v>
          </cell>
        </row>
        <row r="6430">
          <cell r="B6430">
            <v>9206</v>
          </cell>
          <cell r="C6430" t="str">
            <v>EZ_65_</v>
          </cell>
          <cell r="D6430" t="str">
            <v>Rancho Estanzuela No. 65</v>
          </cell>
          <cell r="E6430" t="str">
            <v>López Becerril</v>
          </cell>
          <cell r="F6430">
            <v>300</v>
          </cell>
          <cell r="G6430">
            <v>1</v>
          </cell>
          <cell r="H6430">
            <v>400</v>
          </cell>
          <cell r="I6430">
            <v>42092</v>
          </cell>
          <cell r="J6430">
            <v>0</v>
          </cell>
          <cell r="W6430">
            <v>0</v>
          </cell>
          <cell r="AJ6430">
            <v>0</v>
          </cell>
          <cell r="AW6430">
            <v>0</v>
          </cell>
          <cell r="BA6430">
            <v>400</v>
          </cell>
          <cell r="BJ6430">
            <v>400</v>
          </cell>
        </row>
        <row r="6431">
          <cell r="B6431">
            <v>9207</v>
          </cell>
          <cell r="C6431" t="str">
            <v>EZ_55_</v>
          </cell>
          <cell r="D6431" t="str">
            <v>Rancho Estanzuela No. 55</v>
          </cell>
          <cell r="E6431" t="str">
            <v>Rodríguez Acevedo</v>
          </cell>
          <cell r="F6431">
            <v>300</v>
          </cell>
          <cell r="G6431">
            <v>1</v>
          </cell>
          <cell r="H6431">
            <v>400</v>
          </cell>
          <cell r="I6431">
            <v>42092</v>
          </cell>
          <cell r="J6431">
            <v>0</v>
          </cell>
          <cell r="W6431">
            <v>0</v>
          </cell>
          <cell r="AJ6431">
            <v>0</v>
          </cell>
          <cell r="AW6431">
            <v>0</v>
          </cell>
          <cell r="BA6431">
            <v>400</v>
          </cell>
          <cell r="BJ6431">
            <v>400</v>
          </cell>
        </row>
        <row r="6432">
          <cell r="B6432">
            <v>9208</v>
          </cell>
          <cell r="C6432" t="str">
            <v>UP_33_</v>
          </cell>
          <cell r="D6432" t="str">
            <v>Rancho Upácuaro No. 33</v>
          </cell>
          <cell r="E6432" t="str">
            <v>Ulloa Miranda</v>
          </cell>
          <cell r="F6432">
            <v>300</v>
          </cell>
          <cell r="G6432">
            <v>1</v>
          </cell>
          <cell r="H6432">
            <v>400</v>
          </cell>
          <cell r="I6432">
            <v>42092</v>
          </cell>
          <cell r="J6432">
            <v>0</v>
          </cell>
          <cell r="W6432">
            <v>0</v>
          </cell>
          <cell r="AJ6432">
            <v>0</v>
          </cell>
          <cell r="AW6432">
            <v>0</v>
          </cell>
          <cell r="BA6432">
            <v>400</v>
          </cell>
          <cell r="BJ6432">
            <v>400</v>
          </cell>
        </row>
        <row r="6433">
          <cell r="C6433" t="str">
            <v>CL_29_</v>
          </cell>
          <cell r="D6433" t="str">
            <v>Rancho La Cuchilla No. 29</v>
          </cell>
          <cell r="E6433" t="str">
            <v>Vega Sánchez C.</v>
          </cell>
          <cell r="F6433">
            <v>300</v>
          </cell>
          <cell r="G6433">
            <v>1</v>
          </cell>
          <cell r="H6433">
            <v>400</v>
          </cell>
          <cell r="I6433">
            <v>42092</v>
          </cell>
          <cell r="J6433">
            <v>0</v>
          </cell>
          <cell r="W6433">
            <v>0</v>
          </cell>
          <cell r="AJ6433">
            <v>0</v>
          </cell>
          <cell r="AW6433">
            <v>0</v>
          </cell>
          <cell r="AY6433">
            <v>400</v>
          </cell>
          <cell r="BJ6433">
            <v>400</v>
          </cell>
        </row>
      </sheetData>
      <sheetData sheetId="1" refreshError="1"/>
      <sheetData sheetId="2">
        <row r="31">
          <cell r="D31" t="str">
            <v>C_ING</v>
          </cell>
          <cell r="E31" t="str">
            <v>C_ING</v>
          </cell>
          <cell r="F31" t="str">
            <v>C_ING</v>
          </cell>
          <cell r="G31" t="str">
            <v>C_ING</v>
          </cell>
          <cell r="H31" t="str">
            <v>C_ING</v>
          </cell>
          <cell r="J31" t="str">
            <v>C_ING</v>
          </cell>
        </row>
        <row r="32">
          <cell r="D32">
            <v>1</v>
          </cell>
          <cell r="E32">
            <v>2</v>
          </cell>
          <cell r="F32">
            <v>3</v>
          </cell>
          <cell r="G32">
            <v>4</v>
          </cell>
          <cell r="H32">
            <v>5</v>
          </cell>
          <cell r="J32">
            <v>7</v>
          </cell>
        </row>
        <row r="55">
          <cell r="D55" t="str">
            <v>clave</v>
          </cell>
        </row>
        <row r="56">
          <cell r="D56" t="str">
            <v>G_NMNVG</v>
          </cell>
        </row>
        <row r="58">
          <cell r="D58" t="str">
            <v>clave</v>
          </cell>
        </row>
        <row r="59">
          <cell r="D59" t="str">
            <v>G_AGUA</v>
          </cell>
        </row>
        <row r="61">
          <cell r="D61" t="str">
            <v>clave</v>
          </cell>
        </row>
        <row r="62">
          <cell r="D62" t="str">
            <v>G_ALMVG</v>
          </cell>
        </row>
        <row r="64">
          <cell r="D64" t="str">
            <v>clave</v>
          </cell>
        </row>
        <row r="65">
          <cell r="D65" t="str">
            <v>G_UNF</v>
          </cell>
        </row>
        <row r="67">
          <cell r="D67" t="str">
            <v>clave</v>
          </cell>
        </row>
        <row r="68">
          <cell r="D68" t="str">
            <v>G_MDC</v>
          </cell>
        </row>
        <row r="70">
          <cell r="D70" t="str">
            <v>clave</v>
          </cell>
        </row>
        <row r="71">
          <cell r="D71" t="str">
            <v>G_TRSP</v>
          </cell>
        </row>
        <row r="73">
          <cell r="D73" t="str">
            <v>clave</v>
          </cell>
        </row>
        <row r="74">
          <cell r="D74" t="str">
            <v>G_MTLPZ</v>
          </cell>
        </row>
        <row r="76">
          <cell r="D76" t="str">
            <v>clave</v>
          </cell>
        </row>
        <row r="77">
          <cell r="D77" t="str">
            <v>G_INFRA</v>
          </cell>
        </row>
        <row r="79">
          <cell r="D79" t="str">
            <v>clave</v>
          </cell>
        </row>
        <row r="80">
          <cell r="D80" t="str">
            <v>G_SÑ</v>
          </cell>
        </row>
        <row r="82">
          <cell r="D82" t="str">
            <v>clave</v>
          </cell>
        </row>
        <row r="83">
          <cell r="D83" t="str">
            <v>G_USB</v>
          </cell>
        </row>
        <row r="85">
          <cell r="D85" t="str">
            <v>clave</v>
          </cell>
        </row>
        <row r="86">
          <cell r="D86" t="str">
            <v>G_ADQ</v>
          </cell>
        </row>
        <row r="88">
          <cell r="D88" t="str">
            <v>clave</v>
          </cell>
        </row>
        <row r="89">
          <cell r="D89" t="str">
            <v>G_JDN</v>
          </cell>
        </row>
        <row r="91">
          <cell r="D91" t="str">
            <v>clave</v>
          </cell>
        </row>
        <row r="92">
          <cell r="D92" t="str">
            <v>G_VRS</v>
          </cell>
        </row>
        <row r="94">
          <cell r="D94" t="str">
            <v>clave</v>
          </cell>
        </row>
        <row r="95">
          <cell r="D95" t="str">
            <v>G_MTCYP</v>
          </cell>
        </row>
        <row r="97">
          <cell r="D97" t="str">
            <v>clave</v>
          </cell>
        </row>
        <row r="98">
          <cell r="D98" t="str">
            <v>G_MTCST</v>
          </cell>
        </row>
        <row r="100">
          <cell r="D100" t="str">
            <v>clave</v>
          </cell>
        </row>
        <row r="101">
          <cell r="D101" t="str">
            <v>G_MTILM</v>
          </cell>
        </row>
        <row r="103">
          <cell r="D103" t="str">
            <v>clave</v>
          </cell>
        </row>
        <row r="104">
          <cell r="D104" t="str">
            <v>G_MTCBQ</v>
          </cell>
        </row>
        <row r="106">
          <cell r="D106" t="str">
            <v>clave</v>
          </cell>
        </row>
        <row r="107">
          <cell r="D107" t="str">
            <v>G_MTPTA</v>
          </cell>
        </row>
        <row r="109">
          <cell r="D109" t="str">
            <v>clave</v>
          </cell>
        </row>
        <row r="110">
          <cell r="D110" t="str">
            <v>G_PAPE</v>
          </cell>
        </row>
        <row r="112">
          <cell r="D112" t="str">
            <v>clave</v>
          </cell>
        </row>
        <row r="113">
          <cell r="D113" t="str">
            <v>G_TLF</v>
          </cell>
        </row>
        <row r="115">
          <cell r="D115" t="str">
            <v>clave</v>
          </cell>
        </row>
        <row r="116">
          <cell r="D116" t="str">
            <v>G_CBR</v>
          </cell>
        </row>
        <row r="118">
          <cell r="D118" t="str">
            <v>clave</v>
          </cell>
        </row>
        <row r="119">
          <cell r="D119" t="str">
            <v>G_HCTB</v>
          </cell>
        </row>
        <row r="121">
          <cell r="D121" t="str">
            <v>clave</v>
          </cell>
        </row>
        <row r="122">
          <cell r="D122" t="str">
            <v>G_HJRD</v>
          </cell>
        </row>
        <row r="124">
          <cell r="D124" t="str">
            <v>clave</v>
          </cell>
        </row>
        <row r="125">
          <cell r="D125" t="str">
            <v>G_ASLE</v>
          </cell>
        </row>
        <row r="127">
          <cell r="D127" t="str">
            <v>clave</v>
          </cell>
        </row>
        <row r="128">
          <cell r="D128" t="str">
            <v>G_ORG</v>
          </cell>
        </row>
        <row r="130">
          <cell r="D130" t="str">
            <v>clave</v>
          </cell>
        </row>
        <row r="131">
          <cell r="D131" t="str">
            <v>G_DIF</v>
          </cell>
        </row>
        <row r="133">
          <cell r="D133" t="str">
            <v>clave</v>
          </cell>
        </row>
        <row r="134">
          <cell r="D134" t="str">
            <v>G_P_Fin</v>
          </cell>
        </row>
        <row r="136">
          <cell r="D136" t="str">
            <v>clave</v>
          </cell>
        </row>
      </sheetData>
      <sheetData sheetId="3" refreshError="1"/>
      <sheetData sheetId="4" refreshError="1"/>
      <sheetData sheetId="5">
        <row r="3">
          <cell r="B3" t="str">
            <v>FECHA
EMISIÓN</v>
          </cell>
          <cell r="C3" t="str">
            <v>FECHA
OPERACIÓN</v>
          </cell>
          <cell r="D3" t="str">
            <v>CHEQUE
No.</v>
          </cell>
          <cell r="E3" t="str">
            <v>NOMBRE / BENEFICIARIO</v>
          </cell>
          <cell r="F3" t="str">
            <v>CONCEPTO</v>
          </cell>
          <cell r="G3" t="str">
            <v>CASA</v>
          </cell>
          <cell r="H3" t="str">
            <v>DEPÓSITO</v>
          </cell>
          <cell r="I3" t="str">
            <v>RETIRO</v>
          </cell>
          <cell r="J3" t="str">
            <v>SALDO</v>
          </cell>
        </row>
        <row r="4">
          <cell r="J4">
            <v>1280.1699999999994</v>
          </cell>
        </row>
        <row r="5">
          <cell r="C5">
            <v>41281</v>
          </cell>
          <cell r="F5" t="str">
            <v>Depósito en efectivo</v>
          </cell>
          <cell r="H5">
            <v>6000</v>
          </cell>
          <cell r="J5">
            <v>7280.1699999999992</v>
          </cell>
        </row>
        <row r="6">
          <cell r="C6">
            <v>41284</v>
          </cell>
          <cell r="E6" t="str">
            <v>Alberto Augusto Fuentes Herrera</v>
          </cell>
          <cell r="F6" t="str">
            <v>Cuota de vigilancia y mantenimiento</v>
          </cell>
          <cell r="G6" t="str">
            <v>UP_46_</v>
          </cell>
          <cell r="H6">
            <v>300</v>
          </cell>
          <cell r="J6">
            <v>7580.1699999999992</v>
          </cell>
        </row>
        <row r="7">
          <cell r="C7">
            <v>41284</v>
          </cell>
          <cell r="E7" t="str">
            <v>Alberto Augusto Fuentes Herrera</v>
          </cell>
          <cell r="F7" t="str">
            <v>Remanente identificador</v>
          </cell>
          <cell r="G7" t="str">
            <v>G_P_Fin</v>
          </cell>
          <cell r="H7">
            <v>0.46</v>
          </cell>
          <cell r="J7">
            <v>7580.6299999999992</v>
          </cell>
        </row>
        <row r="8">
          <cell r="C8">
            <v>41284</v>
          </cell>
          <cell r="E8" t="str">
            <v>Familia Vega Sánchez C.</v>
          </cell>
          <cell r="F8" t="str">
            <v>Cuota de vigilancia y mantenimiento</v>
          </cell>
          <cell r="G8" t="str">
            <v>CL_29_</v>
          </cell>
          <cell r="H8">
            <v>300</v>
          </cell>
          <cell r="J8">
            <v>7880.6299999999992</v>
          </cell>
        </row>
        <row r="9">
          <cell r="C9">
            <v>41284</v>
          </cell>
          <cell r="E9" t="str">
            <v>Familia Vega Sánchez C.</v>
          </cell>
          <cell r="F9" t="str">
            <v>Remanente identificador</v>
          </cell>
          <cell r="G9" t="str">
            <v>G_P_Fin</v>
          </cell>
          <cell r="H9">
            <v>0.28999999999999998</v>
          </cell>
          <cell r="J9">
            <v>7880.9199999999992</v>
          </cell>
        </row>
        <row r="10">
          <cell r="C10">
            <v>41288</v>
          </cell>
          <cell r="H10">
            <v>13000</v>
          </cell>
          <cell r="J10">
            <v>20880.919999999998</v>
          </cell>
        </row>
        <row r="11">
          <cell r="C11">
            <v>41288</v>
          </cell>
          <cell r="H11">
            <v>3600</v>
          </cell>
          <cell r="J11">
            <v>24480.92</v>
          </cell>
        </row>
        <row r="12">
          <cell r="C12">
            <v>41288</v>
          </cell>
          <cell r="H12">
            <v>2000</v>
          </cell>
          <cell r="J12">
            <v>26480.92</v>
          </cell>
        </row>
        <row r="13">
          <cell r="C13">
            <v>41288</v>
          </cell>
          <cell r="H13">
            <v>2000</v>
          </cell>
          <cell r="J13">
            <v>28480.92</v>
          </cell>
        </row>
        <row r="14">
          <cell r="C14">
            <v>41291</v>
          </cell>
          <cell r="D14">
            <v>40</v>
          </cell>
          <cell r="E14" t="str">
            <v>Sistemas inteligentes en Seguridad</v>
          </cell>
          <cell r="F14" t="str">
            <v>Instalación de cámaras</v>
          </cell>
          <cell r="I14">
            <v>20000</v>
          </cell>
          <cell r="J14">
            <v>8480.9199999999983</v>
          </cell>
        </row>
        <row r="15">
          <cell r="C15">
            <v>41291</v>
          </cell>
          <cell r="H15">
            <v>1500</v>
          </cell>
          <cell r="J15">
            <v>9980.9199999999983</v>
          </cell>
        </row>
        <row r="16">
          <cell r="C16">
            <v>41291</v>
          </cell>
          <cell r="H16">
            <v>3300</v>
          </cell>
          <cell r="J16">
            <v>13280.919999999998</v>
          </cell>
        </row>
        <row r="17">
          <cell r="C17">
            <v>41291</v>
          </cell>
          <cell r="E17" t="str">
            <v>Colegio Carmel</v>
          </cell>
          <cell r="G17" t="str">
            <v>CM_130_A</v>
          </cell>
          <cell r="H17">
            <v>10000</v>
          </cell>
          <cell r="J17">
            <v>23280.92</v>
          </cell>
        </row>
        <row r="18">
          <cell r="C18">
            <v>41302</v>
          </cell>
          <cell r="H18">
            <v>15000</v>
          </cell>
          <cell r="J18">
            <v>38280.92</v>
          </cell>
        </row>
        <row r="19">
          <cell r="C19">
            <v>41302</v>
          </cell>
          <cell r="H19">
            <v>600</v>
          </cell>
          <cell r="J19">
            <v>38880.92</v>
          </cell>
        </row>
        <row r="20">
          <cell r="C20">
            <v>41303</v>
          </cell>
          <cell r="D20">
            <v>41</v>
          </cell>
          <cell r="E20" t="str">
            <v>Sistemas inteligentes en Seguridad</v>
          </cell>
          <cell r="F20" t="str">
            <v>Instalación de cámaras</v>
          </cell>
          <cell r="I20">
            <v>13000</v>
          </cell>
          <cell r="J20">
            <v>25880.92</v>
          </cell>
        </row>
        <row r="21">
          <cell r="C21">
            <v>41305</v>
          </cell>
          <cell r="F21" t="str">
            <v>Comisión por cheques expedidos</v>
          </cell>
          <cell r="G21" t="str">
            <v>G_P_Fin</v>
          </cell>
          <cell r="I21">
            <v>12</v>
          </cell>
          <cell r="J21">
            <v>25868.92</v>
          </cell>
        </row>
        <row r="22">
          <cell r="C22">
            <v>41305</v>
          </cell>
          <cell r="F22" t="str">
            <v>I.V.A. sobre comisiones</v>
          </cell>
          <cell r="G22" t="str">
            <v>IVA</v>
          </cell>
          <cell r="I22">
            <v>1.92</v>
          </cell>
          <cell r="J22">
            <v>25867</v>
          </cell>
        </row>
        <row r="23">
          <cell r="B23" t="str">
            <v>FECHA
EMISIÓN</v>
          </cell>
          <cell r="C23" t="str">
            <v>FECHA
OPERACIÓN</v>
          </cell>
          <cell r="D23" t="str">
            <v>CHEQUE
No.</v>
          </cell>
          <cell r="F23" t="str">
            <v>CONCEPTO</v>
          </cell>
          <cell r="G23" t="str">
            <v>CASA</v>
          </cell>
          <cell r="H23" t="str">
            <v>DEPÓSITO</v>
          </cell>
          <cell r="I23" t="str">
            <v>RETIRO</v>
          </cell>
          <cell r="J23" t="str">
            <v>SALDO</v>
          </cell>
        </row>
        <row r="24">
          <cell r="C24">
            <v>41310</v>
          </cell>
          <cell r="H24">
            <v>4000</v>
          </cell>
          <cell r="J24">
            <v>29867</v>
          </cell>
        </row>
        <row r="25">
          <cell r="C25">
            <v>41310</v>
          </cell>
          <cell r="H25">
            <v>1200</v>
          </cell>
          <cell r="J25">
            <v>31067</v>
          </cell>
        </row>
        <row r="26">
          <cell r="C26">
            <v>41310</v>
          </cell>
          <cell r="H26">
            <v>600</v>
          </cell>
          <cell r="J26">
            <v>31667</v>
          </cell>
        </row>
        <row r="27">
          <cell r="C27">
            <v>41313</v>
          </cell>
          <cell r="D27">
            <v>42</v>
          </cell>
          <cell r="E27" t="str">
            <v>Sistemas inteligentes en Seguridad</v>
          </cell>
          <cell r="F27" t="str">
            <v>Instalación de cámaras</v>
          </cell>
          <cell r="I27">
            <v>15000</v>
          </cell>
          <cell r="J27">
            <v>16667</v>
          </cell>
        </row>
        <row r="28">
          <cell r="C28">
            <v>41313</v>
          </cell>
          <cell r="E28" t="str">
            <v>López Canseco</v>
          </cell>
          <cell r="F28" t="str">
            <v>Cuota de vigilancia y mantenimiento</v>
          </cell>
          <cell r="G28" t="str">
            <v>UP_86_</v>
          </cell>
          <cell r="H28">
            <v>600</v>
          </cell>
          <cell r="J28">
            <v>17267</v>
          </cell>
        </row>
        <row r="29">
          <cell r="C29">
            <v>41313</v>
          </cell>
          <cell r="E29" t="str">
            <v>López Canseco</v>
          </cell>
          <cell r="F29" t="str">
            <v>Remanente identificador</v>
          </cell>
          <cell r="G29" t="str">
            <v>G_P_Fin</v>
          </cell>
          <cell r="H29">
            <v>0.2</v>
          </cell>
          <cell r="J29">
            <v>17267.2</v>
          </cell>
        </row>
        <row r="30">
          <cell r="C30">
            <v>41313</v>
          </cell>
          <cell r="E30" t="str">
            <v>Familia Vega Sánchez C.</v>
          </cell>
          <cell r="F30" t="str">
            <v>Cuota de vigilancia y mantenimiento</v>
          </cell>
          <cell r="G30" t="str">
            <v>CL_29_</v>
          </cell>
          <cell r="H30">
            <v>300</v>
          </cell>
          <cell r="J30">
            <v>17567.2</v>
          </cell>
        </row>
        <row r="31">
          <cell r="C31">
            <v>41313</v>
          </cell>
          <cell r="E31" t="str">
            <v>Familia Vega Sánchez C.</v>
          </cell>
          <cell r="F31" t="str">
            <v>Remanente identificador</v>
          </cell>
          <cell r="G31" t="str">
            <v>G_P_Fin</v>
          </cell>
          <cell r="H31">
            <v>0.28999999999999998</v>
          </cell>
          <cell r="J31">
            <v>17567.490000000002</v>
          </cell>
        </row>
        <row r="32">
          <cell r="C32">
            <v>41318</v>
          </cell>
          <cell r="E32" t="str">
            <v>Alberto Augusto Fuentes Herrera</v>
          </cell>
          <cell r="F32" t="str">
            <v>Cuota de vigilancia y mantenimiento</v>
          </cell>
          <cell r="G32" t="str">
            <v>UP_46_</v>
          </cell>
          <cell r="H32">
            <v>300</v>
          </cell>
          <cell r="J32">
            <v>17867.490000000002</v>
          </cell>
        </row>
        <row r="33">
          <cell r="C33">
            <v>41318</v>
          </cell>
          <cell r="E33" t="str">
            <v>Alberto Augusto Fuentes Herrera</v>
          </cell>
          <cell r="F33" t="str">
            <v>Remanente identificador</v>
          </cell>
          <cell r="G33" t="str">
            <v>G_P_Fin</v>
          </cell>
          <cell r="H33">
            <v>0.46</v>
          </cell>
          <cell r="J33">
            <v>17867.95</v>
          </cell>
        </row>
        <row r="34">
          <cell r="C34">
            <v>41319</v>
          </cell>
          <cell r="H34">
            <v>3300.28</v>
          </cell>
          <cell r="J34">
            <v>21168.23</v>
          </cell>
        </row>
        <row r="35">
          <cell r="C35">
            <v>41320</v>
          </cell>
          <cell r="E35" t="str">
            <v>Colegio Carmel</v>
          </cell>
          <cell r="G35" t="str">
            <v>CM_130_A</v>
          </cell>
          <cell r="H35">
            <v>10000</v>
          </cell>
          <cell r="J35">
            <v>31168.23</v>
          </cell>
        </row>
        <row r="36">
          <cell r="C36">
            <v>41331</v>
          </cell>
          <cell r="D36">
            <v>43</v>
          </cell>
          <cell r="E36" t="str">
            <v>Sistemas inteligentes en Seguridad</v>
          </cell>
          <cell r="F36" t="str">
            <v>Instalación de cámaras</v>
          </cell>
          <cell r="I36">
            <v>6000</v>
          </cell>
          <cell r="J36">
            <v>25168.23</v>
          </cell>
        </row>
        <row r="37">
          <cell r="C37">
            <v>41332</v>
          </cell>
          <cell r="D37">
            <v>44</v>
          </cell>
          <cell r="E37" t="str">
            <v>Lic. Manuel García</v>
          </cell>
          <cell r="F37" t="str">
            <v>Notaría</v>
          </cell>
          <cell r="G37" t="str">
            <v>G_ASLE</v>
          </cell>
          <cell r="I37">
            <v>4000</v>
          </cell>
          <cell r="J37">
            <v>21168.23</v>
          </cell>
        </row>
        <row r="38">
          <cell r="C38">
            <v>41333</v>
          </cell>
          <cell r="F38" t="str">
            <v>Comisión por cheques expedidos</v>
          </cell>
          <cell r="G38" t="str">
            <v>G_P_Fin</v>
          </cell>
          <cell r="I38">
            <v>24</v>
          </cell>
          <cell r="J38">
            <v>21144.23</v>
          </cell>
        </row>
        <row r="39">
          <cell r="C39">
            <v>41333</v>
          </cell>
          <cell r="F39" t="str">
            <v>I.V.A. sobre comisiones</v>
          </cell>
          <cell r="G39" t="str">
            <v>IVA</v>
          </cell>
          <cell r="I39">
            <v>3.84</v>
          </cell>
          <cell r="J39">
            <v>21140.39</v>
          </cell>
        </row>
        <row r="40">
          <cell r="B40" t="str">
            <v>FECHA
EMISIÓN</v>
          </cell>
          <cell r="C40" t="str">
            <v>FECHA
OPERACIÓN</v>
          </cell>
          <cell r="D40" t="str">
            <v>CHEQUE
No.</v>
          </cell>
          <cell r="F40" t="str">
            <v>CONCEPTO</v>
          </cell>
          <cell r="G40" t="str">
            <v>CASA</v>
          </cell>
          <cell r="H40" t="str">
            <v>DEPÓSITO</v>
          </cell>
          <cell r="I40" t="str">
            <v>RETIRO</v>
          </cell>
          <cell r="J40" t="str">
            <v>SALDO</v>
          </cell>
        </row>
        <row r="41">
          <cell r="C41">
            <v>41334</v>
          </cell>
          <cell r="E41" t="str">
            <v>Norma Lorena González Arevyan</v>
          </cell>
          <cell r="F41" t="str">
            <v>Cuota de vigilancia y mantenimiento</v>
          </cell>
          <cell r="G41" t="str">
            <v>EZ_15_A</v>
          </cell>
          <cell r="H41">
            <v>300</v>
          </cell>
          <cell r="J41">
            <v>21440.39</v>
          </cell>
        </row>
        <row r="42">
          <cell r="C42">
            <v>41334</v>
          </cell>
          <cell r="E42" t="str">
            <v>Norma Lorena González Arevyan</v>
          </cell>
          <cell r="F42" t="str">
            <v>Remanente identificador</v>
          </cell>
          <cell r="G42" t="str">
            <v>G_P_Fin</v>
          </cell>
          <cell r="H42">
            <v>0.15</v>
          </cell>
          <cell r="J42">
            <v>21440.54</v>
          </cell>
        </row>
        <row r="43">
          <cell r="C43">
            <v>41338</v>
          </cell>
          <cell r="E43" t="str">
            <v>López Canseco</v>
          </cell>
          <cell r="F43" t="str">
            <v>Cuota de vigilancia y mantenimiento</v>
          </cell>
          <cell r="G43" t="str">
            <v>UP_86_</v>
          </cell>
          <cell r="H43">
            <v>300</v>
          </cell>
          <cell r="J43">
            <v>21740.54</v>
          </cell>
        </row>
        <row r="44">
          <cell r="C44">
            <v>41338</v>
          </cell>
          <cell r="E44" t="str">
            <v>López Canseco</v>
          </cell>
          <cell r="F44" t="str">
            <v>Remanente identificador</v>
          </cell>
          <cell r="G44" t="str">
            <v>G_P_Fin</v>
          </cell>
          <cell r="H44">
            <v>0.1</v>
          </cell>
          <cell r="J44">
            <v>21740.639999999999</v>
          </cell>
        </row>
        <row r="45">
          <cell r="C45">
            <v>41340</v>
          </cell>
          <cell r="F45" t="str">
            <v>Comisión por expedición de estado de cuenta</v>
          </cell>
          <cell r="G45" t="str">
            <v>G_P_Fin</v>
          </cell>
          <cell r="I45">
            <v>30</v>
          </cell>
          <cell r="J45">
            <v>21710.639999999999</v>
          </cell>
        </row>
        <row r="46">
          <cell r="C46">
            <v>41340</v>
          </cell>
          <cell r="F46" t="str">
            <v>I.V.A. sobre comisiones</v>
          </cell>
          <cell r="G46" t="str">
            <v>IVA</v>
          </cell>
          <cell r="I46">
            <v>4.8</v>
          </cell>
          <cell r="J46">
            <v>21705.84</v>
          </cell>
        </row>
        <row r="47">
          <cell r="C47">
            <v>41344</v>
          </cell>
          <cell r="E47" t="str">
            <v>Familia Vega Sánchez C.</v>
          </cell>
          <cell r="F47" t="str">
            <v>Cuota de vigilancia y mantenimiento</v>
          </cell>
          <cell r="G47" t="str">
            <v>CL_29_</v>
          </cell>
          <cell r="H47">
            <v>300</v>
          </cell>
          <cell r="J47">
            <v>22005.84</v>
          </cell>
        </row>
        <row r="48">
          <cell r="C48">
            <v>41344</v>
          </cell>
          <cell r="E48" t="str">
            <v>Familia Vega Sánchez C.</v>
          </cell>
          <cell r="F48" t="str">
            <v>Remanente identificador</v>
          </cell>
          <cell r="G48" t="str">
            <v>G_P_Fin</v>
          </cell>
          <cell r="H48">
            <v>0.28999999999999998</v>
          </cell>
          <cell r="J48">
            <v>22006.13</v>
          </cell>
        </row>
        <row r="49">
          <cell r="C49">
            <v>41349</v>
          </cell>
          <cell r="E49" t="str">
            <v>Alberto Augusto Fuentes Herrera</v>
          </cell>
          <cell r="F49" t="str">
            <v>Cuota de vigilancia y mantenimiento</v>
          </cell>
          <cell r="G49" t="str">
            <v>UP_46_</v>
          </cell>
          <cell r="H49">
            <v>300</v>
          </cell>
          <cell r="J49">
            <v>22306.13</v>
          </cell>
        </row>
        <row r="50">
          <cell r="C50">
            <v>41349</v>
          </cell>
          <cell r="E50" t="str">
            <v>Alberto Augusto Fuentes Herrera</v>
          </cell>
          <cell r="F50" t="str">
            <v>Remanente identificador</v>
          </cell>
          <cell r="G50" t="str">
            <v>G_P_Fin</v>
          </cell>
          <cell r="H50">
            <v>0.46</v>
          </cell>
          <cell r="J50">
            <v>22306.59</v>
          </cell>
        </row>
        <row r="51">
          <cell r="C51">
            <v>41354</v>
          </cell>
          <cell r="E51" t="str">
            <v>Colegio Carmel</v>
          </cell>
          <cell r="G51" t="str">
            <v>CM_130_A</v>
          </cell>
          <cell r="H51">
            <v>10000</v>
          </cell>
          <cell r="J51">
            <v>32306.59</v>
          </cell>
        </row>
        <row r="52">
          <cell r="B52" t="str">
            <v>FECHA
EMISIÓN</v>
          </cell>
          <cell r="C52" t="str">
            <v>FECHA
OPERACIÓN</v>
          </cell>
          <cell r="D52" t="str">
            <v>CHEQUE
No.</v>
          </cell>
          <cell r="F52" t="str">
            <v>CONCEPTO</v>
          </cell>
          <cell r="G52" t="str">
            <v>CASA</v>
          </cell>
          <cell r="H52" t="str">
            <v>DEPÓSITO</v>
          </cell>
          <cell r="I52" t="str">
            <v>RETIRO</v>
          </cell>
          <cell r="J52" t="str">
            <v>SALDO</v>
          </cell>
        </row>
        <row r="53">
          <cell r="C53">
            <v>41372</v>
          </cell>
          <cell r="E53" t="str">
            <v>López Canseco</v>
          </cell>
          <cell r="F53" t="str">
            <v>Cuota de vigilancia y mantenimiento</v>
          </cell>
          <cell r="G53" t="str">
            <v>UP_86_</v>
          </cell>
          <cell r="H53">
            <v>300</v>
          </cell>
          <cell r="J53">
            <v>32606.59</v>
          </cell>
        </row>
        <row r="54">
          <cell r="C54">
            <v>41372</v>
          </cell>
          <cell r="E54" t="str">
            <v>López Canseco</v>
          </cell>
          <cell r="F54" t="str">
            <v>Remanente identificador</v>
          </cell>
          <cell r="G54" t="str">
            <v>G_P_Fin</v>
          </cell>
          <cell r="H54">
            <v>0.1</v>
          </cell>
          <cell r="J54">
            <v>32606.69</v>
          </cell>
        </row>
        <row r="55">
          <cell r="C55">
            <v>41373</v>
          </cell>
          <cell r="E55" t="str">
            <v>Familia Vega Sánchez C.</v>
          </cell>
          <cell r="F55" t="str">
            <v>Cuota de vigilancia y mantenimiento</v>
          </cell>
          <cell r="G55" t="str">
            <v>CL_29_</v>
          </cell>
          <cell r="H55">
            <v>300</v>
          </cell>
          <cell r="J55">
            <v>32906.69</v>
          </cell>
        </row>
        <row r="56">
          <cell r="C56">
            <v>41373</v>
          </cell>
          <cell r="E56" t="str">
            <v>Familia Vega Sánchez C.</v>
          </cell>
          <cell r="F56" t="str">
            <v>Remanente identificador</v>
          </cell>
          <cell r="G56" t="str">
            <v>G_P_Fin</v>
          </cell>
          <cell r="H56">
            <v>0.28999999999999998</v>
          </cell>
          <cell r="J56">
            <v>32906.980000000003</v>
          </cell>
        </row>
        <row r="57">
          <cell r="C57">
            <v>41390</v>
          </cell>
          <cell r="E57" t="str">
            <v>Norma Lorena González Arevyan</v>
          </cell>
          <cell r="F57" t="str">
            <v>Cuota de vigilancia y mantenimiento</v>
          </cell>
          <cell r="G57" t="str">
            <v>EZ_15_A</v>
          </cell>
          <cell r="H57">
            <v>300</v>
          </cell>
          <cell r="J57">
            <v>33206.980000000003</v>
          </cell>
        </row>
        <row r="58">
          <cell r="C58">
            <v>41390</v>
          </cell>
          <cell r="E58" t="str">
            <v>Norma Lorena González Arevyan</v>
          </cell>
          <cell r="F58" t="str">
            <v>Remanente identificador</v>
          </cell>
          <cell r="G58" t="str">
            <v>G_P_Fin</v>
          </cell>
          <cell r="H58">
            <v>0.15</v>
          </cell>
          <cell r="J58">
            <v>33207.130000000005</v>
          </cell>
        </row>
        <row r="59">
          <cell r="C59">
            <v>41390</v>
          </cell>
          <cell r="E59" t="str">
            <v>Alberto Augusto Fuentes Herrera</v>
          </cell>
          <cell r="F59" t="str">
            <v>Cuota de vigilancia y mantenimiento</v>
          </cell>
          <cell r="G59" t="str">
            <v>UP_46_</v>
          </cell>
          <cell r="H59">
            <v>300</v>
          </cell>
          <cell r="J59">
            <v>33507.130000000005</v>
          </cell>
        </row>
        <row r="60">
          <cell r="C60">
            <v>41390</v>
          </cell>
          <cell r="E60" t="str">
            <v>Alberto Augusto Fuentes Herrera</v>
          </cell>
          <cell r="F60" t="str">
            <v>Remanente identificador</v>
          </cell>
          <cell r="G60" t="str">
            <v>G_P_Fin</v>
          </cell>
          <cell r="H60">
            <v>0.46</v>
          </cell>
          <cell r="J60">
            <v>33507.590000000004</v>
          </cell>
        </row>
        <row r="61">
          <cell r="B61" t="str">
            <v>FECHA
EMISIÓN</v>
          </cell>
          <cell r="C61" t="str">
            <v>FECHA
OPERACIÓN</v>
          </cell>
          <cell r="D61" t="str">
            <v>CHEQUE
No.</v>
          </cell>
          <cell r="F61" t="str">
            <v>CONCEPTO</v>
          </cell>
          <cell r="G61" t="str">
            <v>CASA</v>
          </cell>
          <cell r="H61" t="str">
            <v>DEPÓSITO</v>
          </cell>
          <cell r="I61" t="str">
            <v>RETIRO</v>
          </cell>
          <cell r="J61" t="str">
            <v>SALDO</v>
          </cell>
        </row>
        <row r="62">
          <cell r="C62">
            <v>41401</v>
          </cell>
          <cell r="E62" t="str">
            <v>Alberto Augusto Fuentes Herrera</v>
          </cell>
          <cell r="F62" t="str">
            <v>Cuota de vigilancia y mantenimiento</v>
          </cell>
          <cell r="G62" t="str">
            <v>UP_46_</v>
          </cell>
          <cell r="H62">
            <v>300</v>
          </cell>
          <cell r="J62">
            <v>33807.590000000004</v>
          </cell>
        </row>
        <row r="63">
          <cell r="C63">
            <v>41401</v>
          </cell>
          <cell r="E63" t="str">
            <v>Alberto Augusto Fuentes Herrera</v>
          </cell>
          <cell r="F63" t="str">
            <v>Remanente identificador</v>
          </cell>
          <cell r="G63" t="str">
            <v>G_P_Fin</v>
          </cell>
          <cell r="H63">
            <v>0.46</v>
          </cell>
          <cell r="J63">
            <v>33808.050000000003</v>
          </cell>
        </row>
        <row r="64">
          <cell r="C64">
            <v>41403</v>
          </cell>
          <cell r="E64" t="str">
            <v>Colegio Carmel</v>
          </cell>
          <cell r="G64" t="str">
            <v>CM_130_A</v>
          </cell>
          <cell r="H64">
            <v>10000</v>
          </cell>
          <cell r="J64">
            <v>43808.05</v>
          </cell>
        </row>
        <row r="65">
          <cell r="C65">
            <v>41403</v>
          </cell>
          <cell r="E65" t="str">
            <v>López Canseco</v>
          </cell>
          <cell r="F65" t="str">
            <v>Cuota de vigilancia y mantenimiento</v>
          </cell>
          <cell r="G65" t="str">
            <v>UP_86_</v>
          </cell>
          <cell r="H65">
            <v>300</v>
          </cell>
          <cell r="J65">
            <v>44108.05</v>
          </cell>
        </row>
        <row r="66">
          <cell r="C66">
            <v>41403</v>
          </cell>
          <cell r="E66" t="str">
            <v>López Canseco</v>
          </cell>
          <cell r="F66" t="str">
            <v>Remanente identificador</v>
          </cell>
          <cell r="G66" t="str">
            <v>G_P_Fin</v>
          </cell>
          <cell r="H66">
            <v>0.1</v>
          </cell>
          <cell r="J66">
            <v>44108.15</v>
          </cell>
        </row>
        <row r="67">
          <cell r="C67">
            <v>41409</v>
          </cell>
          <cell r="E67" t="str">
            <v>Familia Vega Sánchez C.</v>
          </cell>
          <cell r="F67" t="str">
            <v>Cuota de vigilancia y mantenimiento</v>
          </cell>
          <cell r="G67" t="str">
            <v>CL_29_</v>
          </cell>
          <cell r="H67">
            <v>300</v>
          </cell>
          <cell r="J67">
            <v>44408.15</v>
          </cell>
        </row>
        <row r="68">
          <cell r="C68">
            <v>41409</v>
          </cell>
          <cell r="E68" t="str">
            <v>Familia Vega Sánchez C.</v>
          </cell>
          <cell r="F68" t="str">
            <v>Remanente identificador</v>
          </cell>
          <cell r="G68" t="str">
            <v>G_P_Fin</v>
          </cell>
          <cell r="H68">
            <v>0.28999999999999998</v>
          </cell>
          <cell r="J68">
            <v>44408.44</v>
          </cell>
        </row>
        <row r="69">
          <cell r="C69">
            <v>41418</v>
          </cell>
          <cell r="D69">
            <v>46</v>
          </cell>
          <cell r="E69" t="str">
            <v>Lic. Manuel Ruiz</v>
          </cell>
          <cell r="F69" t="str">
            <v>Gastos de notaría</v>
          </cell>
          <cell r="I69">
            <v>10000</v>
          </cell>
          <cell r="J69">
            <v>34408.44</v>
          </cell>
        </row>
        <row r="70">
          <cell r="C70">
            <v>41422</v>
          </cell>
          <cell r="D70">
            <v>45</v>
          </cell>
          <cell r="E70" t="str">
            <v>Sistemas inteligentes en Seguridad</v>
          </cell>
          <cell r="F70" t="str">
            <v>Instalación de cámaras</v>
          </cell>
          <cell r="G70" t="str">
            <v>INFRA</v>
          </cell>
          <cell r="I70">
            <v>20000</v>
          </cell>
          <cell r="J70">
            <v>14408.440000000002</v>
          </cell>
        </row>
        <row r="71">
          <cell r="C71">
            <v>41423</v>
          </cell>
          <cell r="E71" t="str">
            <v>Colegio Carmel</v>
          </cell>
          <cell r="G71" t="str">
            <v>CM_130_A</v>
          </cell>
          <cell r="H71">
            <v>10000</v>
          </cell>
          <cell r="J71">
            <v>24408.440000000002</v>
          </cell>
        </row>
        <row r="72">
          <cell r="C72">
            <v>41425</v>
          </cell>
          <cell r="F72" t="str">
            <v>Comisión por cheques expedidos</v>
          </cell>
          <cell r="G72" t="str">
            <v>G_P_Fin</v>
          </cell>
          <cell r="I72">
            <v>16</v>
          </cell>
          <cell r="J72">
            <v>24392.440000000002</v>
          </cell>
        </row>
        <row r="73">
          <cell r="C73">
            <v>41425</v>
          </cell>
          <cell r="F73" t="str">
            <v>I.V.A. sobre comisiones</v>
          </cell>
          <cell r="G73" t="str">
            <v>IVA</v>
          </cell>
          <cell r="I73">
            <v>2.56</v>
          </cell>
          <cell r="J73">
            <v>24389.88</v>
          </cell>
        </row>
        <row r="74">
          <cell r="B74" t="str">
            <v>FECHA
EMISIÓN</v>
          </cell>
          <cell r="C74" t="str">
            <v>FECHA
OPERACIÓN</v>
          </cell>
          <cell r="D74" t="str">
            <v>CHEQUE
No.</v>
          </cell>
          <cell r="F74" t="str">
            <v>CONCEPTO</v>
          </cell>
          <cell r="G74" t="str">
            <v>CASA</v>
          </cell>
          <cell r="H74" t="str">
            <v>DEPÓSITO</v>
          </cell>
          <cell r="I74" t="str">
            <v>RETIRO</v>
          </cell>
          <cell r="J74" t="str">
            <v>SALDO</v>
          </cell>
        </row>
        <row r="75">
          <cell r="C75">
            <v>41428</v>
          </cell>
          <cell r="D75">
            <v>47</v>
          </cell>
          <cell r="E75" t="str">
            <v>Sistemas inteligentes en Seguridad</v>
          </cell>
          <cell r="F75" t="str">
            <v>Instalación de 16 cámaras (3era. etapa)</v>
          </cell>
          <cell r="G75" t="str">
            <v>INFRA</v>
          </cell>
          <cell r="I75">
            <v>12000</v>
          </cell>
          <cell r="J75">
            <v>12389.880000000001</v>
          </cell>
        </row>
        <row r="76">
          <cell r="C76">
            <v>41432</v>
          </cell>
          <cell r="E76" t="str">
            <v>Familia Vega Sánchez C.</v>
          </cell>
          <cell r="F76" t="str">
            <v>Cuota de vigilancia y mantenimiento</v>
          </cell>
          <cell r="G76" t="str">
            <v>CL_29_</v>
          </cell>
          <cell r="H76">
            <v>300</v>
          </cell>
          <cell r="J76">
            <v>12689.880000000001</v>
          </cell>
        </row>
        <row r="77">
          <cell r="C77">
            <v>41432</v>
          </cell>
          <cell r="E77" t="str">
            <v>Familia Vega Sánchez C.</v>
          </cell>
          <cell r="F77" t="str">
            <v>Remanente identificador</v>
          </cell>
          <cell r="G77" t="str">
            <v>G_P_Fin</v>
          </cell>
          <cell r="H77">
            <v>0.28999999999999998</v>
          </cell>
          <cell r="J77">
            <v>12690.170000000002</v>
          </cell>
        </row>
        <row r="78">
          <cell r="C78">
            <v>41439</v>
          </cell>
          <cell r="E78" t="str">
            <v>Alberto Augusto Fuentes Herrera</v>
          </cell>
          <cell r="F78" t="str">
            <v>Cuota de vigilancia y mantenimiento</v>
          </cell>
          <cell r="G78" t="str">
            <v>UP_46_</v>
          </cell>
          <cell r="H78">
            <v>300</v>
          </cell>
          <cell r="J78">
            <v>12990.170000000002</v>
          </cell>
        </row>
        <row r="79">
          <cell r="C79">
            <v>41439</v>
          </cell>
          <cell r="E79" t="str">
            <v>Alberto Augusto Fuentes Herrera</v>
          </cell>
          <cell r="F79" t="str">
            <v>Remanente identificador</v>
          </cell>
          <cell r="G79" t="str">
            <v>G_P_Fin</v>
          </cell>
          <cell r="H79">
            <v>0.46</v>
          </cell>
          <cell r="J79">
            <v>12990.630000000001</v>
          </cell>
        </row>
        <row r="80">
          <cell r="C80">
            <v>41449</v>
          </cell>
          <cell r="E80" t="str">
            <v>Colegio Carmel</v>
          </cell>
          <cell r="G80" t="str">
            <v>CM_130_A</v>
          </cell>
          <cell r="H80">
            <v>10000</v>
          </cell>
          <cell r="J80">
            <v>22990.63</v>
          </cell>
        </row>
        <row r="81">
          <cell r="C81">
            <v>41453</v>
          </cell>
          <cell r="F81" t="str">
            <v>Comisión por cheques expedidos</v>
          </cell>
          <cell r="G81" t="str">
            <v>G_P_Fin</v>
          </cell>
          <cell r="I81">
            <v>8</v>
          </cell>
          <cell r="J81">
            <v>22982.63</v>
          </cell>
        </row>
        <row r="82">
          <cell r="C82">
            <v>41453</v>
          </cell>
          <cell r="F82" t="str">
            <v>I.V.A. sobre comisiones</v>
          </cell>
          <cell r="G82" t="str">
            <v>IVA</v>
          </cell>
          <cell r="I82">
            <v>1.28</v>
          </cell>
          <cell r="J82">
            <v>22981.350000000002</v>
          </cell>
        </row>
        <row r="83">
          <cell r="B83" t="str">
            <v>FECHA
EMISIÓN</v>
          </cell>
          <cell r="C83" t="str">
            <v>FECHA
OPERACIÓN</v>
          </cell>
          <cell r="D83" t="str">
            <v>CHEQUE
No.</v>
          </cell>
          <cell r="F83" t="str">
            <v>CONCEPTO</v>
          </cell>
          <cell r="G83" t="str">
            <v>CASA</v>
          </cell>
          <cell r="H83" t="str">
            <v>DEPÓSITO</v>
          </cell>
          <cell r="I83" t="str">
            <v>RETIRO</v>
          </cell>
          <cell r="J83" t="str">
            <v>SALDO</v>
          </cell>
        </row>
        <row r="84">
          <cell r="J84">
            <v>22981.350000000002</v>
          </cell>
        </row>
        <row r="85">
          <cell r="C85">
            <v>41458</v>
          </cell>
          <cell r="E85" t="str">
            <v>Alberto Augusto Fuentes Herrera</v>
          </cell>
          <cell r="F85" t="str">
            <v>Cuota de vigilancia y mantenimiento julio 2013</v>
          </cell>
          <cell r="G85" t="str">
            <v>UP_46_</v>
          </cell>
          <cell r="H85">
            <v>300</v>
          </cell>
          <cell r="J85">
            <v>23281.350000000002</v>
          </cell>
        </row>
        <row r="86">
          <cell r="C86">
            <v>41458</v>
          </cell>
          <cell r="E86" t="str">
            <v>Alberto Augusto Fuentes Herrera</v>
          </cell>
          <cell r="F86" t="str">
            <v>Remanente identificador</v>
          </cell>
          <cell r="G86" t="str">
            <v>G_P_Fin</v>
          </cell>
          <cell r="H86">
            <v>0.46</v>
          </cell>
          <cell r="J86">
            <v>23281.81</v>
          </cell>
        </row>
        <row r="87">
          <cell r="C87">
            <v>41472</v>
          </cell>
          <cell r="F87" t="str">
            <v>Cuotas recibidas en cheque</v>
          </cell>
          <cell r="H87">
            <v>1200</v>
          </cell>
          <cell r="J87">
            <v>24481.81</v>
          </cell>
        </row>
        <row r="88">
          <cell r="B88">
            <v>41474</v>
          </cell>
          <cell r="C88">
            <v>41474</v>
          </cell>
          <cell r="E88" t="str">
            <v>Colegio Carmel</v>
          </cell>
          <cell r="F88" t="str">
            <v>Cuota de vigilancia y mantenimiento julio de 2013</v>
          </cell>
          <cell r="G88" t="str">
            <v>CM_130_A</v>
          </cell>
          <cell r="H88">
            <v>10000</v>
          </cell>
          <cell r="J88">
            <v>34481.81</v>
          </cell>
        </row>
        <row r="89">
          <cell r="B89">
            <v>41474</v>
          </cell>
          <cell r="C89">
            <v>41474</v>
          </cell>
          <cell r="E89" t="str">
            <v>Norma Lorena González Arevyan</v>
          </cell>
          <cell r="F89" t="str">
            <v>Cuota de vigilancia y mantenimiento mayo - agosto 2013</v>
          </cell>
          <cell r="G89" t="str">
            <v>EZ_15_A</v>
          </cell>
          <cell r="H89">
            <v>600</v>
          </cell>
          <cell r="J89">
            <v>35081.81</v>
          </cell>
        </row>
        <row r="90">
          <cell r="C90">
            <v>41474</v>
          </cell>
          <cell r="E90" t="str">
            <v>Norma Lorena González Arevyan</v>
          </cell>
          <cell r="F90" t="str">
            <v>Remanente identificador</v>
          </cell>
          <cell r="G90" t="str">
            <v>G_P_Fin</v>
          </cell>
          <cell r="H90">
            <v>0.15</v>
          </cell>
          <cell r="J90">
            <v>35081.96</v>
          </cell>
        </row>
        <row r="91">
          <cell r="B91" t="str">
            <v>FECHA
EMISIÓN</v>
          </cell>
          <cell r="C91" t="str">
            <v>FECHA
OPERACIÓN</v>
          </cell>
          <cell r="D91" t="str">
            <v>CHEQUE
No.</v>
          </cell>
          <cell r="F91" t="str">
            <v>CONCEPTO</v>
          </cell>
          <cell r="G91" t="str">
            <v>CASA</v>
          </cell>
          <cell r="H91" t="str">
            <v>DEPÓSITO</v>
          </cell>
          <cell r="I91" t="str">
            <v>RETIRO</v>
          </cell>
          <cell r="J91" t="str">
            <v>SALDO</v>
          </cell>
        </row>
        <row r="92">
          <cell r="C92">
            <v>41492</v>
          </cell>
          <cell r="E92" t="str">
            <v>Alberto Augusto Fuentes Herrera</v>
          </cell>
          <cell r="F92" t="str">
            <v>Cuota de vigilancia y mantenimiento agosto 2013</v>
          </cell>
          <cell r="G92" t="str">
            <v>UP_46_</v>
          </cell>
          <cell r="H92">
            <v>300</v>
          </cell>
          <cell r="J92">
            <v>35381.96</v>
          </cell>
        </row>
        <row r="93">
          <cell r="C93">
            <v>41492</v>
          </cell>
          <cell r="E93" t="str">
            <v>Alberto Augusto Fuentes Herrera</v>
          </cell>
          <cell r="F93" t="str">
            <v>Remanente identificador</v>
          </cell>
          <cell r="G93" t="str">
            <v>G_P_Fin</v>
          </cell>
          <cell r="H93">
            <v>0.46</v>
          </cell>
          <cell r="J93">
            <v>35382.42</v>
          </cell>
        </row>
        <row r="94">
          <cell r="C94">
            <v>41494</v>
          </cell>
          <cell r="E94" t="str">
            <v>Familia Vega Sánchez C.</v>
          </cell>
          <cell r="F94" t="str">
            <v>Cuota de vigilancia y mantenimiento agosto 2013</v>
          </cell>
          <cell r="G94" t="str">
            <v>CL_29_</v>
          </cell>
          <cell r="H94">
            <v>300</v>
          </cell>
          <cell r="J94">
            <v>35682.42</v>
          </cell>
        </row>
        <row r="95">
          <cell r="C95">
            <v>41494</v>
          </cell>
          <cell r="E95" t="str">
            <v>Familia Vega Sánchez C.</v>
          </cell>
          <cell r="F95" t="str">
            <v>Remanente identificador</v>
          </cell>
          <cell r="G95" t="str">
            <v>G_P_Fin</v>
          </cell>
          <cell r="H95">
            <v>0.28999999999999998</v>
          </cell>
          <cell r="J95">
            <v>35682.71</v>
          </cell>
        </row>
        <row r="96">
          <cell r="C96">
            <v>41509</v>
          </cell>
          <cell r="E96" t="str">
            <v>Colegio Carmel</v>
          </cell>
          <cell r="F96" t="str">
            <v>Cuota de vigilancia y mantenimiento agosto de 2013</v>
          </cell>
          <cell r="G96" t="str">
            <v>CM_130_A</v>
          </cell>
          <cell r="H96">
            <v>10000</v>
          </cell>
          <cell r="J96">
            <v>45682.71</v>
          </cell>
        </row>
        <row r="97">
          <cell r="B97" t="str">
            <v>FECHA
EMISIÓN</v>
          </cell>
          <cell r="C97" t="str">
            <v>FECHA
OPERACIÓN</v>
          </cell>
          <cell r="D97" t="str">
            <v>CHEQUE
No.</v>
          </cell>
          <cell r="F97" t="str">
            <v>CONCEPTO</v>
          </cell>
          <cell r="G97" t="str">
            <v>CASA</v>
          </cell>
          <cell r="H97" t="str">
            <v>DEPÓSITO</v>
          </cell>
          <cell r="I97" t="str">
            <v>RETIRO</v>
          </cell>
          <cell r="J97" t="str">
            <v>SALDO</v>
          </cell>
        </row>
        <row r="98">
          <cell r="C98">
            <v>41519</v>
          </cell>
          <cell r="F98" t="str">
            <v>Comisión por cheques expedidos</v>
          </cell>
          <cell r="G98" t="str">
            <v>G_P_Fin</v>
          </cell>
          <cell r="I98">
            <v>30</v>
          </cell>
          <cell r="J98">
            <v>45652.71</v>
          </cell>
        </row>
        <row r="99">
          <cell r="C99">
            <v>41519</v>
          </cell>
          <cell r="F99" t="str">
            <v>I.V.A. sobre comisiones</v>
          </cell>
          <cell r="G99" t="str">
            <v>IVA</v>
          </cell>
          <cell r="I99">
            <v>4.8</v>
          </cell>
          <cell r="J99">
            <v>45647.909999999996</v>
          </cell>
        </row>
        <row r="100">
          <cell r="C100">
            <v>41522</v>
          </cell>
          <cell r="E100" t="str">
            <v>Alberto Augusto Fuentes Herrera</v>
          </cell>
          <cell r="F100" t="str">
            <v>Cuota de vigilancia y mantenimiento Septiembre 2013</v>
          </cell>
          <cell r="G100" t="str">
            <v>UP_46_</v>
          </cell>
          <cell r="H100">
            <v>300</v>
          </cell>
          <cell r="J100">
            <v>45947.909999999996</v>
          </cell>
        </row>
        <row r="101">
          <cell r="C101">
            <v>41522</v>
          </cell>
          <cell r="E101" t="str">
            <v>Alberto Augusto Fuentes Herrera</v>
          </cell>
          <cell r="F101" t="str">
            <v>Remanente identificador</v>
          </cell>
          <cell r="G101" t="str">
            <v>G_P_Fin</v>
          </cell>
          <cell r="H101">
            <v>0.46</v>
          </cell>
          <cell r="J101">
            <v>45948.369999999995</v>
          </cell>
        </row>
        <row r="102">
          <cell r="C102">
            <v>41526</v>
          </cell>
          <cell r="E102" t="str">
            <v>Familia Vega Sánchez C.</v>
          </cell>
          <cell r="F102" t="str">
            <v>Cuota de vigilancia y mantenimiento septiembre 2013</v>
          </cell>
          <cell r="G102" t="str">
            <v>CL_29_</v>
          </cell>
          <cell r="H102">
            <v>300</v>
          </cell>
          <cell r="J102">
            <v>46248.369999999995</v>
          </cell>
        </row>
        <row r="103">
          <cell r="C103">
            <v>41526</v>
          </cell>
          <cell r="E103" t="str">
            <v>Familia Vega Sánchez C.</v>
          </cell>
          <cell r="F103" t="str">
            <v>Remanente identificador</v>
          </cell>
          <cell r="G103" t="str">
            <v>G_P_Fin</v>
          </cell>
          <cell r="H103">
            <v>0.28999999999999998</v>
          </cell>
          <cell r="J103">
            <v>46248.659999999996</v>
          </cell>
        </row>
        <row r="104">
          <cell r="C104">
            <v>41540</v>
          </cell>
          <cell r="E104" t="str">
            <v>Colegio Carmel</v>
          </cell>
          <cell r="F104" t="str">
            <v>Cuota de vigilancia y mantenimiento septiembre de 2013</v>
          </cell>
          <cell r="G104" t="str">
            <v>CM_130_A</v>
          </cell>
          <cell r="H104">
            <v>10000</v>
          </cell>
          <cell r="J104">
            <v>56248.659999999996</v>
          </cell>
        </row>
        <row r="105">
          <cell r="C105">
            <v>41544</v>
          </cell>
          <cell r="E105" t="str">
            <v>Norma Lorena González Arevyan</v>
          </cell>
          <cell r="F105" t="str">
            <v>Cuota de vigilancia y mantenimiento septiembre-octubre 2013</v>
          </cell>
          <cell r="G105" t="str">
            <v>EZ_15_A</v>
          </cell>
          <cell r="H105">
            <v>150</v>
          </cell>
          <cell r="J105">
            <v>56398.659999999996</v>
          </cell>
        </row>
        <row r="106">
          <cell r="C106">
            <v>41544</v>
          </cell>
          <cell r="E106" t="str">
            <v>Norma Lorena González Arevyan</v>
          </cell>
          <cell r="F106" t="str">
            <v>Remanente identificador</v>
          </cell>
          <cell r="G106" t="str">
            <v>G_P_Fin</v>
          </cell>
          <cell r="H106">
            <v>0.15</v>
          </cell>
          <cell r="J106">
            <v>56398.81</v>
          </cell>
        </row>
        <row r="107">
          <cell r="B107" t="str">
            <v>FECHA
EMISIÓN</v>
          </cell>
          <cell r="C107" t="str">
            <v>FECHA
OPERACIÓN</v>
          </cell>
          <cell r="D107" t="str">
            <v>CHEQUE
No.</v>
          </cell>
          <cell r="F107" t="str">
            <v>CONCEPTO</v>
          </cell>
          <cell r="G107" t="str">
            <v>CASA</v>
          </cell>
          <cell r="H107" t="str">
            <v>DEPÓSITO</v>
          </cell>
          <cell r="I107" t="str">
            <v>RETIRO</v>
          </cell>
          <cell r="J107" t="str">
            <v>SALDO</v>
          </cell>
        </row>
        <row r="108">
          <cell r="C108">
            <v>41551</v>
          </cell>
          <cell r="E108" t="str">
            <v>Familia Vega Sánchez C.</v>
          </cell>
          <cell r="F108" t="str">
            <v>Cuota de vigilancia y mantenimiento octubre 2013</v>
          </cell>
          <cell r="G108" t="str">
            <v>CL_29_</v>
          </cell>
          <cell r="H108">
            <v>300</v>
          </cell>
          <cell r="J108">
            <v>56698.81</v>
          </cell>
        </row>
        <row r="109">
          <cell r="C109">
            <v>41551</v>
          </cell>
          <cell r="E109" t="str">
            <v>Familia Vega Sánchez C.</v>
          </cell>
          <cell r="F109" t="str">
            <v>Remanente identificador</v>
          </cell>
          <cell r="G109" t="str">
            <v>G_P_Fin</v>
          </cell>
          <cell r="H109">
            <v>0.28999999999999998</v>
          </cell>
          <cell r="J109">
            <v>56699.1</v>
          </cell>
        </row>
        <row r="110">
          <cell r="C110">
            <v>41563</v>
          </cell>
          <cell r="E110" t="str">
            <v>Colegio Carmel</v>
          </cell>
          <cell r="F110" t="str">
            <v>Cuota de vigilancia y mantenimiento octubre de 2013</v>
          </cell>
          <cell r="G110" t="str">
            <v>CM_130_A</v>
          </cell>
          <cell r="H110">
            <v>10000</v>
          </cell>
          <cell r="J110">
            <v>66699.100000000006</v>
          </cell>
        </row>
        <row r="111">
          <cell r="C111">
            <v>41569</v>
          </cell>
          <cell r="E111" t="str">
            <v>Alberto Augusto Fuentes Herrera</v>
          </cell>
          <cell r="F111" t="str">
            <v>Cuota de vigilancia y mantenimiento Octubre 2013</v>
          </cell>
          <cell r="G111" t="str">
            <v>UP_46_</v>
          </cell>
          <cell r="H111">
            <v>300</v>
          </cell>
          <cell r="J111">
            <v>66999.100000000006</v>
          </cell>
        </row>
        <row r="112">
          <cell r="C112">
            <v>41569</v>
          </cell>
          <cell r="E112" t="str">
            <v>Alberto Augusto Fuentes Herrera</v>
          </cell>
          <cell r="F112" t="str">
            <v>Remanente identificador</v>
          </cell>
          <cell r="G112" t="str">
            <v>G_P_Fin</v>
          </cell>
          <cell r="H112">
            <v>0.46</v>
          </cell>
          <cell r="J112">
            <v>66999.560000000012</v>
          </cell>
        </row>
        <row r="113">
          <cell r="B113" t="str">
            <v>FECHA
EMISIÓN</v>
          </cell>
          <cell r="C113" t="str">
            <v>FECHA
OPERACIÓN</v>
          </cell>
          <cell r="D113" t="str">
            <v>CHEQUE
No.</v>
          </cell>
          <cell r="F113" t="str">
            <v>CONCEPTO</v>
          </cell>
          <cell r="G113" t="str">
            <v>CASA</v>
          </cell>
          <cell r="H113" t="str">
            <v>DEPÓSITO</v>
          </cell>
          <cell r="I113" t="str">
            <v>RETIRO</v>
          </cell>
          <cell r="J113" t="str">
            <v>SALDO</v>
          </cell>
        </row>
        <row r="114">
          <cell r="C114">
            <v>41584</v>
          </cell>
          <cell r="E114" t="str">
            <v>Alberto Augusto Fuentes Herrera</v>
          </cell>
          <cell r="F114" t="str">
            <v>Cuota de vigilancia y mantenimiento noviembre 2013</v>
          </cell>
          <cell r="G114" t="str">
            <v>UP_46_</v>
          </cell>
          <cell r="H114">
            <v>300</v>
          </cell>
          <cell r="J114">
            <v>67299.560000000012</v>
          </cell>
        </row>
        <row r="115">
          <cell r="C115">
            <v>41584</v>
          </cell>
          <cell r="E115" t="str">
            <v>Alberto Augusto Fuentes Herrera</v>
          </cell>
          <cell r="F115" t="str">
            <v>Remanente identificador</v>
          </cell>
          <cell r="G115" t="str">
            <v>G_P_Fin</v>
          </cell>
          <cell r="H115">
            <v>0.46</v>
          </cell>
          <cell r="J115">
            <v>67300.020000000019</v>
          </cell>
        </row>
        <row r="116">
          <cell r="C116">
            <v>41600</v>
          </cell>
          <cell r="E116" t="str">
            <v>Colegio Carmel</v>
          </cell>
          <cell r="F116" t="str">
            <v>Cuota de vigilancia y mantenimiento noviembre de 2013</v>
          </cell>
          <cell r="G116" t="str">
            <v>CM_130_A</v>
          </cell>
          <cell r="H116">
            <v>10000</v>
          </cell>
          <cell r="J116">
            <v>77300.020000000019</v>
          </cell>
        </row>
        <row r="117">
          <cell r="B117" t="str">
            <v>FECHA
EMISIÓN</v>
          </cell>
          <cell r="C117" t="str">
            <v>FECHA
OPERACIÓN</v>
          </cell>
          <cell r="D117" t="str">
            <v>CHEQUE
No.</v>
          </cell>
          <cell r="F117" t="str">
            <v>CONCEPTO</v>
          </cell>
          <cell r="G117" t="str">
            <v>CASA</v>
          </cell>
          <cell r="H117" t="str">
            <v>DEPÓSITO</v>
          </cell>
          <cell r="I117" t="str">
            <v>RETIRO</v>
          </cell>
          <cell r="J117" t="str">
            <v>SALDO</v>
          </cell>
        </row>
        <row r="118">
          <cell r="C118">
            <v>41611</v>
          </cell>
          <cell r="E118" t="str">
            <v>Cabello, Eduardo</v>
          </cell>
          <cell r="F118" t="str">
            <v>Cuota de vigilancia y mantenimiento OCT - DIC 2013</v>
          </cell>
          <cell r="H118">
            <v>1200</v>
          </cell>
          <cell r="J118">
            <v>78500.020000000019</v>
          </cell>
        </row>
        <row r="119">
          <cell r="C119">
            <v>41612</v>
          </cell>
          <cell r="E119" t="str">
            <v>Alberto Augusto Fuentes Herrera</v>
          </cell>
          <cell r="F119" t="str">
            <v>Cuota de vigilancia y mantenimiento Diciembre 2013</v>
          </cell>
          <cell r="G119" t="str">
            <v>UP_46_</v>
          </cell>
          <cell r="H119">
            <v>300</v>
          </cell>
          <cell r="J119">
            <v>78800.020000000019</v>
          </cell>
        </row>
        <row r="120">
          <cell r="C120">
            <v>41612</v>
          </cell>
          <cell r="E120" t="str">
            <v>Alberto Augusto Fuentes Herrera</v>
          </cell>
          <cell r="F120" t="str">
            <v>Remanente identificador</v>
          </cell>
          <cell r="G120" t="str">
            <v>G_P_Fin</v>
          </cell>
          <cell r="H120">
            <v>0.46</v>
          </cell>
          <cell r="J120">
            <v>78800.480000000025</v>
          </cell>
        </row>
        <row r="121">
          <cell r="C121">
            <v>41617</v>
          </cell>
          <cell r="E121" t="str">
            <v>Familia Vega Sánchez C.</v>
          </cell>
          <cell r="F121" t="str">
            <v>Cuota de vigilancia y mantenimiento Diciembre 2013</v>
          </cell>
          <cell r="G121" t="str">
            <v>CL_29_</v>
          </cell>
          <cell r="H121">
            <v>300</v>
          </cell>
          <cell r="J121">
            <v>79100.480000000025</v>
          </cell>
        </row>
        <row r="122">
          <cell r="C122">
            <v>41617</v>
          </cell>
          <cell r="E122" t="str">
            <v>Familia Vega Sánchez C.</v>
          </cell>
          <cell r="F122" t="str">
            <v>Remanente identificador</v>
          </cell>
          <cell r="G122" t="str">
            <v>G_P_Fin</v>
          </cell>
          <cell r="H122">
            <v>0.28999999999999998</v>
          </cell>
          <cell r="J122">
            <v>79100.770000000019</v>
          </cell>
        </row>
        <row r="123">
          <cell r="C123">
            <v>41621</v>
          </cell>
          <cell r="E123" t="str">
            <v>Colegio Carmel</v>
          </cell>
          <cell r="F123" t="str">
            <v>Cuota de vigilancia y mantenimiento diciembre de 2013</v>
          </cell>
          <cell r="G123" t="str">
            <v>CM_130_A</v>
          </cell>
          <cell r="H123">
            <v>10000</v>
          </cell>
          <cell r="J123">
            <v>89100.770000000019</v>
          </cell>
        </row>
        <row r="124">
          <cell r="C124">
            <v>41632</v>
          </cell>
          <cell r="D124">
            <v>48</v>
          </cell>
          <cell r="E124" t="str">
            <v>Baldemar Sala Bay</v>
          </cell>
          <cell r="F124" t="str">
            <v>Fondo operativo</v>
          </cell>
          <cell r="I124">
            <v>10000</v>
          </cell>
          <cell r="J124">
            <v>79100.770000000019</v>
          </cell>
        </row>
        <row r="125">
          <cell r="C125">
            <v>41639</v>
          </cell>
          <cell r="D125">
            <v>49</v>
          </cell>
          <cell r="E125" t="str">
            <v>Pedro Perez Reséndiz</v>
          </cell>
          <cell r="F125" t="str">
            <v>Gratificación por renuncia especial</v>
          </cell>
          <cell r="G125" t="str">
            <v>G_NMNVG</v>
          </cell>
          <cell r="I125">
            <v>3500</v>
          </cell>
          <cell r="J125">
            <v>75600.770000000019</v>
          </cell>
        </row>
        <row r="126">
          <cell r="C126">
            <v>41639</v>
          </cell>
          <cell r="D126">
            <v>50</v>
          </cell>
          <cell r="E126" t="str">
            <v>Jesús Ivan Hernandez Garcia</v>
          </cell>
          <cell r="F126" t="str">
            <v>Gratificación por renuncia especial</v>
          </cell>
          <cell r="G126" t="str">
            <v>G_NMNVG</v>
          </cell>
          <cell r="I126">
            <v>3500</v>
          </cell>
          <cell r="J126">
            <v>72100.770000000019</v>
          </cell>
        </row>
        <row r="127">
          <cell r="C127">
            <v>41639</v>
          </cell>
          <cell r="F127" t="str">
            <v>Comisión Cheque expedido</v>
          </cell>
          <cell r="G127" t="str">
            <v>G_P_Fin</v>
          </cell>
          <cell r="I127">
            <v>24</v>
          </cell>
          <cell r="J127">
            <v>72076.770000000019</v>
          </cell>
        </row>
        <row r="128">
          <cell r="C128">
            <v>41639</v>
          </cell>
          <cell r="F128" t="str">
            <v>IVA sobre cheque expedido</v>
          </cell>
          <cell r="G128" t="str">
            <v>IVA</v>
          </cell>
          <cell r="I128">
            <v>3.84</v>
          </cell>
          <cell r="J128">
            <v>72072.930000000022</v>
          </cell>
        </row>
      </sheetData>
      <sheetData sheetId="6">
        <row r="3">
          <cell r="B3" t="str">
            <v>N°</v>
          </cell>
          <cell r="C3" t="str">
            <v>clave</v>
          </cell>
          <cell r="D3" t="str">
            <v>fecha</v>
          </cell>
          <cell r="E3" t="str">
            <v>Beneficiario</v>
          </cell>
          <cell r="F3" t="str">
            <v>Concepto</v>
          </cell>
          <cell r="G3" t="str">
            <v>Gasto</v>
          </cell>
          <cell r="H3" t="str">
            <v>I.V.A.</v>
          </cell>
          <cell r="I3" t="str">
            <v>Total</v>
          </cell>
        </row>
        <row r="4">
          <cell r="C4" t="str">
            <v>G_MTPTA</v>
          </cell>
          <cell r="D4">
            <v>41275</v>
          </cell>
          <cell r="F4" t="str">
            <v xml:space="preserve"> Trabajos de herrería</v>
          </cell>
          <cell r="G4">
            <v>8500</v>
          </cell>
          <cell r="I4">
            <v>8500</v>
          </cell>
        </row>
        <row r="5">
          <cell r="C5" t="str">
            <v>G_MTCST</v>
          </cell>
          <cell r="D5">
            <v>41275</v>
          </cell>
          <cell r="F5" t="str">
            <v xml:space="preserve"> Pago mano de obra trabajos diversos en casetas</v>
          </cell>
          <cell r="G5">
            <v>2700</v>
          </cell>
          <cell r="I5">
            <v>2700</v>
          </cell>
        </row>
        <row r="6">
          <cell r="C6" t="str">
            <v>G_ADQ</v>
          </cell>
          <cell r="D6">
            <v>41275</v>
          </cell>
          <cell r="F6" t="str">
            <v xml:space="preserve"> Pago de llaves y una chapa de alta seguridad</v>
          </cell>
          <cell r="G6">
            <v>6612</v>
          </cell>
          <cell r="I6">
            <v>6612</v>
          </cell>
        </row>
        <row r="7">
          <cell r="C7" t="str">
            <v>G_MTCST</v>
          </cell>
          <cell r="D7">
            <v>41275</v>
          </cell>
          <cell r="F7" t="str">
            <v xml:space="preserve"> Materiales</v>
          </cell>
          <cell r="G7">
            <v>5925.15</v>
          </cell>
          <cell r="I7">
            <v>5925.15</v>
          </cell>
        </row>
        <row r="8">
          <cell r="C8" t="str">
            <v>G_ORG</v>
          </cell>
          <cell r="D8">
            <v>41275</v>
          </cell>
          <cell r="F8" t="str">
            <v xml:space="preserve"> Gasolina</v>
          </cell>
          <cell r="G8">
            <v>2550.39</v>
          </cell>
          <cell r="I8">
            <v>2550.39</v>
          </cell>
        </row>
        <row r="9">
          <cell r="C9" t="str">
            <v>G_PAPE</v>
          </cell>
          <cell r="D9">
            <v>41275</v>
          </cell>
          <cell r="F9" t="str">
            <v xml:space="preserve"> Papelería e imprenta</v>
          </cell>
          <cell r="G9">
            <v>1438</v>
          </cell>
          <cell r="I9">
            <v>1438</v>
          </cell>
        </row>
        <row r="10">
          <cell r="C10" t="str">
            <v>G_NMNVG</v>
          </cell>
          <cell r="D10">
            <v>41275</v>
          </cell>
          <cell r="F10" t="str">
            <v xml:space="preserve"> Pago de vigilancia del 1 al 15 de enero 2013</v>
          </cell>
          <cell r="G10">
            <v>26050</v>
          </cell>
          <cell r="I10">
            <v>26050</v>
          </cell>
        </row>
        <row r="11">
          <cell r="C11" t="str">
            <v>G_NMNVG</v>
          </cell>
          <cell r="D11">
            <v>41275</v>
          </cell>
          <cell r="F11" t="str">
            <v xml:space="preserve"> Pago de vigilancia del 16 al 31 de enero 2013</v>
          </cell>
          <cell r="G11">
            <v>30450</v>
          </cell>
          <cell r="I11">
            <v>30450</v>
          </cell>
        </row>
        <row r="12">
          <cell r="C12" t="str">
            <v>G_ALMVG</v>
          </cell>
          <cell r="D12">
            <v>41275</v>
          </cell>
          <cell r="F12" t="str">
            <v xml:space="preserve"> Comida para vigilantes</v>
          </cell>
          <cell r="G12">
            <v>2580</v>
          </cell>
          <cell r="I12">
            <v>2580</v>
          </cell>
        </row>
        <row r="13">
          <cell r="C13" t="str">
            <v>G_INFRA</v>
          </cell>
          <cell r="D13">
            <v>41275</v>
          </cell>
          <cell r="F13" t="str">
            <v xml:space="preserve"> Segundo pago de cámaras, tercera etapa</v>
          </cell>
          <cell r="G13">
            <v>35000</v>
          </cell>
          <cell r="I13">
            <v>35000</v>
          </cell>
        </row>
        <row r="14">
          <cell r="C14" t="str">
            <v>G_JDN</v>
          </cell>
          <cell r="D14">
            <v>41275</v>
          </cell>
          <cell r="F14" t="str">
            <v xml:space="preserve"> Reposición de macetones, árboles, plantas, pasto…</v>
          </cell>
          <cell r="G14">
            <v>4576</v>
          </cell>
          <cell r="I14">
            <v>4576</v>
          </cell>
        </row>
        <row r="15">
          <cell r="C15" t="str">
            <v>G_CBR</v>
          </cell>
          <cell r="D15">
            <v>41275</v>
          </cell>
          <cell r="F15" t="str">
            <v xml:space="preserve"> Gratificación por cobranza al Sr Pedro Chávez</v>
          </cell>
          <cell r="G15">
            <v>1700</v>
          </cell>
          <cell r="I15">
            <v>1700</v>
          </cell>
        </row>
        <row r="16">
          <cell r="C16" t="str">
            <v>G_JDN</v>
          </cell>
          <cell r="D16">
            <v>41275</v>
          </cell>
          <cell r="F16" t="str">
            <v xml:space="preserve"> Gratificaciones diversas (jardinería, recolección, basura,etc</v>
          </cell>
          <cell r="G16">
            <v>1150</v>
          </cell>
          <cell r="I16">
            <v>1150</v>
          </cell>
        </row>
        <row r="17">
          <cell r="C17" t="str">
            <v>G_MTILM</v>
          </cell>
          <cell r="D17">
            <v>41275</v>
          </cell>
          <cell r="F17" t="str">
            <v xml:space="preserve"> Gratificación por reparación de luminarias</v>
          </cell>
          <cell r="G17">
            <v>1000</v>
          </cell>
          <cell r="I17">
            <v>1000</v>
          </cell>
        </row>
        <row r="18">
          <cell r="C18" t="str">
            <v>G_ORG</v>
          </cell>
          <cell r="D18">
            <v>41275</v>
          </cell>
          <cell r="F18" t="str">
            <v xml:space="preserve"> Gastos de administración</v>
          </cell>
          <cell r="G18">
            <v>3931</v>
          </cell>
          <cell r="I18">
            <v>3931</v>
          </cell>
        </row>
        <row r="19">
          <cell r="C19" t="str">
            <v>G_ADQ</v>
          </cell>
          <cell r="D19">
            <v>41275</v>
          </cell>
          <cell r="F19" t="str">
            <v xml:space="preserve"> Pago de tarjetas electrónicas</v>
          </cell>
          <cell r="G19">
            <v>1100</v>
          </cell>
          <cell r="I19">
            <v>1100</v>
          </cell>
        </row>
        <row r="20">
          <cell r="C20" t="str">
            <v>G_AGUA</v>
          </cell>
          <cell r="D20">
            <v>41275</v>
          </cell>
          <cell r="F20" t="str">
            <v xml:space="preserve"> Agua para casetas y artículos de limpieza</v>
          </cell>
          <cell r="G20">
            <v>689.5</v>
          </cell>
          <cell r="I20">
            <v>689.5</v>
          </cell>
        </row>
        <row r="21">
          <cell r="C21" t="str">
            <v>G_TLF</v>
          </cell>
          <cell r="D21">
            <v>41275</v>
          </cell>
          <cell r="F21" t="str">
            <v xml:space="preserve"> Telmex: pago enero</v>
          </cell>
          <cell r="G21">
            <v>879</v>
          </cell>
          <cell r="I21">
            <v>879</v>
          </cell>
        </row>
        <row r="22">
          <cell r="C22" t="str">
            <v>G_HCTB</v>
          </cell>
          <cell r="D22">
            <v>41275</v>
          </cell>
          <cell r="F22" t="str">
            <v xml:space="preserve"> Gastos de contabilidad</v>
          </cell>
          <cell r="G22">
            <v>1160</v>
          </cell>
          <cell r="I22">
            <v>1160</v>
          </cell>
        </row>
        <row r="23">
          <cell r="C23" t="str">
            <v>G_P_Fin</v>
          </cell>
          <cell r="D23">
            <v>41284</v>
          </cell>
          <cell r="E23" t="str">
            <v>Alberto Augusto Fuentes Herrera</v>
          </cell>
          <cell r="F23" t="str">
            <v>Remanente identificador</v>
          </cell>
          <cell r="G23">
            <v>-0.46</v>
          </cell>
          <cell r="I23">
            <v>-0.46</v>
          </cell>
        </row>
        <row r="24">
          <cell r="C24" t="str">
            <v>G_P_Fin</v>
          </cell>
          <cell r="D24">
            <v>41284</v>
          </cell>
          <cell r="E24" t="str">
            <v>Familia Vega Sánchez C.</v>
          </cell>
          <cell r="F24" t="str">
            <v>Remanente identificador</v>
          </cell>
          <cell r="G24">
            <v>-0.28999999999999998</v>
          </cell>
          <cell r="I24">
            <v>-0.28999999999999998</v>
          </cell>
        </row>
        <row r="25">
          <cell r="C25" t="str">
            <v>G_P_Fin</v>
          </cell>
          <cell r="D25">
            <v>41305</v>
          </cell>
          <cell r="E25" t="str">
            <v>Banorte</v>
          </cell>
          <cell r="F25" t="str">
            <v>Comisión e I.V.A. por cheques expedidos</v>
          </cell>
          <cell r="G25">
            <v>12</v>
          </cell>
          <cell r="H25">
            <v>1.92</v>
          </cell>
          <cell r="I25">
            <v>13.92</v>
          </cell>
        </row>
        <row r="26">
          <cell r="B26" t="str">
            <v>N°</v>
          </cell>
          <cell r="C26" t="str">
            <v>clave</v>
          </cell>
          <cell r="D26" t="str">
            <v>fecha</v>
          </cell>
          <cell r="E26" t="str">
            <v>Beneficiario</v>
          </cell>
          <cell r="F26" t="str">
            <v>Concepto</v>
          </cell>
          <cell r="G26" t="str">
            <v>Gasto</v>
          </cell>
          <cell r="H26" t="str">
            <v>I.V.A.</v>
          </cell>
          <cell r="I26" t="str">
            <v>Total</v>
          </cell>
        </row>
        <row r="27">
          <cell r="C27" t="str">
            <v>G_INFRA</v>
          </cell>
          <cell r="D27">
            <v>41306</v>
          </cell>
          <cell r="F27" t="str">
            <v xml:space="preserve"> Tercer pago de cámaras, 3ra Etapa</v>
          </cell>
          <cell r="G27">
            <v>21000</v>
          </cell>
          <cell r="I27">
            <v>21000</v>
          </cell>
        </row>
        <row r="28">
          <cell r="C28" t="str">
            <v>G_MTCST</v>
          </cell>
          <cell r="D28">
            <v>41306</v>
          </cell>
          <cell r="F28" t="str">
            <v xml:space="preserve"> Materiales</v>
          </cell>
          <cell r="G28">
            <v>6389.89</v>
          </cell>
          <cell r="I28">
            <v>6389.89</v>
          </cell>
        </row>
        <row r="29">
          <cell r="C29" t="str">
            <v>G_PAPE</v>
          </cell>
          <cell r="D29">
            <v>41306</v>
          </cell>
          <cell r="F29" t="str">
            <v xml:space="preserve"> Papelería e imprenta</v>
          </cell>
          <cell r="G29">
            <v>287.5</v>
          </cell>
          <cell r="I29">
            <v>287.5</v>
          </cell>
        </row>
        <row r="30">
          <cell r="C30" t="str">
            <v>G_NMNVG</v>
          </cell>
          <cell r="D30">
            <v>41306</v>
          </cell>
          <cell r="F30" t="str">
            <v xml:space="preserve"> Pago vigilancia del 1 al 15 de febrero del 2013</v>
          </cell>
          <cell r="G30">
            <v>27650</v>
          </cell>
          <cell r="I30">
            <v>27650</v>
          </cell>
        </row>
        <row r="31">
          <cell r="C31" t="str">
            <v>G_NMNVG</v>
          </cell>
          <cell r="D31">
            <v>41306</v>
          </cell>
          <cell r="F31" t="str">
            <v xml:space="preserve"> Pago vigilancia del 16 al 28 de febrero del 2013</v>
          </cell>
          <cell r="G31">
            <v>26750</v>
          </cell>
          <cell r="I31">
            <v>26750</v>
          </cell>
        </row>
        <row r="32">
          <cell r="C32" t="str">
            <v>G_ALMVG</v>
          </cell>
          <cell r="D32">
            <v>41306</v>
          </cell>
          <cell r="F32" t="str">
            <v xml:space="preserve"> Comida para vigilantes</v>
          </cell>
          <cell r="G32">
            <v>2180</v>
          </cell>
          <cell r="I32">
            <v>2180</v>
          </cell>
        </row>
        <row r="33">
          <cell r="C33" t="str">
            <v>G_AGUA</v>
          </cell>
          <cell r="D33">
            <v>41306</v>
          </cell>
          <cell r="F33" t="str">
            <v xml:space="preserve"> Agua para casetas y artículos de limpieza</v>
          </cell>
          <cell r="G33">
            <v>478.52</v>
          </cell>
          <cell r="I33">
            <v>478.52</v>
          </cell>
        </row>
        <row r="34">
          <cell r="C34" t="str">
            <v>G_ORG</v>
          </cell>
          <cell r="D34">
            <v>41306</v>
          </cell>
          <cell r="F34" t="str">
            <v xml:space="preserve"> Gastos de administración</v>
          </cell>
          <cell r="G34">
            <v>4240</v>
          </cell>
          <cell r="I34">
            <v>4240</v>
          </cell>
        </row>
        <row r="35">
          <cell r="C35" t="str">
            <v>G_ORG</v>
          </cell>
          <cell r="D35">
            <v>41306</v>
          </cell>
          <cell r="F35" t="str">
            <v xml:space="preserve"> Gasolina</v>
          </cell>
          <cell r="G35">
            <v>2365.3200000000002</v>
          </cell>
          <cell r="I35">
            <v>2365.3200000000002</v>
          </cell>
        </row>
        <row r="36">
          <cell r="C36" t="str">
            <v>G_HCTB</v>
          </cell>
          <cell r="D36">
            <v>41306</v>
          </cell>
          <cell r="F36" t="str">
            <v xml:space="preserve"> Gstos de contabilidad</v>
          </cell>
          <cell r="G36">
            <v>1160</v>
          </cell>
          <cell r="I36">
            <v>1160</v>
          </cell>
        </row>
        <row r="37">
          <cell r="C37" t="str">
            <v>G_MTILM</v>
          </cell>
          <cell r="D37">
            <v>41306</v>
          </cell>
          <cell r="F37" t="str">
            <v xml:space="preserve"> Reparación, cableado, control y cambio de luminarias</v>
          </cell>
          <cell r="G37">
            <v>9500</v>
          </cell>
          <cell r="I37">
            <v>9500</v>
          </cell>
        </row>
        <row r="38">
          <cell r="C38" t="str">
            <v>G_ASLE</v>
          </cell>
          <cell r="D38">
            <v>41306</v>
          </cell>
          <cell r="F38" t="str">
            <v xml:space="preserve"> Asesoría legal</v>
          </cell>
          <cell r="G38">
            <v>4000</v>
          </cell>
          <cell r="I38">
            <v>4000</v>
          </cell>
        </row>
        <row r="39">
          <cell r="C39" t="str">
            <v>G_MTCST</v>
          </cell>
          <cell r="D39">
            <v>41306</v>
          </cell>
          <cell r="F39" t="str">
            <v xml:space="preserve"> Mano de mano de obra de mantenimiento de casetas</v>
          </cell>
          <cell r="G39">
            <v>1000</v>
          </cell>
          <cell r="I39">
            <v>1000</v>
          </cell>
        </row>
        <row r="40">
          <cell r="C40" t="str">
            <v>G_JDN</v>
          </cell>
          <cell r="D40">
            <v>41306</v>
          </cell>
          <cell r="F40" t="str">
            <v xml:space="preserve"> Gratificación recolección de basura</v>
          </cell>
          <cell r="G40">
            <v>490</v>
          </cell>
          <cell r="I40">
            <v>490</v>
          </cell>
        </row>
        <row r="41">
          <cell r="C41" t="str">
            <v>G_CBR</v>
          </cell>
          <cell r="D41">
            <v>41306</v>
          </cell>
          <cell r="F41" t="str">
            <v xml:space="preserve"> Gratificación por cobranza al Sr Pedro Chávez</v>
          </cell>
          <cell r="G41">
            <v>1120</v>
          </cell>
          <cell r="I41">
            <v>1120</v>
          </cell>
        </row>
        <row r="42">
          <cell r="C42" t="str">
            <v>G_TLF</v>
          </cell>
          <cell r="D42">
            <v>41306</v>
          </cell>
          <cell r="F42" t="str">
            <v xml:space="preserve"> Telmex: pago febrero</v>
          </cell>
          <cell r="G42">
            <v>938</v>
          </cell>
          <cell r="I42">
            <v>938</v>
          </cell>
        </row>
        <row r="43">
          <cell r="C43" t="str">
            <v>G_P_Fin</v>
          </cell>
          <cell r="D43">
            <v>41313</v>
          </cell>
          <cell r="E43" t="str">
            <v>López Canseco</v>
          </cell>
          <cell r="F43" t="str">
            <v>Remanente identificador</v>
          </cell>
          <cell r="G43">
            <v>-0.2</v>
          </cell>
          <cell r="I43">
            <v>-0.2</v>
          </cell>
        </row>
        <row r="44">
          <cell r="C44" t="str">
            <v>G_P_Fin</v>
          </cell>
          <cell r="D44">
            <v>41313</v>
          </cell>
          <cell r="E44" t="str">
            <v>Familia Vega Sánchez C.</v>
          </cell>
          <cell r="F44" t="str">
            <v>Remanente identificador</v>
          </cell>
          <cell r="G44">
            <v>-0.28999999999999998</v>
          </cell>
          <cell r="I44">
            <v>-0.28999999999999998</v>
          </cell>
        </row>
        <row r="45">
          <cell r="C45" t="str">
            <v>G_P_Fin</v>
          </cell>
          <cell r="D45">
            <v>41318</v>
          </cell>
          <cell r="E45" t="str">
            <v>Alberto Augusto Fuentes Herrera</v>
          </cell>
          <cell r="F45" t="str">
            <v>Remanente identificador</v>
          </cell>
          <cell r="G45">
            <v>-0.46</v>
          </cell>
          <cell r="I45">
            <v>-0.46</v>
          </cell>
        </row>
        <row r="46">
          <cell r="C46" t="str">
            <v>G_P_Fin</v>
          </cell>
          <cell r="D46">
            <v>41333</v>
          </cell>
          <cell r="E46" t="str">
            <v>Banorte</v>
          </cell>
          <cell r="F46" t="str">
            <v>Comisión e I.V.A. por cheques expedidos</v>
          </cell>
          <cell r="G46">
            <v>24</v>
          </cell>
          <cell r="H46">
            <v>3.84</v>
          </cell>
          <cell r="I46">
            <v>27.84</v>
          </cell>
        </row>
        <row r="47">
          <cell r="B47" t="str">
            <v>N°</v>
          </cell>
          <cell r="C47" t="str">
            <v>clave</v>
          </cell>
          <cell r="D47" t="str">
            <v>fecha</v>
          </cell>
          <cell r="E47" t="str">
            <v>Beneficiario</v>
          </cell>
          <cell r="F47" t="str">
            <v>Concepto</v>
          </cell>
          <cell r="G47" t="str">
            <v>Gasto</v>
          </cell>
          <cell r="H47" t="str">
            <v>I.V.A.</v>
          </cell>
          <cell r="I47" t="str">
            <v>Total</v>
          </cell>
        </row>
        <row r="48">
          <cell r="C48" t="str">
            <v>G_MTCST</v>
          </cell>
          <cell r="D48">
            <v>41334</v>
          </cell>
          <cell r="F48" t="str">
            <v xml:space="preserve"> Materiales</v>
          </cell>
          <cell r="G48">
            <v>4092.5</v>
          </cell>
          <cell r="I48">
            <v>4092.5</v>
          </cell>
        </row>
        <row r="49">
          <cell r="C49" t="str">
            <v>G_MTCST</v>
          </cell>
          <cell r="D49">
            <v>41334</v>
          </cell>
          <cell r="F49" t="str">
            <v xml:space="preserve"> Pago de mano de obra trabajos diversos en casetas</v>
          </cell>
          <cell r="G49">
            <v>4000</v>
          </cell>
          <cell r="I49">
            <v>4000</v>
          </cell>
        </row>
        <row r="50">
          <cell r="C50" t="str">
            <v>G_PAPE</v>
          </cell>
          <cell r="D50">
            <v>41334</v>
          </cell>
          <cell r="F50" t="str">
            <v xml:space="preserve"> Papelería e imprenta</v>
          </cell>
          <cell r="G50">
            <v>1002.69</v>
          </cell>
          <cell r="I50">
            <v>1002.69</v>
          </cell>
        </row>
        <row r="51">
          <cell r="C51" t="str">
            <v>G_UNF</v>
          </cell>
          <cell r="D51">
            <v>41334</v>
          </cell>
          <cell r="F51" t="str">
            <v xml:space="preserve"> Uniformes para vigilantes</v>
          </cell>
          <cell r="G51">
            <v>1582.5</v>
          </cell>
          <cell r="I51">
            <v>1582.5</v>
          </cell>
        </row>
        <row r="52">
          <cell r="C52" t="str">
            <v>G_NMNVG</v>
          </cell>
          <cell r="D52">
            <v>41334</v>
          </cell>
          <cell r="F52" t="str">
            <v xml:space="preserve"> Pago de vigilancia del 1 al 15 de marzo 2013</v>
          </cell>
          <cell r="G52">
            <v>28373</v>
          </cell>
          <cell r="I52">
            <v>28373</v>
          </cell>
        </row>
        <row r="53">
          <cell r="C53" t="str">
            <v>G_NMNVG</v>
          </cell>
          <cell r="D53">
            <v>41334</v>
          </cell>
          <cell r="F53" t="str">
            <v xml:space="preserve"> Pago de vigilancia del 16 al 31 de marzo 2013</v>
          </cell>
          <cell r="G53">
            <v>28650</v>
          </cell>
          <cell r="I53">
            <v>28650</v>
          </cell>
        </row>
        <row r="54">
          <cell r="C54" t="str">
            <v>G_ALMVG</v>
          </cell>
          <cell r="D54">
            <v>41334</v>
          </cell>
          <cell r="F54" t="str">
            <v xml:space="preserve"> Comida para vigilantes</v>
          </cell>
          <cell r="G54">
            <v>2320</v>
          </cell>
          <cell r="I54">
            <v>2320</v>
          </cell>
        </row>
        <row r="55">
          <cell r="C55" t="str">
            <v>G_MTILM</v>
          </cell>
          <cell r="D55">
            <v>41334</v>
          </cell>
          <cell r="F55" t="str">
            <v xml:space="preserve"> Gratificación alumbrado público y recolección de basura</v>
          </cell>
          <cell r="G55">
            <v>1000</v>
          </cell>
          <cell r="I55">
            <v>1000</v>
          </cell>
        </row>
        <row r="56">
          <cell r="C56" t="str">
            <v>G_ORG</v>
          </cell>
          <cell r="D56">
            <v>41334</v>
          </cell>
          <cell r="F56" t="str">
            <v xml:space="preserve"> Gasolina</v>
          </cell>
          <cell r="G56">
            <v>865.01</v>
          </cell>
          <cell r="I56">
            <v>865.01</v>
          </cell>
        </row>
        <row r="57">
          <cell r="C57" t="str">
            <v>G_AGUA</v>
          </cell>
          <cell r="D57">
            <v>41334</v>
          </cell>
          <cell r="F57" t="str">
            <v xml:space="preserve"> Agua para casetas y artículos de limpieza</v>
          </cell>
          <cell r="G57">
            <v>420</v>
          </cell>
          <cell r="I57">
            <v>420</v>
          </cell>
        </row>
        <row r="58">
          <cell r="C58" t="str">
            <v>G_ADQ</v>
          </cell>
          <cell r="D58">
            <v>41334</v>
          </cell>
          <cell r="F58" t="str">
            <v xml:space="preserve"> Pago de tarjetas electrónicas</v>
          </cell>
          <cell r="G58">
            <v>4950</v>
          </cell>
          <cell r="I58">
            <v>4950</v>
          </cell>
        </row>
        <row r="59">
          <cell r="C59" t="str">
            <v>G_CBR</v>
          </cell>
          <cell r="D59">
            <v>41334</v>
          </cell>
          <cell r="F59" t="str">
            <v xml:space="preserve"> Gratificación por cobranza al Sr Pedro Chávez</v>
          </cell>
          <cell r="G59">
            <v>1000</v>
          </cell>
          <cell r="I59">
            <v>1000</v>
          </cell>
        </row>
        <row r="60">
          <cell r="C60" t="str">
            <v>G_ORG</v>
          </cell>
          <cell r="D60">
            <v>41334</v>
          </cell>
          <cell r="F60" t="str">
            <v xml:space="preserve"> Gastos de administración</v>
          </cell>
          <cell r="G60">
            <v>3714.5</v>
          </cell>
          <cell r="I60">
            <v>3714.5</v>
          </cell>
        </row>
        <row r="61">
          <cell r="C61" t="str">
            <v>G_HCTB</v>
          </cell>
          <cell r="D61">
            <v>41334</v>
          </cell>
          <cell r="F61" t="str">
            <v xml:space="preserve"> Gastos de contabilidad</v>
          </cell>
          <cell r="G61">
            <v>2320</v>
          </cell>
          <cell r="I61">
            <v>2320</v>
          </cell>
        </row>
        <row r="62">
          <cell r="C62" t="str">
            <v>G_TLF</v>
          </cell>
          <cell r="D62">
            <v>41334</v>
          </cell>
          <cell r="F62" t="str">
            <v xml:space="preserve"> Telmex: pago marzo</v>
          </cell>
          <cell r="G62">
            <v>871</v>
          </cell>
          <cell r="I62">
            <v>871</v>
          </cell>
        </row>
        <row r="63">
          <cell r="C63" t="str">
            <v>G_P_Fin</v>
          </cell>
          <cell r="D63">
            <v>41334</v>
          </cell>
          <cell r="E63" t="str">
            <v>Norma Lorena González Arevyan</v>
          </cell>
          <cell r="F63" t="str">
            <v>Remanente identificador</v>
          </cell>
          <cell r="G63">
            <v>-0.15</v>
          </cell>
          <cell r="I63">
            <v>-0.15</v>
          </cell>
        </row>
        <row r="64">
          <cell r="C64" t="str">
            <v>G_P_Fin</v>
          </cell>
          <cell r="D64">
            <v>41338</v>
          </cell>
          <cell r="E64" t="str">
            <v>López Canseco</v>
          </cell>
          <cell r="F64" t="str">
            <v>Remanente identificador</v>
          </cell>
          <cell r="G64">
            <v>-0.1</v>
          </cell>
          <cell r="I64">
            <v>-0.1</v>
          </cell>
        </row>
        <row r="65">
          <cell r="C65" t="str">
            <v>G_P_Fin</v>
          </cell>
          <cell r="D65">
            <v>41340</v>
          </cell>
          <cell r="E65" t="str">
            <v>Banorte</v>
          </cell>
          <cell r="F65" t="str">
            <v>Comisión e I.V.A. por cheques expedidos</v>
          </cell>
          <cell r="G65">
            <v>30</v>
          </cell>
          <cell r="H65">
            <v>4.8</v>
          </cell>
          <cell r="I65">
            <v>34.799999999999997</v>
          </cell>
        </row>
        <row r="66">
          <cell r="C66" t="str">
            <v>G_P_Fin</v>
          </cell>
          <cell r="D66">
            <v>41344</v>
          </cell>
          <cell r="E66" t="str">
            <v>Familia Vega Sánchez C.</v>
          </cell>
          <cell r="F66" t="str">
            <v>Remanente identificador</v>
          </cell>
          <cell r="G66">
            <v>-0.28999999999999998</v>
          </cell>
          <cell r="I66">
            <v>-0.28999999999999998</v>
          </cell>
        </row>
        <row r="67">
          <cell r="C67" t="str">
            <v>G_P_Fin</v>
          </cell>
          <cell r="D67">
            <v>41349</v>
          </cell>
          <cell r="E67" t="str">
            <v>Alberto Augusto Fuentes Herrera</v>
          </cell>
          <cell r="F67" t="str">
            <v>Remanente identificador</v>
          </cell>
          <cell r="G67">
            <v>-0.46</v>
          </cell>
          <cell r="I67">
            <v>-0.46</v>
          </cell>
        </row>
        <row r="68">
          <cell r="B68" t="str">
            <v>N°</v>
          </cell>
          <cell r="C68" t="str">
            <v>clave</v>
          </cell>
          <cell r="D68" t="str">
            <v>fecha</v>
          </cell>
          <cell r="E68" t="str">
            <v>Beneficiario</v>
          </cell>
          <cell r="F68" t="str">
            <v>Concepto</v>
          </cell>
          <cell r="G68" t="str">
            <v>Gasto</v>
          </cell>
          <cell r="H68" t="str">
            <v>I.V.A.</v>
          </cell>
          <cell r="I68" t="str">
            <v>Total</v>
          </cell>
        </row>
        <row r="69">
          <cell r="C69" t="str">
            <v>G_MTPTA</v>
          </cell>
          <cell r="D69">
            <v>41365</v>
          </cell>
          <cell r="F69" t="str">
            <v xml:space="preserve"> Trabajos de herrería</v>
          </cell>
          <cell r="G69">
            <v>750</v>
          </cell>
          <cell r="I69">
            <v>750</v>
          </cell>
        </row>
        <row r="70">
          <cell r="C70" t="str">
            <v>G_MTCST</v>
          </cell>
          <cell r="D70">
            <v>41365</v>
          </cell>
          <cell r="F70" t="str">
            <v xml:space="preserve"> Materiales</v>
          </cell>
          <cell r="G70">
            <v>300</v>
          </cell>
          <cell r="I70">
            <v>300</v>
          </cell>
        </row>
        <row r="71">
          <cell r="C71" t="str">
            <v>G_ADQ</v>
          </cell>
          <cell r="D71">
            <v>41365</v>
          </cell>
          <cell r="F71" t="str">
            <v xml:space="preserve"> Pago de llaves</v>
          </cell>
          <cell r="G71">
            <v>2400</v>
          </cell>
          <cell r="I71">
            <v>2400</v>
          </cell>
        </row>
        <row r="72">
          <cell r="C72" t="str">
            <v>G_MDC</v>
          </cell>
          <cell r="D72">
            <v>41365</v>
          </cell>
          <cell r="F72" t="str">
            <v xml:space="preserve"> Medicinas para vigilantes</v>
          </cell>
          <cell r="G72">
            <v>1088</v>
          </cell>
          <cell r="I72">
            <v>1088</v>
          </cell>
        </row>
        <row r="73">
          <cell r="C73" t="str">
            <v>G_AGUA</v>
          </cell>
          <cell r="D73">
            <v>41365</v>
          </cell>
          <cell r="F73" t="str">
            <v xml:space="preserve"> Agua para casetas y artículos de limpieza</v>
          </cell>
          <cell r="G73">
            <v>501</v>
          </cell>
          <cell r="I73">
            <v>501</v>
          </cell>
        </row>
        <row r="74">
          <cell r="C74" t="str">
            <v>G_PAPE</v>
          </cell>
          <cell r="D74">
            <v>41365</v>
          </cell>
          <cell r="F74" t="str">
            <v xml:space="preserve"> Papelería e imprenta</v>
          </cell>
          <cell r="G74">
            <v>984</v>
          </cell>
          <cell r="I74">
            <v>984</v>
          </cell>
        </row>
        <row r="75">
          <cell r="C75" t="str">
            <v>G_NMNVG</v>
          </cell>
          <cell r="D75">
            <v>41365</v>
          </cell>
          <cell r="F75" t="str">
            <v xml:space="preserve"> Pago de vigilancia del 01 al 15 de abril</v>
          </cell>
          <cell r="G75">
            <v>28220</v>
          </cell>
          <cell r="I75">
            <v>28220</v>
          </cell>
        </row>
        <row r="76">
          <cell r="C76" t="str">
            <v>G_NMNVG</v>
          </cell>
          <cell r="D76">
            <v>41365</v>
          </cell>
          <cell r="F76" t="str">
            <v xml:space="preserve"> Pago de vigilancia del 16 al 30 de abril</v>
          </cell>
          <cell r="G76">
            <v>26900</v>
          </cell>
          <cell r="I76">
            <v>26900</v>
          </cell>
        </row>
        <row r="77">
          <cell r="C77" t="str">
            <v>G_ALMVG</v>
          </cell>
          <cell r="D77">
            <v>41365</v>
          </cell>
          <cell r="F77" t="str">
            <v xml:space="preserve"> Comida para vigilantes</v>
          </cell>
          <cell r="G77">
            <v>2200</v>
          </cell>
          <cell r="I77">
            <v>2200</v>
          </cell>
        </row>
        <row r="78">
          <cell r="C78" t="str">
            <v>G_CBR</v>
          </cell>
          <cell r="D78">
            <v>41365</v>
          </cell>
          <cell r="F78" t="str">
            <v xml:space="preserve"> Gratificación por cobranza al Sr Pedro Chávez</v>
          </cell>
          <cell r="G78">
            <v>520</v>
          </cell>
          <cell r="I78">
            <v>520</v>
          </cell>
        </row>
        <row r="79">
          <cell r="C79" t="str">
            <v>G_ORG</v>
          </cell>
          <cell r="D79">
            <v>41365</v>
          </cell>
          <cell r="F79" t="str">
            <v xml:space="preserve"> Gastos de administración</v>
          </cell>
          <cell r="G79">
            <v>3600</v>
          </cell>
          <cell r="I79">
            <v>3600</v>
          </cell>
        </row>
        <row r="80">
          <cell r="C80" t="str">
            <v>G_MTCYP</v>
          </cell>
          <cell r="D80">
            <v>41365</v>
          </cell>
          <cell r="F80" t="str">
            <v xml:space="preserve"> Mantenimiento y reparación de plumas y cámaras</v>
          </cell>
          <cell r="G80">
            <v>2500</v>
          </cell>
          <cell r="I80">
            <v>2500</v>
          </cell>
        </row>
        <row r="81">
          <cell r="C81" t="str">
            <v>G_ORG</v>
          </cell>
          <cell r="D81">
            <v>41365</v>
          </cell>
          <cell r="F81" t="str">
            <v xml:space="preserve"> Gasolina</v>
          </cell>
          <cell r="G81">
            <v>1500</v>
          </cell>
          <cell r="I81">
            <v>1500</v>
          </cell>
        </row>
        <row r="82">
          <cell r="C82" t="str">
            <v>G_TLF</v>
          </cell>
          <cell r="D82">
            <v>41365</v>
          </cell>
          <cell r="F82" t="str">
            <v xml:space="preserve"> Telmex: pago abril</v>
          </cell>
          <cell r="G82">
            <v>812</v>
          </cell>
          <cell r="I82">
            <v>812</v>
          </cell>
        </row>
        <row r="83">
          <cell r="C83" t="str">
            <v>G_HCTB</v>
          </cell>
          <cell r="D83">
            <v>41365</v>
          </cell>
          <cell r="F83" t="str">
            <v xml:space="preserve"> Gastos de contabilidad</v>
          </cell>
          <cell r="G83">
            <v>1160</v>
          </cell>
          <cell r="I83">
            <v>1160</v>
          </cell>
        </row>
        <row r="84">
          <cell r="B84">
            <v>1</v>
          </cell>
          <cell r="C84" t="str">
            <v>G_PAPE</v>
          </cell>
          <cell r="D84">
            <v>41383</v>
          </cell>
          <cell r="E84" t="str">
            <v>Office Depot de México, S. A. de C. V.</v>
          </cell>
          <cell r="F84" t="str">
            <v>Papelería</v>
          </cell>
          <cell r="G84">
            <v>233.31</v>
          </cell>
          <cell r="H84">
            <v>37.33</v>
          </cell>
          <cell r="I84">
            <v>270.64</v>
          </cell>
        </row>
        <row r="85">
          <cell r="C85" t="str">
            <v>G_P_Fin</v>
          </cell>
          <cell r="D85">
            <v>41372</v>
          </cell>
          <cell r="E85" t="str">
            <v>López Canseco</v>
          </cell>
          <cell r="F85" t="str">
            <v>Remanente identificador</v>
          </cell>
          <cell r="G85">
            <v>-0.1</v>
          </cell>
          <cell r="I85">
            <v>-0.1</v>
          </cell>
        </row>
        <row r="86">
          <cell r="C86" t="str">
            <v>G_P_Fin</v>
          </cell>
          <cell r="D86">
            <v>41373</v>
          </cell>
          <cell r="E86" t="str">
            <v>Familia Vega Sánchez C.</v>
          </cell>
          <cell r="F86" t="str">
            <v>Remanente identificador</v>
          </cell>
          <cell r="G86">
            <v>-0.28999999999999998</v>
          </cell>
          <cell r="I86">
            <v>-0.28999999999999998</v>
          </cell>
        </row>
        <row r="87">
          <cell r="C87" t="str">
            <v>G_P_Fin</v>
          </cell>
          <cell r="D87">
            <v>41390</v>
          </cell>
          <cell r="E87" t="str">
            <v>Norma Lorena González Arevyan</v>
          </cell>
          <cell r="F87" t="str">
            <v>Remanente identificador</v>
          </cell>
          <cell r="G87">
            <v>-0.15</v>
          </cell>
          <cell r="I87">
            <v>-0.15</v>
          </cell>
        </row>
        <row r="88">
          <cell r="C88" t="str">
            <v>G_P_Fin</v>
          </cell>
          <cell r="D88">
            <v>41390</v>
          </cell>
          <cell r="E88" t="str">
            <v>Alberto Augusto Fuentes Herrera</v>
          </cell>
          <cell r="F88" t="str">
            <v>Remanente identificador</v>
          </cell>
          <cell r="G88">
            <v>-0.46</v>
          </cell>
          <cell r="I88">
            <v>-0.46</v>
          </cell>
        </row>
        <row r="89">
          <cell r="B89" t="str">
            <v>N°</v>
          </cell>
          <cell r="C89" t="str">
            <v>clave</v>
          </cell>
          <cell r="D89" t="str">
            <v>fecha</v>
          </cell>
          <cell r="E89" t="str">
            <v>Beneficiario</v>
          </cell>
          <cell r="F89" t="str">
            <v>Concepto</v>
          </cell>
          <cell r="G89" t="str">
            <v>Gasto</v>
          </cell>
          <cell r="H89" t="str">
            <v>I.V.A.</v>
          </cell>
          <cell r="I89" t="str">
            <v>Total</v>
          </cell>
        </row>
        <row r="90">
          <cell r="C90" t="str">
            <v>G_NMNVG</v>
          </cell>
          <cell r="D90">
            <v>41395</v>
          </cell>
          <cell r="F90" t="str">
            <v>Pago de vigilancia del 1 al 15 de mayo</v>
          </cell>
          <cell r="G90">
            <v>23200</v>
          </cell>
          <cell r="I90">
            <v>23200</v>
          </cell>
        </row>
        <row r="91">
          <cell r="C91" t="str">
            <v>G_NMNVG</v>
          </cell>
          <cell r="D91">
            <v>41395</v>
          </cell>
          <cell r="F91" t="str">
            <v>Pago quincena y liquidación de Oscar Gutiérrez Segundo</v>
          </cell>
          <cell r="G91">
            <v>5800</v>
          </cell>
          <cell r="I91">
            <v>5800</v>
          </cell>
        </row>
        <row r="92">
          <cell r="C92" t="str">
            <v>G_ADQ</v>
          </cell>
          <cell r="D92">
            <v>41395</v>
          </cell>
          <cell r="F92" t="str">
            <v>Pago de llaves</v>
          </cell>
          <cell r="G92">
            <v>2400</v>
          </cell>
          <cell r="I92">
            <v>2400</v>
          </cell>
        </row>
        <row r="93">
          <cell r="C93" t="str">
            <v>G_PAPE</v>
          </cell>
          <cell r="D93">
            <v>41395</v>
          </cell>
          <cell r="F93" t="str">
            <v>Papelería e imprenta</v>
          </cell>
          <cell r="G93">
            <v>1497</v>
          </cell>
          <cell r="I93">
            <v>1497</v>
          </cell>
        </row>
        <row r="94">
          <cell r="C94" t="str">
            <v>G_AGUA</v>
          </cell>
          <cell r="D94">
            <v>41395</v>
          </cell>
          <cell r="F94" t="str">
            <v>Agua para casetas y artículos de limpieza</v>
          </cell>
          <cell r="G94">
            <v>420</v>
          </cell>
          <cell r="I94">
            <v>420</v>
          </cell>
        </row>
        <row r="95">
          <cell r="C95" t="str">
            <v>G_ALMVG</v>
          </cell>
          <cell r="D95">
            <v>41395</v>
          </cell>
          <cell r="F95" t="str">
            <v>Comida para  vigilantes del 29 abril al 13 de mayo</v>
          </cell>
          <cell r="G95">
            <v>800</v>
          </cell>
          <cell r="I95">
            <v>800</v>
          </cell>
        </row>
        <row r="96">
          <cell r="C96" t="str">
            <v>G_JDN</v>
          </cell>
          <cell r="D96">
            <v>41395</v>
          </cell>
          <cell r="F96" t="str">
            <v>Gratificación recolección de basura</v>
          </cell>
          <cell r="G96">
            <v>620</v>
          </cell>
          <cell r="I96">
            <v>620</v>
          </cell>
        </row>
        <row r="97">
          <cell r="C97" t="str">
            <v>G_ORG</v>
          </cell>
          <cell r="D97">
            <v>41395</v>
          </cell>
          <cell r="F97" t="str">
            <v>Gastos de administración</v>
          </cell>
          <cell r="G97">
            <v>1934</v>
          </cell>
          <cell r="I97">
            <v>1934</v>
          </cell>
        </row>
        <row r="98">
          <cell r="C98" t="str">
            <v>G_ORG</v>
          </cell>
          <cell r="D98">
            <v>41395</v>
          </cell>
          <cell r="F98" t="str">
            <v>Gasolina</v>
          </cell>
          <cell r="G98">
            <v>735.19</v>
          </cell>
          <cell r="I98">
            <v>735.19</v>
          </cell>
        </row>
        <row r="99">
          <cell r="C99" t="str">
            <v>G_MTCYP</v>
          </cell>
          <cell r="D99">
            <v>41395</v>
          </cell>
          <cell r="F99" t="str">
            <v>Reparación y mantenimiento de cámaras y plumas aut</v>
          </cell>
          <cell r="G99">
            <v>2500</v>
          </cell>
          <cell r="I99">
            <v>2500</v>
          </cell>
        </row>
        <row r="100">
          <cell r="C100" t="str">
            <v>G_HJRD</v>
          </cell>
          <cell r="D100">
            <v>41395</v>
          </cell>
          <cell r="F100" t="str">
            <v>Gastos de protocolización</v>
          </cell>
          <cell r="G100">
            <v>7500</v>
          </cell>
          <cell r="I100">
            <v>7500</v>
          </cell>
        </row>
        <row r="101">
          <cell r="B101">
            <v>2</v>
          </cell>
          <cell r="C101" t="str">
            <v>G_TRSP</v>
          </cell>
          <cell r="D101">
            <v>41400</v>
          </cell>
          <cell r="E101" t="str">
            <v>Distribuidora de Bicicletas Benotto, S. A. de C. V.</v>
          </cell>
          <cell r="F101" t="str">
            <v>Artículos para bicicletas</v>
          </cell>
          <cell r="G101">
            <v>245.68</v>
          </cell>
          <cell r="H101">
            <v>39.31</v>
          </cell>
          <cell r="I101">
            <v>284.99</v>
          </cell>
        </row>
        <row r="102">
          <cell r="B102">
            <v>3</v>
          </cell>
          <cell r="C102" t="str">
            <v>G_TRSP</v>
          </cell>
          <cell r="D102">
            <v>41419</v>
          </cell>
          <cell r="E102" t="str">
            <v>Juárez Illana Xochitl Elizabeth</v>
          </cell>
          <cell r="F102" t="str">
            <v>Mantenimiento para bicicletas</v>
          </cell>
          <cell r="G102">
            <v>517.24</v>
          </cell>
          <cell r="H102">
            <v>82.46</v>
          </cell>
          <cell r="I102">
            <v>599.70000000000005</v>
          </cell>
        </row>
        <row r="103">
          <cell r="C103" t="str">
            <v>G_NMNVG</v>
          </cell>
          <cell r="D103">
            <v>41425</v>
          </cell>
          <cell r="E103" t="str">
            <v>Nómina de vigilantes</v>
          </cell>
          <cell r="F103" t="str">
            <v>Nómina de vigilantes</v>
          </cell>
          <cell r="G103">
            <v>22790</v>
          </cell>
          <cell r="I103">
            <v>22790</v>
          </cell>
        </row>
        <row r="104">
          <cell r="C104" t="str">
            <v>G_INFRA</v>
          </cell>
          <cell r="D104">
            <v>41422</v>
          </cell>
          <cell r="E104" t="str">
            <v>Sistemas inteligentes en Seguridad</v>
          </cell>
          <cell r="F104" t="str">
            <v>Instalación de cámaras</v>
          </cell>
          <cell r="G104">
            <v>20000</v>
          </cell>
          <cell r="I104">
            <v>20000</v>
          </cell>
        </row>
        <row r="105">
          <cell r="C105" t="str">
            <v>G_AGUA</v>
          </cell>
          <cell r="D105">
            <v>41425</v>
          </cell>
          <cell r="F105" t="str">
            <v>Agua para casetas y artículos de limpieza</v>
          </cell>
          <cell r="G105">
            <v>258</v>
          </cell>
          <cell r="I105">
            <v>258</v>
          </cell>
        </row>
        <row r="106">
          <cell r="C106" t="str">
            <v>G_ALMVG</v>
          </cell>
          <cell r="D106">
            <v>41425</v>
          </cell>
          <cell r="F106" t="str">
            <v>Comida para  vigilantes</v>
          </cell>
          <cell r="G106">
            <v>1200</v>
          </cell>
          <cell r="I106">
            <v>1200</v>
          </cell>
        </row>
        <row r="107">
          <cell r="C107" t="str">
            <v>G_JDN</v>
          </cell>
          <cell r="D107">
            <v>41425</v>
          </cell>
          <cell r="F107" t="str">
            <v>Gratificación recolección de basura</v>
          </cell>
          <cell r="G107">
            <v>550</v>
          </cell>
          <cell r="I107">
            <v>550</v>
          </cell>
        </row>
        <row r="108">
          <cell r="C108" t="str">
            <v>G_HJRD</v>
          </cell>
          <cell r="D108">
            <v>41425</v>
          </cell>
          <cell r="G108">
            <v>552</v>
          </cell>
          <cell r="I108">
            <v>552</v>
          </cell>
        </row>
        <row r="109">
          <cell r="C109" t="str">
            <v>G_ORG</v>
          </cell>
          <cell r="D109">
            <v>41425</v>
          </cell>
          <cell r="F109" t="str">
            <v>Globo</v>
          </cell>
          <cell r="G109">
            <v>339</v>
          </cell>
          <cell r="I109">
            <v>339</v>
          </cell>
        </row>
        <row r="110">
          <cell r="C110" t="str">
            <v>G_TLF</v>
          </cell>
          <cell r="D110">
            <v>41425</v>
          </cell>
          <cell r="G110">
            <v>7.4</v>
          </cell>
          <cell r="I110">
            <v>7.4</v>
          </cell>
        </row>
        <row r="111">
          <cell r="C111" t="str">
            <v>G_TLF</v>
          </cell>
          <cell r="D111">
            <v>41425</v>
          </cell>
          <cell r="E111" t="str">
            <v>Teléfonos de México, S.A.B. de C.V.</v>
          </cell>
          <cell r="G111">
            <v>677.63</v>
          </cell>
          <cell r="H111">
            <v>108.42</v>
          </cell>
          <cell r="I111">
            <v>786.05</v>
          </cell>
        </row>
        <row r="112">
          <cell r="C112" t="str">
            <v>G_P_Fin</v>
          </cell>
          <cell r="D112">
            <v>41401</v>
          </cell>
          <cell r="E112" t="str">
            <v>Alberto Augusto Fuentes Herrera</v>
          </cell>
          <cell r="F112" t="str">
            <v>Remanente identificador</v>
          </cell>
          <cell r="G112">
            <v>-0.46</v>
          </cell>
          <cell r="I112">
            <v>-0.46</v>
          </cell>
        </row>
        <row r="113">
          <cell r="C113" t="str">
            <v>G_P_Fin</v>
          </cell>
          <cell r="D113">
            <v>41403</v>
          </cell>
          <cell r="E113" t="str">
            <v>López Canseco</v>
          </cell>
          <cell r="F113" t="str">
            <v>Remanente identificador</v>
          </cell>
          <cell r="G113">
            <v>-0.1</v>
          </cell>
          <cell r="I113">
            <v>-0.1</v>
          </cell>
        </row>
        <row r="114">
          <cell r="C114" t="str">
            <v>G_P_Fin</v>
          </cell>
          <cell r="D114">
            <v>41409</v>
          </cell>
          <cell r="E114" t="str">
            <v>Familia Vega Sánchez C.</v>
          </cell>
          <cell r="F114" t="str">
            <v>Remanente identificador</v>
          </cell>
          <cell r="G114">
            <v>-0.28999999999999998</v>
          </cell>
          <cell r="I114">
            <v>-0.28999999999999998</v>
          </cell>
        </row>
        <row r="115">
          <cell r="C115" t="str">
            <v>G_P_Fin</v>
          </cell>
          <cell r="D115">
            <v>41425</v>
          </cell>
          <cell r="E115" t="str">
            <v>Banorte</v>
          </cell>
          <cell r="F115" t="str">
            <v>Comisión e I.V.A. por cheques expedidos</v>
          </cell>
          <cell r="G115">
            <v>16</v>
          </cell>
          <cell r="H115">
            <v>2.56</v>
          </cell>
          <cell r="I115">
            <v>18.559999999999999</v>
          </cell>
        </row>
        <row r="116">
          <cell r="B116" t="str">
            <v>N°</v>
          </cell>
          <cell r="C116" t="str">
            <v>clave</v>
          </cell>
          <cell r="D116" t="str">
            <v>fecha</v>
          </cell>
          <cell r="E116" t="str">
            <v>Beneficiario</v>
          </cell>
          <cell r="F116" t="str">
            <v>Concepto</v>
          </cell>
          <cell r="G116" t="str">
            <v>Gasto</v>
          </cell>
          <cell r="H116" t="str">
            <v>I.V.A.</v>
          </cell>
          <cell r="I116" t="str">
            <v>Total</v>
          </cell>
        </row>
        <row r="117">
          <cell r="B117">
            <v>4</v>
          </cell>
          <cell r="C117" t="str">
            <v>G_AGUA</v>
          </cell>
          <cell r="D117">
            <v>41428</v>
          </cell>
          <cell r="E117" t="str">
            <v>Electropura, S. de R. L. de C. V.</v>
          </cell>
          <cell r="F117" t="str">
            <v>Agua purificada</v>
          </cell>
          <cell r="G117">
            <v>90</v>
          </cell>
          <cell r="I117">
            <v>90</v>
          </cell>
        </row>
        <row r="118">
          <cell r="C118" t="str">
            <v>G_INFRA</v>
          </cell>
          <cell r="D118">
            <v>41428</v>
          </cell>
          <cell r="E118" t="str">
            <v>Sistemas inteligentes en Seguridad</v>
          </cell>
          <cell r="F118" t="str">
            <v>Instalación de 16 cámaras (3era. etapa)</v>
          </cell>
          <cell r="G118">
            <v>12000</v>
          </cell>
          <cell r="I118">
            <v>12000</v>
          </cell>
        </row>
        <row r="119">
          <cell r="B119">
            <v>5</v>
          </cell>
          <cell r="C119" t="str">
            <v>G_MTPTA</v>
          </cell>
          <cell r="D119">
            <v>41430</v>
          </cell>
          <cell r="E119" t="str">
            <v>Luis Hernández</v>
          </cell>
          <cell r="F119" t="str">
            <v>Mantenimiento a chapas</v>
          </cell>
          <cell r="G119">
            <v>350</v>
          </cell>
          <cell r="I119">
            <v>350</v>
          </cell>
        </row>
        <row r="120">
          <cell r="B120">
            <v>6</v>
          </cell>
          <cell r="C120" t="str">
            <v>G_ORG</v>
          </cell>
          <cell r="D120">
            <v>41431</v>
          </cell>
          <cell r="E120" t="str">
            <v>Gastronomía Avanzada Pastelerías, S. A. de C. V.</v>
          </cell>
          <cell r="F120" t="str">
            <v>Bebidas</v>
          </cell>
          <cell r="G120">
            <v>53.92</v>
          </cell>
          <cell r="H120">
            <v>7.58</v>
          </cell>
          <cell r="I120">
            <v>61.5</v>
          </cell>
        </row>
        <row r="121">
          <cell r="B121">
            <v>7</v>
          </cell>
          <cell r="C121" t="str">
            <v>G_JDN</v>
          </cell>
          <cell r="D121">
            <v>41432</v>
          </cell>
          <cell r="E121" t="str">
            <v>Roberto Miranda</v>
          </cell>
          <cell r="F121" t="str">
            <v>Mantenimiento del jardín</v>
          </cell>
          <cell r="G121">
            <v>100</v>
          </cell>
          <cell r="I121">
            <v>100</v>
          </cell>
        </row>
        <row r="122">
          <cell r="B122">
            <v>8</v>
          </cell>
          <cell r="C122" t="str">
            <v>G_ADQ</v>
          </cell>
          <cell r="D122">
            <v>41433</v>
          </cell>
          <cell r="E122" t="str">
            <v>Cerrajería Gran Sur</v>
          </cell>
          <cell r="F122" t="str">
            <v>Duplicado de llaves</v>
          </cell>
          <cell r="G122">
            <v>1800</v>
          </cell>
          <cell r="I122">
            <v>1800</v>
          </cell>
        </row>
        <row r="123">
          <cell r="B123">
            <v>9</v>
          </cell>
          <cell r="C123" t="str">
            <v>G_JDN</v>
          </cell>
          <cell r="D123">
            <v>41433</v>
          </cell>
          <cell r="E123" t="str">
            <v>Óscar Medina</v>
          </cell>
          <cell r="F123" t="str">
            <v>Mantenimiento del jardín</v>
          </cell>
          <cell r="G123">
            <v>250</v>
          </cell>
          <cell r="I123">
            <v>250</v>
          </cell>
        </row>
        <row r="124">
          <cell r="B124">
            <v>10</v>
          </cell>
          <cell r="C124" t="str">
            <v>G_AGUA</v>
          </cell>
          <cell r="D124">
            <v>41435</v>
          </cell>
          <cell r="E124" t="str">
            <v>Electropura, S. de R. L. de C. V.</v>
          </cell>
          <cell r="F124" t="str">
            <v>Agua purificada</v>
          </cell>
          <cell r="G124">
            <v>60</v>
          </cell>
          <cell r="I124">
            <v>60</v>
          </cell>
        </row>
        <row r="125">
          <cell r="B125">
            <v>11</v>
          </cell>
          <cell r="C125" t="str">
            <v>G_PAPE</v>
          </cell>
          <cell r="D125">
            <v>41436</v>
          </cell>
          <cell r="E125" t="str">
            <v>Office Depot de México, S. A. de C. V.</v>
          </cell>
          <cell r="F125" t="str">
            <v>Papelería</v>
          </cell>
          <cell r="G125">
            <v>93.03</v>
          </cell>
          <cell r="H125">
            <v>14.88</v>
          </cell>
          <cell r="I125">
            <v>107.91</v>
          </cell>
        </row>
        <row r="126">
          <cell r="B126">
            <v>12</v>
          </cell>
          <cell r="C126" t="str">
            <v>G_ALMVG</v>
          </cell>
          <cell r="D126">
            <v>41436</v>
          </cell>
          <cell r="E126" t="str">
            <v>Sabina</v>
          </cell>
          <cell r="F126" t="str">
            <v>Alimentación a vigilantes</v>
          </cell>
          <cell r="G126">
            <v>400</v>
          </cell>
          <cell r="I126">
            <v>400</v>
          </cell>
        </row>
        <row r="127">
          <cell r="B127">
            <v>13</v>
          </cell>
          <cell r="C127" t="str">
            <v>G_NMNVG</v>
          </cell>
          <cell r="D127">
            <v>41440</v>
          </cell>
          <cell r="E127" t="str">
            <v>Nómina de vigilantes</v>
          </cell>
          <cell r="F127" t="str">
            <v>Nómina de vigilantes</v>
          </cell>
          <cell r="G127">
            <v>23200</v>
          </cell>
          <cell r="I127">
            <v>23200</v>
          </cell>
        </row>
        <row r="128">
          <cell r="B128">
            <v>14</v>
          </cell>
          <cell r="C128" t="str">
            <v>G_JDN</v>
          </cell>
          <cell r="D128">
            <v>41440</v>
          </cell>
          <cell r="E128" t="str">
            <v>Roberto Miranda</v>
          </cell>
          <cell r="F128" t="str">
            <v>Mantenimiento del jardín</v>
          </cell>
          <cell r="G128">
            <v>100</v>
          </cell>
          <cell r="I128">
            <v>100</v>
          </cell>
        </row>
        <row r="129">
          <cell r="B129">
            <v>15</v>
          </cell>
          <cell r="C129" t="str">
            <v>G_AGUA</v>
          </cell>
          <cell r="D129">
            <v>41442</v>
          </cell>
          <cell r="E129" t="str">
            <v>Electropura, S. de R. L. de C. V.</v>
          </cell>
          <cell r="F129" t="str">
            <v>Agua purificada</v>
          </cell>
          <cell r="G129">
            <v>90</v>
          </cell>
          <cell r="I129">
            <v>90</v>
          </cell>
        </row>
        <row r="130">
          <cell r="B130">
            <v>16</v>
          </cell>
          <cell r="C130" t="str">
            <v>G_ALMVG</v>
          </cell>
          <cell r="D130">
            <v>41444</v>
          </cell>
          <cell r="E130" t="str">
            <v>Sabina</v>
          </cell>
          <cell r="F130" t="str">
            <v>Alimentación a vigilantes</v>
          </cell>
          <cell r="G130">
            <v>400</v>
          </cell>
          <cell r="I130">
            <v>400</v>
          </cell>
        </row>
        <row r="131">
          <cell r="B131">
            <v>17</v>
          </cell>
          <cell r="C131" t="str">
            <v>G_AGUA</v>
          </cell>
          <cell r="D131">
            <v>41449</v>
          </cell>
          <cell r="E131" t="str">
            <v>Electropura, S. de R. L. de C. V.</v>
          </cell>
          <cell r="F131" t="str">
            <v>Agua purificada</v>
          </cell>
          <cell r="G131">
            <v>60</v>
          </cell>
          <cell r="I131">
            <v>60</v>
          </cell>
        </row>
        <row r="132">
          <cell r="B132">
            <v>18</v>
          </cell>
          <cell r="C132" t="str">
            <v>G_PAPE</v>
          </cell>
          <cell r="D132">
            <v>41449</v>
          </cell>
          <cell r="E132" t="str">
            <v>No disponible</v>
          </cell>
          <cell r="F132" t="str">
            <v>Papelería</v>
          </cell>
          <cell r="G132">
            <v>20</v>
          </cell>
          <cell r="I132">
            <v>20</v>
          </cell>
        </row>
        <row r="133">
          <cell r="B133">
            <v>19</v>
          </cell>
          <cell r="C133" t="str">
            <v>G_PAPE</v>
          </cell>
          <cell r="D133">
            <v>41450</v>
          </cell>
          <cell r="E133" t="str">
            <v>Lilia Carolina Revueltas Ugalde</v>
          </cell>
          <cell r="F133" t="str">
            <v>Papelería</v>
          </cell>
          <cell r="G133">
            <v>11</v>
          </cell>
          <cell r="I133">
            <v>11</v>
          </cell>
        </row>
        <row r="134">
          <cell r="B134">
            <v>20</v>
          </cell>
          <cell r="C134" t="str">
            <v>G_MTILM</v>
          </cell>
          <cell r="D134">
            <v>41450</v>
          </cell>
          <cell r="E134" t="str">
            <v>Moisés Cedeño Rivas</v>
          </cell>
          <cell r="F134" t="str">
            <v>Cambio de luminarias</v>
          </cell>
          <cell r="G134">
            <v>1200</v>
          </cell>
          <cell r="I134">
            <v>1200</v>
          </cell>
        </row>
        <row r="135">
          <cell r="B135">
            <v>21</v>
          </cell>
          <cell r="C135" t="str">
            <v>G_ALMVG</v>
          </cell>
          <cell r="D135">
            <v>41450</v>
          </cell>
          <cell r="E135" t="str">
            <v>Sabina</v>
          </cell>
          <cell r="F135" t="str">
            <v>Alimentación a vigilantes</v>
          </cell>
          <cell r="G135">
            <v>400</v>
          </cell>
          <cell r="I135">
            <v>400</v>
          </cell>
        </row>
        <row r="136">
          <cell r="B136">
            <v>22</v>
          </cell>
          <cell r="C136" t="str">
            <v>G_MTLPZ</v>
          </cell>
          <cell r="D136">
            <v>41450</v>
          </cell>
          <cell r="E136" t="str">
            <v>Tiendas Chedraui, S. A. de C. V.</v>
          </cell>
          <cell r="F136" t="str">
            <v>Artículos de limpieza</v>
          </cell>
          <cell r="G136">
            <v>137.84</v>
          </cell>
          <cell r="H136">
            <v>22.06</v>
          </cell>
          <cell r="I136">
            <v>159.9</v>
          </cell>
        </row>
        <row r="137">
          <cell r="B137">
            <v>23</v>
          </cell>
          <cell r="C137" t="str">
            <v>G_DIF</v>
          </cell>
          <cell r="D137">
            <v>41452</v>
          </cell>
          <cell r="E137" t="str">
            <v>MD Gran Formato, S. A. de C. V.</v>
          </cell>
          <cell r="F137" t="str">
            <v>Comunicados a colonos</v>
          </cell>
          <cell r="G137">
            <v>392</v>
          </cell>
          <cell r="H137">
            <v>62.72</v>
          </cell>
          <cell r="I137">
            <v>454.72</v>
          </cell>
        </row>
        <row r="138">
          <cell r="B138">
            <v>24</v>
          </cell>
          <cell r="C138" t="str">
            <v>G_ALMVG</v>
          </cell>
          <cell r="D138">
            <v>41453</v>
          </cell>
          <cell r="E138" t="str">
            <v>Sabina</v>
          </cell>
          <cell r="F138" t="str">
            <v>Alimentación a vigilantes</v>
          </cell>
          <cell r="G138">
            <v>400</v>
          </cell>
          <cell r="I138">
            <v>400</v>
          </cell>
        </row>
        <row r="139">
          <cell r="B139">
            <v>25</v>
          </cell>
          <cell r="C139" t="str">
            <v>G_NMNVG</v>
          </cell>
          <cell r="D139">
            <v>41455</v>
          </cell>
          <cell r="E139" t="str">
            <v>Nómina de vigilantes</v>
          </cell>
          <cell r="F139" t="str">
            <v>Nómina de vigilantes</v>
          </cell>
          <cell r="G139">
            <v>23200</v>
          </cell>
          <cell r="I139">
            <v>23200</v>
          </cell>
        </row>
        <row r="140">
          <cell r="C140" t="str">
            <v>G_P_Fin</v>
          </cell>
          <cell r="D140">
            <v>41432</v>
          </cell>
          <cell r="E140" t="str">
            <v>Familia Vega Sánchez C.</v>
          </cell>
          <cell r="F140" t="str">
            <v>Remanente identificador</v>
          </cell>
          <cell r="G140">
            <v>-0.28999999999999998</v>
          </cell>
          <cell r="I140">
            <v>-0.28999999999999998</v>
          </cell>
        </row>
        <row r="141">
          <cell r="C141" t="str">
            <v>G_P_Fin</v>
          </cell>
          <cell r="D141">
            <v>41439</v>
          </cell>
          <cell r="E141" t="str">
            <v>Alberto Augusto Fuentes Herrera</v>
          </cell>
          <cell r="F141" t="str">
            <v>Remanente identificador</v>
          </cell>
          <cell r="G141">
            <v>-0.46</v>
          </cell>
          <cell r="I141">
            <v>-0.46</v>
          </cell>
        </row>
        <row r="142">
          <cell r="C142" t="str">
            <v>G_P_Fin</v>
          </cell>
          <cell r="D142">
            <v>41453</v>
          </cell>
          <cell r="E142" t="str">
            <v>Banorte</v>
          </cell>
          <cell r="F142" t="str">
            <v>Comisión e I.V.A. por cheques expedidos</v>
          </cell>
          <cell r="G142">
            <v>8</v>
          </cell>
          <cell r="H142">
            <v>1.28</v>
          </cell>
          <cell r="I142">
            <v>9.2799999999999994</v>
          </cell>
        </row>
        <row r="143">
          <cell r="B143" t="str">
            <v>N°</v>
          </cell>
          <cell r="C143" t="str">
            <v>clave</v>
          </cell>
          <cell r="D143" t="str">
            <v>fecha</v>
          </cell>
          <cell r="E143" t="str">
            <v>Beneficiario</v>
          </cell>
          <cell r="F143" t="str">
            <v>Concepto</v>
          </cell>
          <cell r="G143" t="str">
            <v>Gasto</v>
          </cell>
          <cell r="H143" t="str">
            <v>I.V.A.</v>
          </cell>
          <cell r="I143" t="str">
            <v>Total</v>
          </cell>
        </row>
        <row r="144">
          <cell r="B144">
            <v>26</v>
          </cell>
          <cell r="C144" t="str">
            <v>G_AGUA</v>
          </cell>
          <cell r="D144">
            <v>41456</v>
          </cell>
          <cell r="E144" t="str">
            <v>Electropura, S. de R. L. de C. V.</v>
          </cell>
          <cell r="F144" t="str">
            <v>Agua purificada</v>
          </cell>
          <cell r="G144">
            <v>90</v>
          </cell>
          <cell r="I144">
            <v>90</v>
          </cell>
        </row>
        <row r="145">
          <cell r="B145">
            <v>27</v>
          </cell>
          <cell r="C145" t="str">
            <v>G_MTCYP</v>
          </cell>
          <cell r="D145">
            <v>41457</v>
          </cell>
          <cell r="E145" t="str">
            <v>Aldo Grado</v>
          </cell>
          <cell r="F145" t="str">
            <v>Reparación de pluma</v>
          </cell>
          <cell r="G145">
            <v>1000</v>
          </cell>
          <cell r="I145">
            <v>1000</v>
          </cell>
        </row>
        <row r="146">
          <cell r="B146">
            <v>28</v>
          </cell>
          <cell r="C146" t="str">
            <v>G_JDN</v>
          </cell>
          <cell r="D146">
            <v>41457</v>
          </cell>
          <cell r="E146" t="str">
            <v>Roberto Miranda</v>
          </cell>
          <cell r="F146" t="str">
            <v>Mantenimiento del jardín</v>
          </cell>
          <cell r="G146">
            <v>100</v>
          </cell>
          <cell r="I146">
            <v>100</v>
          </cell>
        </row>
        <row r="147">
          <cell r="B147">
            <v>29</v>
          </cell>
          <cell r="C147" t="str">
            <v>G_PAPE</v>
          </cell>
          <cell r="D147">
            <v>41458</v>
          </cell>
          <cell r="E147" t="str">
            <v>Office Depot de México, S. A. de C. V.</v>
          </cell>
          <cell r="F147" t="str">
            <v>Sujetador, folder y copias</v>
          </cell>
          <cell r="G147">
            <v>125.69</v>
          </cell>
          <cell r="H147">
            <v>20.11</v>
          </cell>
          <cell r="I147">
            <v>145.80000000000001</v>
          </cell>
        </row>
        <row r="148">
          <cell r="B148">
            <v>30</v>
          </cell>
          <cell r="C148" t="str">
            <v>G_TLF</v>
          </cell>
          <cell r="D148">
            <v>41460</v>
          </cell>
          <cell r="E148" t="str">
            <v>Teléfonos de México, S.A.B. de C.V.</v>
          </cell>
          <cell r="G148">
            <v>692.37</v>
          </cell>
          <cell r="H148">
            <v>128.63</v>
          </cell>
          <cell r="I148">
            <v>821</v>
          </cell>
        </row>
        <row r="149">
          <cell r="B149">
            <v>31</v>
          </cell>
          <cell r="C149" t="str">
            <v>G_MTLPZ</v>
          </cell>
          <cell r="D149">
            <v>41461</v>
          </cell>
          <cell r="E149" t="str">
            <v>Comercial Mexicana</v>
          </cell>
          <cell r="F149" t="str">
            <v>Artículos de limpieza</v>
          </cell>
          <cell r="G149">
            <v>151.63999999999999</v>
          </cell>
          <cell r="H149">
            <v>24.26</v>
          </cell>
          <cell r="I149">
            <v>175.89999999999998</v>
          </cell>
        </row>
        <row r="150">
          <cell r="B150">
            <v>32</v>
          </cell>
          <cell r="C150" t="str">
            <v>G_MDC</v>
          </cell>
          <cell r="D150">
            <v>41462</v>
          </cell>
          <cell r="E150" t="str">
            <v>Antonio González García</v>
          </cell>
          <cell r="F150" t="str">
            <v>Consulta médica</v>
          </cell>
          <cell r="G150">
            <v>50</v>
          </cell>
          <cell r="I150">
            <v>50</v>
          </cell>
        </row>
        <row r="151">
          <cell r="B151">
            <v>33</v>
          </cell>
          <cell r="C151" t="str">
            <v>G_AGUA</v>
          </cell>
          <cell r="D151">
            <v>41463</v>
          </cell>
          <cell r="E151" t="str">
            <v>Electropura, S. de R. L. de C. V.</v>
          </cell>
          <cell r="F151" t="str">
            <v>Agua purificada</v>
          </cell>
          <cell r="G151">
            <v>60</v>
          </cell>
          <cell r="I151">
            <v>60</v>
          </cell>
        </row>
        <row r="152">
          <cell r="B152">
            <v>34</v>
          </cell>
          <cell r="C152" t="str">
            <v>G_PAPE</v>
          </cell>
          <cell r="D152">
            <v>41463</v>
          </cell>
          <cell r="E152" t="str">
            <v>Office Depot de México, S. A. de C. V.</v>
          </cell>
          <cell r="F152" t="str">
            <v>Boligrafos y cuadernos</v>
          </cell>
          <cell r="G152">
            <v>75.849999999999994</v>
          </cell>
          <cell r="H152">
            <v>12.15</v>
          </cell>
          <cell r="I152">
            <v>88</v>
          </cell>
        </row>
        <row r="153">
          <cell r="B153">
            <v>35</v>
          </cell>
          <cell r="C153" t="str">
            <v>G_ADQ</v>
          </cell>
          <cell r="D153">
            <v>41464</v>
          </cell>
          <cell r="E153" t="str">
            <v>Aldo Grado</v>
          </cell>
          <cell r="F153" t="str">
            <v>20 tarjetas electrónicas</v>
          </cell>
          <cell r="G153">
            <v>1100</v>
          </cell>
          <cell r="I153">
            <v>1100</v>
          </cell>
        </row>
        <row r="154">
          <cell r="B154">
            <v>36</v>
          </cell>
          <cell r="C154" t="str">
            <v>G_MDC</v>
          </cell>
          <cell r="D154">
            <v>41464</v>
          </cell>
          <cell r="E154" t="str">
            <v>Farmacia de Genéricos, S. A. de C. V.</v>
          </cell>
          <cell r="F154" t="str">
            <v>Medicamentos</v>
          </cell>
          <cell r="G154">
            <v>69.5</v>
          </cell>
          <cell r="I154">
            <v>69.5</v>
          </cell>
        </row>
        <row r="155">
          <cell r="B155">
            <v>37</v>
          </cell>
          <cell r="C155" t="str">
            <v>G_ALMVG</v>
          </cell>
          <cell r="D155">
            <v>41464</v>
          </cell>
          <cell r="E155" t="str">
            <v>Sabina</v>
          </cell>
          <cell r="F155" t="str">
            <v>Alimentación a vigilantes</v>
          </cell>
          <cell r="G155">
            <v>400</v>
          </cell>
          <cell r="I155">
            <v>400</v>
          </cell>
        </row>
        <row r="156">
          <cell r="B156">
            <v>38</v>
          </cell>
          <cell r="C156" t="str">
            <v>G_MTPTA</v>
          </cell>
          <cell r="D156">
            <v>41465</v>
          </cell>
          <cell r="E156" t="str">
            <v>Comercializadora CASPIN, S. A. de C.V.</v>
          </cell>
          <cell r="F156" t="str">
            <v>Felpas COMEX</v>
          </cell>
          <cell r="G156">
            <v>43.96</v>
          </cell>
          <cell r="H156">
            <v>7.04</v>
          </cell>
          <cell r="I156">
            <v>51</v>
          </cell>
        </row>
        <row r="157">
          <cell r="B157">
            <v>39</v>
          </cell>
          <cell r="C157" t="str">
            <v>G_MTPTA</v>
          </cell>
          <cell r="D157">
            <v>41466</v>
          </cell>
          <cell r="E157" t="str">
            <v>Compañía Sherwin Williams, S. A. de C. V.</v>
          </cell>
          <cell r="F157" t="str">
            <v>Thinner</v>
          </cell>
          <cell r="G157">
            <v>84.48</v>
          </cell>
          <cell r="H157">
            <v>13.52</v>
          </cell>
          <cell r="I157">
            <v>98</v>
          </cell>
        </row>
        <row r="158">
          <cell r="B158">
            <v>40</v>
          </cell>
          <cell r="C158" t="str">
            <v>G_MDC</v>
          </cell>
          <cell r="D158">
            <v>41466</v>
          </cell>
          <cell r="E158" t="str">
            <v>Farmacia de Genéricos, S. A. de C. V.</v>
          </cell>
          <cell r="F158" t="str">
            <v>Medicamentos</v>
          </cell>
          <cell r="G158">
            <v>62.75</v>
          </cell>
          <cell r="I158">
            <v>62.75</v>
          </cell>
        </row>
        <row r="159">
          <cell r="B159">
            <v>41</v>
          </cell>
          <cell r="C159" t="str">
            <v>G_MTPTA</v>
          </cell>
          <cell r="D159">
            <v>41467</v>
          </cell>
          <cell r="E159" t="str">
            <v>Comercializadora CASPIN, S. A. de C.V.</v>
          </cell>
          <cell r="F159" t="str">
            <v>Pintura, aguarrás, estopa y felpas</v>
          </cell>
          <cell r="G159">
            <v>264.64999999999998</v>
          </cell>
          <cell r="H159">
            <v>42.35</v>
          </cell>
          <cell r="I159">
            <v>307</v>
          </cell>
        </row>
        <row r="160">
          <cell r="B160">
            <v>42</v>
          </cell>
          <cell r="C160" t="str">
            <v>G_MDC</v>
          </cell>
          <cell r="D160">
            <v>41470</v>
          </cell>
          <cell r="E160" t="str">
            <v>Comercializadora de fármacos Similares, S. A. de C.V.</v>
          </cell>
          <cell r="F160" t="str">
            <v>Medicamentos</v>
          </cell>
          <cell r="G160">
            <v>33.75</v>
          </cell>
          <cell r="I160">
            <v>33.75</v>
          </cell>
        </row>
        <row r="161">
          <cell r="B161">
            <v>43</v>
          </cell>
          <cell r="C161" t="str">
            <v>G_JDN</v>
          </cell>
          <cell r="D161">
            <v>41470</v>
          </cell>
          <cell r="E161" t="str">
            <v>Constantino Cabrera</v>
          </cell>
          <cell r="F161" t="str">
            <v>Mantenimiento del jardín</v>
          </cell>
          <cell r="G161">
            <v>150</v>
          </cell>
          <cell r="I161">
            <v>150</v>
          </cell>
        </row>
        <row r="162">
          <cell r="B162">
            <v>44</v>
          </cell>
          <cell r="C162" t="str">
            <v>G_MDC</v>
          </cell>
          <cell r="D162">
            <v>41470</v>
          </cell>
          <cell r="E162" t="str">
            <v>David Elizalde Arrieta</v>
          </cell>
          <cell r="F162" t="str">
            <v>Consulta médica</v>
          </cell>
          <cell r="G162">
            <v>30</v>
          </cell>
          <cell r="I162">
            <v>30</v>
          </cell>
        </row>
        <row r="163">
          <cell r="B163">
            <v>45</v>
          </cell>
          <cell r="C163" t="str">
            <v>G_AGUA</v>
          </cell>
          <cell r="D163">
            <v>41470</v>
          </cell>
          <cell r="E163" t="str">
            <v>Electropura, S. de R. L. de C. V.</v>
          </cell>
          <cell r="F163" t="str">
            <v>Agua purificada</v>
          </cell>
          <cell r="G163">
            <v>90</v>
          </cell>
          <cell r="I163">
            <v>90</v>
          </cell>
        </row>
        <row r="164">
          <cell r="B164">
            <v>46</v>
          </cell>
          <cell r="C164" t="str">
            <v>G_MDC</v>
          </cell>
          <cell r="D164">
            <v>41470</v>
          </cell>
          <cell r="E164" t="str">
            <v>Farmacia de Genéricos, S. A. de C. V.</v>
          </cell>
          <cell r="F164" t="str">
            <v>Medicamentos</v>
          </cell>
          <cell r="G164">
            <v>118.55</v>
          </cell>
          <cell r="I164">
            <v>118.55</v>
          </cell>
        </row>
        <row r="165">
          <cell r="B165">
            <v>47</v>
          </cell>
          <cell r="C165" t="str">
            <v>G_NMNVG</v>
          </cell>
          <cell r="D165">
            <v>41470</v>
          </cell>
          <cell r="E165" t="str">
            <v>Nómina de vigilantes</v>
          </cell>
          <cell r="F165" t="str">
            <v>Nómina de vigilantes</v>
          </cell>
          <cell r="G165">
            <v>22950</v>
          </cell>
          <cell r="I165">
            <v>22950</v>
          </cell>
        </row>
        <row r="166">
          <cell r="B166">
            <v>48</v>
          </cell>
          <cell r="C166" t="str">
            <v>G_JDN</v>
          </cell>
          <cell r="D166">
            <v>41470</v>
          </cell>
          <cell r="E166" t="str">
            <v>Roberto Miranda</v>
          </cell>
          <cell r="F166" t="str">
            <v>Mantenimiento del jardín</v>
          </cell>
          <cell r="G166">
            <v>100</v>
          </cell>
          <cell r="I166">
            <v>100</v>
          </cell>
        </row>
        <row r="167">
          <cell r="B167">
            <v>49</v>
          </cell>
          <cell r="C167" t="str">
            <v>G_ALMVG</v>
          </cell>
          <cell r="D167">
            <v>41470</v>
          </cell>
          <cell r="E167" t="str">
            <v>Sabina</v>
          </cell>
          <cell r="F167" t="str">
            <v>Alimentación a vigilantes</v>
          </cell>
          <cell r="G167">
            <v>400</v>
          </cell>
          <cell r="I167">
            <v>400</v>
          </cell>
        </row>
        <row r="168">
          <cell r="B168">
            <v>50</v>
          </cell>
          <cell r="C168" t="str">
            <v>G_MTPTA</v>
          </cell>
          <cell r="D168">
            <v>41471</v>
          </cell>
          <cell r="E168" t="str">
            <v>Aldo Grado</v>
          </cell>
          <cell r="F168" t="str">
            <v>Cambio y configuración de tarjetas electrónicas</v>
          </cell>
          <cell r="G168">
            <v>200</v>
          </cell>
          <cell r="I168">
            <v>200</v>
          </cell>
        </row>
        <row r="169">
          <cell r="B169">
            <v>51</v>
          </cell>
          <cell r="C169" t="str">
            <v>G_MTPTA</v>
          </cell>
          <cell r="D169">
            <v>41471</v>
          </cell>
          <cell r="E169" t="str">
            <v>Aldo Grado</v>
          </cell>
          <cell r="F169" t="str">
            <v>Configuración de tarjetas electrónicas</v>
          </cell>
          <cell r="G169">
            <v>300</v>
          </cell>
          <cell r="I169">
            <v>300</v>
          </cell>
        </row>
        <row r="170">
          <cell r="B170">
            <v>52</v>
          </cell>
          <cell r="C170" t="str">
            <v>G_MDC</v>
          </cell>
          <cell r="D170">
            <v>41474</v>
          </cell>
          <cell r="E170" t="str">
            <v>Centro Médico Coyoacán</v>
          </cell>
          <cell r="F170" t="str">
            <v>RX</v>
          </cell>
          <cell r="G170">
            <v>500</v>
          </cell>
          <cell r="I170">
            <v>500</v>
          </cell>
        </row>
        <row r="171">
          <cell r="B171">
            <v>53</v>
          </cell>
          <cell r="C171" t="str">
            <v>G_JDN</v>
          </cell>
          <cell r="D171">
            <v>41474</v>
          </cell>
          <cell r="E171" t="str">
            <v>César Ramírez</v>
          </cell>
          <cell r="F171" t="str">
            <v>Mantenimiento del jardín</v>
          </cell>
          <cell r="G171">
            <v>200</v>
          </cell>
          <cell r="I171">
            <v>200</v>
          </cell>
        </row>
        <row r="172">
          <cell r="B172">
            <v>54</v>
          </cell>
          <cell r="C172" t="str">
            <v>G_MTPTA</v>
          </cell>
          <cell r="D172">
            <v>41474</v>
          </cell>
          <cell r="E172" t="str">
            <v>Comercializadora CASPIN, S. A. de C.V.</v>
          </cell>
          <cell r="F172" t="str">
            <v>Pintura, brocha, masking y rodillo</v>
          </cell>
          <cell r="G172">
            <v>256.45999999999998</v>
          </cell>
          <cell r="H172">
            <v>41.04</v>
          </cell>
          <cell r="I172">
            <v>297.5</v>
          </cell>
        </row>
        <row r="173">
          <cell r="B173">
            <v>55</v>
          </cell>
          <cell r="C173" t="str">
            <v>G_MTPTA</v>
          </cell>
          <cell r="D173">
            <v>41475</v>
          </cell>
          <cell r="E173" t="str">
            <v>Elvia Cortés</v>
          </cell>
          <cell r="F173" t="str">
            <v>Reparación de chapa</v>
          </cell>
          <cell r="G173">
            <v>250</v>
          </cell>
          <cell r="I173">
            <v>250</v>
          </cell>
        </row>
        <row r="174">
          <cell r="B174">
            <v>56</v>
          </cell>
          <cell r="C174" t="str">
            <v>G_UNF</v>
          </cell>
          <cell r="D174">
            <v>41475</v>
          </cell>
          <cell r="E174" t="str">
            <v>Iris Luna Hernández</v>
          </cell>
          <cell r="F174" t="str">
            <v>Botas</v>
          </cell>
          <cell r="G174">
            <v>758.62</v>
          </cell>
          <cell r="H174">
            <v>121.38</v>
          </cell>
          <cell r="I174">
            <v>880</v>
          </cell>
        </row>
        <row r="175">
          <cell r="B175">
            <v>57</v>
          </cell>
          <cell r="C175" t="str">
            <v>G_MTPTA</v>
          </cell>
          <cell r="D175">
            <v>41476</v>
          </cell>
          <cell r="E175" t="str">
            <v>Comercializadora CASPIN, S. A. de C.V.</v>
          </cell>
          <cell r="F175" t="str">
            <v>Pintura, aguarrás y estopa</v>
          </cell>
          <cell r="G175">
            <v>231.46</v>
          </cell>
          <cell r="H175">
            <v>37.04</v>
          </cell>
          <cell r="I175">
            <v>268.5</v>
          </cell>
        </row>
        <row r="176">
          <cell r="B176">
            <v>58</v>
          </cell>
          <cell r="C176" t="str">
            <v>G_MTPTA</v>
          </cell>
          <cell r="D176">
            <v>41477</v>
          </cell>
          <cell r="E176" t="str">
            <v>Aldo Grado</v>
          </cell>
          <cell r="F176" t="str">
            <v>Bajar información a USB y configurar tarjetas</v>
          </cell>
          <cell r="G176">
            <v>500</v>
          </cell>
          <cell r="I176">
            <v>500</v>
          </cell>
        </row>
        <row r="177">
          <cell r="B177">
            <v>59</v>
          </cell>
          <cell r="C177" t="str">
            <v>G_AGUA</v>
          </cell>
          <cell r="D177">
            <v>41477</v>
          </cell>
          <cell r="E177" t="str">
            <v>Electropura, S. de R. L. de C. V.</v>
          </cell>
          <cell r="F177" t="str">
            <v>Agua purificada</v>
          </cell>
          <cell r="G177">
            <v>90</v>
          </cell>
          <cell r="I177">
            <v>90</v>
          </cell>
        </row>
        <row r="178">
          <cell r="B178">
            <v>60</v>
          </cell>
          <cell r="C178" t="str">
            <v>G_USB</v>
          </cell>
          <cell r="D178">
            <v>41477</v>
          </cell>
          <cell r="E178" t="str">
            <v>Office Depot de México, S. A. de C. V.</v>
          </cell>
          <cell r="F178" t="str">
            <v>Memoria USB</v>
          </cell>
          <cell r="G178">
            <v>111.21</v>
          </cell>
          <cell r="H178">
            <v>17.79</v>
          </cell>
          <cell r="I178">
            <v>129</v>
          </cell>
        </row>
        <row r="179">
          <cell r="B179">
            <v>61</v>
          </cell>
          <cell r="C179" t="str">
            <v>G_USB</v>
          </cell>
          <cell r="D179">
            <v>41477</v>
          </cell>
          <cell r="E179" t="str">
            <v>Reyna Romano Ríos</v>
          </cell>
          <cell r="F179" t="str">
            <v>Memoria USB</v>
          </cell>
          <cell r="G179">
            <v>129.31</v>
          </cell>
          <cell r="H179">
            <v>20.69</v>
          </cell>
          <cell r="I179">
            <v>150</v>
          </cell>
        </row>
        <row r="180">
          <cell r="B180">
            <v>62</v>
          </cell>
          <cell r="C180" t="str">
            <v>G_MTILM</v>
          </cell>
          <cell r="D180">
            <v>41478</v>
          </cell>
          <cell r="E180" t="str">
            <v>Moisés Cedeño Rivas</v>
          </cell>
          <cell r="F180" t="str">
            <v>Cambio de luminarias</v>
          </cell>
          <cell r="G180">
            <v>200</v>
          </cell>
          <cell r="I180">
            <v>200</v>
          </cell>
        </row>
        <row r="181">
          <cell r="B181">
            <v>63</v>
          </cell>
          <cell r="C181" t="str">
            <v>G_MTCYP</v>
          </cell>
          <cell r="D181">
            <v>41479</v>
          </cell>
          <cell r="E181" t="str">
            <v>Aldo Grado</v>
          </cell>
          <cell r="F181" t="str">
            <v>Mantenimiento de cámaras de vigilancia</v>
          </cell>
          <cell r="G181">
            <v>600</v>
          </cell>
          <cell r="I181">
            <v>600</v>
          </cell>
        </row>
        <row r="182">
          <cell r="B182">
            <v>64</v>
          </cell>
          <cell r="C182" t="str">
            <v>G_INFRA</v>
          </cell>
          <cell r="D182">
            <v>41479</v>
          </cell>
          <cell r="E182" t="str">
            <v>Aldo Grado</v>
          </cell>
          <cell r="F182" t="str">
            <v>Compra de DVR</v>
          </cell>
          <cell r="G182">
            <v>1200</v>
          </cell>
          <cell r="I182">
            <v>1200</v>
          </cell>
        </row>
        <row r="183">
          <cell r="B183">
            <v>65</v>
          </cell>
          <cell r="C183" t="str">
            <v>G_MTPTA</v>
          </cell>
          <cell r="D183">
            <v>41479</v>
          </cell>
          <cell r="E183" t="str">
            <v>Comercializadora CASPIN, S. A. de C.V.</v>
          </cell>
          <cell r="F183" t="str">
            <v>Pintura</v>
          </cell>
          <cell r="G183">
            <v>56.46</v>
          </cell>
          <cell r="H183">
            <v>9.0399999999999991</v>
          </cell>
          <cell r="I183">
            <v>65.5</v>
          </cell>
        </row>
        <row r="184">
          <cell r="B184">
            <v>66</v>
          </cell>
          <cell r="C184" t="str">
            <v>G_MTPTA</v>
          </cell>
          <cell r="D184">
            <v>41479</v>
          </cell>
          <cell r="E184" t="str">
            <v>Ricardo Betanzos Zamudio</v>
          </cell>
          <cell r="F184" t="str">
            <v>Mano de obra para pintura</v>
          </cell>
          <cell r="G184">
            <v>3900</v>
          </cell>
          <cell r="I184">
            <v>3900</v>
          </cell>
        </row>
        <row r="185">
          <cell r="B185">
            <v>67</v>
          </cell>
          <cell r="C185" t="str">
            <v>G_ALMVG</v>
          </cell>
          <cell r="D185">
            <v>41479</v>
          </cell>
          <cell r="E185" t="str">
            <v>Sabina</v>
          </cell>
          <cell r="F185" t="str">
            <v>Alimentación a vigilantes</v>
          </cell>
          <cell r="G185">
            <v>400</v>
          </cell>
          <cell r="I185">
            <v>400</v>
          </cell>
        </row>
        <row r="186">
          <cell r="B186">
            <v>68</v>
          </cell>
          <cell r="C186" t="str">
            <v>G_TRSP</v>
          </cell>
          <cell r="D186">
            <v>41481</v>
          </cell>
          <cell r="E186" t="str">
            <v>Graciela Hernández Martínez</v>
          </cell>
          <cell r="F186" t="str">
            <v>Mantenimiento de bicicletas</v>
          </cell>
          <cell r="G186">
            <v>116.38</v>
          </cell>
          <cell r="H186">
            <v>18.62</v>
          </cell>
          <cell r="I186">
            <v>135</v>
          </cell>
        </row>
        <row r="187">
          <cell r="B187">
            <v>69</v>
          </cell>
          <cell r="C187" t="str">
            <v>G_PAPE</v>
          </cell>
          <cell r="D187">
            <v>41482</v>
          </cell>
          <cell r="E187" t="str">
            <v>Office Depot de México, S. A. de C. V.</v>
          </cell>
          <cell r="F187" t="str">
            <v>Cuaderno, sobres y cartuchos</v>
          </cell>
          <cell r="G187">
            <v>484.82</v>
          </cell>
          <cell r="H187">
            <v>77.58</v>
          </cell>
          <cell r="I187">
            <v>562.4</v>
          </cell>
        </row>
        <row r="188">
          <cell r="B188">
            <v>70</v>
          </cell>
          <cell r="C188" t="str">
            <v>G_AGUA</v>
          </cell>
          <cell r="D188">
            <v>41484</v>
          </cell>
          <cell r="E188" t="str">
            <v>Electropura, S. de R. L. de C. V.</v>
          </cell>
          <cell r="F188" t="str">
            <v>Agua purificada</v>
          </cell>
          <cell r="G188">
            <v>60</v>
          </cell>
          <cell r="I188">
            <v>60</v>
          </cell>
        </row>
        <row r="189">
          <cell r="B189">
            <v>71</v>
          </cell>
          <cell r="C189" t="str">
            <v>G_UNF</v>
          </cell>
          <cell r="D189">
            <v>41485</v>
          </cell>
          <cell r="E189" t="str">
            <v>Concepto Profesional Strategga Style, S. A. de C. V.</v>
          </cell>
          <cell r="F189" t="str">
            <v>Uniforme</v>
          </cell>
          <cell r="G189">
            <v>1251.5</v>
          </cell>
          <cell r="H189">
            <v>200.24</v>
          </cell>
          <cell r="I189">
            <v>1451.74</v>
          </cell>
        </row>
        <row r="190">
          <cell r="C190" t="str">
            <v>G_JDN</v>
          </cell>
          <cell r="D190">
            <v>41486</v>
          </cell>
          <cell r="E190" t="str">
            <v>Roberto Miranda</v>
          </cell>
          <cell r="F190" t="str">
            <v>Mantenimiento del jardín</v>
          </cell>
          <cell r="G190">
            <v>125</v>
          </cell>
          <cell r="I190">
            <v>125</v>
          </cell>
        </row>
        <row r="191">
          <cell r="B191">
            <v>72</v>
          </cell>
          <cell r="C191" t="str">
            <v>G_TLF</v>
          </cell>
          <cell r="D191">
            <v>41486</v>
          </cell>
          <cell r="E191" t="str">
            <v>Cadena Comercial Oxxo, S. A. de C. V.</v>
          </cell>
          <cell r="F191" t="str">
            <v>Comisión pago Telmex</v>
          </cell>
          <cell r="G191">
            <v>6.9</v>
          </cell>
          <cell r="H191">
            <v>1.1000000000000001</v>
          </cell>
          <cell r="I191">
            <v>8</v>
          </cell>
        </row>
        <row r="192">
          <cell r="B192">
            <v>73</v>
          </cell>
          <cell r="C192" t="str">
            <v>G_NMNVG</v>
          </cell>
          <cell r="D192">
            <v>41486</v>
          </cell>
          <cell r="E192" t="str">
            <v>Nómina de vigilantes</v>
          </cell>
          <cell r="F192" t="str">
            <v>Nómina de vigilantes</v>
          </cell>
          <cell r="G192">
            <v>23200</v>
          </cell>
          <cell r="I192">
            <v>23200</v>
          </cell>
        </row>
        <row r="193">
          <cell r="B193">
            <v>74</v>
          </cell>
          <cell r="C193" t="str">
            <v>G_ALMVG</v>
          </cell>
          <cell r="D193">
            <v>41486</v>
          </cell>
          <cell r="E193" t="str">
            <v>Sabina</v>
          </cell>
          <cell r="F193" t="str">
            <v>Alimentación a vigilantes</v>
          </cell>
          <cell r="G193">
            <v>400</v>
          </cell>
          <cell r="I193">
            <v>400</v>
          </cell>
        </row>
        <row r="194">
          <cell r="B194">
            <v>75</v>
          </cell>
          <cell r="C194" t="str">
            <v>G_TLF</v>
          </cell>
          <cell r="D194">
            <v>41486</v>
          </cell>
          <cell r="E194" t="str">
            <v>Teléfonos de México, S.A.B. de C.V.</v>
          </cell>
          <cell r="G194">
            <v>894.82</v>
          </cell>
          <cell r="H194">
            <v>143.18</v>
          </cell>
          <cell r="I194">
            <v>1038</v>
          </cell>
        </row>
        <row r="195">
          <cell r="C195" t="str">
            <v>G_TRSP</v>
          </cell>
          <cell r="D195">
            <v>41486</v>
          </cell>
          <cell r="E195" t="str">
            <v>Juárez Illana Xochitl Elizabeth</v>
          </cell>
          <cell r="F195" t="str">
            <v>Mantenimiento para bicicletas</v>
          </cell>
          <cell r="G195">
            <v>206.88</v>
          </cell>
          <cell r="H195">
            <v>33.119999999999997</v>
          </cell>
          <cell r="I195">
            <v>240</v>
          </cell>
        </row>
        <row r="196">
          <cell r="C196" t="str">
            <v>G_P_Fin</v>
          </cell>
          <cell r="D196">
            <v>41458</v>
          </cell>
          <cell r="E196" t="str">
            <v>Alberto Augusto Fuentes Herrera</v>
          </cell>
          <cell r="F196" t="str">
            <v>Remanente identificador</v>
          </cell>
          <cell r="G196">
            <v>-0.46</v>
          </cell>
          <cell r="I196">
            <v>-0.46</v>
          </cell>
        </row>
        <row r="197">
          <cell r="C197" t="str">
            <v>G_P_Fin</v>
          </cell>
          <cell r="D197">
            <v>41474</v>
          </cell>
          <cell r="E197" t="str">
            <v>Norma Lorena González Arevyan</v>
          </cell>
          <cell r="F197" t="str">
            <v>Remanente identificador</v>
          </cell>
          <cell r="G197">
            <v>-0.15</v>
          </cell>
          <cell r="I197">
            <v>-0.15</v>
          </cell>
        </row>
        <row r="198">
          <cell r="B198" t="str">
            <v>N°</v>
          </cell>
          <cell r="C198" t="str">
            <v>clave</v>
          </cell>
          <cell r="D198" t="str">
            <v>fecha</v>
          </cell>
          <cell r="E198" t="str">
            <v>Beneficiario</v>
          </cell>
          <cell r="F198" t="str">
            <v>Concepto</v>
          </cell>
          <cell r="G198" t="str">
            <v>Gasto</v>
          </cell>
          <cell r="H198" t="str">
            <v>I.V.A.</v>
          </cell>
          <cell r="I198" t="str">
            <v>Total</v>
          </cell>
        </row>
        <row r="199">
          <cell r="C199" t="str">
            <v>G_PAPE</v>
          </cell>
          <cell r="D199">
            <v>41487</v>
          </cell>
          <cell r="E199" t="str">
            <v>Aldan Electrónica, S. A. de C. V.</v>
          </cell>
          <cell r="F199" t="str">
            <v>Batería alcalina</v>
          </cell>
          <cell r="G199">
            <v>32.76</v>
          </cell>
          <cell r="H199">
            <v>5.24</v>
          </cell>
          <cell r="I199">
            <v>38</v>
          </cell>
        </row>
        <row r="200">
          <cell r="C200" t="str">
            <v>G_MTPTA</v>
          </cell>
          <cell r="D200">
            <v>41487</v>
          </cell>
          <cell r="E200" t="str">
            <v>Horacio Campos</v>
          </cell>
          <cell r="F200" t="str">
            <v>Reparación de chapa</v>
          </cell>
          <cell r="G200">
            <v>120</v>
          </cell>
          <cell r="I200">
            <v>120</v>
          </cell>
        </row>
        <row r="201">
          <cell r="C201" t="str">
            <v>G_AGUA</v>
          </cell>
          <cell r="D201">
            <v>41491</v>
          </cell>
          <cell r="E201" t="str">
            <v>Electropura, S. de R. L. de C. V.</v>
          </cell>
          <cell r="F201" t="str">
            <v>Agua purificada</v>
          </cell>
          <cell r="G201">
            <v>90</v>
          </cell>
          <cell r="I201">
            <v>90</v>
          </cell>
        </row>
        <row r="202">
          <cell r="C202" t="str">
            <v>G_PAPE</v>
          </cell>
          <cell r="D202">
            <v>41494</v>
          </cell>
          <cell r="E202" t="str">
            <v>Cornejo Pérez Raúl</v>
          </cell>
          <cell r="F202" t="str">
            <v>Copias y engargolados</v>
          </cell>
          <cell r="G202">
            <v>200</v>
          </cell>
          <cell r="H202">
            <v>32</v>
          </cell>
          <cell r="I202">
            <v>232</v>
          </cell>
        </row>
        <row r="203">
          <cell r="C203" t="str">
            <v>G_ALMVG</v>
          </cell>
          <cell r="D203">
            <v>41494</v>
          </cell>
          <cell r="E203" t="str">
            <v>Sabina</v>
          </cell>
          <cell r="F203" t="str">
            <v>Alimentación a vigilantes</v>
          </cell>
          <cell r="G203">
            <v>400</v>
          </cell>
          <cell r="I203">
            <v>400</v>
          </cell>
        </row>
        <row r="204">
          <cell r="C204" t="str">
            <v>G_MTCYP</v>
          </cell>
          <cell r="D204">
            <v>41496</v>
          </cell>
          <cell r="E204" t="str">
            <v>Aldo Grado</v>
          </cell>
          <cell r="F204" t="str">
            <v>Bajar video a USB</v>
          </cell>
          <cell r="G204">
            <v>200</v>
          </cell>
          <cell r="I204">
            <v>200</v>
          </cell>
        </row>
        <row r="205">
          <cell r="C205" t="str">
            <v>G_AGUA</v>
          </cell>
          <cell r="D205">
            <v>41498</v>
          </cell>
          <cell r="E205" t="str">
            <v>Electropura, S. de R. L. de C. V.</v>
          </cell>
          <cell r="F205" t="str">
            <v>Agua purificada</v>
          </cell>
          <cell r="G205">
            <v>60</v>
          </cell>
          <cell r="I205">
            <v>60</v>
          </cell>
        </row>
        <row r="206">
          <cell r="C206" t="str">
            <v>G_ADQ</v>
          </cell>
          <cell r="D206">
            <v>41498</v>
          </cell>
          <cell r="E206" t="str">
            <v>Aldo Grado</v>
          </cell>
          <cell r="F206" t="str">
            <v>Configurar 20 tarjetas y reconfigurar 10 más</v>
          </cell>
          <cell r="G206">
            <v>150</v>
          </cell>
          <cell r="I206">
            <v>150</v>
          </cell>
        </row>
        <row r="207">
          <cell r="C207" t="str">
            <v>G_MTCYP</v>
          </cell>
          <cell r="D207">
            <v>41499</v>
          </cell>
          <cell r="E207" t="str">
            <v>Aldo Grado</v>
          </cell>
          <cell r="F207" t="str">
            <v>Revisión y mantenimiento de 8 cámaras</v>
          </cell>
          <cell r="G207">
            <v>400</v>
          </cell>
          <cell r="I207">
            <v>400</v>
          </cell>
        </row>
        <row r="208">
          <cell r="C208" t="str">
            <v>G_NMNVG</v>
          </cell>
          <cell r="D208">
            <v>41501</v>
          </cell>
          <cell r="E208" t="str">
            <v>Nómina de vigilantes</v>
          </cell>
          <cell r="F208" t="str">
            <v>Nómina de vigilantes</v>
          </cell>
          <cell r="G208">
            <v>24613.34</v>
          </cell>
          <cell r="I208">
            <v>24613.34</v>
          </cell>
        </row>
        <row r="209">
          <cell r="C209" t="str">
            <v>G_MTCYP</v>
          </cell>
          <cell r="D209">
            <v>41501</v>
          </cell>
          <cell r="E209" t="str">
            <v>Aldo Grado</v>
          </cell>
          <cell r="F209" t="str">
            <v>Ajuste en cámaras y cambio de accesorios</v>
          </cell>
          <cell r="G209">
            <v>320</v>
          </cell>
          <cell r="I209">
            <v>320</v>
          </cell>
        </row>
        <row r="210">
          <cell r="C210" t="str">
            <v>G_JDN</v>
          </cell>
          <cell r="D210">
            <v>41501</v>
          </cell>
          <cell r="E210" t="str">
            <v>Javier Escobar</v>
          </cell>
          <cell r="F210" t="str">
            <v>Gratificación por poda de jardín (3 semanas)</v>
          </cell>
          <cell r="G210">
            <v>800</v>
          </cell>
          <cell r="I210">
            <v>800</v>
          </cell>
        </row>
        <row r="211">
          <cell r="C211" t="str">
            <v>G_NMNVG</v>
          </cell>
          <cell r="D211">
            <v>41502</v>
          </cell>
          <cell r="E211" t="str">
            <v>Trillo Becerra Carlos</v>
          </cell>
          <cell r="F211" t="str">
            <v>Servicio de vigilancia por emergencia</v>
          </cell>
          <cell r="G211">
            <v>150</v>
          </cell>
          <cell r="I211">
            <v>150</v>
          </cell>
        </row>
        <row r="212">
          <cell r="C212" t="str">
            <v>G_MTCYP</v>
          </cell>
          <cell r="D212">
            <v>41502</v>
          </cell>
          <cell r="E212" t="str">
            <v>Aldo Grado</v>
          </cell>
          <cell r="F212" t="str">
            <v>20 m de cable</v>
          </cell>
          <cell r="G212">
            <v>500</v>
          </cell>
          <cell r="I212">
            <v>500</v>
          </cell>
        </row>
        <row r="213">
          <cell r="C213" t="str">
            <v>G_ALMVG</v>
          </cell>
          <cell r="D213">
            <v>41502</v>
          </cell>
          <cell r="E213" t="str">
            <v>Sabina</v>
          </cell>
          <cell r="F213" t="str">
            <v>Alimentación a vigilantes</v>
          </cell>
          <cell r="G213">
            <v>400</v>
          </cell>
          <cell r="I213">
            <v>400</v>
          </cell>
        </row>
        <row r="214">
          <cell r="C214" t="str">
            <v>G_MTPTA</v>
          </cell>
          <cell r="D214">
            <v>41503</v>
          </cell>
          <cell r="E214" t="str">
            <v>Distribuidora Tamex, S. A. de C. V.</v>
          </cell>
          <cell r="F214" t="str">
            <v>Materiales para mantenimiento a rejas</v>
          </cell>
          <cell r="G214">
            <v>37.72</v>
          </cell>
          <cell r="H214">
            <v>6.03</v>
          </cell>
          <cell r="I214">
            <v>43.75</v>
          </cell>
        </row>
        <row r="215">
          <cell r="C215" t="str">
            <v>G_MTPTA</v>
          </cell>
          <cell r="D215">
            <v>41503</v>
          </cell>
          <cell r="E215" t="str">
            <v>Felipe Terreros A.</v>
          </cell>
          <cell r="F215" t="str">
            <v>Mano de obra para mantenimiento a rejas</v>
          </cell>
          <cell r="G215">
            <v>1000</v>
          </cell>
          <cell r="I215">
            <v>1000</v>
          </cell>
        </row>
        <row r="216">
          <cell r="C216" t="str">
            <v>G_MTCYP</v>
          </cell>
          <cell r="D216">
            <v>41503</v>
          </cell>
          <cell r="E216" t="str">
            <v>Aldo Grado</v>
          </cell>
          <cell r="F216" t="str">
            <v>45 m de cable, cambio de accesorios a cámaras y mano de obra</v>
          </cell>
          <cell r="G216">
            <v>2235</v>
          </cell>
          <cell r="I216">
            <v>2235</v>
          </cell>
        </row>
        <row r="217">
          <cell r="C217" t="str">
            <v>G_MTCBQ</v>
          </cell>
          <cell r="D217">
            <v>41504</v>
          </cell>
          <cell r="E217" t="str">
            <v>Comercializadora CASPIN, S. A. de C.V.</v>
          </cell>
          <cell r="F217" t="str">
            <v>Materiales para pintura de banqueta</v>
          </cell>
          <cell r="G217">
            <v>99.57</v>
          </cell>
          <cell r="H217">
            <v>15.93</v>
          </cell>
          <cell r="I217">
            <v>115.5</v>
          </cell>
        </row>
        <row r="218">
          <cell r="C218" t="str">
            <v>G_JDN</v>
          </cell>
          <cell r="D218">
            <v>41504</v>
          </cell>
          <cell r="E218" t="str">
            <v>Roberto Miranda</v>
          </cell>
          <cell r="F218" t="str">
            <v>Gratificación por limpieza del parque y Recoveco</v>
          </cell>
          <cell r="G218">
            <v>125</v>
          </cell>
          <cell r="I218">
            <v>125</v>
          </cell>
        </row>
        <row r="219">
          <cell r="C219" t="str">
            <v>G_MTCBQ</v>
          </cell>
          <cell r="D219">
            <v>41505</v>
          </cell>
          <cell r="E219" t="str">
            <v>Compañía Sherwin Williams, S. A. de C. V.</v>
          </cell>
          <cell r="F219" t="str">
            <v>Thinner</v>
          </cell>
          <cell r="G219">
            <v>84.48</v>
          </cell>
          <cell r="H219">
            <v>13.52</v>
          </cell>
          <cell r="I219">
            <v>98</v>
          </cell>
        </row>
        <row r="220">
          <cell r="C220" t="str">
            <v>G_AGUA</v>
          </cell>
          <cell r="D220">
            <v>41505</v>
          </cell>
          <cell r="E220" t="str">
            <v>Electropura, S. de R. L. de C. V.</v>
          </cell>
          <cell r="F220" t="str">
            <v>Agua purificada</v>
          </cell>
          <cell r="G220">
            <v>30</v>
          </cell>
          <cell r="I220">
            <v>30</v>
          </cell>
        </row>
        <row r="221">
          <cell r="C221" t="str">
            <v>G_ALMVG</v>
          </cell>
          <cell r="D221">
            <v>41505</v>
          </cell>
          <cell r="E221" t="str">
            <v>Sabina</v>
          </cell>
          <cell r="F221" t="str">
            <v>Alimentación a vigilantes</v>
          </cell>
          <cell r="G221">
            <v>500</v>
          </cell>
          <cell r="I221">
            <v>500</v>
          </cell>
        </row>
        <row r="222">
          <cell r="C222" t="str">
            <v>G_UNF</v>
          </cell>
          <cell r="D222">
            <v>41506</v>
          </cell>
          <cell r="E222" t="str">
            <v>Concepto Profesional Strategga Style, S. A. de C. V.</v>
          </cell>
          <cell r="F222" t="str">
            <v>Botas tipo Swat</v>
          </cell>
          <cell r="G222">
            <v>470</v>
          </cell>
          <cell r="H222">
            <v>75.2</v>
          </cell>
          <cell r="I222">
            <v>545.20000000000005</v>
          </cell>
        </row>
        <row r="223">
          <cell r="C223" t="str">
            <v>G_MTCBQ</v>
          </cell>
          <cell r="D223">
            <v>41506</v>
          </cell>
          <cell r="E223" t="str">
            <v>Ángel Razo</v>
          </cell>
          <cell r="F223" t="str">
            <v>Limpieza en Recoveco y Hueso</v>
          </cell>
          <cell r="G223">
            <v>200</v>
          </cell>
          <cell r="I223">
            <v>200</v>
          </cell>
        </row>
        <row r="224">
          <cell r="C224" t="str">
            <v>G_PAPE</v>
          </cell>
          <cell r="D224">
            <v>41507</v>
          </cell>
          <cell r="E224" t="str">
            <v>Office Depot de México, S. A. de C. V.</v>
          </cell>
          <cell r="F224" t="str">
            <v>Copias</v>
          </cell>
          <cell r="G224">
            <v>58.11</v>
          </cell>
          <cell r="H224">
            <v>9.2899999999999991</v>
          </cell>
          <cell r="I224">
            <v>67.400000000000006</v>
          </cell>
        </row>
        <row r="225">
          <cell r="C225" t="str">
            <v>G_MTLPZ</v>
          </cell>
          <cell r="D225">
            <v>41508</v>
          </cell>
          <cell r="E225" t="str">
            <v>Tiendas Chedraui, S. A. de C. V.</v>
          </cell>
          <cell r="F225" t="str">
            <v>Artículos de limpieza</v>
          </cell>
          <cell r="G225">
            <v>213.28</v>
          </cell>
          <cell r="H225">
            <v>34.119999999999997</v>
          </cell>
          <cell r="I225">
            <v>247.4</v>
          </cell>
        </row>
        <row r="226">
          <cell r="C226" t="str">
            <v>G_PAPE</v>
          </cell>
          <cell r="D226">
            <v>41509</v>
          </cell>
          <cell r="E226" t="str">
            <v>Office Depot de México, S. A. de C. V.</v>
          </cell>
          <cell r="F226" t="str">
            <v>Papel premium</v>
          </cell>
          <cell r="G226">
            <v>51.64</v>
          </cell>
          <cell r="H226">
            <v>8.26</v>
          </cell>
          <cell r="I226">
            <v>59.9</v>
          </cell>
        </row>
        <row r="227">
          <cell r="C227" t="str">
            <v>G_MTCBQ</v>
          </cell>
          <cell r="D227">
            <v>41509</v>
          </cell>
          <cell r="E227" t="str">
            <v>Ricardo Betanzos Zamudio</v>
          </cell>
          <cell r="F227" t="str">
            <v>Mano de obra por pintura de banquetas</v>
          </cell>
          <cell r="G227">
            <v>700</v>
          </cell>
          <cell r="I227">
            <v>700</v>
          </cell>
        </row>
        <row r="228">
          <cell r="C228" t="str">
            <v>G_JDN</v>
          </cell>
          <cell r="D228">
            <v>41509</v>
          </cell>
          <cell r="E228" t="str">
            <v>Constantino Cabrera</v>
          </cell>
          <cell r="F228" t="str">
            <v>Plantar cincuenta arbolitos en el parque</v>
          </cell>
          <cell r="G228">
            <v>200</v>
          </cell>
          <cell r="I228">
            <v>200</v>
          </cell>
        </row>
        <row r="229">
          <cell r="C229" t="str">
            <v>G_MTCBQ</v>
          </cell>
          <cell r="D229">
            <v>41510</v>
          </cell>
          <cell r="E229" t="str">
            <v>Comercializadora CASPIN, S. A. de C.V.</v>
          </cell>
          <cell r="F229" t="str">
            <v>Materiales para pintura de banqueta</v>
          </cell>
          <cell r="G229">
            <v>164.05</v>
          </cell>
          <cell r="H229">
            <v>26.25</v>
          </cell>
          <cell r="I229">
            <v>190.3</v>
          </cell>
        </row>
        <row r="230">
          <cell r="C230" t="str">
            <v>G_JDN</v>
          </cell>
          <cell r="D230">
            <v>41510</v>
          </cell>
          <cell r="E230" t="str">
            <v>Federico Morales</v>
          </cell>
          <cell r="F230" t="str">
            <v>Tirar ramas y hojas del parque y sacar tres sacos de cascajo en Recoveco</v>
          </cell>
          <cell r="G230">
            <v>250</v>
          </cell>
          <cell r="I230">
            <v>250</v>
          </cell>
        </row>
        <row r="231">
          <cell r="C231" t="str">
            <v>G_AGUA</v>
          </cell>
          <cell r="D231">
            <v>41512</v>
          </cell>
          <cell r="E231" t="str">
            <v>Electropura, S. de R. L. de C. V.</v>
          </cell>
          <cell r="F231" t="str">
            <v>Agua purificada</v>
          </cell>
          <cell r="G231">
            <v>90</v>
          </cell>
          <cell r="I231">
            <v>90</v>
          </cell>
        </row>
        <row r="232">
          <cell r="C232" t="str">
            <v>G_MTCBQ</v>
          </cell>
          <cell r="D232">
            <v>41512</v>
          </cell>
          <cell r="E232" t="str">
            <v>Ricardo Betanzos Zamudio</v>
          </cell>
          <cell r="F232" t="str">
            <v>Mano de obra por pintura de banquetas</v>
          </cell>
          <cell r="G232">
            <v>500</v>
          </cell>
          <cell r="I232">
            <v>500</v>
          </cell>
        </row>
        <row r="233">
          <cell r="C233" t="str">
            <v>G_MTCST</v>
          </cell>
          <cell r="D233">
            <v>41512</v>
          </cell>
          <cell r="E233" t="str">
            <v>Ricardo Betanzos Zamudio</v>
          </cell>
          <cell r="F233" t="str">
            <v>Mano de obra por mantenimiento en caseta</v>
          </cell>
          <cell r="G233">
            <v>400</v>
          </cell>
          <cell r="I233">
            <v>400</v>
          </cell>
        </row>
        <row r="234">
          <cell r="C234" t="str">
            <v>G_MTCBQ</v>
          </cell>
          <cell r="D234">
            <v>41513</v>
          </cell>
          <cell r="E234" t="str">
            <v>COMERCIALIZADORA CASPI</v>
          </cell>
          <cell r="F234" t="str">
            <v>Preparar banquetas de Recoveco para poder pintar</v>
          </cell>
          <cell r="G234">
            <v>150</v>
          </cell>
          <cell r="I234">
            <v>150</v>
          </cell>
        </row>
        <row r="235">
          <cell r="C235" t="str">
            <v>G_MTCYP</v>
          </cell>
          <cell r="D235">
            <v>41513</v>
          </cell>
          <cell r="E235" t="str">
            <v>Aldo Grado</v>
          </cell>
          <cell r="F235" t="str">
            <v>Rehabilitación de cuatro cámaras de vigilancia</v>
          </cell>
          <cell r="G235">
            <v>300</v>
          </cell>
          <cell r="I235">
            <v>300</v>
          </cell>
        </row>
        <row r="236">
          <cell r="C236" t="str">
            <v>G_MTCST</v>
          </cell>
          <cell r="D236">
            <v>41514</v>
          </cell>
          <cell r="E236" t="str">
            <v>Compañía Sherwin Williams, S. A. de C. V.</v>
          </cell>
          <cell r="F236" t="str">
            <v>Thinner y brochas</v>
          </cell>
          <cell r="G236">
            <v>102.58</v>
          </cell>
          <cell r="H236">
            <v>16.41</v>
          </cell>
          <cell r="I236">
            <v>118.99</v>
          </cell>
        </row>
        <row r="237">
          <cell r="C237" t="str">
            <v>G_MTCST</v>
          </cell>
          <cell r="D237">
            <v>41514</v>
          </cell>
          <cell r="E237" t="str">
            <v>Comercializadora CASPIN, S. A. de C.V.</v>
          </cell>
          <cell r="F237" t="str">
            <v>Materiales para reparación de caseta</v>
          </cell>
          <cell r="G237">
            <v>555</v>
          </cell>
          <cell r="H237">
            <v>88.8</v>
          </cell>
          <cell r="I237">
            <v>643.79999999999995</v>
          </cell>
        </row>
        <row r="238">
          <cell r="C238" t="str">
            <v>G_ALMVG</v>
          </cell>
          <cell r="D238">
            <v>41514</v>
          </cell>
          <cell r="E238" t="str">
            <v>Sabina</v>
          </cell>
          <cell r="F238" t="str">
            <v>Alimentación a vigilantes</v>
          </cell>
          <cell r="G238">
            <v>500</v>
          </cell>
          <cell r="I238">
            <v>500</v>
          </cell>
        </row>
        <row r="239">
          <cell r="C239" t="str">
            <v>G_MTPTA</v>
          </cell>
          <cell r="D239">
            <v>41515</v>
          </cell>
          <cell r="E239" t="str">
            <v>Ocampo Tolentino Horacio</v>
          </cell>
          <cell r="F239" t="str">
            <v>Mantenimiento y reparación de chapa en Estanzuela y Hueso</v>
          </cell>
          <cell r="G239">
            <v>450</v>
          </cell>
          <cell r="I239">
            <v>450</v>
          </cell>
        </row>
        <row r="240">
          <cell r="C240" t="str">
            <v>G_SÑ</v>
          </cell>
          <cell r="D240">
            <v>41515</v>
          </cell>
          <cell r="E240" t="str">
            <v>Home Depot México, S. de R. L. de C. V.</v>
          </cell>
          <cell r="F240" t="str">
            <v>Conos para señalización</v>
          </cell>
          <cell r="G240">
            <v>633.63</v>
          </cell>
          <cell r="H240">
            <v>101.37</v>
          </cell>
          <cell r="I240">
            <v>735</v>
          </cell>
        </row>
        <row r="241">
          <cell r="C241" t="str">
            <v>G_JDN</v>
          </cell>
          <cell r="D241">
            <v>41517</v>
          </cell>
          <cell r="E241" t="str">
            <v>Roberto Miranda</v>
          </cell>
          <cell r="F241" t="str">
            <v>Limpieza recoger basura del parque y calle Romeral</v>
          </cell>
          <cell r="G241">
            <v>125</v>
          </cell>
          <cell r="I241">
            <v>125</v>
          </cell>
        </row>
        <row r="242">
          <cell r="C242" t="str">
            <v>G_NMNVG</v>
          </cell>
          <cell r="D242">
            <v>41517</v>
          </cell>
          <cell r="E242" t="str">
            <v>Nómina de vigilantes</v>
          </cell>
          <cell r="F242" t="str">
            <v>Nómina de vigilantes</v>
          </cell>
          <cell r="G242">
            <v>26590</v>
          </cell>
          <cell r="I242">
            <v>26590</v>
          </cell>
        </row>
        <row r="243">
          <cell r="C243" t="str">
            <v>G_P_Fin</v>
          </cell>
          <cell r="D243">
            <v>41492</v>
          </cell>
          <cell r="E243" t="str">
            <v>Alberto Augusto Fuentes Herrera</v>
          </cell>
          <cell r="F243" t="str">
            <v>Remanente identificador</v>
          </cell>
          <cell r="G243">
            <v>-0.46</v>
          </cell>
          <cell r="I243">
            <v>-0.46</v>
          </cell>
        </row>
        <row r="244">
          <cell r="C244" t="str">
            <v>G_P_Fin</v>
          </cell>
          <cell r="D244">
            <v>41494</v>
          </cell>
          <cell r="E244" t="str">
            <v>Familia Vega Sánchez C.</v>
          </cell>
          <cell r="F244" t="str">
            <v>Remanente identificador</v>
          </cell>
          <cell r="G244">
            <v>-0.28999999999999998</v>
          </cell>
          <cell r="I244">
            <v>-0.28999999999999998</v>
          </cell>
        </row>
        <row r="245">
          <cell r="B245" t="str">
            <v>N°</v>
          </cell>
          <cell r="C245" t="str">
            <v>clave</v>
          </cell>
          <cell r="D245" t="str">
            <v>fecha</v>
          </cell>
          <cell r="E245" t="str">
            <v>Beneficiario</v>
          </cell>
          <cell r="F245" t="str">
            <v>Concepto</v>
          </cell>
          <cell r="G245" t="str">
            <v>Gasto</v>
          </cell>
          <cell r="H245" t="str">
            <v>I.V.A.</v>
          </cell>
          <cell r="I245" t="str">
            <v>Total</v>
          </cell>
        </row>
        <row r="246">
          <cell r="C246" t="str">
            <v>G_SÑ</v>
          </cell>
          <cell r="D246">
            <v>41519</v>
          </cell>
          <cell r="E246" t="str">
            <v>Home Depot México, S. de R. L. de C. V.</v>
          </cell>
          <cell r="F246" t="str">
            <v>Conos para señalización</v>
          </cell>
          <cell r="G246">
            <v>211.21</v>
          </cell>
          <cell r="H246">
            <v>33.79</v>
          </cell>
          <cell r="I246">
            <v>245</v>
          </cell>
        </row>
        <row r="247">
          <cell r="C247" t="str">
            <v>G_MTCBQ</v>
          </cell>
          <cell r="D247">
            <v>41519</v>
          </cell>
          <cell r="E247" t="str">
            <v>Comercializadora CASPIN, S. A. de C.V.</v>
          </cell>
          <cell r="F247" t="str">
            <v>Pintura y masking tape</v>
          </cell>
          <cell r="G247">
            <v>96.51</v>
          </cell>
          <cell r="H247">
            <v>15.44</v>
          </cell>
          <cell r="I247">
            <v>111.95</v>
          </cell>
        </row>
        <row r="248">
          <cell r="C248" t="str">
            <v>G_MTCST</v>
          </cell>
          <cell r="D248">
            <v>41519</v>
          </cell>
          <cell r="E248" t="str">
            <v>Ricardo Betanzos Zamudio</v>
          </cell>
          <cell r="F248" t="str">
            <v>Pintura de reja Recoveco y Cafetales</v>
          </cell>
          <cell r="G248">
            <v>1100</v>
          </cell>
          <cell r="I248">
            <v>1100</v>
          </cell>
        </row>
        <row r="249">
          <cell r="C249" t="str">
            <v>G_AGUA</v>
          </cell>
          <cell r="D249">
            <v>41519</v>
          </cell>
          <cell r="E249" t="str">
            <v>Electropura, S. de R. L. de C. V.</v>
          </cell>
          <cell r="F249" t="str">
            <v>Agua</v>
          </cell>
          <cell r="G249">
            <v>60</v>
          </cell>
          <cell r="I249">
            <v>60</v>
          </cell>
        </row>
        <row r="250">
          <cell r="C250" t="str">
            <v>G_MTPTA</v>
          </cell>
          <cell r="D250">
            <v>41519</v>
          </cell>
          <cell r="E250" t="str">
            <v>Horacio Campos</v>
          </cell>
          <cell r="F250" t="str">
            <v>Reparacion Chapa en Estopila</v>
          </cell>
          <cell r="G250">
            <v>450</v>
          </cell>
          <cell r="I250">
            <v>450</v>
          </cell>
        </row>
        <row r="251">
          <cell r="C251" t="str">
            <v>G_VRS</v>
          </cell>
          <cell r="D251">
            <v>41519</v>
          </cell>
          <cell r="E251" t="str">
            <v>Ferre Eléctrica Diaz</v>
          </cell>
          <cell r="F251" t="str">
            <v>Material Eléctrico</v>
          </cell>
          <cell r="G251">
            <v>29</v>
          </cell>
          <cell r="I251">
            <v>29</v>
          </cell>
        </row>
        <row r="252">
          <cell r="C252" t="str">
            <v>G_MTCYP</v>
          </cell>
          <cell r="D252">
            <v>41521</v>
          </cell>
          <cell r="E252" t="str">
            <v>Aldo Grado</v>
          </cell>
          <cell r="F252" t="str">
            <v>Reparación 2 cámaras ByN</v>
          </cell>
          <cell r="G252">
            <v>1000</v>
          </cell>
          <cell r="I252">
            <v>1000</v>
          </cell>
        </row>
        <row r="253">
          <cell r="C253" t="str">
            <v>G_JDN</v>
          </cell>
          <cell r="D253">
            <v>41521</v>
          </cell>
          <cell r="E253" t="str">
            <v>Constantino Cabrera</v>
          </cell>
          <cell r="F253" t="str">
            <v>Jardinería</v>
          </cell>
          <cell r="G253">
            <v>120</v>
          </cell>
          <cell r="I253">
            <v>120</v>
          </cell>
        </row>
        <row r="254">
          <cell r="C254" t="str">
            <v>G_UNF</v>
          </cell>
          <cell r="D254">
            <v>41522</v>
          </cell>
          <cell r="E254" t="str">
            <v>Stratega Style S.A. de C.V.</v>
          </cell>
          <cell r="F254" t="str">
            <v>2 pares de botas</v>
          </cell>
          <cell r="G254">
            <v>940</v>
          </cell>
          <cell r="I254">
            <v>940</v>
          </cell>
        </row>
        <row r="255">
          <cell r="C255" t="str">
            <v>G_PAPE</v>
          </cell>
          <cell r="D255">
            <v>41522</v>
          </cell>
          <cell r="E255" t="str">
            <v>Office Max</v>
          </cell>
          <cell r="F255" t="str">
            <v>2 cartuchos de tinta</v>
          </cell>
          <cell r="G255">
            <v>274.14</v>
          </cell>
          <cell r="H255">
            <v>43.86</v>
          </cell>
          <cell r="I255">
            <v>318</v>
          </cell>
        </row>
        <row r="256">
          <cell r="C256" t="str">
            <v>G_AGUA</v>
          </cell>
          <cell r="D256">
            <v>41526</v>
          </cell>
          <cell r="E256" t="str">
            <v>Electropura, S. de R. L. de C. V.</v>
          </cell>
          <cell r="F256" t="str">
            <v>3 garrafones de agua</v>
          </cell>
          <cell r="G256">
            <v>90</v>
          </cell>
          <cell r="I256">
            <v>90</v>
          </cell>
        </row>
        <row r="257">
          <cell r="C257" t="str">
            <v>G_TLF</v>
          </cell>
          <cell r="D257">
            <v>41527</v>
          </cell>
          <cell r="E257" t="str">
            <v>Teléfonos de México, S.A.B. de C.V.</v>
          </cell>
          <cell r="F257" t="str">
            <v>Pago por el servicio de agosto/13</v>
          </cell>
          <cell r="G257">
            <v>978.2</v>
          </cell>
          <cell r="H257">
            <v>184.8</v>
          </cell>
          <cell r="I257">
            <v>1163</v>
          </cell>
        </row>
        <row r="258">
          <cell r="C258" t="str">
            <v>G_INFRA</v>
          </cell>
          <cell r="D258">
            <v>41528</v>
          </cell>
          <cell r="E258" t="str">
            <v>Procbles de Mëxico, S.A. de C.V.</v>
          </cell>
          <cell r="F258" t="str">
            <v>Cable calibre 10 rojo 100 mts y cincta de aislar</v>
          </cell>
          <cell r="G258">
            <v>738.75</v>
          </cell>
          <cell r="H258">
            <v>118.2</v>
          </cell>
          <cell r="I258">
            <v>856.95</v>
          </cell>
        </row>
        <row r="259">
          <cell r="C259" t="str">
            <v>G_MTPTA</v>
          </cell>
          <cell r="D259">
            <v>41528</v>
          </cell>
          <cell r="E259" t="str">
            <v>Aldo Grado</v>
          </cell>
          <cell r="F259" t="str">
            <v>Reparación de  pluma de Zimpa</v>
          </cell>
          <cell r="G259">
            <v>300</v>
          </cell>
          <cell r="I259">
            <v>300</v>
          </cell>
        </row>
        <row r="260">
          <cell r="C260" t="str">
            <v>G_MTILM</v>
          </cell>
          <cell r="D260">
            <v>41530</v>
          </cell>
          <cell r="E260" t="str">
            <v>Victor Sánchez</v>
          </cell>
          <cell r="F260" t="str">
            <v>Reparación eléctrica de 10 postes de luz - Zinampa</v>
          </cell>
          <cell r="G260">
            <v>900</v>
          </cell>
          <cell r="I260">
            <v>900</v>
          </cell>
        </row>
        <row r="261">
          <cell r="C261" t="str">
            <v>G_MDC</v>
          </cell>
          <cell r="D261">
            <v>41532</v>
          </cell>
          <cell r="E261" t="str">
            <v>Farmacia de Genéricos, S. A. de C. V.</v>
          </cell>
          <cell r="F261" t="str">
            <v>Compra de medicinas</v>
          </cell>
          <cell r="G261">
            <v>121</v>
          </cell>
          <cell r="I261">
            <v>121</v>
          </cell>
        </row>
        <row r="262">
          <cell r="C262" t="str">
            <v>G_MDC</v>
          </cell>
          <cell r="D262">
            <v>41532</v>
          </cell>
          <cell r="E262" t="str">
            <v>Dr. Luis Antonio González Garía</v>
          </cell>
          <cell r="F262" t="str">
            <v>Consulta médica</v>
          </cell>
          <cell r="G262">
            <v>50</v>
          </cell>
          <cell r="I262">
            <v>50</v>
          </cell>
        </row>
        <row r="263">
          <cell r="C263" t="str">
            <v>G_NMNVG</v>
          </cell>
          <cell r="D263">
            <v>41532</v>
          </cell>
          <cell r="E263" t="str">
            <v>Nómina de servicio</v>
          </cell>
          <cell r="F263" t="str">
            <v>Pago de servicio</v>
          </cell>
          <cell r="G263">
            <v>23200</v>
          </cell>
          <cell r="I263">
            <v>23200</v>
          </cell>
        </row>
        <row r="264">
          <cell r="C264" t="str">
            <v>G_MTPTA</v>
          </cell>
          <cell r="D264">
            <v>41532</v>
          </cell>
          <cell r="E264" t="str">
            <v>Aldo Grado</v>
          </cell>
          <cell r="F264" t="str">
            <v xml:space="preserve">Bajar información a USB </v>
          </cell>
          <cell r="G264">
            <v>400</v>
          </cell>
          <cell r="I264">
            <v>400</v>
          </cell>
        </row>
        <row r="265">
          <cell r="C265" t="str">
            <v>G_PAPE</v>
          </cell>
          <cell r="D265">
            <v>41535</v>
          </cell>
          <cell r="E265" t="str">
            <v>P..kas</v>
          </cell>
          <cell r="F265" t="str">
            <v>4 plumas</v>
          </cell>
          <cell r="G265">
            <v>20</v>
          </cell>
          <cell r="I265">
            <v>20</v>
          </cell>
        </row>
        <row r="266">
          <cell r="C266" t="str">
            <v>G_PAPE</v>
          </cell>
          <cell r="D266">
            <v>41535</v>
          </cell>
          <cell r="E266" t="str">
            <v>Papelucho</v>
          </cell>
          <cell r="F266" t="str">
            <v>copias fotostaticas</v>
          </cell>
          <cell r="G266">
            <v>19</v>
          </cell>
          <cell r="I266">
            <v>19</v>
          </cell>
        </row>
        <row r="267">
          <cell r="C267" t="str">
            <v>G_MTCYP</v>
          </cell>
          <cell r="D267">
            <v>41536</v>
          </cell>
          <cell r="E267" t="str">
            <v>Home Depot México, S. de R. L. de C. V.</v>
          </cell>
          <cell r="F267" t="str">
            <v>Cable calibre 10 2 cajas</v>
          </cell>
          <cell r="G267">
            <v>1138.5999999999999</v>
          </cell>
          <cell r="H267">
            <v>217.66</v>
          </cell>
          <cell r="I267">
            <v>1356.26</v>
          </cell>
        </row>
        <row r="268">
          <cell r="C268" t="str">
            <v>G_JDN</v>
          </cell>
          <cell r="D268">
            <v>41536</v>
          </cell>
          <cell r="E268" t="str">
            <v>Roberto Miranda</v>
          </cell>
          <cell r="F268" t="str">
            <v>Recoger basura parque</v>
          </cell>
          <cell r="G268">
            <v>100</v>
          </cell>
          <cell r="I268">
            <v>100</v>
          </cell>
        </row>
        <row r="269">
          <cell r="C269" t="str">
            <v>G_NMNVG</v>
          </cell>
          <cell r="D269">
            <v>41536</v>
          </cell>
          <cell r="E269" t="str">
            <v>Luis Antonio Soriano</v>
          </cell>
          <cell r="F269" t="str">
            <v>Gratificación por renuncia</v>
          </cell>
          <cell r="G269">
            <v>5600</v>
          </cell>
          <cell r="I269">
            <v>5600</v>
          </cell>
        </row>
        <row r="270">
          <cell r="C270" t="str">
            <v>G_AGUA</v>
          </cell>
          <cell r="D270">
            <v>41537</v>
          </cell>
          <cell r="E270" t="str">
            <v>Electropura, S. de R. L. de C. V.</v>
          </cell>
          <cell r="F270" t="str">
            <v>2 garrafones de agua.</v>
          </cell>
          <cell r="G270">
            <v>60</v>
          </cell>
          <cell r="I270">
            <v>60</v>
          </cell>
        </row>
        <row r="271">
          <cell r="C271" t="str">
            <v>G_PAPE</v>
          </cell>
          <cell r="D271">
            <v>41537</v>
          </cell>
          <cell r="E271" t="str">
            <v>Copifaz</v>
          </cell>
          <cell r="F271" t="str">
            <v>3,150 copias</v>
          </cell>
          <cell r="G271">
            <v>1102.5</v>
          </cell>
          <cell r="I271">
            <v>1102.5</v>
          </cell>
        </row>
        <row r="272">
          <cell r="C272" t="str">
            <v>G_MTILM</v>
          </cell>
          <cell r="D272">
            <v>41538</v>
          </cell>
          <cell r="E272" t="str">
            <v>Victor Manuel Sánchez</v>
          </cell>
          <cell r="F272" t="str">
            <v>Servicio de profesionales de electricidad y materiales</v>
          </cell>
          <cell r="G272">
            <v>8650</v>
          </cell>
          <cell r="I272">
            <v>8650</v>
          </cell>
        </row>
        <row r="273">
          <cell r="C273" t="str">
            <v>G_MTCBQ</v>
          </cell>
          <cell r="D273">
            <v>41538</v>
          </cell>
          <cell r="E273" t="str">
            <v>Pedro Rodriguez</v>
          </cell>
          <cell r="F273" t="str">
            <v>Desazolve de la calle de Estanzuela</v>
          </cell>
          <cell r="G273">
            <v>150</v>
          </cell>
          <cell r="I273">
            <v>150</v>
          </cell>
        </row>
        <row r="274">
          <cell r="C274" t="str">
            <v>G_MTCYP</v>
          </cell>
          <cell r="D274">
            <v>41538</v>
          </cell>
          <cell r="E274" t="str">
            <v>Aldo Grado</v>
          </cell>
          <cell r="F274" t="str">
            <v>Cambio de cable para reparar la pluma Zinamba</v>
          </cell>
          <cell r="G274">
            <v>1300</v>
          </cell>
          <cell r="I274">
            <v>1300</v>
          </cell>
        </row>
        <row r="275">
          <cell r="C275" t="str">
            <v>G_DIF</v>
          </cell>
          <cell r="D275">
            <v>41541</v>
          </cell>
          <cell r="E275" t="str">
            <v>MD Gran Formato, S. A. de C. V.</v>
          </cell>
          <cell r="F275" t="str">
            <v>3 lonas con información a vecinos</v>
          </cell>
          <cell r="G275">
            <v>330.75</v>
          </cell>
          <cell r="H275">
            <v>52.92</v>
          </cell>
          <cell r="I275">
            <v>383.67</v>
          </cell>
        </row>
        <row r="276">
          <cell r="C276" t="str">
            <v>G_AGUA</v>
          </cell>
          <cell r="D276">
            <v>41540</v>
          </cell>
          <cell r="E276" t="str">
            <v>Electropura, S. de R. L. de C. V.</v>
          </cell>
          <cell r="F276" t="str">
            <v>3 garrafones de agua</v>
          </cell>
          <cell r="G276">
            <v>60</v>
          </cell>
          <cell r="I276">
            <v>60</v>
          </cell>
        </row>
        <row r="277">
          <cell r="C277" t="str">
            <v>G_ALMVG</v>
          </cell>
          <cell r="D277">
            <v>41540</v>
          </cell>
          <cell r="E277" t="str">
            <v>Señora Sabinez</v>
          </cell>
          <cell r="F277" t="str">
            <v>20 comidas para el servicio 2-6 Sep-13</v>
          </cell>
          <cell r="G277">
            <v>400</v>
          </cell>
          <cell r="I277">
            <v>400</v>
          </cell>
        </row>
        <row r="278">
          <cell r="C278" t="str">
            <v>G_ALMVG</v>
          </cell>
          <cell r="D278">
            <v>41540</v>
          </cell>
          <cell r="E278" t="str">
            <v>Señora Sabinez</v>
          </cell>
          <cell r="F278" t="str">
            <v>20 comidas para el servicio 9-13 Sep-13</v>
          </cell>
          <cell r="G278">
            <v>400</v>
          </cell>
          <cell r="I278">
            <v>400</v>
          </cell>
        </row>
        <row r="279">
          <cell r="C279" t="str">
            <v>G_ALMVG</v>
          </cell>
          <cell r="D279">
            <v>41540</v>
          </cell>
          <cell r="E279" t="str">
            <v>Señora Sabinez</v>
          </cell>
          <cell r="F279" t="str">
            <v>20 comidas para el servicio 16-20 Sep-13</v>
          </cell>
          <cell r="G279">
            <v>400</v>
          </cell>
          <cell r="I279">
            <v>400</v>
          </cell>
        </row>
        <row r="280">
          <cell r="C280" t="str">
            <v>G_MTCYP</v>
          </cell>
          <cell r="D280">
            <v>41541</v>
          </cell>
          <cell r="E280" t="str">
            <v>Aldo Grado</v>
          </cell>
          <cell r="F280" t="str">
            <v>Revision cámaras en casetas y 2 transeptores</v>
          </cell>
          <cell r="G280">
            <v>300</v>
          </cell>
          <cell r="I280">
            <v>300</v>
          </cell>
        </row>
        <row r="281">
          <cell r="C281" t="str">
            <v>G_TRSP</v>
          </cell>
          <cell r="D281">
            <v>41541</v>
          </cell>
          <cell r="E281" t="str">
            <v>Transvisión Bike</v>
          </cell>
          <cell r="F281" t="str">
            <v>Reparacion de bicicletas</v>
          </cell>
          <cell r="G281">
            <v>285.86</v>
          </cell>
          <cell r="H281">
            <v>43.74</v>
          </cell>
          <cell r="I281">
            <v>329.6</v>
          </cell>
        </row>
        <row r="282">
          <cell r="C282" t="str">
            <v>G_DIF</v>
          </cell>
          <cell r="D282">
            <v>41542</v>
          </cell>
          <cell r="E282" t="str">
            <v>MD Gran Formato, S. A. de C. V.</v>
          </cell>
          <cell r="F282" t="str">
            <v>3 lonas con información a vecinos</v>
          </cell>
          <cell r="G282">
            <v>330.75</v>
          </cell>
          <cell r="H282">
            <v>52.92</v>
          </cell>
          <cell r="I282">
            <v>383.67</v>
          </cell>
        </row>
        <row r="283">
          <cell r="C283" t="str">
            <v>G_VRS</v>
          </cell>
          <cell r="D283">
            <v>41542</v>
          </cell>
          <cell r="E283" t="str">
            <v>Ferre Eléctrica Diaz</v>
          </cell>
          <cell r="F283" t="str">
            <v>15 cinturones para fijar lona</v>
          </cell>
          <cell r="G283">
            <v>15</v>
          </cell>
          <cell r="I283">
            <v>15</v>
          </cell>
        </row>
        <row r="284">
          <cell r="C284" t="str">
            <v>G_PAPE</v>
          </cell>
          <cell r="D284">
            <v>41542</v>
          </cell>
          <cell r="E284" t="str">
            <v>Copifaz</v>
          </cell>
          <cell r="F284" t="str">
            <v xml:space="preserve">70 copias </v>
          </cell>
          <cell r="G284">
            <v>21</v>
          </cell>
          <cell r="I284">
            <v>21</v>
          </cell>
        </row>
        <row r="285">
          <cell r="C285" t="str">
            <v>G_MTPTA</v>
          </cell>
          <cell r="D285">
            <v>41542</v>
          </cell>
          <cell r="E285" t="str">
            <v>Horacio Campos</v>
          </cell>
          <cell r="F285" t="str">
            <v xml:space="preserve">Ajuste de2 chapas una atascada de material </v>
          </cell>
          <cell r="G285">
            <v>370</v>
          </cell>
          <cell r="I285">
            <v>370</v>
          </cell>
        </row>
        <row r="286">
          <cell r="C286" t="str">
            <v>G_PAPE</v>
          </cell>
          <cell r="D286">
            <v>41543</v>
          </cell>
          <cell r="E286" t="str">
            <v>Copifaz</v>
          </cell>
          <cell r="F286" t="str">
            <v>1515 copias</v>
          </cell>
          <cell r="G286">
            <v>469.5</v>
          </cell>
          <cell r="I286">
            <v>469.5</v>
          </cell>
        </row>
        <row r="287">
          <cell r="C287" t="str">
            <v>G_PAPE</v>
          </cell>
          <cell r="D287">
            <v>41544</v>
          </cell>
          <cell r="E287" t="str">
            <v>Copifaz</v>
          </cell>
          <cell r="F287" t="str">
            <v>95 copias</v>
          </cell>
          <cell r="G287">
            <v>28.5</v>
          </cell>
          <cell r="I287">
            <v>28.5</v>
          </cell>
        </row>
        <row r="288">
          <cell r="C288" t="str">
            <v>G_PAPE</v>
          </cell>
          <cell r="D288">
            <v>41544</v>
          </cell>
          <cell r="E288" t="str">
            <v>Copifaz</v>
          </cell>
          <cell r="F288" t="str">
            <v>75 copias</v>
          </cell>
          <cell r="G288">
            <v>22.5</v>
          </cell>
          <cell r="I288">
            <v>22.5</v>
          </cell>
        </row>
        <row r="289">
          <cell r="C289" t="str">
            <v>G_PAPE</v>
          </cell>
          <cell r="D289">
            <v>41546</v>
          </cell>
          <cell r="E289" t="str">
            <v>Copifaz</v>
          </cell>
          <cell r="F289" t="str">
            <v>400 copias</v>
          </cell>
          <cell r="G289">
            <v>120</v>
          </cell>
          <cell r="I289">
            <v>120</v>
          </cell>
        </row>
        <row r="290">
          <cell r="C290" t="str">
            <v>G_MTCBQ</v>
          </cell>
          <cell r="D290">
            <v>41546</v>
          </cell>
          <cell r="E290" t="str">
            <v>Pedro Rodriguez</v>
          </cell>
          <cell r="F290" t="str">
            <v>Tapar 2 hoyos en Estanzuela y Zinamba</v>
          </cell>
          <cell r="G290">
            <v>400</v>
          </cell>
          <cell r="I290">
            <v>400</v>
          </cell>
        </row>
        <row r="291">
          <cell r="C291" t="str">
            <v>G_MTCYP</v>
          </cell>
          <cell r="D291">
            <v>41543</v>
          </cell>
          <cell r="E291" t="str">
            <v>Aldo Grado</v>
          </cell>
          <cell r="F291" t="str">
            <v>Reconfigurar 9 tarjetas y revisar 5</v>
          </cell>
          <cell r="G291">
            <v>200</v>
          </cell>
          <cell r="I291">
            <v>200</v>
          </cell>
        </row>
        <row r="292">
          <cell r="C292" t="str">
            <v>G_ALMVG</v>
          </cell>
          <cell r="D292">
            <v>41547</v>
          </cell>
          <cell r="E292" t="str">
            <v>Sra Sabinez</v>
          </cell>
          <cell r="F292" t="str">
            <v>20 comidad del 23-27 Sept/13</v>
          </cell>
          <cell r="G292">
            <v>400</v>
          </cell>
          <cell r="I292">
            <v>400</v>
          </cell>
        </row>
        <row r="293">
          <cell r="C293" t="str">
            <v>G_NMNVG</v>
          </cell>
          <cell r="D293">
            <v>41547</v>
          </cell>
          <cell r="E293" t="str">
            <v>Nomina de Servicio</v>
          </cell>
          <cell r="F293" t="str">
            <v>Personal servicio</v>
          </cell>
          <cell r="G293">
            <v>23040</v>
          </cell>
          <cell r="I293">
            <v>23040</v>
          </cell>
        </row>
        <row r="294">
          <cell r="C294" t="str">
            <v>G_P_Fin</v>
          </cell>
          <cell r="D294">
            <v>41519</v>
          </cell>
          <cell r="E294" t="str">
            <v>Banorte</v>
          </cell>
          <cell r="F294" t="str">
            <v>Comisión e I.V.A. por cheques expedidos</v>
          </cell>
          <cell r="G294">
            <v>30</v>
          </cell>
          <cell r="H294">
            <v>4.8</v>
          </cell>
          <cell r="I294">
            <v>34.799999999999997</v>
          </cell>
        </row>
        <row r="295">
          <cell r="C295" t="str">
            <v>G_P_Fin</v>
          </cell>
          <cell r="D295">
            <v>41522</v>
          </cell>
          <cell r="E295" t="str">
            <v>Alberto Augusto Fuentes Herrera</v>
          </cell>
          <cell r="F295" t="str">
            <v>Remanente identificador</v>
          </cell>
          <cell r="G295">
            <v>-0.46</v>
          </cell>
          <cell r="I295">
            <v>-0.46</v>
          </cell>
        </row>
        <row r="296">
          <cell r="C296" t="str">
            <v>G_P_Fin</v>
          </cell>
          <cell r="D296">
            <v>41526</v>
          </cell>
          <cell r="E296" t="str">
            <v>Familia Vega Sánchez C.</v>
          </cell>
          <cell r="F296" t="str">
            <v>Remanente identificador</v>
          </cell>
          <cell r="G296">
            <v>-0.28999999999999998</v>
          </cell>
          <cell r="I296">
            <v>-0.28999999999999998</v>
          </cell>
        </row>
        <row r="297">
          <cell r="C297" t="str">
            <v>G_P_Fin</v>
          </cell>
          <cell r="D297">
            <v>41544</v>
          </cell>
          <cell r="E297" t="str">
            <v>Norma Lorena González Arevyan</v>
          </cell>
          <cell r="F297" t="str">
            <v>Remanente identificador</v>
          </cell>
          <cell r="G297">
            <v>-0.15</v>
          </cell>
          <cell r="I297">
            <v>-0.15</v>
          </cell>
        </row>
        <row r="298">
          <cell r="B298" t="str">
            <v>N°</v>
          </cell>
          <cell r="C298" t="str">
            <v>clave</v>
          </cell>
          <cell r="D298" t="str">
            <v>fecha</v>
          </cell>
          <cell r="E298" t="str">
            <v>Beneficiario</v>
          </cell>
          <cell r="F298" t="str">
            <v>Concepto</v>
          </cell>
          <cell r="G298" t="str">
            <v>Gasto</v>
          </cell>
          <cell r="H298" t="str">
            <v>I.V.A.</v>
          </cell>
          <cell r="I298" t="str">
            <v>Total</v>
          </cell>
        </row>
        <row r="299">
          <cell r="C299" t="str">
            <v>G_JDN</v>
          </cell>
          <cell r="D299">
            <v>41548</v>
          </cell>
          <cell r="E299" t="str">
            <v>Constantino Cabrera</v>
          </cell>
          <cell r="F299" t="str">
            <v>Poda acera Rancho Romeral y arboles</v>
          </cell>
          <cell r="G299">
            <v>150</v>
          </cell>
          <cell r="I299">
            <v>150</v>
          </cell>
        </row>
        <row r="300">
          <cell r="C300" t="str">
            <v>G_PAPE</v>
          </cell>
          <cell r="D300">
            <v>41548</v>
          </cell>
          <cell r="E300" t="str">
            <v>Copifaz</v>
          </cell>
          <cell r="F300" t="str">
            <v>900 copias</v>
          </cell>
          <cell r="G300">
            <v>315</v>
          </cell>
          <cell r="I300">
            <v>315</v>
          </cell>
        </row>
        <row r="301">
          <cell r="C301" t="str">
            <v>G_MTPTA</v>
          </cell>
          <cell r="D301">
            <v>41548</v>
          </cell>
          <cell r="E301" t="str">
            <v>Distribuidora Tamex, S. A. de C. V.</v>
          </cell>
          <cell r="F301" t="str">
            <v>Cable UTP CAT 5 e doble forro relleno polit.negro 305mts</v>
          </cell>
          <cell r="G301">
            <v>3354.99</v>
          </cell>
          <cell r="I301">
            <v>3354.99</v>
          </cell>
        </row>
        <row r="302">
          <cell r="C302" t="str">
            <v>G_AGUA</v>
          </cell>
          <cell r="D302">
            <v>41549</v>
          </cell>
          <cell r="E302" t="str">
            <v>Electropura, S. de R. L. de C. V.</v>
          </cell>
          <cell r="F302" t="str">
            <v>3 garrafones de agua</v>
          </cell>
          <cell r="G302">
            <v>90</v>
          </cell>
          <cell r="I302">
            <v>90</v>
          </cell>
        </row>
        <row r="303">
          <cell r="C303" t="str">
            <v>G_JDN</v>
          </cell>
          <cell r="D303">
            <v>41549</v>
          </cell>
          <cell r="E303" t="str">
            <v>Javier Escobar</v>
          </cell>
          <cell r="F303" t="str">
            <v>Gratificación especial poda parque 3 semanas</v>
          </cell>
          <cell r="G303">
            <v>1500</v>
          </cell>
          <cell r="I303">
            <v>1500</v>
          </cell>
        </row>
        <row r="304">
          <cell r="C304" t="str">
            <v>G_VRS</v>
          </cell>
          <cell r="D304">
            <v>41550</v>
          </cell>
          <cell r="E304" t="str">
            <v>Grupo Alcione, S.A. de C.V.</v>
          </cell>
          <cell r="F304" t="str">
            <v>Material Eléctrico</v>
          </cell>
          <cell r="G304">
            <v>962.78</v>
          </cell>
          <cell r="I304">
            <v>962.78</v>
          </cell>
        </row>
        <row r="305">
          <cell r="C305" t="str">
            <v>G_UNF</v>
          </cell>
          <cell r="D305">
            <v>41550</v>
          </cell>
          <cell r="E305" t="str">
            <v>Concepto Profesional Strategga Style, S. A. de C. V.</v>
          </cell>
          <cell r="F305" t="str">
            <v>Uniforme</v>
          </cell>
          <cell r="G305">
            <v>1982</v>
          </cell>
          <cell r="H305">
            <v>317.12</v>
          </cell>
          <cell r="I305">
            <v>2299.12</v>
          </cell>
        </row>
        <row r="306">
          <cell r="C306" t="str">
            <v>G_TRSP</v>
          </cell>
          <cell r="D306">
            <v>41551</v>
          </cell>
          <cell r="E306" t="str">
            <v>Transvisión Bike</v>
          </cell>
          <cell r="F306" t="str">
            <v>Reparación bicicletas</v>
          </cell>
          <cell r="G306">
            <v>202.52</v>
          </cell>
          <cell r="H306">
            <v>32.4</v>
          </cell>
          <cell r="I306">
            <v>234.92000000000002</v>
          </cell>
        </row>
        <row r="307">
          <cell r="C307" t="str">
            <v>G_MTCYP</v>
          </cell>
          <cell r="D307">
            <v>41552</v>
          </cell>
          <cell r="E307" t="str">
            <v>Aldo Grado</v>
          </cell>
          <cell r="F307" t="str">
            <v>Mantienimieto DVR´s</v>
          </cell>
          <cell r="G307">
            <v>500</v>
          </cell>
          <cell r="I307">
            <v>500</v>
          </cell>
        </row>
        <row r="308">
          <cell r="C308" t="str">
            <v>G_MTCYP</v>
          </cell>
          <cell r="D308">
            <v>41552</v>
          </cell>
          <cell r="E308" t="str">
            <v>Nota de remisión</v>
          </cell>
          <cell r="F308" t="str">
            <v xml:space="preserve">12 tornillos allen </v>
          </cell>
          <cell r="G308">
            <v>114</v>
          </cell>
          <cell r="I308">
            <v>114</v>
          </cell>
        </row>
        <row r="309">
          <cell r="C309" t="str">
            <v>G_ADQ</v>
          </cell>
          <cell r="D309">
            <v>41552</v>
          </cell>
          <cell r="E309" t="str">
            <v>Cerrajería Gran Sur</v>
          </cell>
          <cell r="F309" t="str">
            <v>40 llaves de seguridad</v>
          </cell>
          <cell r="G309">
            <v>5200</v>
          </cell>
          <cell r="I309">
            <v>5200</v>
          </cell>
        </row>
        <row r="310">
          <cell r="C310" t="str">
            <v>G_USB</v>
          </cell>
          <cell r="D310">
            <v>41552</v>
          </cell>
          <cell r="E310" t="str">
            <v>Pekc Tec.</v>
          </cell>
          <cell r="F310" t="str">
            <v>Disco duro 1-tera</v>
          </cell>
          <cell r="G310">
            <v>1400</v>
          </cell>
          <cell r="I310">
            <v>1400</v>
          </cell>
        </row>
        <row r="311">
          <cell r="C311" t="str">
            <v>G_JDN</v>
          </cell>
          <cell r="D311">
            <v>41553</v>
          </cell>
          <cell r="E311" t="str">
            <v>Roberto Miranda</v>
          </cell>
          <cell r="F311" t="str">
            <v>Limpieza parque 2a. Quincena de Septiembre</v>
          </cell>
          <cell r="G311">
            <v>100</v>
          </cell>
          <cell r="I311">
            <v>100</v>
          </cell>
        </row>
        <row r="312">
          <cell r="C312" t="str">
            <v>G_AGUA</v>
          </cell>
          <cell r="D312">
            <v>41554</v>
          </cell>
          <cell r="E312" t="str">
            <v>Electropura, S. de R. L. de C. V.</v>
          </cell>
          <cell r="F312" t="str">
            <v>3 garrafones de agua</v>
          </cell>
          <cell r="G312">
            <v>90</v>
          </cell>
          <cell r="I312">
            <v>90</v>
          </cell>
        </row>
        <row r="313">
          <cell r="C313" t="str">
            <v>G_ALMVG</v>
          </cell>
          <cell r="D313">
            <v>41554</v>
          </cell>
          <cell r="E313" t="str">
            <v>Sra Sabinez</v>
          </cell>
          <cell r="F313" t="str">
            <v>20 comidas semnana Sep30/13</v>
          </cell>
          <cell r="G313">
            <v>400</v>
          </cell>
          <cell r="I313">
            <v>400</v>
          </cell>
        </row>
        <row r="314">
          <cell r="C314" t="str">
            <v>G_MTCYP</v>
          </cell>
          <cell r="D314">
            <v>41555</v>
          </cell>
          <cell r="E314" t="str">
            <v>Aldo Grado</v>
          </cell>
          <cell r="F314" t="str">
            <v>Reparacion de plumas, cambios tornillos</v>
          </cell>
          <cell r="G314">
            <v>300</v>
          </cell>
          <cell r="I314">
            <v>300</v>
          </cell>
        </row>
        <row r="315">
          <cell r="C315" t="str">
            <v>G_MTCYP</v>
          </cell>
          <cell r="D315">
            <v>41556</v>
          </cell>
          <cell r="E315" t="str">
            <v>Jesús Ramos San Juan</v>
          </cell>
          <cell r="F315" t="str">
            <v>Mantenimiento 13 cámaras y respaldo USB</v>
          </cell>
          <cell r="G315">
            <v>1974</v>
          </cell>
          <cell r="H315">
            <v>315.83999999999997</v>
          </cell>
          <cell r="I315">
            <v>2289.84</v>
          </cell>
        </row>
        <row r="316">
          <cell r="C316" t="str">
            <v>G_PAPE</v>
          </cell>
          <cell r="D316">
            <v>41557</v>
          </cell>
          <cell r="E316" t="str">
            <v>P´kes</v>
          </cell>
          <cell r="F316" t="str">
            <v>5 plumas</v>
          </cell>
          <cell r="G316">
            <v>20</v>
          </cell>
          <cell r="I316">
            <v>20</v>
          </cell>
        </row>
        <row r="317">
          <cell r="C317" t="str">
            <v>G_MTCYP</v>
          </cell>
          <cell r="D317">
            <v>41559</v>
          </cell>
          <cell r="E317" t="str">
            <v>Aldo Grado</v>
          </cell>
          <cell r="F317" t="str">
            <v>Reparación eléctrica de pluma</v>
          </cell>
          <cell r="G317">
            <v>300</v>
          </cell>
          <cell r="I317">
            <v>300</v>
          </cell>
        </row>
        <row r="318">
          <cell r="C318" t="str">
            <v>G_MTPTA</v>
          </cell>
          <cell r="D318">
            <v>41559</v>
          </cell>
          <cell r="E318" t="str">
            <v>Contruglass Aluminio</v>
          </cell>
          <cell r="F318" t="str">
            <v>Cambio de perfil de aluminio de 3 pulgadas</v>
          </cell>
          <cell r="G318">
            <v>900</v>
          </cell>
          <cell r="I318">
            <v>900</v>
          </cell>
        </row>
        <row r="319">
          <cell r="C319" t="str">
            <v>G_MTILM</v>
          </cell>
          <cell r="D319">
            <v>41560</v>
          </cell>
          <cell r="E319" t="str">
            <v>Victor Manuel Sánchez</v>
          </cell>
          <cell r="F319" t="str">
            <v xml:space="preserve">Colocación tierra física en ambas casetas </v>
          </cell>
          <cell r="G319">
            <v>1663</v>
          </cell>
          <cell r="I319">
            <v>1663</v>
          </cell>
        </row>
        <row r="320">
          <cell r="C320" t="str">
            <v>G_ALMVG</v>
          </cell>
          <cell r="D320">
            <v>41561</v>
          </cell>
          <cell r="E320" t="str">
            <v>Sra Sabinez</v>
          </cell>
          <cell r="F320" t="str">
            <v>20 comidas semana Oct 7/13</v>
          </cell>
          <cell r="G320">
            <v>400</v>
          </cell>
          <cell r="I320">
            <v>400</v>
          </cell>
        </row>
        <row r="321">
          <cell r="C321" t="str">
            <v>G_TLF</v>
          </cell>
          <cell r="D321">
            <v>41561</v>
          </cell>
          <cell r="E321" t="str">
            <v>Teléfonos de México, S.A.B. de C.V.</v>
          </cell>
          <cell r="F321" t="str">
            <v>Pago de mensualidad de telefonos</v>
          </cell>
          <cell r="G321">
            <v>786</v>
          </cell>
          <cell r="I321">
            <v>786</v>
          </cell>
        </row>
        <row r="322">
          <cell r="C322" t="str">
            <v>G_NMNVG</v>
          </cell>
          <cell r="D322">
            <v>41562</v>
          </cell>
          <cell r="E322" t="str">
            <v>Nomina de Servicio</v>
          </cell>
          <cell r="F322" t="str">
            <v>1a quincena de octurbre/13</v>
          </cell>
          <cell r="G322">
            <v>25096.67</v>
          </cell>
          <cell r="I322">
            <v>25096.67</v>
          </cell>
        </row>
        <row r="323">
          <cell r="C323" t="str">
            <v>G_JDN</v>
          </cell>
          <cell r="D323">
            <v>41563</v>
          </cell>
          <cell r="E323" t="str">
            <v>Roberto Miranda</v>
          </cell>
          <cell r="F323" t="str">
            <v>Limpieza parque 1a. Quincena de Octubre</v>
          </cell>
          <cell r="G323">
            <v>100</v>
          </cell>
          <cell r="I323">
            <v>100</v>
          </cell>
        </row>
        <row r="324">
          <cell r="C324" t="str">
            <v>G_AGUA</v>
          </cell>
          <cell r="D324">
            <v>41563</v>
          </cell>
          <cell r="E324" t="str">
            <v>Electropura, S. de R. L. de C. V.</v>
          </cell>
          <cell r="F324" t="str">
            <v>3 garrafones de agua</v>
          </cell>
          <cell r="G324">
            <v>90</v>
          </cell>
          <cell r="I324">
            <v>90</v>
          </cell>
        </row>
        <row r="325">
          <cell r="C325" t="str">
            <v>G_AGUA</v>
          </cell>
          <cell r="D325">
            <v>41570</v>
          </cell>
          <cell r="E325" t="str">
            <v>Electropura, S. de R. L. de C. V.</v>
          </cell>
          <cell r="F325" t="str">
            <v>2 garrafones de agua.</v>
          </cell>
          <cell r="G325">
            <v>60</v>
          </cell>
          <cell r="I325">
            <v>60</v>
          </cell>
        </row>
        <row r="326">
          <cell r="C326" t="str">
            <v>G_PAPE</v>
          </cell>
          <cell r="D326">
            <v>41571</v>
          </cell>
          <cell r="E326" t="str">
            <v>Copifaz</v>
          </cell>
          <cell r="F326" t="str">
            <v>400 copias y engargolado</v>
          </cell>
          <cell r="G326">
            <v>193.97</v>
          </cell>
          <cell r="H326">
            <v>31.03</v>
          </cell>
          <cell r="I326">
            <v>225</v>
          </cell>
        </row>
        <row r="327">
          <cell r="C327" t="str">
            <v>G_HCTB</v>
          </cell>
          <cell r="D327">
            <v>41572</v>
          </cell>
          <cell r="E327" t="str">
            <v>Siegrist Contadores Públicos</v>
          </cell>
          <cell r="F327" t="str">
            <v>Honorarios profesionales mayo y junio/13</v>
          </cell>
          <cell r="G327">
            <v>2000</v>
          </cell>
          <cell r="I327">
            <v>2000</v>
          </cell>
        </row>
        <row r="328">
          <cell r="C328" t="str">
            <v>G_MTILM</v>
          </cell>
          <cell r="D328">
            <v>41573</v>
          </cell>
          <cell r="E328" t="str">
            <v>Victor Manuel Sánchez</v>
          </cell>
          <cell r="F328" t="str">
            <v>Reparaciones reflectores 5. cambio de lampara y balastras</v>
          </cell>
          <cell r="G328">
            <v>6200</v>
          </cell>
          <cell r="I328">
            <v>6200</v>
          </cell>
        </row>
        <row r="329">
          <cell r="C329" t="str">
            <v>G_PAPE</v>
          </cell>
          <cell r="D329">
            <v>41573</v>
          </cell>
          <cell r="E329" t="str">
            <v>Office Depot de México, S. A. de C. V.</v>
          </cell>
          <cell r="F329" t="str">
            <v>Enmicado 2 y copias 2</v>
          </cell>
          <cell r="G329">
            <v>15.87</v>
          </cell>
          <cell r="H329">
            <v>2.5299999999999998</v>
          </cell>
          <cell r="I329">
            <v>18.399999999999999</v>
          </cell>
        </row>
        <row r="330">
          <cell r="C330" t="str">
            <v>G_VRS</v>
          </cell>
          <cell r="D330">
            <v>41573</v>
          </cell>
          <cell r="E330" t="str">
            <v>Ferre Eléctrica Diaz</v>
          </cell>
          <cell r="F330" t="str">
            <v xml:space="preserve">contacto eléctrico </v>
          </cell>
          <cell r="G330">
            <v>20</v>
          </cell>
          <cell r="I330">
            <v>20</v>
          </cell>
        </row>
        <row r="331">
          <cell r="C331" t="str">
            <v>G_AGUA</v>
          </cell>
          <cell r="D331">
            <v>41575</v>
          </cell>
          <cell r="E331" t="str">
            <v>Electropura, S. de R. L. de C. V.</v>
          </cell>
          <cell r="F331" t="str">
            <v>2 garrafones de agua.</v>
          </cell>
          <cell r="G331">
            <v>60</v>
          </cell>
          <cell r="I331">
            <v>60</v>
          </cell>
        </row>
        <row r="332">
          <cell r="C332" t="str">
            <v>G_ALMVG</v>
          </cell>
          <cell r="D332">
            <v>41575</v>
          </cell>
          <cell r="E332" t="str">
            <v>Sra Sabinez</v>
          </cell>
          <cell r="F332" t="str">
            <v>20 comidas semana Oct 21/13</v>
          </cell>
          <cell r="G332">
            <v>400</v>
          </cell>
          <cell r="I332">
            <v>400</v>
          </cell>
        </row>
        <row r="333">
          <cell r="C333" t="str">
            <v>G_ALMVG</v>
          </cell>
          <cell r="D333">
            <v>41575</v>
          </cell>
          <cell r="E333" t="str">
            <v>Sra Sabinez</v>
          </cell>
          <cell r="F333" t="str">
            <v>20 comidas semana Oct 14/13</v>
          </cell>
          <cell r="G333">
            <v>400</v>
          </cell>
          <cell r="I333">
            <v>400</v>
          </cell>
        </row>
        <row r="334">
          <cell r="C334" t="str">
            <v>G_PAPE</v>
          </cell>
          <cell r="D334">
            <v>41576</v>
          </cell>
          <cell r="E334" t="str">
            <v>Estrella Reyes Olivares</v>
          </cell>
          <cell r="F334" t="str">
            <v>350 recibos para cuotas vecionos</v>
          </cell>
          <cell r="G334">
            <v>550</v>
          </cell>
          <cell r="H334">
            <v>88</v>
          </cell>
          <cell r="I334">
            <v>638</v>
          </cell>
        </row>
        <row r="335">
          <cell r="C335" t="str">
            <v>G_MDC</v>
          </cell>
          <cell r="D335">
            <v>41578</v>
          </cell>
          <cell r="E335" t="str">
            <v>Farmacia Angeles</v>
          </cell>
          <cell r="F335" t="str">
            <v>consulta y medicinas</v>
          </cell>
          <cell r="G335">
            <v>123</v>
          </cell>
          <cell r="I335">
            <v>123</v>
          </cell>
        </row>
        <row r="336">
          <cell r="C336" t="str">
            <v>G_MDC</v>
          </cell>
          <cell r="D336">
            <v>41578</v>
          </cell>
          <cell r="E336" t="str">
            <v>FarmaGenéricos Independencia</v>
          </cell>
          <cell r="F336" t="str">
            <v>Medicamentos</v>
          </cell>
          <cell r="G336">
            <v>138</v>
          </cell>
          <cell r="I336">
            <v>138</v>
          </cell>
        </row>
        <row r="337">
          <cell r="C337" t="str">
            <v>G_MDC</v>
          </cell>
          <cell r="D337">
            <v>41578</v>
          </cell>
          <cell r="E337" t="str">
            <v>FarmaGenéricos Independencia</v>
          </cell>
          <cell r="F337" t="str">
            <v>Medicamentos</v>
          </cell>
          <cell r="G337">
            <v>25</v>
          </cell>
          <cell r="I337">
            <v>25</v>
          </cell>
        </row>
        <row r="338">
          <cell r="C338" t="str">
            <v>G_NMNVG</v>
          </cell>
          <cell r="D338">
            <v>41578</v>
          </cell>
          <cell r="E338" t="str">
            <v>Nomina de Servicio</v>
          </cell>
          <cell r="F338" t="str">
            <v>2a Quincena Octubre/13</v>
          </cell>
          <cell r="G338">
            <v>25096.67</v>
          </cell>
          <cell r="I338">
            <v>25096.67</v>
          </cell>
        </row>
        <row r="339">
          <cell r="C339" t="str">
            <v>G_P_Fin</v>
          </cell>
          <cell r="D339">
            <v>41551</v>
          </cell>
          <cell r="E339" t="str">
            <v>Familia Vega Sánchez C.</v>
          </cell>
          <cell r="F339" t="str">
            <v>Remanente identificador</v>
          </cell>
          <cell r="G339">
            <v>-0.28999999999999998</v>
          </cell>
          <cell r="I339">
            <v>-0.28999999999999998</v>
          </cell>
        </row>
        <row r="340">
          <cell r="C340" t="str">
            <v>G_P_Fin</v>
          </cell>
          <cell r="D340">
            <v>41569</v>
          </cell>
          <cell r="E340" t="str">
            <v>Alberto Augusto Fuentes Herrera</v>
          </cell>
          <cell r="F340" t="str">
            <v>Remanente identificador</v>
          </cell>
          <cell r="G340">
            <v>-0.46</v>
          </cell>
          <cell r="I340">
            <v>-0.46</v>
          </cell>
        </row>
        <row r="341">
          <cell r="B341" t="str">
            <v>N°</v>
          </cell>
          <cell r="C341" t="str">
            <v>clave</v>
          </cell>
          <cell r="D341" t="str">
            <v>fecha</v>
          </cell>
          <cell r="E341" t="str">
            <v>Beneficiario</v>
          </cell>
          <cell r="F341" t="str">
            <v>Concepto</v>
          </cell>
          <cell r="G341" t="str">
            <v>Gasto</v>
          </cell>
          <cell r="H341" t="str">
            <v>I.V.A.</v>
          </cell>
          <cell r="I341" t="str">
            <v>Total</v>
          </cell>
        </row>
        <row r="342">
          <cell r="C342" t="str">
            <v>G_JDN</v>
          </cell>
          <cell r="D342">
            <v>41582</v>
          </cell>
          <cell r="E342" t="str">
            <v>Roberto Miranda</v>
          </cell>
          <cell r="F342" t="str">
            <v>Limpieza parque 2a. quincena de Octubre/13</v>
          </cell>
          <cell r="G342">
            <v>125</v>
          </cell>
          <cell r="I342">
            <v>125</v>
          </cell>
        </row>
        <row r="343">
          <cell r="C343" t="str">
            <v>G_MTCYP</v>
          </cell>
          <cell r="D343">
            <v>41583</v>
          </cell>
          <cell r="E343" t="str">
            <v>Jesús Ramos San Juan</v>
          </cell>
          <cell r="F343" t="str">
            <v>Compra monitor 14", organizadores, transceptores y Fpoder</v>
          </cell>
          <cell r="G343">
            <v>2579.5</v>
          </cell>
          <cell r="H343">
            <v>412.72</v>
          </cell>
          <cell r="I343">
            <v>2992.2200000000003</v>
          </cell>
        </row>
        <row r="344">
          <cell r="C344" t="str">
            <v>G_PAPE</v>
          </cell>
          <cell r="D344">
            <v>41583</v>
          </cell>
          <cell r="E344" t="str">
            <v>P..kas</v>
          </cell>
          <cell r="F344" t="str">
            <v>Compra libreta y boligrafo</v>
          </cell>
          <cell r="G344">
            <v>47</v>
          </cell>
          <cell r="I344">
            <v>47</v>
          </cell>
        </row>
        <row r="345">
          <cell r="C345" t="str">
            <v>G_AGUA</v>
          </cell>
          <cell r="D345">
            <v>41584</v>
          </cell>
          <cell r="E345" t="str">
            <v>Electropura, S. de R. L. de C. V.</v>
          </cell>
          <cell r="F345" t="str">
            <v>3 garrafones de agua</v>
          </cell>
          <cell r="G345">
            <v>90</v>
          </cell>
          <cell r="I345">
            <v>90</v>
          </cell>
        </row>
        <row r="346">
          <cell r="C346" t="str">
            <v>G_ALMVG</v>
          </cell>
          <cell r="D346">
            <v>41586</v>
          </cell>
          <cell r="E346" t="str">
            <v>Sra Sabinez</v>
          </cell>
          <cell r="F346" t="str">
            <v>20 comidas semana 28 Oct-1o Nov/13</v>
          </cell>
          <cell r="G346">
            <v>400</v>
          </cell>
          <cell r="I346">
            <v>400</v>
          </cell>
        </row>
        <row r="347">
          <cell r="C347" t="str">
            <v>G_ALMVG</v>
          </cell>
          <cell r="D347">
            <v>41586</v>
          </cell>
          <cell r="E347" t="str">
            <v>Sra Sabinez</v>
          </cell>
          <cell r="F347" t="str">
            <v>20 comidas semana Nov 4-8/13</v>
          </cell>
          <cell r="G347">
            <v>400</v>
          </cell>
          <cell r="I347">
            <v>400</v>
          </cell>
        </row>
        <row r="348">
          <cell r="C348" t="str">
            <v>G_TLF</v>
          </cell>
          <cell r="D348">
            <v>41584</v>
          </cell>
          <cell r="E348" t="str">
            <v>Teléfonos de México, S.A.B. de C.V.</v>
          </cell>
          <cell r="F348" t="str">
            <v>Pago de mensualidad de telefonos</v>
          </cell>
          <cell r="G348">
            <v>677.63</v>
          </cell>
          <cell r="H348">
            <v>108.42</v>
          </cell>
          <cell r="I348">
            <v>786.05</v>
          </cell>
        </row>
        <row r="349">
          <cell r="C349" t="str">
            <v>G_AGUA</v>
          </cell>
          <cell r="D349">
            <v>41589</v>
          </cell>
          <cell r="E349" t="str">
            <v>Electropura, S. de R. L. de C. V.</v>
          </cell>
          <cell r="F349" t="str">
            <v>2 garrafones de agua.</v>
          </cell>
          <cell r="G349">
            <v>60</v>
          </cell>
          <cell r="I349">
            <v>60</v>
          </cell>
        </row>
        <row r="350">
          <cell r="C350" t="str">
            <v>G_PAPE</v>
          </cell>
          <cell r="D350">
            <v>41589</v>
          </cell>
          <cell r="E350" t="str">
            <v>Office Depot de México, S. A. de C. V.</v>
          </cell>
          <cell r="F350" t="str">
            <v>1 carttucho de tinta y hojas de papel bond</v>
          </cell>
          <cell r="G350">
            <v>243.88</v>
          </cell>
          <cell r="H350">
            <v>39.03</v>
          </cell>
          <cell r="I350">
            <v>282.90999999999997</v>
          </cell>
        </row>
        <row r="351">
          <cell r="C351" t="str">
            <v>G_VRS</v>
          </cell>
          <cell r="D351">
            <v>41592</v>
          </cell>
          <cell r="E351" t="str">
            <v>The Home Depot</v>
          </cell>
          <cell r="F351" t="str">
            <v xml:space="preserve">Compra de horno de microondas </v>
          </cell>
          <cell r="G351">
            <v>757.76</v>
          </cell>
          <cell r="H351">
            <v>121.24</v>
          </cell>
          <cell r="I351">
            <v>879</v>
          </cell>
        </row>
        <row r="352">
          <cell r="C352" t="str">
            <v>G_ALMVG</v>
          </cell>
          <cell r="D352">
            <v>41593</v>
          </cell>
          <cell r="E352" t="str">
            <v>Sra Sabinez</v>
          </cell>
          <cell r="F352" t="str">
            <v>20 comidas semana Nov 11-15/13</v>
          </cell>
          <cell r="G352">
            <v>400</v>
          </cell>
          <cell r="I352">
            <v>400</v>
          </cell>
        </row>
        <row r="353">
          <cell r="C353" t="str">
            <v>G_NMNVG</v>
          </cell>
          <cell r="D353">
            <v>41593</v>
          </cell>
          <cell r="E353" t="str">
            <v>Nomina de Servicio</v>
          </cell>
          <cell r="F353" t="str">
            <v>1a quincena de Noviembre/13</v>
          </cell>
          <cell r="G353">
            <v>27100</v>
          </cell>
          <cell r="I353">
            <v>27100</v>
          </cell>
        </row>
        <row r="354">
          <cell r="C354" t="str">
            <v>G_MTILM</v>
          </cell>
          <cell r="D354">
            <v>41593</v>
          </cell>
          <cell r="E354" t="str">
            <v>Victor Manuel Sánchez</v>
          </cell>
          <cell r="F354" t="str">
            <v>Compra e instalación tierra física caseta Est-Cuch e inst. elec</v>
          </cell>
          <cell r="G354">
            <v>2300</v>
          </cell>
          <cell r="I354">
            <v>2300</v>
          </cell>
        </row>
        <row r="355">
          <cell r="C355" t="str">
            <v>G_MTCYP</v>
          </cell>
          <cell r="D355">
            <v>41594</v>
          </cell>
          <cell r="E355" t="str">
            <v>Aldo Grado</v>
          </cell>
          <cell r="F355" t="str">
            <v>Reconfigurar 10 tarjetas electrónicas</v>
          </cell>
          <cell r="G355">
            <v>150</v>
          </cell>
          <cell r="I355">
            <v>150</v>
          </cell>
        </row>
        <row r="356">
          <cell r="C356" t="str">
            <v>G_AGUA</v>
          </cell>
          <cell r="D356">
            <v>41596</v>
          </cell>
          <cell r="E356" t="str">
            <v>Electropura, S. de R. L. de C. V.</v>
          </cell>
          <cell r="F356" t="str">
            <v>3 garrafones de agua</v>
          </cell>
          <cell r="G356">
            <v>90</v>
          </cell>
          <cell r="I356">
            <v>90</v>
          </cell>
        </row>
        <row r="357">
          <cell r="C357" t="str">
            <v>G_PAPE</v>
          </cell>
          <cell r="D357">
            <v>41597</v>
          </cell>
          <cell r="E357" t="str">
            <v>Office Depot de México, S. A. de C. V.</v>
          </cell>
          <cell r="F357" t="str">
            <v>Sujetador, clips,comprobante gastos, sobres pago</v>
          </cell>
          <cell r="G357">
            <v>86.72</v>
          </cell>
          <cell r="H357">
            <v>13.88</v>
          </cell>
          <cell r="I357">
            <v>100.6</v>
          </cell>
        </row>
        <row r="358">
          <cell r="C358" t="str">
            <v>G_PAPE</v>
          </cell>
          <cell r="D358">
            <v>41597</v>
          </cell>
          <cell r="F358" t="str">
            <v>kingston memoria USB 8 GB</v>
          </cell>
          <cell r="G358">
            <v>111.21</v>
          </cell>
          <cell r="H358">
            <v>17.79</v>
          </cell>
          <cell r="I358">
            <v>129</v>
          </cell>
        </row>
        <row r="359">
          <cell r="C359" t="str">
            <v>G_JDN</v>
          </cell>
          <cell r="D359">
            <v>41599</v>
          </cell>
          <cell r="E359" t="str">
            <v>Javier Escobar</v>
          </cell>
          <cell r="F359" t="str">
            <v>Gratificación especial poda parque 3 semanas</v>
          </cell>
          <cell r="G359">
            <v>1300</v>
          </cell>
          <cell r="I359">
            <v>1300</v>
          </cell>
        </row>
        <row r="360">
          <cell r="C360" t="str">
            <v>G_ALMVG</v>
          </cell>
          <cell r="D360">
            <v>41600</v>
          </cell>
          <cell r="E360" t="str">
            <v>Sra Sabinez</v>
          </cell>
          <cell r="F360" t="str">
            <v>20 comidas del 18-22 Nov/13</v>
          </cell>
          <cell r="G360">
            <v>400</v>
          </cell>
          <cell r="I360">
            <v>400</v>
          </cell>
        </row>
        <row r="361">
          <cell r="C361" t="str">
            <v>G_JDN</v>
          </cell>
          <cell r="D361">
            <v>41601</v>
          </cell>
          <cell r="E361" t="str">
            <v>Roberto Miranda</v>
          </cell>
          <cell r="F361" t="str">
            <v>Mantenimiento Parque 1a quincena Nov/13</v>
          </cell>
          <cell r="G361">
            <v>125</v>
          </cell>
          <cell r="I361">
            <v>125</v>
          </cell>
        </row>
        <row r="362">
          <cell r="C362" t="str">
            <v>G_MTPTA</v>
          </cell>
          <cell r="D362">
            <v>41968</v>
          </cell>
          <cell r="E362" t="str">
            <v>Herramientas Regias de S.A. de C.V.</v>
          </cell>
          <cell r="F362" t="str">
            <v>Cable de acero</v>
          </cell>
          <cell r="G362">
            <v>246.23</v>
          </cell>
          <cell r="I362">
            <v>246.23</v>
          </cell>
        </row>
        <row r="363">
          <cell r="C363" t="str">
            <v>G_MTPTA</v>
          </cell>
          <cell r="D363">
            <v>41968</v>
          </cell>
          <cell r="F363" t="str">
            <v>Nudo para cable ranurado</v>
          </cell>
          <cell r="G363">
            <v>27.14</v>
          </cell>
          <cell r="I363">
            <v>27.14</v>
          </cell>
        </row>
        <row r="364">
          <cell r="C364" t="str">
            <v>G_MTPTA</v>
          </cell>
          <cell r="D364">
            <v>41968</v>
          </cell>
          <cell r="F364" t="str">
            <v>Tensor con armella</v>
          </cell>
          <cell r="G364">
            <v>232.12</v>
          </cell>
          <cell r="I364">
            <v>232.12</v>
          </cell>
        </row>
        <row r="365">
          <cell r="C365" t="str">
            <v>G_MTCYP</v>
          </cell>
          <cell r="D365">
            <v>41605</v>
          </cell>
          <cell r="E365" t="str">
            <v>Nueva Walmart de Mexico, S de RL de CV.</v>
          </cell>
          <cell r="F365" t="str">
            <v>Porta herramientas y supresores cámaras</v>
          </cell>
          <cell r="G365">
            <v>279</v>
          </cell>
          <cell r="I365">
            <v>279</v>
          </cell>
        </row>
        <row r="366">
          <cell r="C366" t="str">
            <v>G_AGUA</v>
          </cell>
          <cell r="D366">
            <v>41605</v>
          </cell>
          <cell r="E366" t="str">
            <v>Electropura, S. de R. L. de C. V.</v>
          </cell>
          <cell r="F366" t="str">
            <v>4 garrafones</v>
          </cell>
          <cell r="G366">
            <v>120</v>
          </cell>
          <cell r="I366">
            <v>120</v>
          </cell>
        </row>
        <row r="367">
          <cell r="C367" t="str">
            <v>G_VRS</v>
          </cell>
          <cell r="D367">
            <v>41605</v>
          </cell>
          <cell r="E367" t="str">
            <v>Comercializadora Aldama</v>
          </cell>
          <cell r="F367" t="str">
            <v>Clavijas, contactos, cinta nitto, receptaculo</v>
          </cell>
          <cell r="G367">
            <v>200.29</v>
          </cell>
          <cell r="H367">
            <v>32.049999999999997</v>
          </cell>
          <cell r="I367">
            <v>232.33999999999997</v>
          </cell>
        </row>
        <row r="368">
          <cell r="C368" t="str">
            <v>G_PAPE</v>
          </cell>
          <cell r="D368">
            <v>41605</v>
          </cell>
          <cell r="E368" t="str">
            <v>Copifaz</v>
          </cell>
          <cell r="F368" t="str">
            <v>169 Copias cartas</v>
          </cell>
          <cell r="G368">
            <v>43.71</v>
          </cell>
          <cell r="H368">
            <v>6.99</v>
          </cell>
          <cell r="I368">
            <v>50.7</v>
          </cell>
        </row>
        <row r="369">
          <cell r="C369" t="str">
            <v>G_PAPE</v>
          </cell>
          <cell r="D369">
            <v>41605</v>
          </cell>
          <cell r="E369" t="str">
            <v>Office Depot de México, S. A. de C. V.</v>
          </cell>
          <cell r="F369" t="str">
            <v>2 cartuchos de tinta Epson 196 negro y magenta</v>
          </cell>
          <cell r="G369">
            <v>471.55</v>
          </cell>
          <cell r="H369">
            <v>75.45</v>
          </cell>
          <cell r="I369">
            <v>547</v>
          </cell>
        </row>
        <row r="370">
          <cell r="C370" t="str">
            <v>G_PAPE</v>
          </cell>
          <cell r="D370">
            <v>41606</v>
          </cell>
          <cell r="E370" t="str">
            <v>Office Depot de México, S. A. de C. V.</v>
          </cell>
          <cell r="F370" t="str">
            <v>Cartucho de tinta Epson 196 amarillo</v>
          </cell>
          <cell r="G370">
            <v>197.41</v>
          </cell>
          <cell r="H370">
            <v>31.59</v>
          </cell>
          <cell r="I370">
            <v>229</v>
          </cell>
        </row>
        <row r="371">
          <cell r="C371" t="str">
            <v>G_HCTB</v>
          </cell>
          <cell r="D371">
            <v>41607</v>
          </cell>
          <cell r="E371" t="str">
            <v>Siegrist Contadores Públicos</v>
          </cell>
          <cell r="F371" t="str">
            <v>Honorarios profesionales Julio, Agosto, Septiembre/13</v>
          </cell>
          <cell r="G371">
            <v>3000</v>
          </cell>
          <cell r="I371">
            <v>3000</v>
          </cell>
        </row>
        <row r="372">
          <cell r="C372" t="str">
            <v>G_ALMVG</v>
          </cell>
          <cell r="D372">
            <v>41607</v>
          </cell>
          <cell r="E372" t="str">
            <v>Sra Sabinez</v>
          </cell>
          <cell r="F372" t="str">
            <v>20 comidas servicio de vigilancia semana 25-29/13</v>
          </cell>
          <cell r="G372">
            <v>400</v>
          </cell>
          <cell r="I372">
            <v>400</v>
          </cell>
        </row>
        <row r="373">
          <cell r="C373" t="str">
            <v>G_MTCYP</v>
          </cell>
          <cell r="D373">
            <v>41607</v>
          </cell>
          <cell r="E373" t="str">
            <v>Jesús Ramos San Juan</v>
          </cell>
          <cell r="F373" t="str">
            <v xml:space="preserve">Mantenimiento cámaras y reinstalación, compras varias </v>
          </cell>
          <cell r="G373">
            <v>4854</v>
          </cell>
          <cell r="H373">
            <v>776.04</v>
          </cell>
          <cell r="I373">
            <v>5630.04</v>
          </cell>
        </row>
        <row r="374">
          <cell r="C374" t="str">
            <v>G_JDN</v>
          </cell>
          <cell r="D374">
            <v>41607</v>
          </cell>
          <cell r="E374" t="str">
            <v>Roberto Miranda</v>
          </cell>
          <cell r="F374" t="str">
            <v>Limpieza parque 1a. Quincena de Noviembre/13</v>
          </cell>
          <cell r="G374">
            <v>125</v>
          </cell>
          <cell r="I374">
            <v>125</v>
          </cell>
        </row>
        <row r="375">
          <cell r="C375" t="str">
            <v>G_JDN</v>
          </cell>
          <cell r="D375">
            <v>41608</v>
          </cell>
          <cell r="E375" t="str">
            <v>Pedro Cortés</v>
          </cell>
          <cell r="F375" t="str">
            <v>Recoger ramas desprendidas y pasto cortado</v>
          </cell>
          <cell r="G375">
            <v>200</v>
          </cell>
          <cell r="I375">
            <v>200</v>
          </cell>
        </row>
        <row r="376">
          <cell r="C376" t="str">
            <v>G_NMNVG</v>
          </cell>
          <cell r="D376">
            <v>41608</v>
          </cell>
          <cell r="E376" t="str">
            <v>Nómina de servicio</v>
          </cell>
          <cell r="F376" t="str">
            <v>2a Quincena Noviembre/13</v>
          </cell>
          <cell r="G376">
            <v>27643.34</v>
          </cell>
          <cell r="I376">
            <v>27643.34</v>
          </cell>
        </row>
        <row r="377">
          <cell r="C377" t="str">
            <v>G_P_Fin</v>
          </cell>
          <cell r="D377">
            <v>41584</v>
          </cell>
          <cell r="E377" t="str">
            <v>Alberto Augusto Fuentes Herrera</v>
          </cell>
          <cell r="F377" t="str">
            <v>Remanente identificador</v>
          </cell>
          <cell r="G377">
            <v>-0.46</v>
          </cell>
          <cell r="I377">
            <v>-0.46</v>
          </cell>
        </row>
        <row r="378">
          <cell r="B378" t="str">
            <v>N°</v>
          </cell>
          <cell r="C378" t="str">
            <v>clave</v>
          </cell>
          <cell r="D378" t="str">
            <v>fecha</v>
          </cell>
          <cell r="E378" t="str">
            <v>Beneficiario</v>
          </cell>
          <cell r="F378" t="str">
            <v>Concepto</v>
          </cell>
          <cell r="G378" t="str">
            <v>Gasto</v>
          </cell>
          <cell r="H378" t="str">
            <v>I.V.A.</v>
          </cell>
          <cell r="I378" t="str">
            <v>Total</v>
          </cell>
        </row>
        <row r="379">
          <cell r="C379" t="str">
            <v>G_AGUA</v>
          </cell>
          <cell r="D379">
            <v>41610</v>
          </cell>
          <cell r="E379" t="str">
            <v>Electropura, S. de R. L. de C. V.</v>
          </cell>
          <cell r="F379" t="str">
            <v>2 garrafones de agua.</v>
          </cell>
          <cell r="G379">
            <v>60</v>
          </cell>
          <cell r="I379">
            <v>60</v>
          </cell>
        </row>
        <row r="380">
          <cell r="C380" t="str">
            <v>G_VRS</v>
          </cell>
          <cell r="D380">
            <v>41611</v>
          </cell>
          <cell r="E380" t="str">
            <v>Ferre Eléctrica Diaz</v>
          </cell>
          <cell r="F380" t="str">
            <v>1 aflojatodo 235 ml.</v>
          </cell>
          <cell r="G380">
            <v>35</v>
          </cell>
          <cell r="I380">
            <v>35</v>
          </cell>
        </row>
        <row r="381">
          <cell r="C381" t="str">
            <v>G_VRS</v>
          </cell>
          <cell r="D381">
            <v>41611</v>
          </cell>
          <cell r="E381" t="str">
            <v>Ferre Eléctrica Diaz</v>
          </cell>
          <cell r="F381" t="str">
            <v>1 desarmador 1/8 cruz</v>
          </cell>
          <cell r="G381">
            <v>33</v>
          </cell>
          <cell r="I381">
            <v>33</v>
          </cell>
        </row>
        <row r="382">
          <cell r="C382" t="str">
            <v>G_VRS</v>
          </cell>
          <cell r="D382">
            <v>41611</v>
          </cell>
          <cell r="E382" t="str">
            <v>Ferre Eléctrica Diaz</v>
          </cell>
          <cell r="F382" t="str">
            <v>1 desarmador  1/8 plano</v>
          </cell>
          <cell r="G382">
            <v>32</v>
          </cell>
          <cell r="I382">
            <v>32</v>
          </cell>
        </row>
        <row r="383">
          <cell r="C383" t="str">
            <v>G_MDC</v>
          </cell>
          <cell r="D383">
            <v>41611</v>
          </cell>
          <cell r="E383" t="str">
            <v xml:space="preserve">Farmacia </v>
          </cell>
          <cell r="F383" t="str">
            <v>1 medicina tramadol y geringa</v>
          </cell>
          <cell r="G383">
            <v>62</v>
          </cell>
          <cell r="I383">
            <v>62</v>
          </cell>
        </row>
        <row r="384">
          <cell r="C384" t="str">
            <v>G_MDC</v>
          </cell>
          <cell r="D384">
            <v>41611</v>
          </cell>
          <cell r="E384" t="str">
            <v>Hospital General de México</v>
          </cell>
          <cell r="F384" t="str">
            <v>Consulta de ugencia</v>
          </cell>
          <cell r="G384">
            <v>77</v>
          </cell>
          <cell r="I384">
            <v>77</v>
          </cell>
        </row>
        <row r="385">
          <cell r="C385" t="str">
            <v>G_MDC</v>
          </cell>
          <cell r="D385">
            <v>41611</v>
          </cell>
          <cell r="E385" t="str">
            <v>Hospital General de México</v>
          </cell>
          <cell r="F385" t="str">
            <v>Comprobante de pago de servicios - Banamex-por consulta</v>
          </cell>
          <cell r="G385">
            <v>36</v>
          </cell>
          <cell r="I385">
            <v>36</v>
          </cell>
        </row>
        <row r="386">
          <cell r="C386" t="str">
            <v>G_MDC</v>
          </cell>
          <cell r="D386">
            <v>41611</v>
          </cell>
          <cell r="E386" t="str">
            <v>Hospital General de México</v>
          </cell>
          <cell r="F386" t="str">
            <v>Consulta de ugencia</v>
          </cell>
          <cell r="G386">
            <v>232</v>
          </cell>
          <cell r="I386">
            <v>232</v>
          </cell>
        </row>
        <row r="387">
          <cell r="C387" t="str">
            <v>G_MDC</v>
          </cell>
          <cell r="D387">
            <v>41612</v>
          </cell>
          <cell r="E387" t="str">
            <v>Pharma Hosman</v>
          </cell>
          <cell r="F387" t="str">
            <v xml:space="preserve">Consulta y  medicinas </v>
          </cell>
          <cell r="G387">
            <v>200</v>
          </cell>
          <cell r="I387">
            <v>200</v>
          </cell>
        </row>
        <row r="388">
          <cell r="C388" t="str">
            <v>G_MTCYP</v>
          </cell>
          <cell r="D388">
            <v>41612</v>
          </cell>
          <cell r="E388" t="str">
            <v>Aldo Grado</v>
          </cell>
          <cell r="F388" t="str">
            <v>Mantenimiento cámaras y reparación plumas</v>
          </cell>
          <cell r="G388">
            <v>1500</v>
          </cell>
          <cell r="I388">
            <v>1500</v>
          </cell>
        </row>
        <row r="389">
          <cell r="C389" t="str">
            <v>G_TLF</v>
          </cell>
          <cell r="D389">
            <v>41617</v>
          </cell>
          <cell r="E389" t="str">
            <v>Teléfonos de México, S.A.B. de C.V.</v>
          </cell>
          <cell r="F389" t="str">
            <v>Pago de mensualidad de telefonos</v>
          </cell>
          <cell r="G389">
            <v>839</v>
          </cell>
          <cell r="I389">
            <v>839</v>
          </cell>
        </row>
        <row r="390">
          <cell r="C390" t="str">
            <v>G_AGUA</v>
          </cell>
          <cell r="D390">
            <v>41617</v>
          </cell>
          <cell r="E390" t="str">
            <v>Electropura, S. de R. L. de C. V.</v>
          </cell>
          <cell r="F390" t="str">
            <v>3 garrafones de agua</v>
          </cell>
          <cell r="G390">
            <v>90</v>
          </cell>
          <cell r="I390">
            <v>90</v>
          </cell>
        </row>
        <row r="391">
          <cell r="C391" t="str">
            <v>G_NMNVG</v>
          </cell>
          <cell r="D391">
            <v>41618</v>
          </cell>
          <cell r="E391" t="str">
            <v>Nónima de Servicio</v>
          </cell>
          <cell r="F391" t="str">
            <v>Pago de gratificación del servicio de vigilancia 2013</v>
          </cell>
          <cell r="G391">
            <v>30296.89</v>
          </cell>
          <cell r="I391">
            <v>30296.89</v>
          </cell>
        </row>
        <row r="392">
          <cell r="C392" t="str">
            <v>G_HCTB</v>
          </cell>
          <cell r="D392">
            <v>41619</v>
          </cell>
          <cell r="E392" t="str">
            <v>Siegrist Contadores Públicos</v>
          </cell>
          <cell r="F392" t="str">
            <v>Honorarios profesionales Octubre y Noviembre /13</v>
          </cell>
          <cell r="G392">
            <v>2000</v>
          </cell>
          <cell r="I392">
            <v>2000</v>
          </cell>
        </row>
        <row r="393">
          <cell r="C393" t="str">
            <v>G_PAPE</v>
          </cell>
          <cell r="D393">
            <v>41619</v>
          </cell>
          <cell r="E393" t="str">
            <v>P..kas</v>
          </cell>
          <cell r="F393" t="str">
            <v>Papeleria</v>
          </cell>
          <cell r="G393">
            <v>38</v>
          </cell>
          <cell r="I393">
            <v>38</v>
          </cell>
        </row>
        <row r="394">
          <cell r="C394" t="str">
            <v>G_PAPE</v>
          </cell>
          <cell r="D394">
            <v>41619</v>
          </cell>
          <cell r="E394" t="str">
            <v>P..kas</v>
          </cell>
          <cell r="F394" t="str">
            <v>Papeleria</v>
          </cell>
          <cell r="G394">
            <v>29</v>
          </cell>
          <cell r="I394">
            <v>29</v>
          </cell>
        </row>
        <row r="395">
          <cell r="C395" t="str">
            <v>G_CBR</v>
          </cell>
          <cell r="D395">
            <v>41620</v>
          </cell>
          <cell r="E395" t="str">
            <v>Facturar en Linea, S de RL. De Cv.</v>
          </cell>
          <cell r="F395" t="str">
            <v>Facturar en linea para el Colegio Carmel</v>
          </cell>
          <cell r="G395">
            <v>422.41</v>
          </cell>
          <cell r="H395">
            <v>67.59</v>
          </cell>
          <cell r="I395">
            <v>490</v>
          </cell>
        </row>
        <row r="396">
          <cell r="C396" t="str">
            <v>G_NMNVG</v>
          </cell>
          <cell r="D396">
            <v>41623</v>
          </cell>
          <cell r="E396" t="str">
            <v>Nómina de servicio</v>
          </cell>
          <cell r="F396" t="str">
            <v>Pago de nómina de vigilancia, 1a quincena Diciembre 2013</v>
          </cell>
          <cell r="G396">
            <v>29150</v>
          </cell>
          <cell r="I396">
            <v>29150</v>
          </cell>
        </row>
        <row r="397">
          <cell r="C397" t="str">
            <v>G_AGUA</v>
          </cell>
          <cell r="D397">
            <v>41624</v>
          </cell>
          <cell r="E397" t="str">
            <v>Electropura, S. de R. L. de C. V.</v>
          </cell>
          <cell r="F397" t="str">
            <v>2 garrafones de agua.</v>
          </cell>
          <cell r="G397">
            <v>60</v>
          </cell>
          <cell r="I397">
            <v>60</v>
          </cell>
        </row>
        <row r="398">
          <cell r="C398" t="str">
            <v>G_PAPE</v>
          </cell>
          <cell r="D398">
            <v>41624</v>
          </cell>
          <cell r="E398" t="str">
            <v>Copifaz</v>
          </cell>
          <cell r="F398" t="str">
            <v>Copias</v>
          </cell>
          <cell r="G398">
            <v>22.5</v>
          </cell>
          <cell r="I398">
            <v>22.5</v>
          </cell>
        </row>
        <row r="399">
          <cell r="C399" t="str">
            <v>G_MTCYP</v>
          </cell>
          <cell r="D399">
            <v>41626</v>
          </cell>
          <cell r="E399" t="str">
            <v>David González</v>
          </cell>
          <cell r="F399" t="str">
            <v>Reparación de pluma</v>
          </cell>
          <cell r="G399">
            <v>250</v>
          </cell>
          <cell r="I399">
            <v>250</v>
          </cell>
        </row>
        <row r="400">
          <cell r="C400" t="str">
            <v>G_ALMVG</v>
          </cell>
          <cell r="D400">
            <v>41626</v>
          </cell>
          <cell r="E400" t="str">
            <v>Sra Sabinez</v>
          </cell>
          <cell r="F400" t="str">
            <v>20 comidas personal de vigilancia, semana 2-6Dic/13</v>
          </cell>
          <cell r="G400">
            <v>400</v>
          </cell>
          <cell r="I400">
            <v>400</v>
          </cell>
        </row>
        <row r="401">
          <cell r="C401" t="str">
            <v>G_ALMVG</v>
          </cell>
          <cell r="D401">
            <v>41626</v>
          </cell>
          <cell r="E401" t="str">
            <v>Sra Sabinez</v>
          </cell>
          <cell r="F401" t="str">
            <v>20 comidas personal de vigilancia, semana 8-13Dic/13</v>
          </cell>
          <cell r="G401">
            <v>400</v>
          </cell>
          <cell r="I401">
            <v>400</v>
          </cell>
        </row>
        <row r="402">
          <cell r="C402" t="str">
            <v>G_PAPE</v>
          </cell>
          <cell r="D402">
            <v>41626</v>
          </cell>
          <cell r="E402" t="str">
            <v>Copifaz</v>
          </cell>
          <cell r="F402" t="str">
            <v>900 copias</v>
          </cell>
          <cell r="G402">
            <v>315</v>
          </cell>
          <cell r="H402">
            <v>43.45</v>
          </cell>
          <cell r="I402">
            <v>358.45</v>
          </cell>
        </row>
        <row r="403">
          <cell r="C403" t="str">
            <v>G_VRS</v>
          </cell>
          <cell r="D403">
            <v>41626</v>
          </cell>
          <cell r="E403" t="str">
            <v>Jorge Luis Chavira Rubio.</v>
          </cell>
          <cell r="F403" t="str">
            <v>Energizer pila A23</v>
          </cell>
          <cell r="G403">
            <v>45</v>
          </cell>
          <cell r="H403">
            <v>6.21</v>
          </cell>
          <cell r="I403">
            <v>51.21</v>
          </cell>
        </row>
        <row r="404">
          <cell r="C404" t="str">
            <v>G_VRS</v>
          </cell>
          <cell r="D404">
            <v>41626</v>
          </cell>
          <cell r="E404" t="str">
            <v>Ferreteria Eléctrica Díaz</v>
          </cell>
          <cell r="F404" t="str">
            <v>1 desarmador 1/8 plano</v>
          </cell>
          <cell r="G404">
            <v>32</v>
          </cell>
          <cell r="I404">
            <v>32</v>
          </cell>
        </row>
        <row r="405">
          <cell r="C405" t="str">
            <v>G_VRS</v>
          </cell>
          <cell r="D405">
            <v>41626</v>
          </cell>
          <cell r="E405" t="str">
            <v>Ferreteria Eléctrica Díaz</v>
          </cell>
          <cell r="F405" t="str">
            <v>1 pila 9v duracell y un fusible</v>
          </cell>
          <cell r="G405">
            <v>75</v>
          </cell>
          <cell r="I405">
            <v>75</v>
          </cell>
        </row>
        <row r="406">
          <cell r="C406" t="str">
            <v>G_MTPTA</v>
          </cell>
          <cell r="D406">
            <v>41626</v>
          </cell>
          <cell r="E406" t="str">
            <v>Ferreteria Rio Pisueña, S.A. de C.V.</v>
          </cell>
          <cell r="F406" t="str">
            <v>Rollo concerpua estrella galvanizado</v>
          </cell>
          <cell r="I406">
            <v>0</v>
          </cell>
        </row>
        <row r="407">
          <cell r="C407" t="str">
            <v>G_MTPTA</v>
          </cell>
          <cell r="D407">
            <v>41626</v>
          </cell>
          <cell r="E407" t="str">
            <v>Ferreteria Rio Pisueña, S.A. de C.V.</v>
          </cell>
          <cell r="F407" t="str">
            <v>Alambre galvanizado</v>
          </cell>
          <cell r="I407">
            <v>0</v>
          </cell>
        </row>
        <row r="408">
          <cell r="C408" t="str">
            <v>G_MTPTA</v>
          </cell>
          <cell r="D408">
            <v>41626</v>
          </cell>
          <cell r="E408" t="str">
            <v>Ferreteria Rio Pisueña, S.A. de C.V.</v>
          </cell>
          <cell r="F408" t="str">
            <v>Soldadura 6013</v>
          </cell>
          <cell r="G408">
            <v>1043.1500000000001</v>
          </cell>
          <cell r="H408">
            <v>166.9</v>
          </cell>
          <cell r="I408">
            <v>1210.0500000000002</v>
          </cell>
        </row>
        <row r="409">
          <cell r="C409" t="str">
            <v>G_MTCYP</v>
          </cell>
          <cell r="D409">
            <v>41628</v>
          </cell>
          <cell r="E409" t="str">
            <v>Mex Telecom</v>
          </cell>
          <cell r="F409" t="str">
            <v>VDR 16 canales, transeptores,cámara tipo bala</v>
          </cell>
          <cell r="G409">
            <v>3721.67</v>
          </cell>
          <cell r="H409">
            <v>595.46</v>
          </cell>
          <cell r="I409">
            <v>4317.13</v>
          </cell>
        </row>
        <row r="410">
          <cell r="C410" t="str">
            <v>G_VRS</v>
          </cell>
          <cell r="D410">
            <v>41628</v>
          </cell>
          <cell r="E410" t="str">
            <v>Cadena Comercial Oxxo, S. A. de C. V.</v>
          </cell>
          <cell r="F410" t="str">
            <v xml:space="preserve">4 pilas duracel AAA </v>
          </cell>
          <cell r="G410">
            <v>56.16</v>
          </cell>
          <cell r="H410">
            <v>8.84</v>
          </cell>
          <cell r="I410">
            <v>65</v>
          </cell>
        </row>
        <row r="411">
          <cell r="C411" t="str">
            <v>G_VRS</v>
          </cell>
          <cell r="D411">
            <v>41629</v>
          </cell>
          <cell r="E411" t="str">
            <v>Ferreteria Rio Pisueña, S.A. de C.V.</v>
          </cell>
          <cell r="F411" t="str">
            <v>Alambre galvanizado</v>
          </cell>
          <cell r="G411">
            <v>28.15</v>
          </cell>
          <cell r="I411">
            <v>28.15</v>
          </cell>
        </row>
        <row r="412">
          <cell r="C412" t="str">
            <v>G_JDN</v>
          </cell>
          <cell r="D412">
            <v>41629</v>
          </cell>
          <cell r="E412" t="str">
            <v>Roberto Miranda</v>
          </cell>
          <cell r="F412" t="str">
            <v>Recoger basura parque y rancho Recoveco y el Hueso</v>
          </cell>
          <cell r="G412">
            <v>200</v>
          </cell>
          <cell r="I412">
            <v>200</v>
          </cell>
        </row>
        <row r="413">
          <cell r="C413" t="str">
            <v>G_MTCYP</v>
          </cell>
          <cell r="D413">
            <v>41631</v>
          </cell>
          <cell r="E413" t="str">
            <v>David González</v>
          </cell>
          <cell r="F413" t="str">
            <v>Gastos de taxis, los dias 20 21 Dic/13, compra de DVD y Con</v>
          </cell>
          <cell r="G413">
            <v>262</v>
          </cell>
          <cell r="I413">
            <v>262</v>
          </cell>
        </row>
        <row r="414">
          <cell r="C414" t="str">
            <v>G_MTCYP</v>
          </cell>
          <cell r="D414">
            <v>41631</v>
          </cell>
          <cell r="E414" t="str">
            <v>David González</v>
          </cell>
          <cell r="F414" t="str">
            <v>Instalación, pruebas DVRy pago 3 días inst concerpuas</v>
          </cell>
          <cell r="G414">
            <v>1350</v>
          </cell>
          <cell r="I414">
            <v>1350</v>
          </cell>
        </row>
        <row r="415">
          <cell r="C415" t="str">
            <v>G_AGUA</v>
          </cell>
          <cell r="D415">
            <v>41631</v>
          </cell>
          <cell r="E415" t="str">
            <v>Electropura, S. de R. L. de C. V.</v>
          </cell>
          <cell r="F415" t="str">
            <v>3 garrafones de agua</v>
          </cell>
          <cell r="G415">
            <v>90</v>
          </cell>
          <cell r="I415">
            <v>90</v>
          </cell>
        </row>
        <row r="416">
          <cell r="C416" t="str">
            <v>G_MTILM</v>
          </cell>
          <cell r="D416">
            <v>41632</v>
          </cell>
          <cell r="E416" t="str">
            <v>Victor Sánchez</v>
          </cell>
          <cell r="F416" t="str">
            <v>instalación de balastra y luminaria en Estanzuela 143</v>
          </cell>
          <cell r="G416">
            <v>400</v>
          </cell>
          <cell r="I416">
            <v>400</v>
          </cell>
        </row>
        <row r="417">
          <cell r="C417" t="str">
            <v>G_DIF</v>
          </cell>
          <cell r="D417">
            <v>41633</v>
          </cell>
          <cell r="E417" t="str">
            <v>Orange Bee</v>
          </cell>
          <cell r="F417" t="str">
            <v>3 lonas con información a vecinos</v>
          </cell>
          <cell r="G417">
            <v>201.84</v>
          </cell>
          <cell r="I417">
            <v>201.84</v>
          </cell>
        </row>
        <row r="418">
          <cell r="C418" t="str">
            <v>G_PAPE</v>
          </cell>
          <cell r="D418">
            <v>41635</v>
          </cell>
          <cell r="E418" t="str">
            <v>Bufete e Imprenta</v>
          </cell>
          <cell r="F418" t="str">
            <v>Impresión de 1,000 recibos de cobranza de cuotas mensuales</v>
          </cell>
          <cell r="G418">
            <v>900</v>
          </cell>
          <cell r="I418">
            <v>900</v>
          </cell>
        </row>
        <row r="419">
          <cell r="C419" t="str">
            <v>G_MTPTA</v>
          </cell>
          <cell r="D419">
            <v>41635</v>
          </cell>
          <cell r="E419" t="str">
            <v>Herreria, Plomería. Electricidad y Cerrajeria, Horacio O</v>
          </cell>
          <cell r="F419" t="str">
            <v>Reparación de 2 chapas de alta seguridad</v>
          </cell>
          <cell r="G419">
            <v>650</v>
          </cell>
          <cell r="I419">
            <v>650</v>
          </cell>
        </row>
        <row r="420">
          <cell r="C420" t="str">
            <v>G_MTILM</v>
          </cell>
          <cell r="D420">
            <v>41636</v>
          </cell>
          <cell r="E420" t="str">
            <v>Victor Sánchez</v>
          </cell>
          <cell r="F420" t="str">
            <v>Reparación de siete luminarias</v>
          </cell>
          <cell r="G420">
            <v>1700</v>
          </cell>
          <cell r="I420">
            <v>1700</v>
          </cell>
        </row>
        <row r="421">
          <cell r="C421" t="str">
            <v>G_AGUA</v>
          </cell>
          <cell r="D421">
            <v>41638</v>
          </cell>
          <cell r="E421" t="str">
            <v>Electropura, S. de R. L. de C. V.</v>
          </cell>
          <cell r="F421" t="str">
            <v>3 garrafones de agua</v>
          </cell>
          <cell r="G421">
            <v>90</v>
          </cell>
          <cell r="I421">
            <v>90</v>
          </cell>
        </row>
        <row r="422">
          <cell r="C422" t="str">
            <v>G_MDC</v>
          </cell>
          <cell r="D422">
            <v>41639</v>
          </cell>
          <cell r="E422" t="str">
            <v>Farmacia San Jorge, S.S. de C.V.</v>
          </cell>
          <cell r="F422" t="str">
            <v>Compra medicinas para vigilancia</v>
          </cell>
          <cell r="G422">
            <v>45</v>
          </cell>
          <cell r="I422">
            <v>45</v>
          </cell>
        </row>
        <row r="423">
          <cell r="C423" t="str">
            <v>G_JDN</v>
          </cell>
          <cell r="D423">
            <v>41639</v>
          </cell>
          <cell r="E423" t="str">
            <v>Roberto Miranda</v>
          </cell>
          <cell r="F423" t="str">
            <v>Recoger basura parque, romeral y Hueso</v>
          </cell>
          <cell r="G423">
            <v>200</v>
          </cell>
          <cell r="I423">
            <v>200</v>
          </cell>
        </row>
        <row r="424">
          <cell r="C424" t="str">
            <v>G_VRS</v>
          </cell>
          <cell r="D424">
            <v>41639</v>
          </cell>
          <cell r="E424" t="str">
            <v>Ferreteria Rio Pisueña, S.A. de C.V.</v>
          </cell>
          <cell r="F424" t="str">
            <v>Rollo concerpua estrella galvanizado</v>
          </cell>
          <cell r="I424">
            <v>0</v>
          </cell>
        </row>
        <row r="425">
          <cell r="C425" t="str">
            <v>G_VRS</v>
          </cell>
          <cell r="E425" t="str">
            <v>"</v>
          </cell>
          <cell r="F425" t="str">
            <v>Alambre galvanizado</v>
          </cell>
          <cell r="I425">
            <v>0</v>
          </cell>
        </row>
        <row r="426">
          <cell r="C426" t="str">
            <v>G_VRS</v>
          </cell>
          <cell r="E426" t="str">
            <v>"</v>
          </cell>
          <cell r="F426" t="str">
            <v>Guante carnaza corto</v>
          </cell>
          <cell r="G426">
            <v>512.01</v>
          </cell>
          <cell r="H426">
            <v>81.92</v>
          </cell>
          <cell r="I426">
            <v>593.92999999999995</v>
          </cell>
        </row>
        <row r="427">
          <cell r="C427" t="str">
            <v>G_NMNVG</v>
          </cell>
          <cell r="D427">
            <v>41639</v>
          </cell>
          <cell r="E427" t="str">
            <v>Nómina de servicio</v>
          </cell>
          <cell r="F427" t="str">
            <v>Pago de nómina de vigilancia, 2a quincena Diciembre 2013</v>
          </cell>
          <cell r="G427">
            <v>29050</v>
          </cell>
          <cell r="I427">
            <v>29050</v>
          </cell>
        </row>
        <row r="428">
          <cell r="C428" t="str">
            <v>G_ALMVG</v>
          </cell>
          <cell r="D428">
            <v>41639</v>
          </cell>
          <cell r="E428" t="str">
            <v>Sra Sabinez</v>
          </cell>
          <cell r="F428" t="str">
            <v>20 coomidas personal de vigilanica, semana del 16-20 Dic/13</v>
          </cell>
          <cell r="G428">
            <v>400</v>
          </cell>
          <cell r="I428">
            <v>400</v>
          </cell>
        </row>
        <row r="429">
          <cell r="C429" t="str">
            <v>G_HCTB</v>
          </cell>
          <cell r="D429">
            <v>41639</v>
          </cell>
          <cell r="E429" t="str">
            <v>Siegrist Contadores Públicos</v>
          </cell>
          <cell r="F429" t="str">
            <v>Honorarios profesionales Diciembre /13</v>
          </cell>
          <cell r="G429">
            <v>1000</v>
          </cell>
          <cell r="I429">
            <v>1000</v>
          </cell>
        </row>
        <row r="430">
          <cell r="C430" t="str">
            <v>G_INFRA</v>
          </cell>
          <cell r="G430">
            <v>9943</v>
          </cell>
          <cell r="I430">
            <v>9943</v>
          </cell>
        </row>
        <row r="431">
          <cell r="C431" t="str">
            <v>G_INFRA</v>
          </cell>
          <cell r="G431">
            <v>2500</v>
          </cell>
          <cell r="I431">
            <v>2500</v>
          </cell>
        </row>
        <row r="432">
          <cell r="C432" t="str">
            <v>G_NMNVG</v>
          </cell>
          <cell r="D432">
            <v>41639</v>
          </cell>
          <cell r="E432" t="str">
            <v>Pedro Perez Reséndiz</v>
          </cell>
          <cell r="F432" t="str">
            <v>Gratificación por renuncia especial</v>
          </cell>
          <cell r="G432">
            <v>3500</v>
          </cell>
          <cell r="I432">
            <v>3500</v>
          </cell>
        </row>
        <row r="433">
          <cell r="C433" t="str">
            <v>G_NMNVG</v>
          </cell>
          <cell r="D433">
            <v>41639</v>
          </cell>
          <cell r="E433" t="str">
            <v>Jesús Ivan Hernandez Garcia</v>
          </cell>
          <cell r="F433" t="str">
            <v>Gratificación por renuncia especial</v>
          </cell>
          <cell r="G433">
            <v>3500</v>
          </cell>
          <cell r="I433">
            <v>3500</v>
          </cell>
        </row>
        <row r="434">
          <cell r="C434" t="str">
            <v>G_P_Fin</v>
          </cell>
          <cell r="D434">
            <v>41612</v>
          </cell>
          <cell r="E434" t="str">
            <v>Alberto Augusto Fuentes Herrera</v>
          </cell>
          <cell r="F434" t="str">
            <v>Remanente identificador</v>
          </cell>
          <cell r="G434">
            <v>-0.46</v>
          </cell>
          <cell r="I434">
            <v>-0.46</v>
          </cell>
        </row>
        <row r="435">
          <cell r="C435" t="str">
            <v>G_P_Fin</v>
          </cell>
          <cell r="D435">
            <v>41617</v>
          </cell>
          <cell r="E435" t="str">
            <v>Familia Vega Sánchez C.</v>
          </cell>
          <cell r="F435" t="str">
            <v>Remanente identificador</v>
          </cell>
          <cell r="G435">
            <v>-0.28999999999999998</v>
          </cell>
          <cell r="I435">
            <v>-0.28999999999999998</v>
          </cell>
        </row>
        <row r="436">
          <cell r="C436" t="str">
            <v>G_P_Fin</v>
          </cell>
          <cell r="D436">
            <v>41639</v>
          </cell>
          <cell r="E436" t="str">
            <v>Banorte</v>
          </cell>
          <cell r="F436" t="str">
            <v>Comisión e I.V.A. por cheques expedidos</v>
          </cell>
          <cell r="G436">
            <v>24</v>
          </cell>
          <cell r="H436">
            <v>3.84</v>
          </cell>
          <cell r="I436">
            <v>27.84</v>
          </cell>
        </row>
        <row r="437">
          <cell r="B437" t="str">
            <v>N°</v>
          </cell>
          <cell r="C437" t="str">
            <v>clave</v>
          </cell>
          <cell r="D437" t="str">
            <v>fecha</v>
          </cell>
          <cell r="E437" t="str">
            <v>Beneficiario</v>
          </cell>
          <cell r="F437" t="str">
            <v>Concepto</v>
          </cell>
          <cell r="G437" t="str">
            <v>Gasto</v>
          </cell>
          <cell r="H437" t="str">
            <v>I.V.A.</v>
          </cell>
          <cell r="I437" t="str">
            <v>Total</v>
          </cell>
        </row>
        <row r="438">
          <cell r="C438" t="str">
            <v>G_JDN</v>
          </cell>
          <cell r="D438">
            <v>41641</v>
          </cell>
          <cell r="E438" t="str">
            <v>Angel Razo</v>
          </cell>
          <cell r="F438" t="str">
            <v>Bolsas para recoger hojarasca del parque</v>
          </cell>
          <cell r="G438">
            <v>62.5</v>
          </cell>
          <cell r="I438">
            <v>62.5</v>
          </cell>
        </row>
        <row r="439">
          <cell r="C439" t="str">
            <v>G_JDN</v>
          </cell>
          <cell r="D439">
            <v>41641</v>
          </cell>
          <cell r="E439" t="str">
            <v>Angel Razo</v>
          </cell>
          <cell r="F439" t="str">
            <v>Rastrillo para jardin</v>
          </cell>
          <cell r="G439">
            <v>210</v>
          </cell>
          <cell r="I439">
            <v>210</v>
          </cell>
        </row>
        <row r="440">
          <cell r="C440" t="str">
            <v>G_NMNVG</v>
          </cell>
          <cell r="D440">
            <v>41641</v>
          </cell>
          <cell r="E440" t="str">
            <v>Erick Cristian Guerrero Ramírez</v>
          </cell>
          <cell r="F440" t="str">
            <v>Gratificación especial por renuncia</v>
          </cell>
          <cell r="G440">
            <v>1500</v>
          </cell>
          <cell r="I440">
            <v>1500</v>
          </cell>
        </row>
        <row r="441">
          <cell r="C441" t="str">
            <v>G_NMNVG</v>
          </cell>
          <cell r="D441">
            <v>41642</v>
          </cell>
          <cell r="E441" t="str">
            <v>Francisco Razo Luquin-Cheque 51</v>
          </cell>
          <cell r="F441" t="str">
            <v>Gratificación especial por renuncia</v>
          </cell>
          <cell r="G441">
            <v>5000</v>
          </cell>
          <cell r="I441">
            <v>5000</v>
          </cell>
        </row>
        <row r="442">
          <cell r="C442" t="str">
            <v>G_JDN</v>
          </cell>
          <cell r="D442">
            <v>41643</v>
          </cell>
          <cell r="E442" t="str">
            <v>Angel Razo</v>
          </cell>
          <cell r="F442" t="str">
            <v>Limpieza del parque</v>
          </cell>
          <cell r="G442">
            <v>300</v>
          </cell>
          <cell r="I442">
            <v>300</v>
          </cell>
        </row>
        <row r="443">
          <cell r="C443" t="str">
            <v>G_JDN</v>
          </cell>
          <cell r="D443">
            <v>41644</v>
          </cell>
          <cell r="E443" t="str">
            <v>Angel Razo</v>
          </cell>
          <cell r="F443" t="str">
            <v>Limpieza del parque</v>
          </cell>
          <cell r="G443">
            <v>800</v>
          </cell>
          <cell r="I443">
            <v>800</v>
          </cell>
        </row>
        <row r="444">
          <cell r="C444" t="str">
            <v>G_MTPTA</v>
          </cell>
          <cell r="D444">
            <v>41645</v>
          </cell>
          <cell r="E444" t="str">
            <v>David González</v>
          </cell>
          <cell r="F444" t="str">
            <v>Saldo pendiente instalación  puerta Landero</v>
          </cell>
          <cell r="G444">
            <v>550</v>
          </cell>
          <cell r="I444">
            <v>550</v>
          </cell>
        </row>
        <row r="445">
          <cell r="C445" t="str">
            <v>G_MTCBQ</v>
          </cell>
          <cell r="D445">
            <v>41645</v>
          </cell>
          <cell r="E445" t="str">
            <v>Natalio Cruz</v>
          </cell>
          <cell r="F445" t="str">
            <v>Desazolve de la calle  Estanzuela</v>
          </cell>
          <cell r="G445">
            <v>400</v>
          </cell>
          <cell r="I445">
            <v>400</v>
          </cell>
        </row>
        <row r="446">
          <cell r="C446" t="str">
            <v>G_AGUA</v>
          </cell>
          <cell r="D446">
            <v>41645</v>
          </cell>
          <cell r="E446" t="str">
            <v>Electropura, S. de R. L. de C. V.</v>
          </cell>
          <cell r="F446" t="str">
            <v>3 garrafones de agua</v>
          </cell>
          <cell r="G446">
            <v>90</v>
          </cell>
          <cell r="I446">
            <v>90</v>
          </cell>
        </row>
        <row r="447">
          <cell r="C447" t="str">
            <v>G_NMNVG</v>
          </cell>
          <cell r="D447">
            <v>41646</v>
          </cell>
          <cell r="E447" t="str">
            <v>José Francisco Soriano-Cheque 52</v>
          </cell>
          <cell r="F447" t="str">
            <v>Gratificación especial por renuncia</v>
          </cell>
          <cell r="G447">
            <v>3000</v>
          </cell>
          <cell r="I447">
            <v>3000</v>
          </cell>
        </row>
        <row r="448">
          <cell r="C448" t="str">
            <v>G_JDN</v>
          </cell>
          <cell r="D448">
            <v>41646</v>
          </cell>
          <cell r="E448" t="str">
            <v>Angel Razo</v>
          </cell>
          <cell r="F448" t="str">
            <v>Bolsas para recoger hojarasca del parque</v>
          </cell>
          <cell r="G448">
            <v>200</v>
          </cell>
          <cell r="I448">
            <v>200</v>
          </cell>
        </row>
        <row r="449">
          <cell r="C449" t="str">
            <v>G_MTLPZ</v>
          </cell>
          <cell r="D449">
            <v>41646</v>
          </cell>
          <cell r="E449" t="str">
            <v>Tiendas Chedraui, S.A. DE C.V.</v>
          </cell>
          <cell r="F449" t="str">
            <v>Articulos de limpieza</v>
          </cell>
          <cell r="G449">
            <v>150.4</v>
          </cell>
          <cell r="I449">
            <v>150.4</v>
          </cell>
        </row>
        <row r="450">
          <cell r="C450" t="str">
            <v>G_MTPTA</v>
          </cell>
          <cell r="D450">
            <v>41647</v>
          </cell>
          <cell r="E450" t="str">
            <v>Horacio Campos</v>
          </cell>
          <cell r="F450" t="str">
            <v>Mantenimiento chapa</v>
          </cell>
          <cell r="G450">
            <v>120</v>
          </cell>
          <cell r="I450">
            <v>120</v>
          </cell>
        </row>
        <row r="451">
          <cell r="C451" t="str">
            <v>G_TLF</v>
          </cell>
          <cell r="D451">
            <v>41649</v>
          </cell>
          <cell r="E451" t="str">
            <v>Teléfonos de México, S.A.B. de C.V.</v>
          </cell>
          <cell r="F451" t="str">
            <v>Pago telefonos Diciembre/13</v>
          </cell>
          <cell r="G451">
            <v>786</v>
          </cell>
          <cell r="I451">
            <v>786</v>
          </cell>
        </row>
        <row r="452">
          <cell r="C452" t="str">
            <v>G_MTLPZ</v>
          </cell>
          <cell r="D452">
            <v>41650</v>
          </cell>
          <cell r="E452" t="str">
            <v>Home Depot México, S. de R. L. de C. V.</v>
          </cell>
          <cell r="F452" t="str">
            <v>Deposito basura</v>
          </cell>
          <cell r="G452">
            <v>314.66000000000003</v>
          </cell>
          <cell r="H452">
            <v>50.35</v>
          </cell>
          <cell r="I452">
            <v>365.01000000000005</v>
          </cell>
        </row>
        <row r="453">
          <cell r="C453" t="str">
            <v>G_AGUA</v>
          </cell>
          <cell r="D453">
            <v>41652</v>
          </cell>
          <cell r="E453" t="str">
            <v>Electropura, S. de R. L. de C. V.</v>
          </cell>
          <cell r="F453" t="str">
            <v>3 garrafones de agua</v>
          </cell>
          <cell r="G453">
            <v>90</v>
          </cell>
          <cell r="I453">
            <v>90</v>
          </cell>
        </row>
        <row r="454">
          <cell r="C454" t="str">
            <v>G_JDN</v>
          </cell>
          <cell r="D454">
            <v>41653</v>
          </cell>
          <cell r="E454" t="str">
            <v>Roberto Miranda</v>
          </cell>
          <cell r="F454" t="str">
            <v>Recoger y tirar hojarasca del parque area juegos niños</v>
          </cell>
          <cell r="G454">
            <v>100</v>
          </cell>
          <cell r="I454">
            <v>100</v>
          </cell>
        </row>
        <row r="455">
          <cell r="C455" t="str">
            <v>G_NMNVG</v>
          </cell>
          <cell r="D455">
            <v>41654</v>
          </cell>
          <cell r="E455" t="str">
            <v>Artemio Mora Torres</v>
          </cell>
          <cell r="F455" t="str">
            <v>Pago correspondiente a la 1a quincena de enero/14</v>
          </cell>
          <cell r="G455">
            <v>3200</v>
          </cell>
          <cell r="I455">
            <v>3200</v>
          </cell>
        </row>
        <row r="456">
          <cell r="C456" t="str">
            <v>G_MTPTA</v>
          </cell>
          <cell r="D456">
            <v>41654</v>
          </cell>
          <cell r="E456" t="str">
            <v>Horacio Campos</v>
          </cell>
          <cell r="F456" t="str">
            <v>Romper candado atorado en la puerta de Estanzuela y Hueso</v>
          </cell>
          <cell r="G456">
            <v>240</v>
          </cell>
          <cell r="I456">
            <v>240</v>
          </cell>
        </row>
        <row r="457">
          <cell r="C457" t="str">
            <v>G_NMNVG</v>
          </cell>
          <cell r="D457">
            <v>41654</v>
          </cell>
          <cell r="E457" t="str">
            <v>Guardias y Custodia Privadas Gama S.A. DE C.V.</v>
          </cell>
          <cell r="F457" t="str">
            <v>Pago servicio de vigilancia 1a. Quincena del enero/14</v>
          </cell>
          <cell r="G457">
            <v>27900</v>
          </cell>
          <cell r="I457">
            <v>27900</v>
          </cell>
        </row>
        <row r="458">
          <cell r="C458" t="str">
            <v>G_JDN</v>
          </cell>
          <cell r="D458">
            <v>41655</v>
          </cell>
          <cell r="E458" t="str">
            <v>Roberto Miranda</v>
          </cell>
          <cell r="F458" t="str">
            <v>Gratificación  por recoger basura en el parque 1a quincena enero</v>
          </cell>
          <cell r="G458">
            <v>200</v>
          </cell>
          <cell r="I458">
            <v>200</v>
          </cell>
        </row>
        <row r="459">
          <cell r="C459" t="str">
            <v>G_JDN</v>
          </cell>
          <cell r="D459">
            <v>41655</v>
          </cell>
          <cell r="E459" t="str">
            <v>Cristino Cabrera</v>
          </cell>
          <cell r="F459" t="str">
            <v>Poda y limpieza del terreno abandonado en el lote Lan y Hueso</v>
          </cell>
          <cell r="G459">
            <v>150</v>
          </cell>
          <cell r="I459">
            <v>150</v>
          </cell>
        </row>
        <row r="460">
          <cell r="C460" t="str">
            <v>G_PAPE</v>
          </cell>
          <cell r="D460">
            <v>41658</v>
          </cell>
          <cell r="E460" t="str">
            <v>Office Depot de México, S. A. de C. V.</v>
          </cell>
          <cell r="F460" t="str">
            <v>Material papeleria</v>
          </cell>
          <cell r="G460">
            <v>358.24</v>
          </cell>
          <cell r="H460">
            <v>57.31</v>
          </cell>
          <cell r="I460">
            <v>415.55</v>
          </cell>
        </row>
        <row r="461">
          <cell r="C461" t="str">
            <v>G_AGUA</v>
          </cell>
          <cell r="D461">
            <v>41659</v>
          </cell>
          <cell r="E461" t="str">
            <v>Electropura, S. de R. L. de C. V.</v>
          </cell>
          <cell r="F461" t="str">
            <v>2 garrafones de agua.</v>
          </cell>
          <cell r="G461">
            <v>60</v>
          </cell>
          <cell r="I461">
            <v>60</v>
          </cell>
        </row>
        <row r="462">
          <cell r="C462" t="str">
            <v>G_MTPTA</v>
          </cell>
          <cell r="D462">
            <v>41661</v>
          </cell>
          <cell r="E462" t="str">
            <v>Horacio Campos</v>
          </cell>
          <cell r="F462" t="str">
            <v>Servicio y ajuste de chapa en la entrada peatonal R.Upacuaro</v>
          </cell>
          <cell r="G462">
            <v>450</v>
          </cell>
          <cell r="I462">
            <v>450</v>
          </cell>
        </row>
        <row r="463">
          <cell r="C463" t="str">
            <v>G_MTCYP</v>
          </cell>
          <cell r="D463">
            <v>41663</v>
          </cell>
          <cell r="E463" t="str">
            <v>Horacio Campos</v>
          </cell>
          <cell r="F463" t="str">
            <v>Cambio de soporte para pluma en la caseta R Zinampa</v>
          </cell>
          <cell r="G463">
            <v>550</v>
          </cell>
          <cell r="I463">
            <v>550</v>
          </cell>
        </row>
        <row r="464">
          <cell r="C464" t="str">
            <v>G_MTPTA</v>
          </cell>
          <cell r="D464">
            <v>41663</v>
          </cell>
          <cell r="E464" t="str">
            <v>Horacio Campos</v>
          </cell>
          <cell r="F464" t="str">
            <v>Caja p/proteger el candado de la reja en R. Estanzuela</v>
          </cell>
          <cell r="G464">
            <v>750</v>
          </cell>
          <cell r="I464">
            <v>750</v>
          </cell>
        </row>
        <row r="465">
          <cell r="C465" t="str">
            <v>G_ADQ</v>
          </cell>
          <cell r="D465">
            <v>41663</v>
          </cell>
          <cell r="E465" t="str">
            <v>Cerrajería Gran Sur</v>
          </cell>
          <cell r="F465" t="str">
            <v>50 Duplicado de llaves de seguridad</v>
          </cell>
          <cell r="G465">
            <v>6000</v>
          </cell>
          <cell r="I465">
            <v>6000</v>
          </cell>
        </row>
        <row r="466">
          <cell r="C466" t="str">
            <v>G_VRS</v>
          </cell>
          <cell r="D466">
            <v>41665</v>
          </cell>
          <cell r="E466" t="str">
            <v>Gratificación patrulla por servicio especial.</v>
          </cell>
          <cell r="F466" t="str">
            <v>Gratificación a patrulla P060 por llevearse a jardinero borracho</v>
          </cell>
          <cell r="G466">
            <v>1000</v>
          </cell>
          <cell r="I466">
            <v>1000</v>
          </cell>
        </row>
        <row r="467">
          <cell r="C467" t="str">
            <v>G_AGUA</v>
          </cell>
          <cell r="D467">
            <v>41666</v>
          </cell>
          <cell r="E467" t="str">
            <v>Electropura, S. de R. L. de C. V.</v>
          </cell>
          <cell r="F467" t="str">
            <v>2 garrafones de agua.</v>
          </cell>
          <cell r="G467">
            <v>60</v>
          </cell>
          <cell r="I467">
            <v>60</v>
          </cell>
        </row>
        <row r="468">
          <cell r="C468" t="str">
            <v>G_P_FIN</v>
          </cell>
          <cell r="D468">
            <v>41670</v>
          </cell>
          <cell r="E468" t="str">
            <v>Banorte</v>
          </cell>
          <cell r="F468" t="str">
            <v>Com. Ch. exped.</v>
          </cell>
          <cell r="G468">
            <v>24</v>
          </cell>
          <cell r="H468">
            <v>3.84</v>
          </cell>
          <cell r="I468">
            <v>27.84</v>
          </cell>
        </row>
        <row r="469">
          <cell r="C469" t="str">
            <v>G_MTCST</v>
          </cell>
          <cell r="D469">
            <v>41670</v>
          </cell>
          <cell r="E469" t="str">
            <v>Comercializadora CASPIN, S. A. de C.V.</v>
          </cell>
          <cell r="F469" t="str">
            <v>Pintura para caseta</v>
          </cell>
          <cell r="G469">
            <v>282.76</v>
          </cell>
          <cell r="H469">
            <v>45.24</v>
          </cell>
          <cell r="I469">
            <v>328</v>
          </cell>
        </row>
        <row r="470">
          <cell r="C470" t="str">
            <v>G_MTCST</v>
          </cell>
          <cell r="D470">
            <v>41670</v>
          </cell>
          <cell r="E470" t="str">
            <v>Comercializadora CASPIN, S. A. de C.V.</v>
          </cell>
          <cell r="F470" t="str">
            <v>Articulos para pintar</v>
          </cell>
          <cell r="G470">
            <v>65.09</v>
          </cell>
          <cell r="H470">
            <v>10.41</v>
          </cell>
          <cell r="I470">
            <v>75.5</v>
          </cell>
        </row>
        <row r="471">
          <cell r="C471" t="str">
            <v>G_ORG</v>
          </cell>
          <cell r="D471">
            <v>41670</v>
          </cell>
          <cell r="E471" t="str">
            <v xml:space="preserve">Gloria Mazzón </v>
          </cell>
          <cell r="F471" t="str">
            <v>Pago por concepto de captura de recibos de enero/14</v>
          </cell>
          <cell r="G471">
            <v>400</v>
          </cell>
          <cell r="I471">
            <v>400</v>
          </cell>
        </row>
        <row r="472">
          <cell r="C472" t="str">
            <v>G_NMNVG</v>
          </cell>
          <cell r="D472">
            <v>41670</v>
          </cell>
          <cell r="E472" t="str">
            <v>Artemio Mora Torres</v>
          </cell>
          <cell r="F472" t="str">
            <v>Pago correspondiente a la 2a quincena enero/14</v>
          </cell>
          <cell r="G472">
            <v>3200</v>
          </cell>
          <cell r="I472">
            <v>3200</v>
          </cell>
        </row>
        <row r="473">
          <cell r="C473" t="str">
            <v>G_NMNVG</v>
          </cell>
          <cell r="D473">
            <v>41670</v>
          </cell>
          <cell r="E473" t="str">
            <v>Guardias y Custodia Privadas Gama S.A. DE C.V.</v>
          </cell>
          <cell r="F473" t="str">
            <v>Pago correspondiente a la 2a quincena enero/14</v>
          </cell>
          <cell r="G473">
            <v>27900</v>
          </cell>
          <cell r="I473">
            <v>27900</v>
          </cell>
        </row>
        <row r="474">
          <cell r="C474" t="str">
            <v>G_P_Fin</v>
          </cell>
          <cell r="D474">
            <v>41647</v>
          </cell>
          <cell r="E474" t="str">
            <v>Alberto Augusto Fuentes Herrera</v>
          </cell>
          <cell r="F474" t="str">
            <v>Remanente identificador</v>
          </cell>
          <cell r="G474">
            <v>-0.46</v>
          </cell>
          <cell r="I474">
            <v>-0.46</v>
          </cell>
        </row>
        <row r="475">
          <cell r="C475" t="str">
            <v>G_P_Fin</v>
          </cell>
          <cell r="D475">
            <v>41653</v>
          </cell>
          <cell r="E475" t="str">
            <v>Familia Vega Sánchez C.</v>
          </cell>
          <cell r="F475" t="str">
            <v>Remanente identificador</v>
          </cell>
          <cell r="G475">
            <v>-0.28999999999999998</v>
          </cell>
          <cell r="I475">
            <v>-0.28999999999999998</v>
          </cell>
        </row>
        <row r="476">
          <cell r="B476" t="str">
            <v>N°</v>
          </cell>
          <cell r="C476" t="str">
            <v>clave</v>
          </cell>
          <cell r="D476" t="str">
            <v>fecha</v>
          </cell>
          <cell r="E476" t="str">
            <v>Beneficiario</v>
          </cell>
          <cell r="F476" t="str">
            <v>Concepto</v>
          </cell>
          <cell r="G476" t="str">
            <v>Gasto</v>
          </cell>
          <cell r="H476" t="str">
            <v>I.V.A.</v>
          </cell>
          <cell r="I476" t="str">
            <v>Total</v>
          </cell>
        </row>
        <row r="477">
          <cell r="C477" t="str">
            <v>G_AGUA</v>
          </cell>
          <cell r="D477">
            <v>41675</v>
          </cell>
          <cell r="E477" t="str">
            <v>Electropura, S. de R. L. de C. V.</v>
          </cell>
          <cell r="F477" t="str">
            <v>5 garrafones de agua</v>
          </cell>
          <cell r="G477">
            <v>150</v>
          </cell>
          <cell r="I477">
            <v>150</v>
          </cell>
        </row>
        <row r="478">
          <cell r="C478" t="str">
            <v>G_JDN</v>
          </cell>
          <cell r="D478">
            <v>41675</v>
          </cell>
          <cell r="E478" t="str">
            <v>Roberto Miranda</v>
          </cell>
          <cell r="F478" t="str">
            <v>Gratificación de recoger basura del parque 2a quincena enero</v>
          </cell>
          <cell r="G478">
            <v>200</v>
          </cell>
          <cell r="I478">
            <v>200</v>
          </cell>
        </row>
        <row r="479">
          <cell r="C479" t="str">
            <v>G_AGUA</v>
          </cell>
          <cell r="D479">
            <v>41680</v>
          </cell>
          <cell r="E479" t="str">
            <v>Electropura, S. de R. L. de C. V.</v>
          </cell>
          <cell r="F479" t="str">
            <v>1 garrafon de agua</v>
          </cell>
          <cell r="G479">
            <v>30</v>
          </cell>
          <cell r="I479">
            <v>30</v>
          </cell>
        </row>
        <row r="480">
          <cell r="C480" t="str">
            <v>G_P_FIN</v>
          </cell>
          <cell r="D480">
            <v>41680</v>
          </cell>
          <cell r="E480" t="str">
            <v>Banorte</v>
          </cell>
          <cell r="F480" t="str">
            <v>Com. Estado cta.</v>
          </cell>
          <cell r="G480">
            <v>30</v>
          </cell>
          <cell r="H480">
            <v>4.8</v>
          </cell>
          <cell r="I480">
            <v>34.799999999999997</v>
          </cell>
        </row>
        <row r="481">
          <cell r="C481" t="str">
            <v>G_TLF</v>
          </cell>
          <cell r="D481">
            <v>41681</v>
          </cell>
          <cell r="E481" t="str">
            <v>Teléfonos de México, S.A.B. de C.V.</v>
          </cell>
          <cell r="F481" t="str">
            <v>Pago Enero/14</v>
          </cell>
          <cell r="G481">
            <v>798</v>
          </cell>
          <cell r="I481">
            <v>798</v>
          </cell>
        </row>
        <row r="482">
          <cell r="C482" t="str">
            <v>G_PAPE</v>
          </cell>
          <cell r="D482">
            <v>41684</v>
          </cell>
          <cell r="E482" t="str">
            <v>Copifaz</v>
          </cell>
          <cell r="F482" t="str">
            <v>1800 Copias</v>
          </cell>
          <cell r="G482">
            <v>630</v>
          </cell>
          <cell r="I482">
            <v>630</v>
          </cell>
        </row>
        <row r="483">
          <cell r="C483" t="str">
            <v>G_NMNVG</v>
          </cell>
          <cell r="D483">
            <v>41685</v>
          </cell>
          <cell r="E483" t="str">
            <v>Guardias y Custodia Privadas Gama S.A. DE C.V.</v>
          </cell>
          <cell r="F483" t="str">
            <v>Pago servicio de vigilancia 1o al 15 Feb/14</v>
          </cell>
          <cell r="G483">
            <v>27900</v>
          </cell>
          <cell r="I483">
            <v>27900</v>
          </cell>
        </row>
        <row r="484">
          <cell r="C484" t="str">
            <v>G_NMNVG</v>
          </cell>
          <cell r="D484">
            <v>41685</v>
          </cell>
          <cell r="E484" t="str">
            <v>Artemio Mora Torres</v>
          </cell>
          <cell r="F484" t="str">
            <v>Pago correspondiente a la 1a quincena de Febrero/14</v>
          </cell>
          <cell r="G484">
            <v>3200</v>
          </cell>
          <cell r="I484">
            <v>3200</v>
          </cell>
        </row>
        <row r="485">
          <cell r="C485" t="str">
            <v>G_PAPE</v>
          </cell>
          <cell r="D485">
            <v>41687</v>
          </cell>
          <cell r="E485" t="str">
            <v>Office Max</v>
          </cell>
          <cell r="F485" t="str">
            <v>Material papeleria</v>
          </cell>
          <cell r="G485">
            <v>343.1</v>
          </cell>
          <cell r="H485">
            <v>54.9</v>
          </cell>
          <cell r="I485">
            <v>398</v>
          </cell>
        </row>
        <row r="486">
          <cell r="C486" t="str">
            <v>G_MTLPZ</v>
          </cell>
          <cell r="D486">
            <v>41687</v>
          </cell>
          <cell r="E486" t="str">
            <v>Nueva Walmart de Mexico, S de RL de CV.</v>
          </cell>
          <cell r="F486" t="str">
            <v>Material de limpieza</v>
          </cell>
          <cell r="G486">
            <v>253.7</v>
          </cell>
          <cell r="I486">
            <v>253.7</v>
          </cell>
        </row>
        <row r="487">
          <cell r="C487" t="str">
            <v>G_PAPE</v>
          </cell>
          <cell r="D487">
            <v>41687</v>
          </cell>
          <cell r="E487" t="str">
            <v>Office Depot de México, S. A. de C. V.</v>
          </cell>
          <cell r="F487" t="str">
            <v>Material papeleria</v>
          </cell>
          <cell r="G487">
            <v>351.72</v>
          </cell>
          <cell r="H487">
            <v>56.28</v>
          </cell>
          <cell r="I487">
            <v>408</v>
          </cell>
        </row>
        <row r="488">
          <cell r="C488" t="str">
            <v>G_AGUA</v>
          </cell>
          <cell r="D488">
            <v>41687</v>
          </cell>
          <cell r="E488" t="str">
            <v>Electropura, S. de R. L. de C. V.</v>
          </cell>
          <cell r="F488" t="str">
            <v>3 garrafones de agua</v>
          </cell>
          <cell r="G488">
            <v>90</v>
          </cell>
          <cell r="I488">
            <v>90</v>
          </cell>
        </row>
        <row r="489">
          <cell r="C489" t="str">
            <v>IVA</v>
          </cell>
          <cell r="D489">
            <v>41688</v>
          </cell>
          <cell r="E489" t="str">
            <v xml:space="preserve">SAT Servicio de Administración Triburaria </v>
          </cell>
          <cell r="F489" t="str">
            <v>Pago de retenciión de IVA del Colegio Carmel Mes Enero/14</v>
          </cell>
          <cell r="H489">
            <v>1600</v>
          </cell>
          <cell r="I489">
            <v>1600</v>
          </cell>
        </row>
        <row r="490">
          <cell r="C490" t="str">
            <v>G_ORG</v>
          </cell>
          <cell r="D490">
            <v>41689</v>
          </cell>
          <cell r="E490" t="str">
            <v xml:space="preserve">Gloria Mazzón </v>
          </cell>
          <cell r="F490" t="str">
            <v>Pago por concepto de captura de recibos de febrero/14</v>
          </cell>
          <cell r="G490">
            <v>400</v>
          </cell>
          <cell r="I490">
            <v>400</v>
          </cell>
        </row>
        <row r="491">
          <cell r="C491" t="str">
            <v>G_MTCYP</v>
          </cell>
          <cell r="D491">
            <v>41690</v>
          </cell>
          <cell r="E491" t="str">
            <v>Advanced Servicio de CCTV y Computo</v>
          </cell>
          <cell r="F491" t="str">
            <v>Cambio de diversos materiales electricos y electrónicos Zinamba</v>
          </cell>
          <cell r="G491">
            <v>2810</v>
          </cell>
          <cell r="I491">
            <v>2810</v>
          </cell>
        </row>
        <row r="492">
          <cell r="C492" t="str">
            <v>G_PAPE</v>
          </cell>
          <cell r="D492">
            <v>41690</v>
          </cell>
          <cell r="E492" t="str">
            <v>Office Depot de México, S. A. de C. V.</v>
          </cell>
          <cell r="F492" t="str">
            <v>Sobres manila y boligrafo</v>
          </cell>
          <cell r="G492">
            <v>163.44999999999999</v>
          </cell>
          <cell r="H492">
            <v>26.15</v>
          </cell>
          <cell r="I492">
            <v>189.6</v>
          </cell>
        </row>
        <row r="493">
          <cell r="C493" t="str">
            <v>G_HCTB</v>
          </cell>
          <cell r="D493">
            <v>41690</v>
          </cell>
          <cell r="E493" t="str">
            <v>Siegrist Contadores Publicos</v>
          </cell>
          <cell r="F493" t="str">
            <v>Honorarios profesionales Enero/14</v>
          </cell>
          <cell r="G493">
            <v>1000</v>
          </cell>
          <cell r="I493">
            <v>1000</v>
          </cell>
        </row>
        <row r="494">
          <cell r="C494" t="str">
            <v>G_DIF</v>
          </cell>
          <cell r="D494">
            <v>41690</v>
          </cell>
          <cell r="E494" t="str">
            <v>MD Gran Formato, S. A. de C. V.</v>
          </cell>
          <cell r="F494" t="str">
            <v xml:space="preserve">Impresión de Lona </v>
          </cell>
          <cell r="G494">
            <v>285.60000000000002</v>
          </cell>
          <cell r="H494">
            <v>45.7</v>
          </cell>
          <cell r="I494">
            <v>331.3</v>
          </cell>
        </row>
        <row r="495">
          <cell r="C495" t="str">
            <v>G_MTCST</v>
          </cell>
          <cell r="D495">
            <v>41690</v>
          </cell>
          <cell r="E495" t="str">
            <v>Olegario Vázquez</v>
          </cell>
          <cell r="F495" t="str">
            <v>Pintura interior en la caseta de Romeral</v>
          </cell>
          <cell r="G495">
            <v>300</v>
          </cell>
          <cell r="I495">
            <v>300</v>
          </cell>
        </row>
        <row r="496">
          <cell r="C496" t="str">
            <v>G_PAPE</v>
          </cell>
          <cell r="D496">
            <v>41691</v>
          </cell>
          <cell r="E496" t="str">
            <v>Copifaz</v>
          </cell>
          <cell r="F496" t="str">
            <v>450 Copias</v>
          </cell>
          <cell r="G496">
            <v>135</v>
          </cell>
          <cell r="I496">
            <v>135</v>
          </cell>
        </row>
        <row r="497">
          <cell r="C497" t="str">
            <v>G_PAPE</v>
          </cell>
          <cell r="D497">
            <v>41694</v>
          </cell>
          <cell r="E497" t="str">
            <v>P..kas</v>
          </cell>
          <cell r="F497" t="str">
            <v>Marcador</v>
          </cell>
          <cell r="G497">
            <v>22</v>
          </cell>
          <cell r="I497">
            <v>22</v>
          </cell>
        </row>
        <row r="498">
          <cell r="C498" t="str">
            <v>G_P_FIN</v>
          </cell>
          <cell r="D498">
            <v>41695</v>
          </cell>
          <cell r="E498" t="str">
            <v>Banorte</v>
          </cell>
          <cell r="F498" t="str">
            <v>Com. Estado cta.</v>
          </cell>
          <cell r="G498">
            <v>30</v>
          </cell>
          <cell r="H498">
            <v>4.8</v>
          </cell>
          <cell r="I498">
            <v>34.799999999999997</v>
          </cell>
        </row>
        <row r="499">
          <cell r="C499" t="str">
            <v>G_MTPTA</v>
          </cell>
          <cell r="D499">
            <v>41696</v>
          </cell>
          <cell r="E499" t="str">
            <v>Horacio Campos</v>
          </cell>
          <cell r="F499" t="str">
            <v>Apertura de chapa y reparación de la misma</v>
          </cell>
          <cell r="G499">
            <v>700</v>
          </cell>
          <cell r="I499">
            <v>700</v>
          </cell>
        </row>
        <row r="500">
          <cell r="C500" t="str">
            <v>G_PAPE</v>
          </cell>
          <cell r="D500">
            <v>41697</v>
          </cell>
          <cell r="E500" t="str">
            <v>Copifaz</v>
          </cell>
          <cell r="F500" t="str">
            <v>22 copias</v>
          </cell>
          <cell r="G500">
            <v>7.5</v>
          </cell>
          <cell r="I500">
            <v>7.5</v>
          </cell>
        </row>
        <row r="501">
          <cell r="C501" t="str">
            <v>G_P_FIN</v>
          </cell>
          <cell r="D501">
            <v>41698</v>
          </cell>
          <cell r="E501" t="str">
            <v>Banorte</v>
          </cell>
          <cell r="F501" t="str">
            <v>Com. Ch. exped.</v>
          </cell>
          <cell r="G501">
            <v>24</v>
          </cell>
          <cell r="H501">
            <v>3.84</v>
          </cell>
          <cell r="I501">
            <v>27.84</v>
          </cell>
        </row>
        <row r="502">
          <cell r="C502" t="str">
            <v>G_NMNVG</v>
          </cell>
          <cell r="D502">
            <v>41698</v>
          </cell>
          <cell r="E502" t="str">
            <v>Artemio Mora Torres</v>
          </cell>
          <cell r="F502" t="str">
            <v>Pago correspondiente a la 2a quincena febrero/14</v>
          </cell>
          <cell r="G502">
            <v>3200</v>
          </cell>
          <cell r="I502">
            <v>3200</v>
          </cell>
        </row>
        <row r="503">
          <cell r="C503" t="str">
            <v>G_NMNVG</v>
          </cell>
          <cell r="D503">
            <v>41698</v>
          </cell>
          <cell r="E503" t="str">
            <v>Guardias y Custodia Privadas Gama S.A. DE C.V.</v>
          </cell>
          <cell r="F503" t="str">
            <v>Correspondiente al pago de la 2a quincena de febrero/14</v>
          </cell>
          <cell r="G503">
            <v>27900</v>
          </cell>
          <cell r="I503">
            <v>27900</v>
          </cell>
        </row>
        <row r="504">
          <cell r="C504" t="str">
            <v>G_AGUA</v>
          </cell>
          <cell r="D504">
            <v>41698</v>
          </cell>
          <cell r="E504" t="str">
            <v>Electropura, S. de R. L. de C. V.</v>
          </cell>
          <cell r="F504" t="str">
            <v>3 garrafones de agua</v>
          </cell>
          <cell r="G504">
            <v>90</v>
          </cell>
          <cell r="I504">
            <v>90</v>
          </cell>
        </row>
        <row r="505">
          <cell r="C505" t="str">
            <v>G_JDN</v>
          </cell>
          <cell r="D505">
            <v>41698</v>
          </cell>
          <cell r="E505" t="str">
            <v>Roberto Miranda</v>
          </cell>
          <cell r="F505" t="str">
            <v>Gratificación por recoger basura dell parque y barrer calles 2aQ</v>
          </cell>
          <cell r="G505">
            <v>200</v>
          </cell>
          <cell r="I505">
            <v>200</v>
          </cell>
        </row>
        <row r="506">
          <cell r="C506" t="str">
            <v>G_DIF</v>
          </cell>
          <cell r="D506">
            <v>41698</v>
          </cell>
          <cell r="E506" t="str">
            <v>Orange Bee</v>
          </cell>
          <cell r="F506" t="str">
            <v>2 Mantas para colocar en las puertas de entrada y salida</v>
          </cell>
          <cell r="G506">
            <v>375</v>
          </cell>
          <cell r="H506">
            <v>60</v>
          </cell>
          <cell r="I506">
            <v>435</v>
          </cell>
        </row>
        <row r="507">
          <cell r="C507" t="str">
            <v>G_P_Fin</v>
          </cell>
          <cell r="D507">
            <v>41675</v>
          </cell>
          <cell r="E507" t="str">
            <v>Alberto Augusto Fuentes Herrera</v>
          </cell>
          <cell r="F507" t="str">
            <v>Remanente identificador</v>
          </cell>
          <cell r="G507">
            <v>-0.46</v>
          </cell>
          <cell r="I507">
            <v>-0.46</v>
          </cell>
        </row>
        <row r="508">
          <cell r="C508" t="str">
            <v>IVA</v>
          </cell>
          <cell r="D508">
            <v>41680</v>
          </cell>
          <cell r="E508" t="str">
            <v>Colegio Carmel</v>
          </cell>
          <cell r="F508" t="str">
            <v>I.V.A. sobre cuota de mantenimiento</v>
          </cell>
          <cell r="H508">
            <v>-1600</v>
          </cell>
          <cell r="I508">
            <v>-1600</v>
          </cell>
        </row>
        <row r="509">
          <cell r="C509" t="str">
            <v>G_P_Fin</v>
          </cell>
          <cell r="D509">
            <v>41695</v>
          </cell>
          <cell r="E509" t="str">
            <v>Banorte</v>
          </cell>
          <cell r="F509" t="str">
            <v>Comisión e I.V.A. por cheques expedidos</v>
          </cell>
          <cell r="G509">
            <v>30</v>
          </cell>
          <cell r="H509">
            <v>4.8</v>
          </cell>
          <cell r="I509">
            <v>34.799999999999997</v>
          </cell>
        </row>
        <row r="510">
          <cell r="C510" t="str">
            <v>IVA</v>
          </cell>
          <cell r="D510">
            <v>41695</v>
          </cell>
          <cell r="E510" t="str">
            <v>Colegio Carmel</v>
          </cell>
          <cell r="F510" t="str">
            <v>I.V.A. sobre cuota de mantenimiento</v>
          </cell>
          <cell r="H510">
            <v>-1600</v>
          </cell>
          <cell r="I510">
            <v>-1600</v>
          </cell>
        </row>
        <row r="511">
          <cell r="B511" t="str">
            <v>N°</v>
          </cell>
          <cell r="C511" t="str">
            <v>clave</v>
          </cell>
          <cell r="D511" t="str">
            <v>fecha</v>
          </cell>
          <cell r="E511" t="str">
            <v>Beneficiario</v>
          </cell>
          <cell r="F511" t="str">
            <v>Concepto</v>
          </cell>
          <cell r="G511" t="str">
            <v>Gasto</v>
          </cell>
          <cell r="H511" t="str">
            <v>I.V.A.</v>
          </cell>
          <cell r="I511" t="str">
            <v>Total</v>
          </cell>
        </row>
        <row r="512">
          <cell r="C512" t="str">
            <v>G_MTLPZ</v>
          </cell>
          <cell r="D512">
            <v>41699</v>
          </cell>
          <cell r="E512" t="str">
            <v>Costco de México, S.A. de C.V.</v>
          </cell>
          <cell r="F512" t="str">
            <v>Escoba c/recogedor, bolsas de plastico</v>
          </cell>
          <cell r="G512">
            <v>317.5</v>
          </cell>
          <cell r="I512">
            <v>317.5</v>
          </cell>
        </row>
        <row r="513">
          <cell r="C513" t="str">
            <v>G_ADQ</v>
          </cell>
          <cell r="D513">
            <v>41699</v>
          </cell>
          <cell r="E513" t="str">
            <v>Advanced Servicio de CCTV y Computo</v>
          </cell>
          <cell r="F513" t="str">
            <v>Programación de tarjetas TAG acceso vehicular</v>
          </cell>
          <cell r="G513">
            <v>3600</v>
          </cell>
          <cell r="I513">
            <v>3600</v>
          </cell>
        </row>
        <row r="514">
          <cell r="C514" t="str">
            <v>G_MTCST</v>
          </cell>
          <cell r="D514">
            <v>41701</v>
          </cell>
          <cell r="E514" t="str">
            <v>Ferreteria Eléctrica Díaz</v>
          </cell>
          <cell r="F514" t="str">
            <v>Llave manguera 1/2 y manija wc</v>
          </cell>
          <cell r="G514">
            <v>68.5</v>
          </cell>
          <cell r="I514">
            <v>68.5</v>
          </cell>
        </row>
        <row r="515">
          <cell r="C515" t="str">
            <v>G_MTCYP</v>
          </cell>
          <cell r="D515">
            <v>41701</v>
          </cell>
          <cell r="E515" t="str">
            <v>Baldemar Sala Bay</v>
          </cell>
          <cell r="F515" t="str">
            <v>Pago del fraude cometido por el Ing Peláez a Baldemar Sala</v>
          </cell>
          <cell r="G515">
            <v>9443</v>
          </cell>
          <cell r="I515">
            <v>9443</v>
          </cell>
        </row>
        <row r="516">
          <cell r="C516" t="str">
            <v>G_AGUA</v>
          </cell>
          <cell r="D516">
            <v>41703</v>
          </cell>
          <cell r="E516" t="str">
            <v>Electropura, S. de R. L. de C. V.</v>
          </cell>
          <cell r="F516" t="str">
            <v>Compra de 2 garrafones</v>
          </cell>
          <cell r="G516">
            <v>60</v>
          </cell>
          <cell r="I516">
            <v>60</v>
          </cell>
        </row>
        <row r="517">
          <cell r="C517" t="str">
            <v>G_PAPE</v>
          </cell>
          <cell r="D517">
            <v>41705</v>
          </cell>
          <cell r="E517" t="str">
            <v>Copifaz</v>
          </cell>
          <cell r="F517" t="str">
            <v>190 copias</v>
          </cell>
          <cell r="G517">
            <v>57</v>
          </cell>
          <cell r="I517">
            <v>57</v>
          </cell>
        </row>
        <row r="518">
          <cell r="C518" t="str">
            <v>G_ORG</v>
          </cell>
          <cell r="D518">
            <v>41708</v>
          </cell>
          <cell r="E518" t="str">
            <v xml:space="preserve">Gloria Mazzón </v>
          </cell>
          <cell r="F518" t="str">
            <v>Pago por concepto de captura del 3 a 7 del mes de marzo/14</v>
          </cell>
          <cell r="G518">
            <v>400</v>
          </cell>
          <cell r="I518">
            <v>400</v>
          </cell>
        </row>
        <row r="519">
          <cell r="C519" t="str">
            <v>G_MTLPZ</v>
          </cell>
          <cell r="D519">
            <v>41711</v>
          </cell>
          <cell r="E519" t="str">
            <v>Comercial Mexicana</v>
          </cell>
          <cell r="F519" t="str">
            <v>Compra accesrios de limpieza</v>
          </cell>
          <cell r="G519">
            <v>134.61000000000001</v>
          </cell>
          <cell r="H519">
            <v>21.54</v>
          </cell>
          <cell r="I519">
            <v>156.15</v>
          </cell>
        </row>
        <row r="520">
          <cell r="C520" t="str">
            <v>G_TLF</v>
          </cell>
          <cell r="D520">
            <v>41711</v>
          </cell>
          <cell r="E520" t="str">
            <v>Teléfonos de México, S.A.B. de C.V.</v>
          </cell>
          <cell r="F520" t="str">
            <v>Pago mes de febrerol/14</v>
          </cell>
          <cell r="G520">
            <v>786</v>
          </cell>
          <cell r="I520">
            <v>786</v>
          </cell>
        </row>
        <row r="521">
          <cell r="C521" t="str">
            <v>G_VRS</v>
          </cell>
          <cell r="D521">
            <v>41711</v>
          </cell>
          <cell r="E521" t="str">
            <v>Home Depot México, S. de R. L. de C. V.</v>
          </cell>
          <cell r="F521" t="str">
            <v>Compra de 4 sillas y 1 mesa</v>
          </cell>
          <cell r="G521">
            <v>833.62</v>
          </cell>
          <cell r="H521">
            <v>133.38</v>
          </cell>
          <cell r="I521">
            <v>967</v>
          </cell>
        </row>
        <row r="522">
          <cell r="C522" t="str">
            <v>G_P_FIN</v>
          </cell>
          <cell r="D522">
            <v>41712</v>
          </cell>
          <cell r="E522" t="str">
            <v>Banorte</v>
          </cell>
          <cell r="F522" t="str">
            <v>Comisión edo. De cta.</v>
          </cell>
          <cell r="G522">
            <v>30</v>
          </cell>
          <cell r="H522">
            <v>4.8</v>
          </cell>
          <cell r="I522">
            <v>34.799999999999997</v>
          </cell>
        </row>
        <row r="523">
          <cell r="C523" t="str">
            <v>G_P_FIN</v>
          </cell>
          <cell r="D523">
            <v>41712</v>
          </cell>
          <cell r="E523" t="str">
            <v>Banorte</v>
          </cell>
          <cell r="F523" t="str">
            <v>Comisión copia de cheque</v>
          </cell>
          <cell r="G523">
            <v>21.74</v>
          </cell>
          <cell r="H523">
            <v>3.47</v>
          </cell>
          <cell r="I523">
            <v>25.209999999999997</v>
          </cell>
        </row>
        <row r="524">
          <cell r="C524" t="str">
            <v>G_P_FIN</v>
          </cell>
          <cell r="D524">
            <v>41712</v>
          </cell>
          <cell r="E524" t="str">
            <v>Banorte</v>
          </cell>
          <cell r="F524" t="str">
            <v>Comisión copia de cheque</v>
          </cell>
          <cell r="G524">
            <v>21.74</v>
          </cell>
          <cell r="H524">
            <v>3.47</v>
          </cell>
          <cell r="I524">
            <v>25.209999999999997</v>
          </cell>
        </row>
        <row r="525">
          <cell r="C525" t="str">
            <v>G_AGUA</v>
          </cell>
          <cell r="D525">
            <v>41712</v>
          </cell>
          <cell r="E525" t="str">
            <v>Electropura, S. de R. L. de C. V.</v>
          </cell>
          <cell r="F525" t="str">
            <v>Compra de 4 garrafones</v>
          </cell>
          <cell r="G525">
            <v>120</v>
          </cell>
          <cell r="I525">
            <v>120</v>
          </cell>
        </row>
        <row r="526">
          <cell r="C526" t="str">
            <v>G_NMNVG</v>
          </cell>
          <cell r="D526">
            <v>41713</v>
          </cell>
          <cell r="E526" t="str">
            <v>Artemio Mora Torres</v>
          </cell>
          <cell r="F526" t="str">
            <v>Pago correspondiente del 1a quincena de marzo/14</v>
          </cell>
          <cell r="G526">
            <v>3200</v>
          </cell>
          <cell r="I526">
            <v>3200</v>
          </cell>
        </row>
        <row r="527">
          <cell r="C527" t="str">
            <v>G_NMNVG</v>
          </cell>
          <cell r="D527">
            <v>41714</v>
          </cell>
          <cell r="E527" t="str">
            <v>Guardias y Custodia Privadas Gama S.A. DE C.V.</v>
          </cell>
          <cell r="F527" t="str">
            <v>Correspondiente al pago de la 1 a quincena de Marzo/14</v>
          </cell>
          <cell r="G527">
            <v>27900</v>
          </cell>
          <cell r="H527">
            <v>0</v>
          </cell>
          <cell r="I527">
            <v>27900</v>
          </cell>
        </row>
        <row r="528">
          <cell r="C528" t="str">
            <v>G_JDN</v>
          </cell>
          <cell r="D528">
            <v>41715</v>
          </cell>
          <cell r="E528" t="str">
            <v>Roberto Miranda</v>
          </cell>
          <cell r="F528" t="str">
            <v>Gratificación  de limpieza parque</v>
          </cell>
          <cell r="G528">
            <v>200</v>
          </cell>
          <cell r="I528">
            <v>200</v>
          </cell>
        </row>
        <row r="529">
          <cell r="C529" t="str">
            <v>G_MTCST</v>
          </cell>
          <cell r="D529">
            <v>41715</v>
          </cell>
          <cell r="E529" t="str">
            <v>Comercializadora CASPIN, S. A. de C.V.</v>
          </cell>
          <cell r="F529" t="str">
            <v>Pinturas de las 2 casetas</v>
          </cell>
          <cell r="G529">
            <v>1622.41</v>
          </cell>
          <cell r="H529">
            <v>259.58999999999997</v>
          </cell>
          <cell r="I529">
            <v>1882</v>
          </cell>
        </row>
        <row r="530">
          <cell r="C530" t="str">
            <v>G_PAPE</v>
          </cell>
          <cell r="D530">
            <v>41718</v>
          </cell>
          <cell r="E530" t="str">
            <v>Copifaz</v>
          </cell>
          <cell r="F530" t="str">
            <v>930 Copias</v>
          </cell>
          <cell r="G530">
            <v>322</v>
          </cell>
          <cell r="I530">
            <v>322</v>
          </cell>
        </row>
        <row r="531">
          <cell r="C531" t="str">
            <v>G_MTPTA</v>
          </cell>
          <cell r="D531">
            <v>41718</v>
          </cell>
          <cell r="E531" t="str">
            <v>Horacio Campos</v>
          </cell>
          <cell r="F531" t="str">
            <v>Apertura de chapa y reparación de la misma</v>
          </cell>
          <cell r="G531">
            <v>700</v>
          </cell>
          <cell r="I531">
            <v>700</v>
          </cell>
        </row>
        <row r="532">
          <cell r="C532" t="str">
            <v>G_ORG</v>
          </cell>
          <cell r="D532">
            <v>41719</v>
          </cell>
          <cell r="E532" t="str">
            <v xml:space="preserve">Gloria Mazzón </v>
          </cell>
          <cell r="F532" t="str">
            <v>Pago por concepto de captura del 17 al 21 del  mes de marzo/14</v>
          </cell>
          <cell r="G532">
            <v>400</v>
          </cell>
          <cell r="I532">
            <v>400</v>
          </cell>
        </row>
        <row r="533">
          <cell r="C533" t="str">
            <v>IVA</v>
          </cell>
          <cell r="D533">
            <v>41719</v>
          </cell>
          <cell r="E533" t="str">
            <v xml:space="preserve">SAT Servicio de Administración Triburaria </v>
          </cell>
          <cell r="F533" t="str">
            <v>Pago de retenciión de IVA del Colegio Carmel Mes Feb/14</v>
          </cell>
          <cell r="H533">
            <v>1600</v>
          </cell>
          <cell r="I533">
            <v>1600</v>
          </cell>
        </row>
        <row r="534">
          <cell r="C534" t="str">
            <v>G_MTCYP</v>
          </cell>
          <cell r="D534">
            <v>41719</v>
          </cell>
          <cell r="E534" t="str">
            <v>Advanced Servicio de CCTV y Computo</v>
          </cell>
          <cell r="F534" t="str">
            <v>Inventario de 4 Circuitos de CCTV</v>
          </cell>
          <cell r="G534">
            <v>3600</v>
          </cell>
          <cell r="I534">
            <v>3600</v>
          </cell>
        </row>
        <row r="535">
          <cell r="C535" t="str">
            <v>G_PAPE</v>
          </cell>
          <cell r="D535">
            <v>41720</v>
          </cell>
          <cell r="E535" t="str">
            <v>Office Depot de México, S. A. de C. V.</v>
          </cell>
          <cell r="F535" t="str">
            <v>Compra de sobres</v>
          </cell>
          <cell r="G535">
            <v>162.85</v>
          </cell>
          <cell r="H535">
            <v>26.05</v>
          </cell>
          <cell r="I535">
            <v>188.9</v>
          </cell>
        </row>
        <row r="536">
          <cell r="C536" t="str">
            <v>G_PAPE</v>
          </cell>
          <cell r="D536">
            <v>41720</v>
          </cell>
          <cell r="E536" t="str">
            <v>Office Depot de México, S. A. de C. V.</v>
          </cell>
          <cell r="F536" t="str">
            <v>Compra de Cartuchos para impresora Epeson</v>
          </cell>
          <cell r="G536">
            <v>412.06</v>
          </cell>
          <cell r="H536">
            <v>65.94</v>
          </cell>
          <cell r="I536">
            <v>478</v>
          </cell>
        </row>
        <row r="537">
          <cell r="C537" t="str">
            <v>G_AGUA</v>
          </cell>
          <cell r="D537">
            <v>41721</v>
          </cell>
          <cell r="E537" t="str">
            <v>Cadena Comercial Oxxo, S. A. de C. V.</v>
          </cell>
          <cell r="F537" t="str">
            <v>Compra de 1 Garrafon</v>
          </cell>
          <cell r="G537">
            <v>32</v>
          </cell>
          <cell r="I537">
            <v>32</v>
          </cell>
        </row>
        <row r="538">
          <cell r="C538" t="str">
            <v>G_MTCYP</v>
          </cell>
          <cell r="D538">
            <v>41723</v>
          </cell>
          <cell r="E538" t="str">
            <v>Advanced Servicio de CCTV y Computo</v>
          </cell>
          <cell r="F538" t="str">
            <v>Levanta Inventario de camaras y reporte</v>
          </cell>
          <cell r="G538">
            <v>1000</v>
          </cell>
          <cell r="I538">
            <v>1000</v>
          </cell>
        </row>
        <row r="539">
          <cell r="C539" t="str">
            <v>G_PAPE</v>
          </cell>
          <cell r="D539">
            <v>41723</v>
          </cell>
          <cell r="E539" t="str">
            <v>P..kas</v>
          </cell>
          <cell r="F539" t="str">
            <v>Papeleria</v>
          </cell>
          <cell r="G539">
            <v>31</v>
          </cell>
          <cell r="I539">
            <v>31</v>
          </cell>
        </row>
        <row r="540">
          <cell r="C540" t="str">
            <v>G_AGUA</v>
          </cell>
          <cell r="D540">
            <v>41724</v>
          </cell>
          <cell r="E540" t="str">
            <v>Electropura, S. de R.L. de C.V.</v>
          </cell>
          <cell r="F540" t="str">
            <v>Compra de 4 garrafones</v>
          </cell>
          <cell r="G540">
            <v>120</v>
          </cell>
          <cell r="I540">
            <v>120</v>
          </cell>
        </row>
        <row r="541">
          <cell r="C541" t="str">
            <v>G_ORG</v>
          </cell>
          <cell r="D541">
            <v>41724</v>
          </cell>
          <cell r="E541" t="str">
            <v xml:space="preserve">Gloria Mazzón </v>
          </cell>
          <cell r="F541" t="str">
            <v>Pago por concepto de captura del 24 al 26 del mes de marzo</v>
          </cell>
          <cell r="G541">
            <v>200</v>
          </cell>
          <cell r="I541">
            <v>200</v>
          </cell>
        </row>
        <row r="542">
          <cell r="C542" t="str">
            <v>G_HCTB</v>
          </cell>
          <cell r="D542">
            <v>41724</v>
          </cell>
          <cell r="E542" t="str">
            <v>Siegrist Contadores Publicos</v>
          </cell>
          <cell r="F542" t="str">
            <v>Honorarios profesionales febrero/14</v>
          </cell>
          <cell r="G542">
            <v>862.07</v>
          </cell>
          <cell r="H542">
            <v>137.93</v>
          </cell>
          <cell r="I542">
            <v>1000</v>
          </cell>
        </row>
        <row r="543">
          <cell r="C543" t="str">
            <v>G_PAPE</v>
          </cell>
          <cell r="D543">
            <v>41725</v>
          </cell>
          <cell r="E543" t="str">
            <v>P.,Kas</v>
          </cell>
          <cell r="F543" t="str">
            <v>Papeleria</v>
          </cell>
          <cell r="G543">
            <v>28</v>
          </cell>
          <cell r="I543">
            <v>28</v>
          </cell>
        </row>
        <row r="544">
          <cell r="C544" t="str">
            <v>G_PAPE</v>
          </cell>
          <cell r="D544">
            <v>41725</v>
          </cell>
          <cell r="E544" t="str">
            <v>Copifaz</v>
          </cell>
          <cell r="F544" t="str">
            <v>450 Copias</v>
          </cell>
          <cell r="G544">
            <v>135</v>
          </cell>
          <cell r="I544">
            <v>135</v>
          </cell>
        </row>
        <row r="545">
          <cell r="C545" t="str">
            <v>G_MTCYP</v>
          </cell>
          <cell r="D545">
            <v>41726</v>
          </cell>
          <cell r="E545" t="str">
            <v>Ferreteria Eléctrica Díaz</v>
          </cell>
          <cell r="F545" t="str">
            <v>Una Basa chincho</v>
          </cell>
          <cell r="G545">
            <v>17.5</v>
          </cell>
          <cell r="I545">
            <v>17.5</v>
          </cell>
        </row>
        <row r="546">
          <cell r="C546" t="str">
            <v>G_MTCYP</v>
          </cell>
          <cell r="D546">
            <v>41726</v>
          </cell>
          <cell r="E546" t="str">
            <v>Repadigital S.A. de C.V.</v>
          </cell>
          <cell r="F546" t="str">
            <v xml:space="preserve">Compra de material </v>
          </cell>
          <cell r="G546">
            <v>1000</v>
          </cell>
          <cell r="I546">
            <v>1000</v>
          </cell>
        </row>
        <row r="547">
          <cell r="C547" t="str">
            <v>G_PAPE</v>
          </cell>
          <cell r="D547">
            <v>41727</v>
          </cell>
          <cell r="E547" t="str">
            <v>Office Depot de México, S.A. de C.V.</v>
          </cell>
          <cell r="F547" t="str">
            <v>Compra de Cartucho para impresora Epeson</v>
          </cell>
          <cell r="G547">
            <v>291.38</v>
          </cell>
          <cell r="H547">
            <v>46.62</v>
          </cell>
          <cell r="I547">
            <v>338</v>
          </cell>
        </row>
        <row r="548">
          <cell r="C548" t="str">
            <v>G_TRSP</v>
          </cell>
          <cell r="D548">
            <v>41727</v>
          </cell>
          <cell r="E548" t="str">
            <v>Ciclo Vida</v>
          </cell>
          <cell r="F548" t="str">
            <v>Servicios mecanicos de mantenimiento, pintura y reconstrucción</v>
          </cell>
          <cell r="G548">
            <v>2758.62</v>
          </cell>
          <cell r="H548">
            <v>441.38</v>
          </cell>
          <cell r="I548">
            <v>3200</v>
          </cell>
        </row>
        <row r="549">
          <cell r="C549" t="str">
            <v>G_P_FIN</v>
          </cell>
          <cell r="D549">
            <v>41729</v>
          </cell>
          <cell r="E549" t="str">
            <v>Banorte</v>
          </cell>
          <cell r="F549" t="str">
            <v>Comisión Cheque expedido</v>
          </cell>
          <cell r="G549">
            <v>16</v>
          </cell>
          <cell r="H549">
            <v>2.56</v>
          </cell>
          <cell r="I549">
            <v>18.559999999999999</v>
          </cell>
        </row>
        <row r="550">
          <cell r="C550" t="str">
            <v>G_MTCST</v>
          </cell>
          <cell r="D550">
            <v>41729</v>
          </cell>
          <cell r="E550" t="str">
            <v>Esteban Alejo</v>
          </cell>
          <cell r="F550" t="str">
            <v>A/C De trabajos de pintura en casetas</v>
          </cell>
          <cell r="G550">
            <v>500</v>
          </cell>
          <cell r="I550">
            <v>500</v>
          </cell>
        </row>
        <row r="551">
          <cell r="C551" t="str">
            <v>G_NMNVG</v>
          </cell>
          <cell r="D551">
            <v>41729</v>
          </cell>
          <cell r="E551" t="str">
            <v>Artemio Mora Torres</v>
          </cell>
          <cell r="F551" t="str">
            <v>Pago correspondiente al la 2 da. Quincena de Marzo/14</v>
          </cell>
          <cell r="G551">
            <v>3200</v>
          </cell>
          <cell r="I551">
            <v>3200</v>
          </cell>
        </row>
        <row r="552">
          <cell r="C552" t="str">
            <v>G_NMNVG</v>
          </cell>
          <cell r="D552">
            <v>41729</v>
          </cell>
          <cell r="E552" t="str">
            <v>Guardias y Custodia Privadas Gama S.A. DE C.V.</v>
          </cell>
          <cell r="F552" t="str">
            <v>Correspondiente al pago de la 2a Quincena de Marzo/14</v>
          </cell>
          <cell r="G552">
            <v>27900</v>
          </cell>
          <cell r="I552">
            <v>27900</v>
          </cell>
        </row>
        <row r="553">
          <cell r="C553" t="str">
            <v>IVA</v>
          </cell>
          <cell r="D553">
            <v>41722</v>
          </cell>
          <cell r="E553" t="str">
            <v>Colegio Carmel</v>
          </cell>
          <cell r="F553" t="str">
            <v>I.V.A. sobre cuota de mantenimiento</v>
          </cell>
          <cell r="H553">
            <v>-1600</v>
          </cell>
          <cell r="I553">
            <v>-1600</v>
          </cell>
        </row>
        <row r="554">
          <cell r="C554" t="str">
            <v>G_P_Fin</v>
          </cell>
          <cell r="D554">
            <v>41729</v>
          </cell>
          <cell r="E554" t="str">
            <v>Banorte</v>
          </cell>
          <cell r="F554" t="str">
            <v>Comisión e I.V.A. por cheques expedidos</v>
          </cell>
          <cell r="G554">
            <v>16</v>
          </cell>
          <cell r="H554">
            <v>2.56</v>
          </cell>
          <cell r="I554">
            <v>18.559999999999999</v>
          </cell>
        </row>
        <row r="555">
          <cell r="B555" t="str">
            <v>N°</v>
          </cell>
          <cell r="C555" t="str">
            <v>clave</v>
          </cell>
          <cell r="D555" t="str">
            <v>fecha</v>
          </cell>
          <cell r="E555" t="str">
            <v>Beneficiario</v>
          </cell>
          <cell r="F555" t="str">
            <v>Concepto</v>
          </cell>
          <cell r="G555" t="str">
            <v>Gasto</v>
          </cell>
          <cell r="H555" t="str">
            <v>I.V.A.</v>
          </cell>
          <cell r="I555" t="str">
            <v>Total</v>
          </cell>
        </row>
        <row r="556">
          <cell r="C556" t="str">
            <v>G_ADQ</v>
          </cell>
          <cell r="D556">
            <v>41730</v>
          </cell>
          <cell r="E556" t="str">
            <v>Sistemas de Segridad Electronica</v>
          </cell>
          <cell r="F556" t="str">
            <v>50 Tarjetas Procord</v>
          </cell>
          <cell r="G556">
            <v>5000</v>
          </cell>
          <cell r="I556">
            <v>5000</v>
          </cell>
        </row>
        <row r="557">
          <cell r="C557" t="str">
            <v>G_DIF</v>
          </cell>
          <cell r="D557">
            <v>41730</v>
          </cell>
          <cell r="E557" t="str">
            <v>Orange Bee, S.A. P I  de C.V.</v>
          </cell>
          <cell r="F557" t="str">
            <v>Lona de información para los vecinos</v>
          </cell>
          <cell r="G557">
            <v>209</v>
          </cell>
          <cell r="H557">
            <v>33.44</v>
          </cell>
          <cell r="I557">
            <v>242.44</v>
          </cell>
        </row>
        <row r="558">
          <cell r="C558" t="str">
            <v>G_JDN</v>
          </cell>
          <cell r="D558">
            <v>41731</v>
          </cell>
          <cell r="E558" t="str">
            <v>Florería Lupita</v>
          </cell>
          <cell r="F558" t="str">
            <v>Encalado de arboles, poda del pasto y arboles, abono parque.</v>
          </cell>
          <cell r="G558">
            <v>11000</v>
          </cell>
          <cell r="I558">
            <v>11000</v>
          </cell>
        </row>
        <row r="559">
          <cell r="C559" t="str">
            <v>G_JDN</v>
          </cell>
          <cell r="D559">
            <v>41731</v>
          </cell>
          <cell r="E559" t="str">
            <v>Roberto Miranda</v>
          </cell>
          <cell r="F559" t="str">
            <v>Gratificación por recoger basura del parque y barrer ambas calles</v>
          </cell>
          <cell r="G559">
            <v>200</v>
          </cell>
          <cell r="I559">
            <v>200</v>
          </cell>
        </row>
        <row r="560">
          <cell r="C560" t="str">
            <v>G_AGUA</v>
          </cell>
          <cell r="D560">
            <v>41731</v>
          </cell>
          <cell r="E560" t="str">
            <v>Electropura, S de R.L. de C.V.</v>
          </cell>
          <cell r="F560" t="str">
            <v>2 garrafones de agua.</v>
          </cell>
          <cell r="G560">
            <v>60</v>
          </cell>
          <cell r="I560">
            <v>60</v>
          </cell>
        </row>
        <row r="561">
          <cell r="C561" t="str">
            <v>G_PAPE</v>
          </cell>
          <cell r="D561">
            <v>41733</v>
          </cell>
          <cell r="E561" t="str">
            <v>Copifaz</v>
          </cell>
          <cell r="F561" t="str">
            <v>460 copias</v>
          </cell>
          <cell r="G561">
            <v>138</v>
          </cell>
          <cell r="I561">
            <v>138</v>
          </cell>
        </row>
        <row r="562">
          <cell r="C562" t="str">
            <v>G_ORG</v>
          </cell>
          <cell r="D562">
            <v>41733</v>
          </cell>
          <cell r="E562" t="str">
            <v xml:space="preserve">Gloria Mazzón </v>
          </cell>
          <cell r="F562" t="str">
            <v>Pago por concepto de captura del 31/Marzo al 04/Abril/14</v>
          </cell>
          <cell r="G562">
            <v>400</v>
          </cell>
          <cell r="I562">
            <v>400</v>
          </cell>
        </row>
        <row r="563">
          <cell r="C563" t="str">
            <v>G_MTCYP</v>
          </cell>
          <cell r="D563">
            <v>41734</v>
          </cell>
          <cell r="E563" t="str">
            <v>Electronica Graly</v>
          </cell>
          <cell r="F563" t="str">
            <v>Compra de transeptore de video y un gabinete p/DVR asus</v>
          </cell>
          <cell r="G563">
            <v>1200</v>
          </cell>
          <cell r="I563">
            <v>1200</v>
          </cell>
        </row>
        <row r="564">
          <cell r="C564" t="str">
            <v>G_MTLPZ</v>
          </cell>
          <cell r="D564">
            <v>41735</v>
          </cell>
          <cell r="E564" t="str">
            <v>Nueva Walmart de Mexico, S de RL de CV.</v>
          </cell>
          <cell r="F564" t="str">
            <v>Compra de productos de limpieza</v>
          </cell>
          <cell r="G564">
            <v>139.69999999999999</v>
          </cell>
          <cell r="I564">
            <v>139.69999999999999</v>
          </cell>
        </row>
        <row r="565">
          <cell r="C565" t="str">
            <v>G_P_FIN</v>
          </cell>
          <cell r="D565">
            <v>41736</v>
          </cell>
          <cell r="E565" t="str">
            <v>Banorte</v>
          </cell>
          <cell r="F565" t="str">
            <v>Comisión estado de cuenta.</v>
          </cell>
          <cell r="G565">
            <v>30</v>
          </cell>
          <cell r="H565">
            <v>4.8</v>
          </cell>
          <cell r="I565">
            <v>34.799999999999997</v>
          </cell>
        </row>
        <row r="566">
          <cell r="C566" t="str">
            <v>G_AGUA</v>
          </cell>
          <cell r="D566">
            <v>41736</v>
          </cell>
          <cell r="E566" t="str">
            <v>Electropura, S de R.L. de C.V.</v>
          </cell>
          <cell r="F566" t="str">
            <v>3 garrafones de agua</v>
          </cell>
          <cell r="G566">
            <v>90</v>
          </cell>
          <cell r="I566">
            <v>90</v>
          </cell>
        </row>
        <row r="567">
          <cell r="C567" t="str">
            <v>G_USB</v>
          </cell>
          <cell r="D567">
            <v>41739</v>
          </cell>
          <cell r="E567" t="str">
            <v>Consumibles y Suministros, Rosario Herrera</v>
          </cell>
          <cell r="F567" t="str">
            <v>1 USB H P 255 W</v>
          </cell>
          <cell r="G567">
            <v>330</v>
          </cell>
          <cell r="I567">
            <v>330</v>
          </cell>
        </row>
        <row r="568">
          <cell r="C568" t="str">
            <v>G_ADQ</v>
          </cell>
          <cell r="D568">
            <v>41739</v>
          </cell>
          <cell r="E568" t="str">
            <v>Advanced Servicio de CCTV y Computo</v>
          </cell>
          <cell r="F568" t="str">
            <v>Activación de 50 tarjetas</v>
          </cell>
          <cell r="G568">
            <v>500</v>
          </cell>
          <cell r="I568">
            <v>500</v>
          </cell>
        </row>
        <row r="569">
          <cell r="C569" t="str">
            <v>G_TLF</v>
          </cell>
          <cell r="D569">
            <v>41740</v>
          </cell>
          <cell r="E569" t="str">
            <v>Teléfonos de México, S.A.B. de C.V.</v>
          </cell>
          <cell r="F569" t="str">
            <v>Pago Mes de Marzo/14</v>
          </cell>
          <cell r="G569">
            <v>786</v>
          </cell>
          <cell r="I569">
            <v>786</v>
          </cell>
        </row>
        <row r="570">
          <cell r="C570" t="str">
            <v>G_ORG</v>
          </cell>
          <cell r="D570">
            <v>41740</v>
          </cell>
          <cell r="E570" t="str">
            <v xml:space="preserve">Gloria Mazzón </v>
          </cell>
          <cell r="F570" t="str">
            <v>Pago por concepto de captura del 07 al 11 de Abril/14</v>
          </cell>
          <cell r="G570">
            <v>400</v>
          </cell>
          <cell r="I570">
            <v>400</v>
          </cell>
        </row>
        <row r="571">
          <cell r="C571" t="str">
            <v>G_PAPE</v>
          </cell>
          <cell r="D571">
            <v>41740</v>
          </cell>
          <cell r="E571" t="str">
            <v>Office Depot de México, S.A. de C.V.</v>
          </cell>
          <cell r="F571" t="str">
            <v xml:space="preserve">Compra de clips </v>
          </cell>
          <cell r="G571">
            <v>16.72</v>
          </cell>
          <cell r="H571">
            <v>2.68</v>
          </cell>
          <cell r="I571">
            <v>19.399999999999999</v>
          </cell>
        </row>
        <row r="572">
          <cell r="C572" t="str">
            <v>G_MTILM</v>
          </cell>
          <cell r="D572">
            <v>41741</v>
          </cell>
          <cell r="E572" t="str">
            <v>Víctor Manuel Sánchez</v>
          </cell>
          <cell r="F572" t="str">
            <v>Servicios profesionales en compra y cambio de material eléctrico</v>
          </cell>
          <cell r="G572">
            <v>6200</v>
          </cell>
          <cell r="I572">
            <v>6200</v>
          </cell>
        </row>
        <row r="573">
          <cell r="C573" t="str">
            <v>G_MTCYP</v>
          </cell>
          <cell r="D573">
            <v>41741</v>
          </cell>
          <cell r="E573" t="str">
            <v>Electrónica Aragón</v>
          </cell>
          <cell r="F573" t="str">
            <v>Compra de eliminador y rollo soldador</v>
          </cell>
          <cell r="G573">
            <v>235</v>
          </cell>
          <cell r="I573">
            <v>235</v>
          </cell>
        </row>
        <row r="574">
          <cell r="C574" t="str">
            <v>G_MTCST</v>
          </cell>
          <cell r="D574">
            <v>41742</v>
          </cell>
          <cell r="E574" t="str">
            <v>Comercializadora, CASPIN, S.A. de C.V.</v>
          </cell>
          <cell r="F574" t="str">
            <v>Compra de pintura y thinner</v>
          </cell>
          <cell r="G574">
            <v>398.28</v>
          </cell>
          <cell r="H574">
            <v>63.72</v>
          </cell>
          <cell r="I574">
            <v>462</v>
          </cell>
        </row>
        <row r="575">
          <cell r="C575" t="str">
            <v>G_AGUA</v>
          </cell>
          <cell r="D575">
            <v>41743</v>
          </cell>
          <cell r="E575" t="str">
            <v>Electropura, S. de R.L. de C.V.</v>
          </cell>
          <cell r="F575" t="str">
            <v>3 garrafones de agua</v>
          </cell>
          <cell r="G575">
            <v>90</v>
          </cell>
          <cell r="I575">
            <v>90</v>
          </cell>
        </row>
        <row r="576">
          <cell r="C576" t="str">
            <v>G_MTCBQ</v>
          </cell>
          <cell r="D576">
            <v>41743</v>
          </cell>
          <cell r="E576" t="str">
            <v>Esteban Alejo</v>
          </cell>
          <cell r="F576" t="str">
            <v xml:space="preserve">Pintura a banquetas y topes </v>
          </cell>
          <cell r="G576">
            <v>600</v>
          </cell>
          <cell r="I576">
            <v>600</v>
          </cell>
        </row>
        <row r="577">
          <cell r="C577" t="str">
            <v>G_NMNVG</v>
          </cell>
          <cell r="D577">
            <v>41744</v>
          </cell>
          <cell r="E577" t="str">
            <v>Artemio Mora Torres</v>
          </cell>
          <cell r="F577" t="str">
            <v>Pago correspondiente a la 1 er. Quincena de Abril/14</v>
          </cell>
          <cell r="G577">
            <v>3200</v>
          </cell>
          <cell r="I577">
            <v>3200</v>
          </cell>
        </row>
        <row r="578">
          <cell r="C578" t="str">
            <v>G_NMNVG</v>
          </cell>
          <cell r="D578">
            <v>41744</v>
          </cell>
          <cell r="E578" t="str">
            <v>Guardias y Custodia Privadas Gama S.A. DE C.V.</v>
          </cell>
          <cell r="F578" t="str">
            <v>Correspondiente al pago de la 1 er. Quincena de Abril/14</v>
          </cell>
          <cell r="G578">
            <v>27900</v>
          </cell>
          <cell r="I578">
            <v>27900</v>
          </cell>
        </row>
        <row r="579">
          <cell r="C579" t="str">
            <v>G_MTPTA</v>
          </cell>
          <cell r="D579">
            <v>41745</v>
          </cell>
          <cell r="E579" t="str">
            <v>Herreria en General Janiel</v>
          </cell>
          <cell r="F579" t="str">
            <v>Reparacion total de la puerta de Estanzuela y el Hueso</v>
          </cell>
          <cell r="G579">
            <v>3200</v>
          </cell>
          <cell r="I579">
            <v>3200</v>
          </cell>
        </row>
        <row r="580">
          <cell r="C580" t="str">
            <v>G_ORG</v>
          </cell>
          <cell r="D580">
            <v>41747</v>
          </cell>
          <cell r="E580" t="str">
            <v xml:space="preserve">Gloria Mazzón </v>
          </cell>
          <cell r="F580" t="str">
            <v>Pago por concepto de captura del 14 al 18 de Abril/14</v>
          </cell>
          <cell r="G580">
            <v>400</v>
          </cell>
          <cell r="I580">
            <v>400</v>
          </cell>
        </row>
        <row r="581">
          <cell r="C581" t="str">
            <v>G_PAPE</v>
          </cell>
          <cell r="D581">
            <v>41749</v>
          </cell>
          <cell r="E581" t="str">
            <v>Office Depot de México, S.A. de C.V.</v>
          </cell>
          <cell r="F581" t="str">
            <v>Compra de Papel premium carta</v>
          </cell>
          <cell r="G581">
            <v>47.33</v>
          </cell>
          <cell r="H581">
            <v>7.57</v>
          </cell>
          <cell r="I581">
            <v>54.9</v>
          </cell>
        </row>
        <row r="582">
          <cell r="C582" t="str">
            <v>IVA</v>
          </cell>
          <cell r="D582">
            <v>41750</v>
          </cell>
          <cell r="E582" t="str">
            <v xml:space="preserve">SAT Servicio de Administración Triburaria </v>
          </cell>
          <cell r="F582" t="str">
            <v>Pago de retenciión de IVA del Colegio Carmel Mes Marzo/14</v>
          </cell>
          <cell r="H582">
            <v>1600</v>
          </cell>
          <cell r="I582">
            <v>1600</v>
          </cell>
        </row>
        <row r="583">
          <cell r="C583" t="str">
            <v>G_MTPTA</v>
          </cell>
          <cell r="D583">
            <v>41750</v>
          </cell>
          <cell r="E583" t="str">
            <v>Cerrajería Díaz</v>
          </cell>
          <cell r="F583" t="str">
            <v>Apertura y hechura de llave a chapa servicio a domicilio</v>
          </cell>
          <cell r="G583">
            <v>350</v>
          </cell>
          <cell r="I583">
            <v>350</v>
          </cell>
        </row>
        <row r="584">
          <cell r="C584" t="str">
            <v>G_AGUA</v>
          </cell>
          <cell r="D584">
            <v>41750</v>
          </cell>
          <cell r="E584" t="str">
            <v>Electropura, S. de R.L. de C.V.</v>
          </cell>
          <cell r="F584" t="str">
            <v>4 garrafones de agua</v>
          </cell>
          <cell r="G584">
            <v>120</v>
          </cell>
          <cell r="I584">
            <v>120</v>
          </cell>
        </row>
        <row r="585">
          <cell r="C585" t="str">
            <v>G_MTPTA</v>
          </cell>
          <cell r="D585">
            <v>41752</v>
          </cell>
          <cell r="E585" t="str">
            <v>Luis Hernández</v>
          </cell>
          <cell r="F585" t="str">
            <v>Enderezado de puerta Cuchilla y el Hueso, no abria bien</v>
          </cell>
          <cell r="G585">
            <v>250</v>
          </cell>
          <cell r="I585">
            <v>250</v>
          </cell>
        </row>
        <row r="586">
          <cell r="C586" t="str">
            <v>G_MTCST</v>
          </cell>
          <cell r="D586">
            <v>41752</v>
          </cell>
          <cell r="E586" t="str">
            <v>Comercializadora, CASPIN, S.A. de C.V.</v>
          </cell>
          <cell r="F586" t="str">
            <v>Compra de pintura y rollo extrarrugos</v>
          </cell>
          <cell r="G586">
            <v>873.62</v>
          </cell>
          <cell r="H586">
            <v>139.78</v>
          </cell>
          <cell r="I586">
            <v>1013.4</v>
          </cell>
        </row>
        <row r="587">
          <cell r="C587" t="str">
            <v>G_JDN</v>
          </cell>
          <cell r="D587">
            <v>41752</v>
          </cell>
          <cell r="E587" t="str">
            <v>Roberto Miranda</v>
          </cell>
          <cell r="F587" t="str">
            <v>Pago por recoger basura parque</v>
          </cell>
          <cell r="G587">
            <v>200</v>
          </cell>
          <cell r="I587">
            <v>200</v>
          </cell>
        </row>
        <row r="588">
          <cell r="C588" t="str">
            <v>G_MTCYP</v>
          </cell>
          <cell r="D588">
            <v>41752</v>
          </cell>
          <cell r="E588" t="str">
            <v>Home Depot México, S. de R. L. de C. V.</v>
          </cell>
          <cell r="F588" t="str">
            <v>Compra de cable</v>
          </cell>
          <cell r="G588">
            <v>516.38</v>
          </cell>
          <cell r="H588">
            <v>82.62</v>
          </cell>
          <cell r="I588">
            <v>599</v>
          </cell>
        </row>
        <row r="589">
          <cell r="C589" t="str">
            <v>G_AGUA</v>
          </cell>
          <cell r="D589">
            <v>41754</v>
          </cell>
          <cell r="E589" t="str">
            <v>Electropura S. de R.L. de C.V.</v>
          </cell>
          <cell r="F589" t="str">
            <v>1 garrafon de agua</v>
          </cell>
          <cell r="G589">
            <v>30</v>
          </cell>
          <cell r="I589">
            <v>30</v>
          </cell>
        </row>
        <row r="590">
          <cell r="C590" t="str">
            <v>G_MTCYP</v>
          </cell>
          <cell r="D590">
            <v>41754</v>
          </cell>
          <cell r="E590" t="str">
            <v>Advanced Servicio de CCTV y Computo</v>
          </cell>
          <cell r="F590" t="str">
            <v>Trabajo adicional en equipos de circuiro Romeral</v>
          </cell>
          <cell r="G590">
            <v>1000</v>
          </cell>
          <cell r="I590">
            <v>1000</v>
          </cell>
        </row>
        <row r="591">
          <cell r="C591" t="str">
            <v>G_ORG</v>
          </cell>
          <cell r="D591">
            <v>41754</v>
          </cell>
          <cell r="E591" t="str">
            <v xml:space="preserve">Gloria Mazzón </v>
          </cell>
          <cell r="F591" t="str">
            <v>Pago por concepto de captura del 21 al 25 de Abril/14</v>
          </cell>
          <cell r="G591">
            <v>400</v>
          </cell>
          <cell r="I591">
            <v>400</v>
          </cell>
        </row>
        <row r="592">
          <cell r="C592" t="str">
            <v>G_JDN</v>
          </cell>
          <cell r="D592">
            <v>41755</v>
          </cell>
          <cell r="E592" t="str">
            <v>Roberto Miranda</v>
          </cell>
          <cell r="F592" t="str">
            <v>Pago por recoger basura y recortar ramas</v>
          </cell>
          <cell r="G592">
            <v>200</v>
          </cell>
          <cell r="I592">
            <v>200</v>
          </cell>
        </row>
        <row r="593">
          <cell r="C593" t="str">
            <v>G_PAPE</v>
          </cell>
          <cell r="D593">
            <v>41756</v>
          </cell>
          <cell r="E593" t="str">
            <v>Office Depot de México, S.A. de C.V.</v>
          </cell>
          <cell r="F593" t="str">
            <v>Compra de sujetadocumentos y sobres c/rondana carta</v>
          </cell>
          <cell r="G593">
            <v>156.38</v>
          </cell>
          <cell r="H593">
            <v>25.02</v>
          </cell>
          <cell r="I593">
            <v>181.4</v>
          </cell>
        </row>
        <row r="594">
          <cell r="C594" t="str">
            <v>G_AGUA</v>
          </cell>
          <cell r="D594">
            <v>41757</v>
          </cell>
          <cell r="E594" t="str">
            <v>Electropura, S. de R.L. de C.V.</v>
          </cell>
          <cell r="F594" t="str">
            <v>3 garrafones de agua</v>
          </cell>
          <cell r="G594">
            <v>90</v>
          </cell>
          <cell r="I594">
            <v>90</v>
          </cell>
        </row>
        <row r="595">
          <cell r="C595" t="str">
            <v>G_VRS</v>
          </cell>
          <cell r="D595">
            <v>41757</v>
          </cell>
          <cell r="E595" t="str">
            <v>Aldan Electrónica, S. A. de C. V.</v>
          </cell>
          <cell r="F595" t="str">
            <v>Compra de Telefono cident</v>
          </cell>
          <cell r="G595">
            <v>430</v>
          </cell>
          <cell r="I595">
            <v>430</v>
          </cell>
        </row>
        <row r="596">
          <cell r="C596" t="str">
            <v>G_MTCST</v>
          </cell>
          <cell r="D596">
            <v>41758</v>
          </cell>
          <cell r="E596" t="str">
            <v>Comercializadora, CASPIN, S. A. de C.V.</v>
          </cell>
          <cell r="F596" t="str">
            <v>Compra de pintura y thinner</v>
          </cell>
          <cell r="G596">
            <v>498.28</v>
          </cell>
          <cell r="H596">
            <v>79.72</v>
          </cell>
          <cell r="I596">
            <v>578</v>
          </cell>
        </row>
        <row r="597">
          <cell r="C597" t="str">
            <v>G_PAPE</v>
          </cell>
          <cell r="D597">
            <v>41758</v>
          </cell>
          <cell r="E597" t="str">
            <v>Copifaz</v>
          </cell>
          <cell r="F597" t="str">
            <v>1380 Copias</v>
          </cell>
          <cell r="G597">
            <v>483</v>
          </cell>
          <cell r="I597">
            <v>483</v>
          </cell>
        </row>
        <row r="598">
          <cell r="C598" t="str">
            <v>G_MTCYP</v>
          </cell>
          <cell r="D598">
            <v>41758</v>
          </cell>
          <cell r="E598" t="str">
            <v>Advanced Servicio de CCTV y Computo</v>
          </cell>
          <cell r="F598" t="str">
            <v>Reparación, del Circuito Romeral</v>
          </cell>
          <cell r="G598">
            <v>4000</v>
          </cell>
          <cell r="I598">
            <v>4000</v>
          </cell>
        </row>
        <row r="599">
          <cell r="C599" t="str">
            <v>G_NMNVG</v>
          </cell>
          <cell r="D599">
            <v>41759</v>
          </cell>
          <cell r="E599" t="str">
            <v>Artemio Mora Torres</v>
          </cell>
          <cell r="F599" t="str">
            <v>Pago correspondiente a la 2 da. Quincena de Abril/14</v>
          </cell>
          <cell r="G599">
            <v>3200</v>
          </cell>
          <cell r="I599">
            <v>3200</v>
          </cell>
        </row>
        <row r="600">
          <cell r="C600" t="str">
            <v>G_NMNVG</v>
          </cell>
          <cell r="D600">
            <v>41759</v>
          </cell>
          <cell r="E600" t="str">
            <v>Guardias y Custodia Privadas Gama S.A. DE C.V.</v>
          </cell>
          <cell r="F600" t="str">
            <v>Pago de Vigilancia 2a Quincena de Abril/14</v>
          </cell>
          <cell r="G600">
            <v>27900</v>
          </cell>
          <cell r="I600">
            <v>27900</v>
          </cell>
        </row>
        <row r="601">
          <cell r="C601" t="str">
            <v>G_P_FIN</v>
          </cell>
          <cell r="D601">
            <v>41759</v>
          </cell>
          <cell r="E601" t="str">
            <v>Banorte</v>
          </cell>
          <cell r="F601" t="str">
            <v>Comisión Cheque expedido</v>
          </cell>
          <cell r="G601">
            <v>36</v>
          </cell>
          <cell r="H601">
            <v>5.76</v>
          </cell>
          <cell r="I601">
            <v>41.76</v>
          </cell>
        </row>
        <row r="602">
          <cell r="C602" t="str">
            <v>G_P_Fin</v>
          </cell>
          <cell r="D602">
            <v>41736</v>
          </cell>
          <cell r="E602" t="str">
            <v>Alberto Augusto Fuentes Herrera</v>
          </cell>
          <cell r="F602" t="str">
            <v>Remanente identificador</v>
          </cell>
          <cell r="G602">
            <v>-0.46</v>
          </cell>
          <cell r="I602">
            <v>-0.46</v>
          </cell>
        </row>
        <row r="603">
          <cell r="C603" t="str">
            <v>G_P_Fin</v>
          </cell>
          <cell r="D603">
            <v>41737</v>
          </cell>
          <cell r="E603" t="str">
            <v>Alberto Augusto Fuentes Herrera</v>
          </cell>
          <cell r="F603" t="str">
            <v>Remanente identificador</v>
          </cell>
          <cell r="G603">
            <v>-0.46</v>
          </cell>
          <cell r="I603">
            <v>-0.46</v>
          </cell>
        </row>
        <row r="604">
          <cell r="C604" t="str">
            <v>G_P_Fin</v>
          </cell>
          <cell r="D604">
            <v>41759</v>
          </cell>
          <cell r="E604" t="str">
            <v>Norma Lorena González Arevyan</v>
          </cell>
          <cell r="F604" t="str">
            <v>Remanente identificador</v>
          </cell>
          <cell r="G604">
            <v>-0.15</v>
          </cell>
          <cell r="I604">
            <v>-0.15</v>
          </cell>
        </row>
        <row r="605">
          <cell r="B605" t="str">
            <v>N°</v>
          </cell>
          <cell r="C605" t="str">
            <v>clave</v>
          </cell>
          <cell r="D605" t="str">
            <v>fecha</v>
          </cell>
          <cell r="E605" t="str">
            <v>Beneficiario</v>
          </cell>
          <cell r="F605" t="str">
            <v>Concepto</v>
          </cell>
          <cell r="G605" t="str">
            <v>Gasto</v>
          </cell>
          <cell r="H605" t="str">
            <v>I.V.A.</v>
          </cell>
          <cell r="I605" t="str">
            <v>Total</v>
          </cell>
        </row>
        <row r="606">
          <cell r="C606" t="str">
            <v>G_VRS</v>
          </cell>
          <cell r="D606">
            <v>41760</v>
          </cell>
          <cell r="E606" t="str">
            <v>Compumachos, servicio, y reparación de equipo</v>
          </cell>
          <cell r="F606" t="str">
            <v>Nobreak Zigor 45  min</v>
          </cell>
          <cell r="G606">
            <v>1400</v>
          </cell>
          <cell r="I606">
            <v>1400</v>
          </cell>
        </row>
        <row r="607">
          <cell r="C607" t="str">
            <v>G_ORG</v>
          </cell>
          <cell r="D607">
            <v>41761</v>
          </cell>
          <cell r="E607" t="str">
            <v xml:space="preserve">Gloria Mazzón </v>
          </cell>
          <cell r="F607" t="str">
            <v>Pago por concepto de captura del 28 de Abril al 28 de Mayo</v>
          </cell>
          <cell r="G607">
            <v>400</v>
          </cell>
          <cell r="I607">
            <v>400</v>
          </cell>
        </row>
        <row r="608">
          <cell r="C608" t="str">
            <v>G_MTCST</v>
          </cell>
          <cell r="D608">
            <v>41761</v>
          </cell>
          <cell r="E608" t="str">
            <v>Esteban Alejo</v>
          </cell>
          <cell r="F608" t="str">
            <v>Pintura caseta</v>
          </cell>
          <cell r="G608">
            <v>600</v>
          </cell>
          <cell r="I608">
            <v>600</v>
          </cell>
        </row>
        <row r="609">
          <cell r="C609" t="str">
            <v>G_MTCYP</v>
          </cell>
          <cell r="D609">
            <v>41761</v>
          </cell>
          <cell r="E609" t="str">
            <v>Tecnoplaza</v>
          </cell>
          <cell r="F609" t="str">
            <v xml:space="preserve">4 pares de baluns, fuente 2 amp 12 v CCTV </v>
          </cell>
          <cell r="G609">
            <v>947.42</v>
          </cell>
          <cell r="H609">
            <v>151.59</v>
          </cell>
          <cell r="I609">
            <v>1099.01</v>
          </cell>
        </row>
        <row r="610">
          <cell r="C610" t="str">
            <v>G_MTPTA</v>
          </cell>
          <cell r="D610">
            <v>41764</v>
          </cell>
          <cell r="E610" t="str">
            <v>Comercializadora, CASPIN, S.A. de C.V.</v>
          </cell>
          <cell r="F610" t="str">
            <v>Pintura, estopa, brocha y thinner</v>
          </cell>
          <cell r="G610">
            <v>986.04</v>
          </cell>
          <cell r="H610">
            <v>157.76</v>
          </cell>
          <cell r="I610">
            <v>1143.8</v>
          </cell>
        </row>
        <row r="611">
          <cell r="C611" t="str">
            <v>G_TLF</v>
          </cell>
          <cell r="D611">
            <v>41764</v>
          </cell>
          <cell r="E611" t="str">
            <v>Teléfonos de México, S.A.B. de C.V.</v>
          </cell>
          <cell r="F611" t="str">
            <v>Pago mes de Abril/14</v>
          </cell>
          <cell r="G611">
            <v>786</v>
          </cell>
          <cell r="I611">
            <v>786</v>
          </cell>
        </row>
        <row r="612">
          <cell r="C612" t="str">
            <v>G_MTPTA</v>
          </cell>
          <cell r="D612">
            <v>41765</v>
          </cell>
          <cell r="E612" t="str">
            <v>Comercializadora, CASPIN, S.A. de C.V.</v>
          </cell>
          <cell r="F612" t="str">
            <v>Pintura, thinner, estopa, brocha, plastiprotector</v>
          </cell>
          <cell r="G612">
            <v>653.88</v>
          </cell>
          <cell r="H612">
            <v>104.82</v>
          </cell>
          <cell r="I612">
            <v>758.7</v>
          </cell>
        </row>
        <row r="613">
          <cell r="C613" t="str">
            <v>G_MTPTA</v>
          </cell>
          <cell r="D613">
            <v>41766</v>
          </cell>
          <cell r="E613" t="str">
            <v>Comercializadora, CASPIN, S.A. de C.V.</v>
          </cell>
          <cell r="F613" t="str">
            <v>Pintura, thinner, rodillo y brocha</v>
          </cell>
          <cell r="G613">
            <v>2068.54</v>
          </cell>
          <cell r="H613">
            <v>330.96</v>
          </cell>
          <cell r="I613">
            <v>2399.5</v>
          </cell>
        </row>
        <row r="614">
          <cell r="C614" t="str">
            <v>G_ADQ</v>
          </cell>
          <cell r="D614">
            <v>41767</v>
          </cell>
          <cell r="E614" t="str">
            <v>Advanced Servicio de CCTV y Computo</v>
          </cell>
          <cell r="F614" t="str">
            <v xml:space="preserve">Activación de 50 tarjetas, ingreso de 50 codigos </v>
          </cell>
          <cell r="G614">
            <v>500</v>
          </cell>
          <cell r="I614">
            <v>500</v>
          </cell>
        </row>
        <row r="615">
          <cell r="C615" t="str">
            <v>G_PAPE</v>
          </cell>
          <cell r="D615">
            <v>41767</v>
          </cell>
          <cell r="E615" t="str">
            <v>Office Depot de México, S.A. de C.V.</v>
          </cell>
          <cell r="F615" t="str">
            <v>Cartucho de tinta Epson 196 Ambar, Mgta</v>
          </cell>
          <cell r="G615">
            <v>412.06</v>
          </cell>
          <cell r="H615">
            <v>65.94</v>
          </cell>
          <cell r="I615">
            <v>478</v>
          </cell>
        </row>
        <row r="616">
          <cell r="C616" t="str">
            <v>G_MTPTA</v>
          </cell>
          <cell r="D616">
            <v>41768</v>
          </cell>
          <cell r="E616" t="str">
            <v>Luis Hernández</v>
          </cell>
          <cell r="F616" t="str">
            <v>Reparación puertas</v>
          </cell>
          <cell r="G616">
            <v>250</v>
          </cell>
          <cell r="I616">
            <v>250</v>
          </cell>
        </row>
        <row r="617">
          <cell r="C617" t="str">
            <v>G_MTPTA</v>
          </cell>
          <cell r="D617">
            <v>41768</v>
          </cell>
          <cell r="E617" t="str">
            <v>Comercializadora, CASPiN, S.A. de C.V.</v>
          </cell>
          <cell r="F617" t="str">
            <v>Pintura, cuña, brocha lija oxido de aluminio</v>
          </cell>
          <cell r="G617">
            <v>288.79000000000002</v>
          </cell>
          <cell r="H617">
            <v>46.21</v>
          </cell>
          <cell r="I617">
            <v>335</v>
          </cell>
        </row>
        <row r="618">
          <cell r="C618" t="str">
            <v>G_ORG</v>
          </cell>
          <cell r="D618">
            <v>41768</v>
          </cell>
          <cell r="E618" t="str">
            <v xml:space="preserve">Gloria Mazzón </v>
          </cell>
          <cell r="F618" t="str">
            <v>Pago por concepto de captura del 05 de Mayo al 09 de Mayo</v>
          </cell>
          <cell r="G618">
            <v>400</v>
          </cell>
          <cell r="I618">
            <v>400</v>
          </cell>
        </row>
        <row r="619">
          <cell r="C619" t="str">
            <v>G_AGUA</v>
          </cell>
          <cell r="D619">
            <v>41768</v>
          </cell>
          <cell r="E619" t="str">
            <v>Electropura, S. de R.L. de C.V.</v>
          </cell>
          <cell r="F619" t="str">
            <v>4 garrafones de agua</v>
          </cell>
          <cell r="G619">
            <v>120</v>
          </cell>
          <cell r="I619">
            <v>120</v>
          </cell>
        </row>
        <row r="620">
          <cell r="C620" t="str">
            <v>G_MTCYP</v>
          </cell>
          <cell r="D620">
            <v>41768</v>
          </cell>
          <cell r="E620" t="str">
            <v>Advanced Servicio de CCTV y Computo</v>
          </cell>
          <cell r="F620" t="str">
            <v xml:space="preserve">Reubicación de dos camaras de CCTV </v>
          </cell>
          <cell r="G620">
            <v>1200</v>
          </cell>
          <cell r="I620">
            <v>1200</v>
          </cell>
        </row>
        <row r="621">
          <cell r="C621" t="str">
            <v>G_MTPTA</v>
          </cell>
          <cell r="D621">
            <v>41769</v>
          </cell>
          <cell r="E621" t="str">
            <v>Catalino Arriaga Vázquez</v>
          </cell>
          <cell r="F621" t="str">
            <v>Honorarios pintura realizados a la puerta metalica Landero</v>
          </cell>
          <cell r="G621">
            <v>3000</v>
          </cell>
          <cell r="I621">
            <v>3000</v>
          </cell>
        </row>
        <row r="622">
          <cell r="C622" t="str">
            <v>G_MTPTA</v>
          </cell>
          <cell r="D622">
            <v>41769</v>
          </cell>
          <cell r="E622" t="str">
            <v>Catalino Arríaga Vázquez</v>
          </cell>
          <cell r="F622" t="str">
            <v>Honorarios pintura realizada a la puerta Upacuaro</v>
          </cell>
          <cell r="G622">
            <v>3500</v>
          </cell>
          <cell r="I622">
            <v>3500</v>
          </cell>
        </row>
        <row r="623">
          <cell r="C623" t="str">
            <v>G_JDN</v>
          </cell>
          <cell r="D623">
            <v>41770</v>
          </cell>
          <cell r="E623" t="str">
            <v>Jorge Lugo</v>
          </cell>
          <cell r="F623" t="str">
            <v>Manto Jardín</v>
          </cell>
          <cell r="G623">
            <v>650</v>
          </cell>
          <cell r="I623">
            <v>650</v>
          </cell>
        </row>
        <row r="624">
          <cell r="C624" t="str">
            <v>G_MTPTA</v>
          </cell>
          <cell r="D624">
            <v>41770</v>
          </cell>
          <cell r="E624" t="str">
            <v>Catalino Arríaga Vázquez</v>
          </cell>
          <cell r="F624" t="str">
            <v>Honorarios pintura realizada a la puerta metálica Zinamba</v>
          </cell>
          <cell r="G624">
            <v>3000</v>
          </cell>
          <cell r="I624">
            <v>3000</v>
          </cell>
        </row>
        <row r="625">
          <cell r="C625" t="str">
            <v>G_PAPE</v>
          </cell>
          <cell r="D625">
            <v>41772</v>
          </cell>
          <cell r="E625" t="str">
            <v>Office Depot de México, S.A. de C.V.</v>
          </cell>
          <cell r="F625" t="str">
            <v xml:space="preserve">Cartucho negro, Block esquela canario </v>
          </cell>
          <cell r="G625">
            <v>322.33</v>
          </cell>
          <cell r="H625">
            <v>51.57</v>
          </cell>
          <cell r="I625">
            <v>373.9</v>
          </cell>
        </row>
        <row r="626">
          <cell r="C626" t="str">
            <v>G_MTPTA</v>
          </cell>
          <cell r="D626">
            <v>41772</v>
          </cell>
          <cell r="E626" t="str">
            <v>Comercializadora, CASPIN, S.A. de C.V.</v>
          </cell>
          <cell r="F626" t="str">
            <v>Velmar blanco,y repuesto nylon</v>
          </cell>
          <cell r="G626">
            <v>1318.1</v>
          </cell>
          <cell r="H626">
            <v>210.9</v>
          </cell>
          <cell r="I626">
            <v>1529</v>
          </cell>
        </row>
        <row r="627">
          <cell r="C627" t="str">
            <v>G_MTPTA</v>
          </cell>
          <cell r="D627">
            <v>41772</v>
          </cell>
          <cell r="E627" t="str">
            <v>Catallino Arriaga Vázquez</v>
          </cell>
          <cell r="F627" t="str">
            <v>Honorarios pintura realizada a la puerta La cuchilla</v>
          </cell>
          <cell r="G627">
            <v>3000</v>
          </cell>
          <cell r="I627">
            <v>3000</v>
          </cell>
        </row>
        <row r="628">
          <cell r="C628" t="str">
            <v>G_MTILM</v>
          </cell>
          <cell r="D628">
            <v>41772</v>
          </cell>
          <cell r="E628" t="str">
            <v>Víctor Manuel Sánchez</v>
          </cell>
          <cell r="F628" t="str">
            <v>Servicios profesionales en compra y cambio de material eléctrico</v>
          </cell>
          <cell r="G628">
            <v>500</v>
          </cell>
          <cell r="I628">
            <v>500</v>
          </cell>
        </row>
        <row r="629">
          <cell r="C629" t="str">
            <v>G_MTCYP</v>
          </cell>
          <cell r="D629">
            <v>41773</v>
          </cell>
          <cell r="E629" t="str">
            <v>Advanced Servicio de CCTV y Cómputo</v>
          </cell>
          <cell r="F629" t="str">
            <v>Reestructuración e instalación del circuito Estopila</v>
          </cell>
          <cell r="G629">
            <v>4200</v>
          </cell>
          <cell r="I629">
            <v>4200</v>
          </cell>
        </row>
        <row r="630">
          <cell r="C630" t="str">
            <v>G_AGUA</v>
          </cell>
          <cell r="D630">
            <v>41773</v>
          </cell>
          <cell r="E630" t="str">
            <v>Electropura, S. de R.L. de C.V.</v>
          </cell>
          <cell r="F630" t="str">
            <v>3 garrafones de agua</v>
          </cell>
          <cell r="G630">
            <v>90</v>
          </cell>
          <cell r="I630">
            <v>90</v>
          </cell>
        </row>
        <row r="631">
          <cell r="C631" t="str">
            <v>G_NMNVG</v>
          </cell>
          <cell r="D631">
            <v>41774</v>
          </cell>
          <cell r="E631" t="str">
            <v>Guardias y Cutodias Privadas Gama, S.A. DE C.V.</v>
          </cell>
          <cell r="F631" t="str">
            <v>Correspondiente al pago de la 1a quincena Mayo/14</v>
          </cell>
          <cell r="G631">
            <v>27900</v>
          </cell>
          <cell r="I631">
            <v>27900</v>
          </cell>
        </row>
        <row r="632">
          <cell r="C632" t="str">
            <v>G_JDN</v>
          </cell>
          <cell r="D632">
            <v>41774</v>
          </cell>
          <cell r="E632" t="str">
            <v>Luis Hernández</v>
          </cell>
          <cell r="F632" t="str">
            <v>Gastos parque</v>
          </cell>
          <cell r="G632">
            <v>900</v>
          </cell>
          <cell r="I632">
            <v>900</v>
          </cell>
        </row>
        <row r="633">
          <cell r="C633" t="str">
            <v>G_NMNVG</v>
          </cell>
          <cell r="D633">
            <v>41774</v>
          </cell>
          <cell r="E633" t="str">
            <v>Artemio Mora Torres</v>
          </cell>
          <cell r="F633" t="str">
            <v>Pago correspondiente a la 1a. Quincena de Mayo/14</v>
          </cell>
          <cell r="G633">
            <v>3200</v>
          </cell>
          <cell r="I633">
            <v>3200</v>
          </cell>
        </row>
        <row r="634">
          <cell r="C634" t="str">
            <v>G_ORG</v>
          </cell>
          <cell r="D634">
            <v>41775</v>
          </cell>
          <cell r="E634" t="str">
            <v xml:space="preserve">Gloria Mazzón </v>
          </cell>
          <cell r="F634" t="str">
            <v>Pago por conceto de captura del 12 al 16 de Mayo/14</v>
          </cell>
          <cell r="G634">
            <v>400</v>
          </cell>
          <cell r="I634">
            <v>400</v>
          </cell>
        </row>
        <row r="635">
          <cell r="C635" t="str">
            <v>G_JDN</v>
          </cell>
          <cell r="D635">
            <v>41775</v>
          </cell>
          <cell r="E635" t="str">
            <v>Roberto Miranda</v>
          </cell>
          <cell r="F635" t="str">
            <v>Limpieza parque</v>
          </cell>
          <cell r="G635">
            <v>200</v>
          </cell>
          <cell r="I635">
            <v>200</v>
          </cell>
        </row>
        <row r="636">
          <cell r="C636" t="str">
            <v>G_MTPTA</v>
          </cell>
          <cell r="D636">
            <v>41776</v>
          </cell>
          <cell r="E636" t="str">
            <v>Catalino Arríaga Vázquez</v>
          </cell>
          <cell r="F636" t="str">
            <v>Honorarios pintura realizada a la puerta Estopila</v>
          </cell>
          <cell r="G636">
            <v>3000</v>
          </cell>
          <cell r="I636">
            <v>3000</v>
          </cell>
        </row>
        <row r="637">
          <cell r="C637" t="str">
            <v>G_MTPTA</v>
          </cell>
          <cell r="D637">
            <v>41776</v>
          </cell>
          <cell r="E637" t="str">
            <v>Catalino Arríaga Vázquez</v>
          </cell>
          <cell r="F637" t="str">
            <v>Honorarios pintura realizada a la reja metálica Romeral</v>
          </cell>
          <cell r="G637">
            <v>3000</v>
          </cell>
          <cell r="I637">
            <v>3000</v>
          </cell>
        </row>
        <row r="638">
          <cell r="C638" t="str">
            <v>G_VRS</v>
          </cell>
          <cell r="D638">
            <v>41778</v>
          </cell>
          <cell r="E638" t="str">
            <v>Advanced Servicio de CCTV y Cómputo</v>
          </cell>
          <cell r="F638" t="str">
            <v>Respaldo de DVR a USB de 2 Eventos</v>
          </cell>
          <cell r="G638">
            <v>700</v>
          </cell>
          <cell r="I638">
            <v>700</v>
          </cell>
        </row>
        <row r="639">
          <cell r="C639" t="str">
            <v>G_MTCYP</v>
          </cell>
          <cell r="D639">
            <v>41778</v>
          </cell>
          <cell r="E639" t="str">
            <v>Advanced</v>
          </cell>
          <cell r="F639" t="str">
            <v>Cambio centro de carga de camara semiprofesional</v>
          </cell>
          <cell r="G639">
            <v>700</v>
          </cell>
          <cell r="I639">
            <v>700</v>
          </cell>
        </row>
        <row r="640">
          <cell r="C640" t="str">
            <v>G_JDN</v>
          </cell>
          <cell r="D640">
            <v>41778</v>
          </cell>
          <cell r="E640" t="str">
            <v>Jorge Lugo</v>
          </cell>
          <cell r="F640" t="str">
            <v>Desmontar la hierba y árboles</v>
          </cell>
          <cell r="G640">
            <v>1000</v>
          </cell>
          <cell r="I640">
            <v>1000</v>
          </cell>
        </row>
        <row r="641">
          <cell r="C641" t="str">
            <v>G_MTLPZ</v>
          </cell>
          <cell r="D641">
            <v>41778</v>
          </cell>
          <cell r="E641" t="str">
            <v>Nueva Walmart de Mexico, S de R.L de C.V.</v>
          </cell>
          <cell r="F641" t="str">
            <v>Compra de articulos de limpieza</v>
          </cell>
          <cell r="G641">
            <v>196.2</v>
          </cell>
          <cell r="I641">
            <v>196.2</v>
          </cell>
        </row>
        <row r="642">
          <cell r="C642" t="str">
            <v>G_INFRA</v>
          </cell>
          <cell r="D642">
            <v>41778</v>
          </cell>
          <cell r="E642" t="str">
            <v xml:space="preserve">Advance </v>
          </cell>
          <cell r="F642" t="str">
            <v xml:space="preserve">Disco duro Nuevo 3.5 sala 3 </v>
          </cell>
          <cell r="G642">
            <v>1350</v>
          </cell>
          <cell r="I642">
            <v>1350</v>
          </cell>
        </row>
        <row r="643">
          <cell r="C643" t="str">
            <v>G_PAPE</v>
          </cell>
          <cell r="D643">
            <v>41778</v>
          </cell>
          <cell r="E643" t="str">
            <v xml:space="preserve">2000 de pago de vigilancia y mantenimineto  </v>
          </cell>
          <cell r="F643" t="str">
            <v>2000 Recibos de  pago de vigilancia y mantenimiento</v>
          </cell>
          <cell r="G643">
            <v>1500</v>
          </cell>
          <cell r="I643">
            <v>1500</v>
          </cell>
        </row>
        <row r="644">
          <cell r="C644" t="str">
            <v>G_MTPTA</v>
          </cell>
          <cell r="D644">
            <v>41779</v>
          </cell>
          <cell r="E644" t="str">
            <v>Horacio Campos</v>
          </cell>
          <cell r="F644" t="str">
            <v>Manto puertas</v>
          </cell>
          <cell r="G644">
            <v>700</v>
          </cell>
          <cell r="I644">
            <v>700</v>
          </cell>
        </row>
        <row r="645">
          <cell r="C645" t="str">
            <v>IVA</v>
          </cell>
          <cell r="D645">
            <v>41779</v>
          </cell>
          <cell r="E645" t="str">
            <v>SAT Administración Tributaría</v>
          </cell>
          <cell r="F645" t="str">
            <v>Pago de retenciión de IVA del Colegio Carmel Mes Abril/14</v>
          </cell>
          <cell r="H645">
            <v>1600</v>
          </cell>
          <cell r="I645">
            <v>1600</v>
          </cell>
        </row>
        <row r="646">
          <cell r="C646" t="str">
            <v>G_HCTB</v>
          </cell>
          <cell r="D646">
            <v>41780</v>
          </cell>
          <cell r="E646" t="str">
            <v>Siegrist Contadores Publicos</v>
          </cell>
          <cell r="F646" t="str">
            <v>Honorarios profesionales Abril y Mayo/14</v>
          </cell>
          <cell r="G646">
            <v>2000</v>
          </cell>
          <cell r="I646">
            <v>2000</v>
          </cell>
        </row>
        <row r="647">
          <cell r="C647" t="str">
            <v>G_AGUA</v>
          </cell>
          <cell r="D647">
            <v>41780</v>
          </cell>
          <cell r="E647" t="str">
            <v>Electropura, S. de R.L. de C.V.</v>
          </cell>
          <cell r="F647" t="str">
            <v>3 garrafones de agua</v>
          </cell>
          <cell r="G647">
            <v>90</v>
          </cell>
          <cell r="I647">
            <v>90</v>
          </cell>
        </row>
        <row r="648">
          <cell r="C648" t="str">
            <v>G_ORG</v>
          </cell>
          <cell r="D648">
            <v>41782</v>
          </cell>
          <cell r="E648" t="str">
            <v xml:space="preserve">Gloria Mazzón </v>
          </cell>
          <cell r="F648" t="str">
            <v>Pago por concepto de captura del 19 al 23 de Mayo/14</v>
          </cell>
          <cell r="G648">
            <v>400</v>
          </cell>
          <cell r="I648">
            <v>400</v>
          </cell>
        </row>
        <row r="649">
          <cell r="C649" t="str">
            <v>G_MTPTA</v>
          </cell>
          <cell r="D649">
            <v>41783</v>
          </cell>
          <cell r="E649" t="str">
            <v>Comercializadora, CASPIN, S.A. de C.V.</v>
          </cell>
          <cell r="F649" t="str">
            <v>Thinner y estopa</v>
          </cell>
          <cell r="G649">
            <v>131.9</v>
          </cell>
          <cell r="H649">
            <v>21.1</v>
          </cell>
          <cell r="I649">
            <v>153</v>
          </cell>
        </row>
        <row r="650">
          <cell r="C650" t="str">
            <v>G_MTCST</v>
          </cell>
          <cell r="D650">
            <v>41783</v>
          </cell>
          <cell r="E650" t="str">
            <v>Esteban Alejo</v>
          </cell>
          <cell r="F650" t="str">
            <v>Manto casetas</v>
          </cell>
          <cell r="G650">
            <v>550</v>
          </cell>
          <cell r="I650">
            <v>550</v>
          </cell>
        </row>
        <row r="651">
          <cell r="C651" t="str">
            <v>G_MTPTA</v>
          </cell>
          <cell r="D651">
            <v>41785</v>
          </cell>
          <cell r="E651" t="str">
            <v>Horacio Campos</v>
          </cell>
          <cell r="F651" t="str">
            <v>Apertura y ajuste de chapa en la entrada peatonal Romeral</v>
          </cell>
          <cell r="G651">
            <v>570</v>
          </cell>
          <cell r="I651">
            <v>570</v>
          </cell>
        </row>
        <row r="652">
          <cell r="C652" t="str">
            <v>G_MTCYP</v>
          </cell>
          <cell r="D652">
            <v>41785</v>
          </cell>
          <cell r="E652" t="str">
            <v>Advanced Servicio de CCTV y Cómputo</v>
          </cell>
          <cell r="F652" t="str">
            <v>Reestructuración e intalación del circuito Recoveco</v>
          </cell>
          <cell r="G652">
            <v>3320</v>
          </cell>
          <cell r="I652">
            <v>3320</v>
          </cell>
        </row>
        <row r="653">
          <cell r="C653" t="str">
            <v>G_NMNVG</v>
          </cell>
          <cell r="D653">
            <v>41786</v>
          </cell>
          <cell r="E653" t="str">
            <v>Guardias y Cutodias Privadas Gama, S.A. DE C.V.</v>
          </cell>
          <cell r="F653" t="str">
            <v>Correspondiente al pago de la 2a quincena Mayo/14</v>
          </cell>
          <cell r="G653">
            <v>27900</v>
          </cell>
          <cell r="I653">
            <v>27900</v>
          </cell>
        </row>
        <row r="654">
          <cell r="C654" t="str">
            <v>G_AGUA</v>
          </cell>
          <cell r="D654">
            <v>41787</v>
          </cell>
          <cell r="E654" t="str">
            <v>Electropura, S. de R.L. de C.V.</v>
          </cell>
          <cell r="F654" t="str">
            <v>3 garrafones</v>
          </cell>
          <cell r="G654">
            <v>90</v>
          </cell>
          <cell r="I654">
            <v>90</v>
          </cell>
        </row>
        <row r="655">
          <cell r="C655" t="str">
            <v>G_MTPTA</v>
          </cell>
          <cell r="D655">
            <v>41787</v>
          </cell>
          <cell r="E655" t="str">
            <v>Comercializadora, CASPIN, S.A. de C.V.</v>
          </cell>
          <cell r="F655" t="str">
            <v>Compra de Thiner y estopa</v>
          </cell>
          <cell r="G655">
            <v>93.1</v>
          </cell>
          <cell r="H655">
            <v>14.9</v>
          </cell>
          <cell r="I655">
            <v>108</v>
          </cell>
        </row>
        <row r="656">
          <cell r="C656" t="str">
            <v>G_MTCYP</v>
          </cell>
          <cell r="D656">
            <v>41788</v>
          </cell>
          <cell r="E656" t="str">
            <v>Elvia Cortés</v>
          </cell>
          <cell r="F656" t="str">
            <v>Pago por gastos originados por golpe de su vehículo por pluma</v>
          </cell>
          <cell r="G656">
            <v>1200</v>
          </cell>
          <cell r="I656">
            <v>1200</v>
          </cell>
        </row>
        <row r="657">
          <cell r="C657" t="str">
            <v>G_TLF</v>
          </cell>
          <cell r="D657">
            <v>41789</v>
          </cell>
          <cell r="E657" t="str">
            <v>Teléfonos de México, S.A.B. de C.V.</v>
          </cell>
          <cell r="F657" t="str">
            <v>Pago mes de Mayo/14</v>
          </cell>
          <cell r="G657">
            <v>786</v>
          </cell>
          <cell r="I657">
            <v>786</v>
          </cell>
        </row>
        <row r="658">
          <cell r="C658" t="str">
            <v>G_ORG</v>
          </cell>
          <cell r="D658">
            <v>41789</v>
          </cell>
          <cell r="E658" t="str">
            <v xml:space="preserve">Gloria Mazzón </v>
          </cell>
          <cell r="F658" t="str">
            <v>Pago por concepto de captura del 26 al 30 de Mayo/14</v>
          </cell>
          <cell r="G658">
            <v>400</v>
          </cell>
          <cell r="I658">
            <v>400</v>
          </cell>
        </row>
        <row r="659">
          <cell r="C659" t="str">
            <v>G_VRS</v>
          </cell>
          <cell r="D659">
            <v>41789</v>
          </cell>
          <cell r="E659" t="str">
            <v>Daniell Chávez Valdés</v>
          </cell>
          <cell r="F659" t="str">
            <v>Servicio de alimentos p/personal delegación Coyoacán</v>
          </cell>
          <cell r="G659">
            <v>4560</v>
          </cell>
          <cell r="I659">
            <v>4560</v>
          </cell>
        </row>
        <row r="660">
          <cell r="C660" t="str">
            <v>G_P_FIN</v>
          </cell>
          <cell r="D660">
            <v>41789</v>
          </cell>
          <cell r="E660" t="str">
            <v>Banorte</v>
          </cell>
          <cell r="F660" t="str">
            <v>Com. Ch. exped.</v>
          </cell>
          <cell r="G660">
            <v>24</v>
          </cell>
          <cell r="H660">
            <v>3.84</v>
          </cell>
          <cell r="I660">
            <v>27.84</v>
          </cell>
        </row>
        <row r="661">
          <cell r="C661" t="str">
            <v>G_NMNVG</v>
          </cell>
          <cell r="D661">
            <v>41790</v>
          </cell>
          <cell r="E661" t="str">
            <v>Artemio Mora Torres</v>
          </cell>
          <cell r="F661" t="str">
            <v>Pago correspondiente a la 2a quincena de Mayo/14</v>
          </cell>
          <cell r="G661">
            <v>3200</v>
          </cell>
          <cell r="I661">
            <v>3200</v>
          </cell>
        </row>
        <row r="662">
          <cell r="C662" t="str">
            <v>G_P_Fin</v>
          </cell>
          <cell r="D662">
            <v>41765</v>
          </cell>
          <cell r="E662" t="str">
            <v>Alberto Augusto Fuentes Herrera</v>
          </cell>
          <cell r="F662" t="str">
            <v>Remanente identificador</v>
          </cell>
          <cell r="G662">
            <v>-0.46</v>
          </cell>
          <cell r="I662">
            <v>-0.46</v>
          </cell>
        </row>
        <row r="663">
          <cell r="C663" t="str">
            <v>IVA</v>
          </cell>
          <cell r="D663">
            <v>41785</v>
          </cell>
          <cell r="E663" t="str">
            <v>Colegio Carmel</v>
          </cell>
          <cell r="F663" t="str">
            <v>I.V.A. sobre cuota de mantenimiento</v>
          </cell>
          <cell r="H663">
            <v>-1600</v>
          </cell>
          <cell r="I663">
            <v>-1600</v>
          </cell>
        </row>
        <row r="664">
          <cell r="C664" t="str">
            <v>IVA</v>
          </cell>
          <cell r="D664">
            <v>41785</v>
          </cell>
          <cell r="E664" t="str">
            <v>Colegio Carmel</v>
          </cell>
          <cell r="F664" t="str">
            <v>I.V.A. sobre cuota de mantenimiento</v>
          </cell>
          <cell r="H664">
            <v>-1600</v>
          </cell>
          <cell r="I664">
            <v>-1600</v>
          </cell>
        </row>
        <row r="665">
          <cell r="B665" t="str">
            <v>N°</v>
          </cell>
          <cell r="C665" t="str">
            <v>clave</v>
          </cell>
          <cell r="D665" t="str">
            <v>fecha</v>
          </cell>
          <cell r="E665" t="str">
            <v>Beneficiario</v>
          </cell>
          <cell r="F665" t="str">
            <v>Concepto</v>
          </cell>
          <cell r="G665" t="str">
            <v>Gasto</v>
          </cell>
          <cell r="H665" t="str">
            <v>I.V.A.</v>
          </cell>
          <cell r="I665" t="str">
            <v>Total</v>
          </cell>
        </row>
        <row r="666">
          <cell r="C666" t="str">
            <v>G_JDN</v>
          </cell>
          <cell r="D666">
            <v>41792</v>
          </cell>
          <cell r="E666" t="str">
            <v>Roberto Miranda</v>
          </cell>
          <cell r="F666" t="str">
            <v>Limpieza parque mas recoger basura en ambas calles del parque</v>
          </cell>
          <cell r="G666">
            <v>250</v>
          </cell>
          <cell r="I666">
            <v>250</v>
          </cell>
        </row>
        <row r="667">
          <cell r="C667" t="str">
            <v>G_JDN</v>
          </cell>
          <cell r="D667">
            <v>41792</v>
          </cell>
          <cell r="E667" t="str">
            <v>Roberto Miranda</v>
          </cell>
          <cell r="F667" t="str">
            <v xml:space="preserve">Recoger y tirar basura del predio ubicado esq Del hueso-Cuchi </v>
          </cell>
          <cell r="G667">
            <v>50</v>
          </cell>
          <cell r="I667">
            <v>50</v>
          </cell>
        </row>
        <row r="668">
          <cell r="C668" t="str">
            <v>G_PAPE</v>
          </cell>
          <cell r="D668">
            <v>41792</v>
          </cell>
          <cell r="E668" t="str">
            <v>Office Depot de México, S.A. de C.V.</v>
          </cell>
          <cell r="F668" t="str">
            <v>Cartuchos epson, sujetadocumentos, folder y papel xerox</v>
          </cell>
          <cell r="G668">
            <v>740.85</v>
          </cell>
          <cell r="H668">
            <v>118.55</v>
          </cell>
          <cell r="I668">
            <v>859.4</v>
          </cell>
        </row>
        <row r="669">
          <cell r="C669" t="str">
            <v>G_PAPE</v>
          </cell>
          <cell r="D669">
            <v>41793</v>
          </cell>
          <cell r="E669" t="str">
            <v>Papeleria</v>
          </cell>
          <cell r="F669" t="str">
            <v>Enmicado de lista de claves</v>
          </cell>
          <cell r="G669">
            <v>15</v>
          </cell>
          <cell r="I669">
            <v>15</v>
          </cell>
        </row>
        <row r="670">
          <cell r="C670" t="str">
            <v>G_VRS</v>
          </cell>
          <cell r="D670">
            <v>41793</v>
          </cell>
          <cell r="E670" t="str">
            <v>The Home Depot México, S. de R.L. de C.V.</v>
          </cell>
          <cell r="F670" t="str">
            <v>Bote de basura y foco</v>
          </cell>
          <cell r="G670">
            <v>500</v>
          </cell>
          <cell r="H670">
            <v>80</v>
          </cell>
          <cell r="I670">
            <v>580</v>
          </cell>
        </row>
        <row r="671">
          <cell r="C671" t="str">
            <v>G_VRS</v>
          </cell>
          <cell r="D671">
            <v>41793</v>
          </cell>
          <cell r="E671" t="str">
            <v>Daniell Chávez Valdés</v>
          </cell>
          <cell r="F671" t="str">
            <v>Servicio de alimentos p/personal delegacion Coyoacán</v>
          </cell>
          <cell r="G671">
            <v>1072</v>
          </cell>
          <cell r="I671">
            <v>1072</v>
          </cell>
        </row>
        <row r="672">
          <cell r="C672" t="str">
            <v>G_MTPTA</v>
          </cell>
          <cell r="D672">
            <v>41794</v>
          </cell>
          <cell r="E672" t="str">
            <v>Horacio Campos</v>
          </cell>
          <cell r="F672" t="str">
            <v>Ajuste contra-chapa puerta de acceso peatonal R estanz/c.h.</v>
          </cell>
          <cell r="G672">
            <v>450</v>
          </cell>
          <cell r="I672">
            <v>450</v>
          </cell>
        </row>
        <row r="673">
          <cell r="C673" t="str">
            <v>G_AGUA</v>
          </cell>
          <cell r="D673">
            <v>41795</v>
          </cell>
          <cell r="E673" t="str">
            <v>Electropura, S. de R.L. de C.V.</v>
          </cell>
          <cell r="F673" t="str">
            <v>2 garrafones de agua.</v>
          </cell>
          <cell r="G673">
            <v>60</v>
          </cell>
          <cell r="I673">
            <v>60</v>
          </cell>
        </row>
        <row r="674">
          <cell r="C674" t="str">
            <v>G_MTCST</v>
          </cell>
          <cell r="D674">
            <v>41795</v>
          </cell>
          <cell r="E674" t="str">
            <v>Esteban Alejo</v>
          </cell>
          <cell r="F674" t="str">
            <v>Pintar banquetas, plumas y señalizaciones</v>
          </cell>
          <cell r="G674">
            <v>3500</v>
          </cell>
          <cell r="I674">
            <v>3500</v>
          </cell>
        </row>
        <row r="675">
          <cell r="C675" t="str">
            <v>G_DIF</v>
          </cell>
          <cell r="D675">
            <v>41796</v>
          </cell>
          <cell r="E675" t="str">
            <v>PublicArte</v>
          </cell>
          <cell r="F675" t="str">
            <v>2 Lonas bienvenida Lic Mauricio Toledo</v>
          </cell>
          <cell r="G675">
            <v>150</v>
          </cell>
          <cell r="I675">
            <v>150</v>
          </cell>
        </row>
        <row r="676">
          <cell r="C676" t="str">
            <v>G_PAPE</v>
          </cell>
          <cell r="D676">
            <v>41796</v>
          </cell>
          <cell r="E676" t="str">
            <v>Copifaz</v>
          </cell>
          <cell r="F676" t="str">
            <v xml:space="preserve">900 copias </v>
          </cell>
          <cell r="G676">
            <v>315</v>
          </cell>
          <cell r="I676">
            <v>315</v>
          </cell>
        </row>
        <row r="677">
          <cell r="C677" t="str">
            <v>G_ORG</v>
          </cell>
          <cell r="D677">
            <v>41796</v>
          </cell>
          <cell r="E677" t="str">
            <v xml:space="preserve">Gloria Mazzón </v>
          </cell>
          <cell r="F677" t="str">
            <v>Pago por concepto de captura del 02 al 06 de junio/14</v>
          </cell>
          <cell r="G677">
            <v>400</v>
          </cell>
          <cell r="I677">
            <v>400</v>
          </cell>
        </row>
        <row r="678">
          <cell r="C678" t="str">
            <v>G_P_FIN</v>
          </cell>
          <cell r="D678">
            <v>41799</v>
          </cell>
          <cell r="E678" t="str">
            <v>Banorte</v>
          </cell>
          <cell r="F678" t="str">
            <v xml:space="preserve">Com. Estado cta. </v>
          </cell>
          <cell r="G678">
            <v>30</v>
          </cell>
          <cell r="H678">
            <v>4.8</v>
          </cell>
          <cell r="I678">
            <v>34.799999999999997</v>
          </cell>
        </row>
        <row r="679">
          <cell r="C679" t="str">
            <v>G_MTCST</v>
          </cell>
          <cell r="D679">
            <v>41799</v>
          </cell>
          <cell r="E679" t="str">
            <v>Comercializadora CASPIN, S. A. de C.V.</v>
          </cell>
          <cell r="F679" t="str">
            <v>Compra de pintura blanca, thinner, rodillo, estopa y brochas</v>
          </cell>
          <cell r="G679">
            <v>1798.53</v>
          </cell>
          <cell r="H679">
            <v>287.77</v>
          </cell>
          <cell r="I679">
            <v>2086.3000000000002</v>
          </cell>
        </row>
        <row r="680">
          <cell r="C680" t="str">
            <v>G_VRS</v>
          </cell>
          <cell r="D680">
            <v>41800</v>
          </cell>
          <cell r="E680" t="str">
            <v>Marcos Cortes</v>
          </cell>
          <cell r="F680" t="str">
            <v>Desayunos proporcionados a 20 trabajadores de la delegación</v>
          </cell>
          <cell r="G680">
            <v>400</v>
          </cell>
          <cell r="I680">
            <v>400</v>
          </cell>
        </row>
        <row r="681">
          <cell r="C681" t="str">
            <v>G_AGUA</v>
          </cell>
          <cell r="D681">
            <v>41802</v>
          </cell>
          <cell r="E681" t="str">
            <v>Electropura, S. de R.L. de C.V.</v>
          </cell>
          <cell r="F681" t="str">
            <v>4 garrafones de agua</v>
          </cell>
          <cell r="G681">
            <v>120</v>
          </cell>
          <cell r="I681">
            <v>120</v>
          </cell>
        </row>
        <row r="682">
          <cell r="C682" t="str">
            <v>G_MTCBQ</v>
          </cell>
          <cell r="D682">
            <v>41802</v>
          </cell>
          <cell r="E682" t="str">
            <v>Comercializadora CASPIN, S. A. de C.V.</v>
          </cell>
          <cell r="F682" t="str">
            <v>Via color señal/trans/ama pintar topes</v>
          </cell>
          <cell r="G682">
            <v>1795.69</v>
          </cell>
          <cell r="H682">
            <v>287.31</v>
          </cell>
          <cell r="I682">
            <v>2083</v>
          </cell>
        </row>
        <row r="683">
          <cell r="C683" t="str">
            <v>G_USB</v>
          </cell>
          <cell r="D683">
            <v>41803</v>
          </cell>
          <cell r="E683" t="str">
            <v>Advanced Servicio CCTV y Cómputo</v>
          </cell>
          <cell r="F683" t="str">
            <v>Respado de DVR a USB de 2 eventos</v>
          </cell>
          <cell r="G683">
            <v>700</v>
          </cell>
          <cell r="I683">
            <v>700</v>
          </cell>
        </row>
        <row r="684">
          <cell r="C684" t="str">
            <v>G_MTCYP</v>
          </cell>
          <cell r="D684">
            <v>41803</v>
          </cell>
          <cell r="E684" t="str">
            <v>Advanced Servicio CCTV y Cómputo</v>
          </cell>
          <cell r="F684" t="str">
            <v>Reparación de pluma de salida</v>
          </cell>
          <cell r="G684">
            <v>800</v>
          </cell>
          <cell r="I684">
            <v>800</v>
          </cell>
        </row>
        <row r="685">
          <cell r="C685" t="str">
            <v>G_NMNVG</v>
          </cell>
          <cell r="D685">
            <v>41803</v>
          </cell>
          <cell r="E685" t="str">
            <v>Guardias y Custodia Privadas Gama S.A. DE C.V.</v>
          </cell>
          <cell r="F685" t="str">
            <v>Correspondiente al pago de la 1a quincena Junio/14</v>
          </cell>
          <cell r="G685">
            <v>27900</v>
          </cell>
          <cell r="I685">
            <v>27900</v>
          </cell>
        </row>
        <row r="686">
          <cell r="C686" t="str">
            <v>G_ORG</v>
          </cell>
          <cell r="D686">
            <v>41803</v>
          </cell>
          <cell r="E686" t="str">
            <v xml:space="preserve">Gloria Mazzón </v>
          </cell>
          <cell r="F686" t="str">
            <v>Pago por concepto de captura del 09 al 13 de junio/14</v>
          </cell>
          <cell r="G686">
            <v>400</v>
          </cell>
          <cell r="I686">
            <v>400</v>
          </cell>
        </row>
        <row r="687">
          <cell r="C687" t="str">
            <v>G_MTCYP</v>
          </cell>
          <cell r="D687">
            <v>41804</v>
          </cell>
          <cell r="E687" t="str">
            <v>Ferreteria</v>
          </cell>
          <cell r="F687" t="str">
            <v>Juego de llaves allen</v>
          </cell>
          <cell r="G687">
            <v>50</v>
          </cell>
          <cell r="I687">
            <v>50</v>
          </cell>
        </row>
        <row r="688">
          <cell r="C688" t="str">
            <v>G_MTCST</v>
          </cell>
          <cell r="D688">
            <v>41805</v>
          </cell>
          <cell r="E688" t="str">
            <v>Comercializadora CASPIN, S. A. de C.V.</v>
          </cell>
          <cell r="F688" t="str">
            <v>Pintura blanco, thinner , rojo terracota y estopa</v>
          </cell>
          <cell r="G688">
            <v>2266.21</v>
          </cell>
          <cell r="H688">
            <v>362.59</v>
          </cell>
          <cell r="I688">
            <v>2628.8</v>
          </cell>
        </row>
        <row r="689">
          <cell r="C689" t="str">
            <v>G_NMNVG</v>
          </cell>
          <cell r="D689">
            <v>41805</v>
          </cell>
          <cell r="E689" t="str">
            <v>Artemio Mora Torres</v>
          </cell>
          <cell r="F689" t="str">
            <v>Pago correspondiente a la 1a quincena de Junio/14</v>
          </cell>
          <cell r="G689">
            <v>3200</v>
          </cell>
          <cell r="I689">
            <v>3200</v>
          </cell>
        </row>
        <row r="690">
          <cell r="C690" t="str">
            <v>G_MTCYP</v>
          </cell>
          <cell r="D690">
            <v>41806</v>
          </cell>
          <cell r="E690" t="str">
            <v>Olegario Vázquez</v>
          </cell>
          <cell r="F690" t="str">
            <v>Gratificación por reparación de la pluma de zinampa</v>
          </cell>
          <cell r="G690">
            <v>300</v>
          </cell>
          <cell r="I690">
            <v>300</v>
          </cell>
        </row>
        <row r="691">
          <cell r="C691" t="str">
            <v>G_JDN</v>
          </cell>
          <cell r="D691">
            <v>41806</v>
          </cell>
          <cell r="E691" t="str">
            <v>Roberto Miranda</v>
          </cell>
          <cell r="F691" t="str">
            <v>Gratificación por recoger la basura del parque y ambas calles</v>
          </cell>
          <cell r="G691">
            <v>300</v>
          </cell>
          <cell r="I691">
            <v>300</v>
          </cell>
        </row>
        <row r="692">
          <cell r="C692" t="str">
            <v>G_AGUA</v>
          </cell>
          <cell r="D692">
            <v>41808</v>
          </cell>
          <cell r="E692" t="str">
            <v>Electropura, S. de R.L. de C.V.</v>
          </cell>
          <cell r="F692" t="str">
            <v>3 garrafones de agua</v>
          </cell>
          <cell r="G692">
            <v>90</v>
          </cell>
          <cell r="I692">
            <v>90</v>
          </cell>
        </row>
        <row r="693">
          <cell r="C693" t="str">
            <v>G_HJRD</v>
          </cell>
          <cell r="D693">
            <v>41809</v>
          </cell>
          <cell r="E693" t="str">
            <v>Lic. Olivia</v>
          </cell>
          <cell r="F693" t="str">
            <v>Pago de protocolización de la mesa directiva el día 15 mayo/13</v>
          </cell>
          <cell r="G693">
            <v>500</v>
          </cell>
          <cell r="I693">
            <v>500</v>
          </cell>
        </row>
        <row r="694">
          <cell r="C694" t="str">
            <v>G_VRS</v>
          </cell>
          <cell r="D694">
            <v>41810</v>
          </cell>
          <cell r="E694" t="str">
            <v>Dr. Oscar Roldán</v>
          </cell>
          <cell r="F694" t="str">
            <v xml:space="preserve">Pago de gastos erogados en el globo, juntas quincenales </v>
          </cell>
          <cell r="G694">
            <v>1755</v>
          </cell>
          <cell r="I694">
            <v>1755</v>
          </cell>
        </row>
        <row r="695">
          <cell r="C695" t="str">
            <v>G_MTCST</v>
          </cell>
          <cell r="D695">
            <v>41810</v>
          </cell>
          <cell r="E695" t="str">
            <v>Olegario Vázquez</v>
          </cell>
          <cell r="F695" t="str">
            <v>Arreglo conección eléctrica en caseta Romeral</v>
          </cell>
          <cell r="G695">
            <v>150</v>
          </cell>
          <cell r="I695">
            <v>150</v>
          </cell>
        </row>
        <row r="696">
          <cell r="C696" t="str">
            <v>G_MTCST</v>
          </cell>
          <cell r="D696">
            <v>41810</v>
          </cell>
          <cell r="E696" t="str">
            <v>Tlapaleria Jaimes</v>
          </cell>
          <cell r="F696" t="str">
            <v>Compra 7 metros de cable,contacto, placa y cinta de cable</v>
          </cell>
          <cell r="G696">
            <v>91</v>
          </cell>
          <cell r="I696">
            <v>91</v>
          </cell>
        </row>
        <row r="697">
          <cell r="C697" t="str">
            <v>G_ORG</v>
          </cell>
          <cell r="D697">
            <v>41810</v>
          </cell>
          <cell r="E697" t="str">
            <v xml:space="preserve">Gloria Mazzón </v>
          </cell>
          <cell r="F697" t="str">
            <v>Pago por concepto de captura del 16 al 20 de junio/14</v>
          </cell>
          <cell r="G697">
            <v>400</v>
          </cell>
          <cell r="I697">
            <v>400</v>
          </cell>
        </row>
        <row r="698">
          <cell r="C698" t="str">
            <v>G_MTCYP</v>
          </cell>
          <cell r="D698">
            <v>41810</v>
          </cell>
          <cell r="E698" t="str">
            <v xml:space="preserve">Tecnoplaza Electronica S.A. de C.V. </v>
          </cell>
          <cell r="F698" t="str">
            <v>1 Sony 12 mtvl 36 leds, 30 w single color white y fuente 2amp</v>
          </cell>
          <cell r="G698">
            <v>1756.89</v>
          </cell>
          <cell r="H698">
            <v>281.11</v>
          </cell>
          <cell r="I698">
            <v>2038</v>
          </cell>
        </row>
        <row r="699">
          <cell r="C699" t="str">
            <v>G_MTILM</v>
          </cell>
          <cell r="D699">
            <v>41811</v>
          </cell>
          <cell r="E699" t="str">
            <v>Víctor Manuel Sánchez</v>
          </cell>
          <cell r="F699" t="str">
            <v>Cambio de lámparas fundidas en rancho upacuaro/estanz/cuchi</v>
          </cell>
          <cell r="G699">
            <v>4000</v>
          </cell>
          <cell r="I699">
            <v>4000</v>
          </cell>
        </row>
        <row r="700">
          <cell r="C700" t="str">
            <v>G_MTLPZ</v>
          </cell>
          <cell r="D700">
            <v>41812</v>
          </cell>
          <cell r="E700" t="str">
            <v>The Home Depot México, S. de R.L. de C.V.</v>
          </cell>
          <cell r="F700" t="str">
            <v>Compra de bote de basura exterior</v>
          </cell>
          <cell r="G700">
            <v>418.1</v>
          </cell>
          <cell r="H700">
            <v>66.900000000000006</v>
          </cell>
          <cell r="I700">
            <v>485</v>
          </cell>
        </row>
        <row r="701">
          <cell r="C701" t="str">
            <v>G_HCTB</v>
          </cell>
          <cell r="D701">
            <v>41814</v>
          </cell>
          <cell r="E701" t="str">
            <v>Siegrist Contadores Publicos</v>
          </cell>
          <cell r="F701" t="str">
            <v>Honorarios profesionales mes de junio/14</v>
          </cell>
          <cell r="G701">
            <v>862.07</v>
          </cell>
          <cell r="H701">
            <v>137.93</v>
          </cell>
          <cell r="I701">
            <v>1000</v>
          </cell>
        </row>
        <row r="702">
          <cell r="C702" t="str">
            <v>IVA</v>
          </cell>
          <cell r="D702">
            <v>41814</v>
          </cell>
          <cell r="E702" t="str">
            <v>SAT Administración Tributaría</v>
          </cell>
          <cell r="F702" t="str">
            <v>Pago de retenciión de IVA del Colegio Carmel Mes Mayol/14</v>
          </cell>
          <cell r="H702">
            <v>1600</v>
          </cell>
          <cell r="I702">
            <v>1600</v>
          </cell>
        </row>
        <row r="703">
          <cell r="C703" t="str">
            <v>G_INFRA</v>
          </cell>
          <cell r="D703">
            <v>41815</v>
          </cell>
          <cell r="E703" t="str">
            <v>Advanced Servicio CCTV y Cómputo</v>
          </cell>
          <cell r="F703" t="str">
            <v>Instalación de 2 camaras en caseta romeral para entrada y salida</v>
          </cell>
          <cell r="G703">
            <v>2100</v>
          </cell>
          <cell r="I703">
            <v>2100</v>
          </cell>
        </row>
        <row r="704">
          <cell r="C704" t="str">
            <v>G_INFRA</v>
          </cell>
          <cell r="D704">
            <v>41815</v>
          </cell>
          <cell r="E704" t="str">
            <v>Sistemas y comunicaciones gaytan medina S.A. de C.V.</v>
          </cell>
          <cell r="F704" t="str">
            <v>LB 1200V EPCOM-Cámara bala interior/ext</v>
          </cell>
          <cell r="G704">
            <v>1341.75</v>
          </cell>
          <cell r="I704">
            <v>1341.75</v>
          </cell>
        </row>
        <row r="705">
          <cell r="C705" t="str">
            <v>G_AGUA</v>
          </cell>
          <cell r="D705">
            <v>41816</v>
          </cell>
          <cell r="E705" t="str">
            <v>Electropura, S. de R.L. de C.V.</v>
          </cell>
          <cell r="F705" t="str">
            <v>3 garrafones de agua</v>
          </cell>
          <cell r="G705">
            <v>90</v>
          </cell>
          <cell r="I705">
            <v>90</v>
          </cell>
        </row>
        <row r="706">
          <cell r="C706" t="str">
            <v>G_ORG</v>
          </cell>
          <cell r="D706">
            <v>41817</v>
          </cell>
          <cell r="E706" t="str">
            <v xml:space="preserve">Gloria Mazzón </v>
          </cell>
          <cell r="F706" t="str">
            <v>Pago por concepto de captura del 23 al 27 de junio/14</v>
          </cell>
          <cell r="G706">
            <v>400</v>
          </cell>
          <cell r="I706">
            <v>400</v>
          </cell>
        </row>
        <row r="707">
          <cell r="C707" t="str">
            <v>G_NMNVG</v>
          </cell>
          <cell r="D707">
            <v>41817</v>
          </cell>
          <cell r="E707" t="str">
            <v>Guardias y Custodia Privadas Gama S.A. de C.V.</v>
          </cell>
          <cell r="F707" t="str">
            <v>Correspondiente al pago de la 2a quincena Junio/14</v>
          </cell>
          <cell r="G707">
            <v>27900</v>
          </cell>
          <cell r="I707">
            <v>27900</v>
          </cell>
        </row>
        <row r="708">
          <cell r="C708" t="str">
            <v>G_MTPTA</v>
          </cell>
          <cell r="D708">
            <v>41818</v>
          </cell>
          <cell r="E708" t="str">
            <v>Comercializadora Caspin, S.A. de C.V.</v>
          </cell>
          <cell r="F708" t="str">
            <v>Pintura, thinner, estopa, sellador</v>
          </cell>
          <cell r="G708">
            <v>140.5</v>
          </cell>
          <cell r="I708">
            <v>140.5</v>
          </cell>
        </row>
        <row r="709">
          <cell r="C709" t="str">
            <v>G_NMNVG</v>
          </cell>
          <cell r="D709">
            <v>41820</v>
          </cell>
          <cell r="E709" t="str">
            <v>Artemio Mora Torres</v>
          </cell>
          <cell r="F709" t="str">
            <v>Pago correspondiente a la 2a. Quincena de junio/14</v>
          </cell>
          <cell r="G709">
            <v>3200</v>
          </cell>
          <cell r="I709">
            <v>3200</v>
          </cell>
        </row>
        <row r="710">
          <cell r="C710" t="str">
            <v>G_P_FIN</v>
          </cell>
          <cell r="D710">
            <v>41820</v>
          </cell>
          <cell r="E710" t="str">
            <v>Banorte</v>
          </cell>
          <cell r="F710" t="str">
            <v>Com. Ch. exped.</v>
          </cell>
          <cell r="G710">
            <v>24</v>
          </cell>
          <cell r="H710">
            <v>3.84</v>
          </cell>
          <cell r="I710">
            <v>27.84</v>
          </cell>
        </row>
        <row r="711">
          <cell r="C711" t="str">
            <v>IVA</v>
          </cell>
          <cell r="D711">
            <v>41820</v>
          </cell>
          <cell r="E711" t="str">
            <v>Colegio Carmel</v>
          </cell>
          <cell r="F711" t="str">
            <v>I.V.A. sobre cuota de mantenimiento</v>
          </cell>
          <cell r="H711">
            <v>-1600</v>
          </cell>
          <cell r="I711">
            <v>-1600</v>
          </cell>
        </row>
        <row r="712">
          <cell r="C712" t="str">
            <v>G_P_Fin</v>
          </cell>
          <cell r="D712">
            <v>41800</v>
          </cell>
          <cell r="E712" t="str">
            <v>Alberto Augusto Fuentes Herrera</v>
          </cell>
          <cell r="F712" t="str">
            <v>Remanente identificador</v>
          </cell>
          <cell r="G712">
            <v>-0.46</v>
          </cell>
          <cell r="I712">
            <v>-0.46</v>
          </cell>
        </row>
        <row r="713">
          <cell r="C713" t="str">
            <v>G_P_Fin</v>
          </cell>
          <cell r="D713">
            <v>41810</v>
          </cell>
          <cell r="E713" t="str">
            <v>Norma Lorena González Arevyan</v>
          </cell>
          <cell r="F713" t="str">
            <v>Remanente identificador</v>
          </cell>
          <cell r="G713">
            <v>-0.15</v>
          </cell>
          <cell r="I713">
            <v>-0.15</v>
          </cell>
        </row>
        <row r="714">
          <cell r="B714" t="str">
            <v>N°</v>
          </cell>
          <cell r="C714" t="str">
            <v>clave</v>
          </cell>
          <cell r="D714" t="str">
            <v>fecha</v>
          </cell>
          <cell r="E714" t="str">
            <v>Beneficiario</v>
          </cell>
          <cell r="F714" t="str">
            <v>Concepto</v>
          </cell>
          <cell r="G714" t="str">
            <v>Gasto</v>
          </cell>
          <cell r="H714" t="str">
            <v>I.V.A.</v>
          </cell>
          <cell r="I714" t="str">
            <v>Total</v>
          </cell>
        </row>
        <row r="715">
          <cell r="C715" t="str">
            <v>G_AGUA</v>
          </cell>
          <cell r="D715">
            <v>41822</v>
          </cell>
          <cell r="E715" t="str">
            <v>Electropura, S. de R.L. de C.V.</v>
          </cell>
          <cell r="F715" t="str">
            <v>3 garrafones de agua</v>
          </cell>
          <cell r="G715">
            <v>90</v>
          </cell>
          <cell r="I715">
            <v>90</v>
          </cell>
        </row>
        <row r="716">
          <cell r="C716" t="str">
            <v>G_PAPE</v>
          </cell>
          <cell r="D716">
            <v>41822</v>
          </cell>
          <cell r="E716" t="str">
            <v>Office Deport de México, S.A. de C.V.</v>
          </cell>
          <cell r="F716" t="str">
            <v>Compra de 3 cartuchos</v>
          </cell>
          <cell r="G716">
            <v>437.07</v>
          </cell>
          <cell r="H716">
            <v>69.930000000000007</v>
          </cell>
          <cell r="I716">
            <v>507</v>
          </cell>
        </row>
        <row r="717">
          <cell r="C717" t="str">
            <v>G_MTCST</v>
          </cell>
          <cell r="D717">
            <v>41822</v>
          </cell>
          <cell r="E717" t="str">
            <v>Ferre Eléctrica Diaz</v>
          </cell>
          <cell r="F717" t="str">
            <v>Compra de 1 foco ahorrador ter 26 w</v>
          </cell>
          <cell r="G717">
            <v>145</v>
          </cell>
          <cell r="I717">
            <v>145</v>
          </cell>
        </row>
        <row r="718">
          <cell r="C718" t="str">
            <v>G_MTCBQ</v>
          </cell>
          <cell r="D718">
            <v>41822</v>
          </cell>
          <cell r="E718" t="str">
            <v>Comercializadora CASPIN, S. A. de C.V.</v>
          </cell>
          <cell r="F718" t="str">
            <v>Compra de pintura, via color señal, thinner, estopa y rodillo</v>
          </cell>
          <cell r="G718">
            <v>4015.52</v>
          </cell>
          <cell r="H718">
            <v>642.48</v>
          </cell>
          <cell r="I718">
            <v>4658</v>
          </cell>
        </row>
        <row r="719">
          <cell r="C719" t="str">
            <v>G_INFRA</v>
          </cell>
          <cell r="D719">
            <v>41823</v>
          </cell>
          <cell r="E719" t="str">
            <v>Sistemas y cominucaciones Gaytan Medina, S.A. de C.V.</v>
          </cell>
          <cell r="F719" t="str">
            <v>Compra de Videograbadora, camara bala, monitor led etc.</v>
          </cell>
          <cell r="G719">
            <v>5708.53</v>
          </cell>
          <cell r="H719">
            <v>913.37</v>
          </cell>
          <cell r="I719">
            <v>6621.9</v>
          </cell>
        </row>
        <row r="720">
          <cell r="C720" t="str">
            <v>G_MTLPZ</v>
          </cell>
          <cell r="D720">
            <v>41823</v>
          </cell>
          <cell r="E720" t="str">
            <v>Nueva Walmart de México, S. de R.L. de C.V.</v>
          </cell>
          <cell r="F720" t="str">
            <v>Compra de materiales de limpieza</v>
          </cell>
          <cell r="G720">
            <v>438.4</v>
          </cell>
          <cell r="I720">
            <v>438.4</v>
          </cell>
        </row>
        <row r="721">
          <cell r="C721" t="str">
            <v>G_VRS</v>
          </cell>
          <cell r="D721">
            <v>41824</v>
          </cell>
          <cell r="E721" t="str">
            <v>Advanced servicio, CCTV y cómputo</v>
          </cell>
          <cell r="F721" t="str">
            <v xml:space="preserve">Respaldo de 2 videos de incidentes </v>
          </cell>
          <cell r="G721">
            <v>700</v>
          </cell>
          <cell r="I721">
            <v>700</v>
          </cell>
        </row>
        <row r="722">
          <cell r="C722" t="str">
            <v>G_JDN</v>
          </cell>
          <cell r="D722">
            <v>41824</v>
          </cell>
          <cell r="E722" t="str">
            <v>Roberto Miranda</v>
          </cell>
          <cell r="F722" t="str">
            <v xml:space="preserve">Gratificación por recoger la basura del parque </v>
          </cell>
          <cell r="G722">
            <v>300</v>
          </cell>
          <cell r="I722">
            <v>300</v>
          </cell>
        </row>
        <row r="723">
          <cell r="C723" t="str">
            <v>G_ORG</v>
          </cell>
          <cell r="D723">
            <v>41824</v>
          </cell>
          <cell r="E723" t="str">
            <v xml:space="preserve">Gloria Mazzón </v>
          </cell>
          <cell r="F723" t="str">
            <v>Pago por concepto de captura del 30 jun a 04 jul/14</v>
          </cell>
          <cell r="G723">
            <v>400</v>
          </cell>
          <cell r="I723">
            <v>400</v>
          </cell>
        </row>
        <row r="724">
          <cell r="C724" t="str">
            <v>G_ADQ</v>
          </cell>
          <cell r="D724">
            <v>41824</v>
          </cell>
          <cell r="E724" t="str">
            <v>Horacio Campos</v>
          </cell>
          <cell r="F724" t="str">
            <v>50 Duplicado de llaves de seguridad</v>
          </cell>
          <cell r="G724">
            <v>4500</v>
          </cell>
          <cell r="I724">
            <v>4500</v>
          </cell>
        </row>
        <row r="725">
          <cell r="C725" t="str">
            <v>G_MTPTA</v>
          </cell>
          <cell r="D725">
            <v>41824</v>
          </cell>
          <cell r="E725" t="str">
            <v>Horacio Campos</v>
          </cell>
          <cell r="F725" t="str">
            <v>Reparación de chapa y apertura de chapa</v>
          </cell>
          <cell r="G725">
            <v>360</v>
          </cell>
          <cell r="I725">
            <v>360</v>
          </cell>
        </row>
        <row r="726">
          <cell r="C726" t="str">
            <v>G_P_FIN</v>
          </cell>
          <cell r="D726">
            <v>41827</v>
          </cell>
          <cell r="E726" t="str">
            <v>Banorte</v>
          </cell>
          <cell r="F726" t="str">
            <v>Com. estado de cuenta</v>
          </cell>
          <cell r="G726">
            <v>30</v>
          </cell>
          <cell r="H726">
            <v>4.8</v>
          </cell>
          <cell r="I726">
            <v>34.799999999999997</v>
          </cell>
        </row>
        <row r="727">
          <cell r="C727" t="str">
            <v>G_MTCYP</v>
          </cell>
          <cell r="D727">
            <v>41827</v>
          </cell>
          <cell r="E727" t="str">
            <v>Radio Shack de México, S.A. de C.V.</v>
          </cell>
          <cell r="F727" t="str">
            <v xml:space="preserve">Compra de pila alcallina enercell </v>
          </cell>
          <cell r="G727">
            <v>128.44999999999999</v>
          </cell>
          <cell r="H727">
            <v>20.55</v>
          </cell>
          <cell r="I727">
            <v>149</v>
          </cell>
        </row>
        <row r="728">
          <cell r="C728" t="str">
            <v>G_INFRA</v>
          </cell>
          <cell r="D728">
            <v>41828</v>
          </cell>
          <cell r="E728" t="str">
            <v>Advance servicio, CCTV y cómputo</v>
          </cell>
          <cell r="F728" t="str">
            <v xml:space="preserve">Instalación de 2 camaras en circuito Recoveco, colocacion de dvr </v>
          </cell>
          <cell r="G728">
            <v>1210</v>
          </cell>
          <cell r="I728">
            <v>1210</v>
          </cell>
        </row>
        <row r="729">
          <cell r="C729" t="str">
            <v>G_AGUA</v>
          </cell>
          <cell r="D729">
            <v>41829</v>
          </cell>
          <cell r="E729" t="str">
            <v>Electropura, S. de R.L. de C.V.</v>
          </cell>
          <cell r="F729" t="str">
            <v>3 garrafones de agua</v>
          </cell>
          <cell r="G729">
            <v>90</v>
          </cell>
          <cell r="I729">
            <v>90</v>
          </cell>
        </row>
        <row r="730">
          <cell r="C730" t="str">
            <v>G_MTCBQ</v>
          </cell>
          <cell r="D730">
            <v>41830</v>
          </cell>
          <cell r="E730" t="str">
            <v>Comercializadora Caspn, S.A. de C.V.</v>
          </cell>
          <cell r="F730" t="str">
            <v xml:space="preserve">Compra de thinner           </v>
          </cell>
          <cell r="G730">
            <v>93.1</v>
          </cell>
          <cell r="H730">
            <v>14.9</v>
          </cell>
          <cell r="I730">
            <v>108</v>
          </cell>
        </row>
        <row r="731">
          <cell r="C731" t="str">
            <v>G_INFRA</v>
          </cell>
          <cell r="D731">
            <v>41830</v>
          </cell>
          <cell r="E731" t="str">
            <v xml:space="preserve">Tecnoplaza Electrónica S.A. de C.V. </v>
          </cell>
          <cell r="F731" t="str">
            <v xml:space="preserve">Compra bobina, UTP 300 m recubrimiento negro CAT 6 </v>
          </cell>
          <cell r="G731">
            <v>2128.52</v>
          </cell>
          <cell r="H731">
            <v>340.56</v>
          </cell>
          <cell r="I731">
            <v>2469.08</v>
          </cell>
        </row>
        <row r="732">
          <cell r="C732" t="str">
            <v>G_MTCYP</v>
          </cell>
          <cell r="D732">
            <v>41831</v>
          </cell>
          <cell r="E732" t="str">
            <v>Advance servicio CCTV y cómputo</v>
          </cell>
          <cell r="F732" t="str">
            <v>Reparación y sellado de antenas de acceso vehcular</v>
          </cell>
          <cell r="G732">
            <v>700</v>
          </cell>
          <cell r="I732">
            <v>700</v>
          </cell>
        </row>
        <row r="733">
          <cell r="C733" t="str">
            <v>G_ORG</v>
          </cell>
          <cell r="D733">
            <v>41831</v>
          </cell>
          <cell r="E733" t="str">
            <v xml:space="preserve">Gloria Mazzón </v>
          </cell>
          <cell r="F733" t="str">
            <v>Pago por concepto de captura del 07 al 11 de jul/14</v>
          </cell>
          <cell r="G733">
            <v>400</v>
          </cell>
          <cell r="I733">
            <v>400</v>
          </cell>
        </row>
        <row r="734">
          <cell r="C734" t="str">
            <v>G_MTCST</v>
          </cell>
          <cell r="D734">
            <v>41831</v>
          </cell>
          <cell r="E734" t="str">
            <v>Esteban Alejo</v>
          </cell>
          <cell r="F734" t="str">
            <v>Pintura en topes y caseta de Romeral, Cuchilla y Recoveco</v>
          </cell>
          <cell r="G734">
            <v>3700</v>
          </cell>
          <cell r="I734">
            <v>3700</v>
          </cell>
        </row>
        <row r="735">
          <cell r="C735" t="str">
            <v>G_PAPE</v>
          </cell>
          <cell r="D735">
            <v>41831</v>
          </cell>
          <cell r="E735" t="str">
            <v>Eguía impresos</v>
          </cell>
          <cell r="F735" t="str">
            <v xml:space="preserve">430 copias </v>
          </cell>
          <cell r="G735">
            <v>600</v>
          </cell>
          <cell r="I735">
            <v>600</v>
          </cell>
        </row>
        <row r="736">
          <cell r="C736" t="str">
            <v>G_JDN</v>
          </cell>
          <cell r="D736">
            <v>41834</v>
          </cell>
          <cell r="E736" t="str">
            <v>Raúl Flores</v>
          </cell>
          <cell r="F736" t="str">
            <v>Poda de pasto y árboles, en  ambas casetas</v>
          </cell>
          <cell r="G736">
            <v>400</v>
          </cell>
          <cell r="I736">
            <v>400</v>
          </cell>
        </row>
        <row r="737">
          <cell r="C737" t="str">
            <v>G_TLF</v>
          </cell>
          <cell r="D737">
            <v>41834</v>
          </cell>
          <cell r="E737" t="str">
            <v>Telefonos de México, S.A.B. de C.V.</v>
          </cell>
          <cell r="F737" t="str">
            <v>Pago mes de Junio/14</v>
          </cell>
          <cell r="G737">
            <v>786</v>
          </cell>
          <cell r="I737">
            <v>786</v>
          </cell>
        </row>
        <row r="738">
          <cell r="C738" t="str">
            <v>G_SÑ</v>
          </cell>
          <cell r="D738">
            <v>41835</v>
          </cell>
          <cell r="E738" t="str">
            <v>Home Depot México, S. de R. L. de C. V.</v>
          </cell>
          <cell r="F738" t="str">
            <v>Ccompra de 2 conos reforzados de 71 cms.</v>
          </cell>
          <cell r="G738">
            <v>429.32</v>
          </cell>
          <cell r="H738">
            <v>68.7</v>
          </cell>
          <cell r="I738">
            <v>498.02</v>
          </cell>
        </row>
        <row r="739">
          <cell r="C739" t="str">
            <v>G_NMNVG</v>
          </cell>
          <cell r="D739">
            <v>41835</v>
          </cell>
          <cell r="E739" t="str">
            <v>Guardias y Custodia Privadas Gama S.A. de C.V.</v>
          </cell>
          <cell r="F739" t="str">
            <v>Correspondiente al pago de la 1a quincena Julio/14</v>
          </cell>
          <cell r="G739">
            <v>27900</v>
          </cell>
          <cell r="I739">
            <v>27900</v>
          </cell>
        </row>
        <row r="740">
          <cell r="C740" t="str">
            <v>G_NMNVG</v>
          </cell>
          <cell r="D740">
            <v>41835</v>
          </cell>
          <cell r="E740" t="str">
            <v>Artemio Mora Torres</v>
          </cell>
          <cell r="F740" t="str">
            <v>Pago correspondiente a la 1a quincena de julio/14</v>
          </cell>
          <cell r="G740">
            <v>3200</v>
          </cell>
          <cell r="I740">
            <v>3200</v>
          </cell>
        </row>
        <row r="741">
          <cell r="C741" t="str">
            <v>G_AGUA</v>
          </cell>
          <cell r="D741">
            <v>41836</v>
          </cell>
          <cell r="E741" t="str">
            <v>Electropura, S. de R.L. de C.V.</v>
          </cell>
          <cell r="F741" t="str">
            <v>2 garrafones de agua.</v>
          </cell>
          <cell r="G741">
            <v>60</v>
          </cell>
          <cell r="I741">
            <v>60</v>
          </cell>
        </row>
        <row r="742">
          <cell r="C742" t="str">
            <v>G_JDN</v>
          </cell>
          <cell r="D742">
            <v>41838</v>
          </cell>
          <cell r="E742" t="str">
            <v>Home Depot México, S. de R. L. de C. V.</v>
          </cell>
          <cell r="F742" t="str">
            <v>Bolsas rollo 20  93x119 200 lt neg.</v>
          </cell>
          <cell r="G742">
            <v>56.9</v>
          </cell>
          <cell r="H742">
            <v>9.1</v>
          </cell>
          <cell r="I742">
            <v>66</v>
          </cell>
        </row>
        <row r="743">
          <cell r="C743" t="str">
            <v>G_ORG</v>
          </cell>
          <cell r="D743">
            <v>41838</v>
          </cell>
          <cell r="E743" t="str">
            <v xml:space="preserve">Gloria Mazzón </v>
          </cell>
          <cell r="F743" t="str">
            <v>Pago por concepto de captura de  14 al 18 julio/14</v>
          </cell>
          <cell r="G743">
            <v>400</v>
          </cell>
          <cell r="I743">
            <v>400</v>
          </cell>
        </row>
        <row r="744">
          <cell r="C744" t="str">
            <v>G_JDN</v>
          </cell>
          <cell r="D744">
            <v>41839</v>
          </cell>
          <cell r="E744" t="str">
            <v>Roberto Miranda</v>
          </cell>
          <cell r="F744" t="str">
            <v>Gratificación por recoger basura parque y barrer embascallos</v>
          </cell>
          <cell r="G744">
            <v>300</v>
          </cell>
          <cell r="I744">
            <v>300</v>
          </cell>
        </row>
        <row r="745">
          <cell r="C745" t="str">
            <v>G_VRS</v>
          </cell>
          <cell r="D745">
            <v>41839</v>
          </cell>
          <cell r="E745" t="str">
            <v>Roberto Miranda</v>
          </cell>
          <cell r="F745" t="str">
            <v>Gratificación por recoger basura cascajo que dejó el personal del</v>
          </cell>
          <cell r="G745">
            <v>300</v>
          </cell>
          <cell r="I745">
            <v>300</v>
          </cell>
        </row>
        <row r="746">
          <cell r="C746" t="str">
            <v>G_MTCYP</v>
          </cell>
          <cell r="D746">
            <v>41839</v>
          </cell>
          <cell r="E746" t="str">
            <v>Advanced, servicio CCTV y cómputo</v>
          </cell>
          <cell r="F746" t="str">
            <v>Inicio de reparación de circuito Zinampa, cableado de 2 camaras</v>
          </cell>
          <cell r="G746">
            <v>800</v>
          </cell>
          <cell r="I746">
            <v>800</v>
          </cell>
        </row>
        <row r="747">
          <cell r="C747" t="str">
            <v>G_AGUA</v>
          </cell>
          <cell r="D747">
            <v>41841</v>
          </cell>
          <cell r="E747" t="str">
            <v>Electropura, S. de R.L. de C.V.</v>
          </cell>
          <cell r="F747" t="str">
            <v>2 garrafones de agua.</v>
          </cell>
          <cell r="G747">
            <v>60</v>
          </cell>
          <cell r="I747">
            <v>60</v>
          </cell>
        </row>
        <row r="748">
          <cell r="C748" t="str">
            <v>IVA</v>
          </cell>
          <cell r="D748">
            <v>41841</v>
          </cell>
          <cell r="E748" t="str">
            <v>SAT Administración Tributaría</v>
          </cell>
          <cell r="F748" t="str">
            <v>Pago de retenciión de IVA del Colegio Carmel Mes junio/14</v>
          </cell>
          <cell r="H748">
            <v>1600</v>
          </cell>
          <cell r="I748">
            <v>1600</v>
          </cell>
        </row>
        <row r="749">
          <cell r="C749" t="str">
            <v>G_MTCBQ</v>
          </cell>
          <cell r="D749">
            <v>41841</v>
          </cell>
          <cell r="E749" t="str">
            <v>Arturo García</v>
          </cell>
          <cell r="F749" t="str">
            <v>Costo de intalación de tubos de protección en calle del Hueso</v>
          </cell>
          <cell r="G749">
            <v>600</v>
          </cell>
          <cell r="I749">
            <v>600</v>
          </cell>
        </row>
        <row r="750">
          <cell r="C750" t="str">
            <v>G_MTCYP</v>
          </cell>
          <cell r="D750">
            <v>41841</v>
          </cell>
          <cell r="E750" t="str">
            <v xml:space="preserve">Tecnoplaza Electrónica S.A. de C.V. </v>
          </cell>
          <cell r="F750" t="str">
            <v>Promoción 16 pares de baluns y 16 PM y fuente 2 amp.</v>
          </cell>
          <cell r="G750">
            <v>1240.52</v>
          </cell>
          <cell r="H750">
            <v>198.48</v>
          </cell>
          <cell r="I750">
            <v>1439</v>
          </cell>
        </row>
        <row r="751">
          <cell r="C751" t="str">
            <v>G_VRS</v>
          </cell>
          <cell r="D751">
            <v>41842</v>
          </cell>
          <cell r="E751" t="str">
            <v>Advanced, servicio CCTV y cómputo</v>
          </cell>
          <cell r="F751" t="str">
            <v>Respaldo de 2 videograbaciones</v>
          </cell>
          <cell r="G751">
            <v>700</v>
          </cell>
          <cell r="I751">
            <v>700</v>
          </cell>
        </row>
        <row r="752">
          <cell r="C752" t="str">
            <v>G_PAPE</v>
          </cell>
          <cell r="D752">
            <v>41845</v>
          </cell>
          <cell r="E752" t="str">
            <v>Office Depot de México, S.A. de C.V.</v>
          </cell>
          <cell r="F752" t="str">
            <v>Compra de cartucho negro, amar., clip gotico, rollerbal, etc.</v>
          </cell>
          <cell r="G752">
            <v>558.03</v>
          </cell>
          <cell r="H752">
            <v>89.28</v>
          </cell>
          <cell r="I752">
            <v>647.30999999999995</v>
          </cell>
        </row>
        <row r="753">
          <cell r="C753" t="str">
            <v>G_ORG</v>
          </cell>
          <cell r="D753">
            <v>41845</v>
          </cell>
          <cell r="E753" t="str">
            <v xml:space="preserve">Gloria Mazzón </v>
          </cell>
          <cell r="F753" t="str">
            <v>Pago por concepto de captura de 21 al 25 julio/14</v>
          </cell>
          <cell r="G753">
            <v>400</v>
          </cell>
          <cell r="I753">
            <v>400</v>
          </cell>
        </row>
        <row r="754">
          <cell r="C754" t="str">
            <v>G_MTCBQ</v>
          </cell>
          <cell r="D754">
            <v>41846</v>
          </cell>
          <cell r="E754" t="str">
            <v>Esteban Alejo</v>
          </cell>
          <cell r="F754" t="str">
            <v>Pintura y vacheo de calle Upacuaro.</v>
          </cell>
          <cell r="G754">
            <v>700</v>
          </cell>
          <cell r="I754">
            <v>700</v>
          </cell>
        </row>
        <row r="755">
          <cell r="C755" t="str">
            <v>G_MTCYP</v>
          </cell>
          <cell r="D755">
            <v>41846</v>
          </cell>
          <cell r="E755" t="str">
            <v>Advanced, servicio CCTV y cómputo</v>
          </cell>
          <cell r="F755" t="str">
            <v>Anticipo de pago de honorarios circuito Zinampa</v>
          </cell>
          <cell r="G755">
            <v>500</v>
          </cell>
          <cell r="I755">
            <v>500</v>
          </cell>
        </row>
        <row r="756">
          <cell r="C756" t="str">
            <v>G_AGUA</v>
          </cell>
          <cell r="D756">
            <v>41848</v>
          </cell>
          <cell r="E756" t="str">
            <v>Electropura, S. de R.L. de C.V.</v>
          </cell>
          <cell r="F756" t="str">
            <v>3 garrafones de agua</v>
          </cell>
          <cell r="G756">
            <v>90</v>
          </cell>
          <cell r="I756">
            <v>90</v>
          </cell>
        </row>
        <row r="757">
          <cell r="C757" t="str">
            <v>G_MTPTA</v>
          </cell>
          <cell r="D757">
            <v>41849</v>
          </cell>
          <cell r="E757" t="str">
            <v>Horacio Campos</v>
          </cell>
          <cell r="F757" t="str">
            <v>Reparación de dos chapas en las rejas de acceso peatonal</v>
          </cell>
          <cell r="G757">
            <v>500</v>
          </cell>
          <cell r="I757">
            <v>500</v>
          </cell>
        </row>
        <row r="758">
          <cell r="C758" t="str">
            <v>G_TLF</v>
          </cell>
          <cell r="D758">
            <v>41850</v>
          </cell>
          <cell r="E758" t="str">
            <v>Telefonos de México, S.A.B. de C.V.</v>
          </cell>
          <cell r="F758" t="str">
            <v>Pago mes de Julio/14</v>
          </cell>
          <cell r="G758">
            <v>895</v>
          </cell>
          <cell r="I758">
            <v>895</v>
          </cell>
        </row>
        <row r="759">
          <cell r="C759" t="str">
            <v>G_MTPTA</v>
          </cell>
          <cell r="D759">
            <v>41850</v>
          </cell>
          <cell r="E759" t="str">
            <v>Horacio Campos</v>
          </cell>
          <cell r="F759" t="str">
            <v>Cambio de una chapa en la entrada peatonal caseta Romeral</v>
          </cell>
          <cell r="G759">
            <v>2500</v>
          </cell>
          <cell r="I759">
            <v>2500</v>
          </cell>
        </row>
        <row r="760">
          <cell r="C760" t="str">
            <v>G_DIF</v>
          </cell>
          <cell r="D760">
            <v>41851</v>
          </cell>
          <cell r="E760" t="str">
            <v>Lona Hernández</v>
          </cell>
          <cell r="F760" t="str">
            <v>1 lona 1 x 1 m2</v>
          </cell>
          <cell r="G760">
            <v>45</v>
          </cell>
          <cell r="I760">
            <v>45</v>
          </cell>
        </row>
        <row r="761">
          <cell r="C761" t="str">
            <v>G_INFRA</v>
          </cell>
          <cell r="D761">
            <v>41851</v>
          </cell>
          <cell r="E761" t="str">
            <v>Sistemas y comunicaciones gaytan medina S.A. de C.V.</v>
          </cell>
          <cell r="F761" t="str">
            <v>AVtEcH AVC181, camara profesional</v>
          </cell>
          <cell r="G761">
            <v>4758.6000000000004</v>
          </cell>
          <cell r="H761">
            <v>761.38</v>
          </cell>
          <cell r="I761">
            <v>5519.9800000000005</v>
          </cell>
        </row>
        <row r="762">
          <cell r="C762" t="str">
            <v>G_INFRA</v>
          </cell>
          <cell r="D762">
            <v>41851</v>
          </cell>
          <cell r="E762" t="str">
            <v xml:space="preserve">Tecnoplaza Electrónica S.A. de C.V. </v>
          </cell>
          <cell r="F762" t="str">
            <v>Lente varifocal de 6 a 60 mm</v>
          </cell>
          <cell r="G762">
            <v>3258.6</v>
          </cell>
          <cell r="H762">
            <v>521.38</v>
          </cell>
          <cell r="I762">
            <v>3779.98</v>
          </cell>
        </row>
        <row r="763">
          <cell r="C763" t="str">
            <v>G_NMNVG</v>
          </cell>
          <cell r="D763">
            <v>41851</v>
          </cell>
          <cell r="E763" t="str">
            <v>Guardias y Custodias Privadas Gama S.A. de C.V.</v>
          </cell>
          <cell r="F763" t="str">
            <v>Correspondiente al pago de la 2a quincena de julio/14</v>
          </cell>
          <cell r="G763">
            <v>27900</v>
          </cell>
          <cell r="I763">
            <v>27900</v>
          </cell>
        </row>
        <row r="764">
          <cell r="C764" t="str">
            <v>G_NMNVG</v>
          </cell>
          <cell r="D764">
            <v>41851</v>
          </cell>
          <cell r="E764" t="str">
            <v>Artemio Mora Torres</v>
          </cell>
          <cell r="F764" t="str">
            <v>Pago correspondiente a la 2a quincena  de julio/14</v>
          </cell>
          <cell r="G764">
            <v>3200</v>
          </cell>
          <cell r="I764">
            <v>3200</v>
          </cell>
        </row>
        <row r="765">
          <cell r="C765" t="str">
            <v>G_JDN</v>
          </cell>
          <cell r="D765">
            <v>41851</v>
          </cell>
          <cell r="E765" t="str">
            <v>Francisco Raúl Flores Herrera</v>
          </cell>
          <cell r="F765" t="str">
            <v>Poda de pasto y desyerbado del pasto de la pista p/caminar</v>
          </cell>
          <cell r="G765">
            <v>4600</v>
          </cell>
          <cell r="I765">
            <v>4600</v>
          </cell>
        </row>
        <row r="766">
          <cell r="C766" t="str">
            <v>G_HCTB</v>
          </cell>
          <cell r="D766">
            <v>41851</v>
          </cell>
          <cell r="E766" t="str">
            <v>Segrist Contadores Publicos</v>
          </cell>
          <cell r="F766" t="str">
            <v>Honorarios profesionales mes de julio/14</v>
          </cell>
          <cell r="G766">
            <v>862.07</v>
          </cell>
          <cell r="H766">
            <v>137.93</v>
          </cell>
          <cell r="I766">
            <v>1000</v>
          </cell>
        </row>
        <row r="767">
          <cell r="C767" t="str">
            <v>G_P_Fin</v>
          </cell>
          <cell r="D767">
            <v>41825</v>
          </cell>
          <cell r="E767" t="str">
            <v>Alberto Augusto Fuentes Herrera</v>
          </cell>
          <cell r="F767" t="str">
            <v>Remanente identificador</v>
          </cell>
          <cell r="G767">
            <v>-0.46</v>
          </cell>
          <cell r="I767">
            <v>-0.46</v>
          </cell>
        </row>
        <row r="768">
          <cell r="B768" t="str">
            <v>N°</v>
          </cell>
          <cell r="C768" t="str">
            <v>clave</v>
          </cell>
          <cell r="D768" t="str">
            <v>fecha</v>
          </cell>
          <cell r="E768" t="str">
            <v>Beneficiario</v>
          </cell>
          <cell r="F768" t="str">
            <v>Concepto</v>
          </cell>
          <cell r="G768" t="str">
            <v>Gasto</v>
          </cell>
          <cell r="H768" t="str">
            <v>I.V.A.</v>
          </cell>
          <cell r="I768" t="str">
            <v>Total</v>
          </cell>
        </row>
        <row r="769">
          <cell r="C769" t="str">
            <v>G_MTCYP</v>
          </cell>
          <cell r="D769">
            <v>41852</v>
          </cell>
          <cell r="E769" t="str">
            <v>Advance, servicio CCTV y cómputo</v>
          </cell>
          <cell r="F769" t="str">
            <v>Pago restante de honorarios en la elaboración 1° etapa Zinampa</v>
          </cell>
          <cell r="G769">
            <v>5700</v>
          </cell>
          <cell r="I769">
            <v>5700</v>
          </cell>
        </row>
        <row r="770">
          <cell r="C770" t="str">
            <v>G_ORG</v>
          </cell>
          <cell r="D770">
            <v>41852</v>
          </cell>
          <cell r="E770" t="str">
            <v xml:space="preserve">Gloria Mazzón </v>
          </cell>
          <cell r="F770" t="str">
            <v>Pago por concepto de captura del 28 de julio al 01 de agosto/14</v>
          </cell>
          <cell r="G770">
            <v>400</v>
          </cell>
          <cell r="I770">
            <v>400</v>
          </cell>
        </row>
        <row r="771">
          <cell r="C771" t="str">
            <v>G_AGUA</v>
          </cell>
          <cell r="D771">
            <v>41855</v>
          </cell>
          <cell r="E771" t="str">
            <v>Electropura, S. de R.L. de C.V.</v>
          </cell>
          <cell r="F771" t="str">
            <v>4 garrafones de agua</v>
          </cell>
          <cell r="G771">
            <v>120</v>
          </cell>
          <cell r="I771">
            <v>120</v>
          </cell>
        </row>
        <row r="772">
          <cell r="C772" t="str">
            <v>G_JDN</v>
          </cell>
          <cell r="D772">
            <v>41855</v>
          </cell>
          <cell r="E772" t="str">
            <v>Roberto Miranda</v>
          </cell>
          <cell r="F772" t="str">
            <v>Gratificación por recoger basura parque y barrer ambas calles</v>
          </cell>
          <cell r="G772">
            <v>300</v>
          </cell>
          <cell r="I772">
            <v>300</v>
          </cell>
        </row>
        <row r="773">
          <cell r="C773" t="str">
            <v>G_MTCYP</v>
          </cell>
          <cell r="D773">
            <v>41856</v>
          </cell>
          <cell r="E773" t="str">
            <v>Advance, servicio CCTV y cómputo</v>
          </cell>
          <cell r="F773" t="str">
            <v>Gasto de tornilleria, herrajes, cintas y carcasa de camaras</v>
          </cell>
          <cell r="G773">
            <v>1200</v>
          </cell>
          <cell r="I773">
            <v>1200</v>
          </cell>
        </row>
        <row r="774">
          <cell r="C774" t="str">
            <v>G_PAPE</v>
          </cell>
          <cell r="D774">
            <v>41856</v>
          </cell>
          <cell r="E774" t="str">
            <v>Papeleria</v>
          </cell>
          <cell r="F774" t="str">
            <v>2 impresiones a color</v>
          </cell>
          <cell r="G774">
            <v>16</v>
          </cell>
          <cell r="I774">
            <v>16</v>
          </cell>
        </row>
        <row r="775">
          <cell r="C775" t="str">
            <v>G_PAPE</v>
          </cell>
          <cell r="D775">
            <v>41857</v>
          </cell>
          <cell r="E775" t="str">
            <v>Papeleria</v>
          </cell>
          <cell r="F775" t="str">
            <v>12 copias a color</v>
          </cell>
          <cell r="G775">
            <v>96</v>
          </cell>
          <cell r="I775">
            <v>96</v>
          </cell>
        </row>
        <row r="776">
          <cell r="C776" t="str">
            <v>G_JDN</v>
          </cell>
          <cell r="D776">
            <v>41857</v>
          </cell>
          <cell r="E776" t="str">
            <v>Esteban Alejo</v>
          </cell>
          <cell r="F776" t="str">
            <v>Partir en trozos la rama grande que se cayó de un árbol</v>
          </cell>
          <cell r="G776">
            <v>200</v>
          </cell>
          <cell r="I776">
            <v>200</v>
          </cell>
        </row>
        <row r="777">
          <cell r="C777" t="str">
            <v>G_VRS</v>
          </cell>
          <cell r="D777">
            <v>41857</v>
          </cell>
          <cell r="E777" t="str">
            <v>Herreria en General Janiel</v>
          </cell>
          <cell r="F777" t="str">
            <v>4 Bastidores para comuknicación a los vecinos en el parque</v>
          </cell>
          <cell r="G777">
            <v>3600</v>
          </cell>
          <cell r="I777">
            <v>3600</v>
          </cell>
        </row>
        <row r="778">
          <cell r="C778" t="str">
            <v>G_PAPE</v>
          </cell>
          <cell r="D778">
            <v>41858</v>
          </cell>
          <cell r="E778" t="str">
            <v>Eguía impresos</v>
          </cell>
          <cell r="F778" t="str">
            <v>7 juegos impresión en carta a color digital</v>
          </cell>
          <cell r="G778">
            <v>490</v>
          </cell>
          <cell r="I778">
            <v>490</v>
          </cell>
        </row>
        <row r="779">
          <cell r="C779" t="str">
            <v>G_DIF</v>
          </cell>
          <cell r="D779">
            <v>41859</v>
          </cell>
          <cell r="E779" t="str">
            <v>Eguía impresos</v>
          </cell>
          <cell r="F779" t="str">
            <v>6 lonas .97 x 96</v>
          </cell>
          <cell r="G779">
            <v>270</v>
          </cell>
          <cell r="I779">
            <v>270</v>
          </cell>
        </row>
        <row r="780">
          <cell r="C780" t="str">
            <v>G_VRS</v>
          </cell>
          <cell r="D780">
            <v>41859</v>
          </cell>
          <cell r="E780" t="str">
            <v>Ferre Eléctrica Diaz</v>
          </cell>
          <cell r="F780" t="str">
            <v>30 cincho 38 cm</v>
          </cell>
          <cell r="G780">
            <v>46.5</v>
          </cell>
          <cell r="I780">
            <v>46.5</v>
          </cell>
        </row>
        <row r="781">
          <cell r="C781" t="str">
            <v>G_ORG</v>
          </cell>
          <cell r="D781">
            <v>41859</v>
          </cell>
          <cell r="E781" t="str">
            <v xml:space="preserve">Gloria Mazzón </v>
          </cell>
          <cell r="F781" t="str">
            <v>Pago por concepto de captura del 04 al 08 de agosto/14</v>
          </cell>
          <cell r="G781">
            <v>400</v>
          </cell>
          <cell r="I781">
            <v>400</v>
          </cell>
        </row>
        <row r="782">
          <cell r="C782" t="str">
            <v>G_AGUA</v>
          </cell>
          <cell r="D782">
            <v>41862</v>
          </cell>
          <cell r="E782" t="str">
            <v>Electropura, S. de R.L. de C.V.</v>
          </cell>
          <cell r="F782" t="str">
            <v>3 garrafones de agua</v>
          </cell>
          <cell r="G782">
            <v>90</v>
          </cell>
          <cell r="I782">
            <v>90</v>
          </cell>
        </row>
        <row r="783">
          <cell r="C783" t="str">
            <v>G_MTILM</v>
          </cell>
          <cell r="D783">
            <v>41864</v>
          </cell>
          <cell r="E783" t="str">
            <v>Víctor Manuel Sánchez</v>
          </cell>
          <cell r="F783" t="str">
            <v>Compra mat. Elec. Para lámparas en Rancho Cuchilla y Upacuaro</v>
          </cell>
          <cell r="G783">
            <v>5000</v>
          </cell>
          <cell r="I783">
            <v>5000</v>
          </cell>
        </row>
        <row r="784">
          <cell r="C784" t="str">
            <v>G_JDN</v>
          </cell>
          <cell r="D784">
            <v>41864</v>
          </cell>
          <cell r="E784" t="str">
            <v>Pedro Cortés</v>
          </cell>
          <cell r="F784" t="str">
            <v>Recoger y tirar todo el pasto y ramas podadas en el parque</v>
          </cell>
          <cell r="G784">
            <v>400</v>
          </cell>
          <cell r="I784">
            <v>400</v>
          </cell>
        </row>
        <row r="785">
          <cell r="C785" t="str">
            <v>G_MTCYP</v>
          </cell>
          <cell r="D785">
            <v>41864</v>
          </cell>
          <cell r="E785" t="str">
            <v xml:space="preserve">Tecnoplaza Electrónica S.A. de C.V. </v>
          </cell>
          <cell r="F785" t="str">
            <v xml:space="preserve">Bobina UTP 300 recubrimiento negro CAT6 categoría 6 </v>
          </cell>
          <cell r="G785">
            <v>2239.65</v>
          </cell>
          <cell r="H785">
            <v>358.34</v>
          </cell>
          <cell r="I785">
            <v>2597.9900000000002</v>
          </cell>
        </row>
        <row r="786">
          <cell r="C786" t="str">
            <v>G_VRS</v>
          </cell>
          <cell r="D786">
            <v>41865</v>
          </cell>
          <cell r="E786" t="str">
            <v>Aldan Electrónica, S. A. de C. V.</v>
          </cell>
          <cell r="F786" t="str">
            <v>Telefono con identificación de llamadas</v>
          </cell>
          <cell r="G786">
            <v>215.52</v>
          </cell>
          <cell r="H786">
            <v>34.479999999999997</v>
          </cell>
          <cell r="I786">
            <v>250</v>
          </cell>
        </row>
        <row r="787">
          <cell r="C787" t="str">
            <v>G_MTLPZ</v>
          </cell>
          <cell r="D787">
            <v>41865</v>
          </cell>
          <cell r="E787" t="str">
            <v>Tiendas Comercial Mexicana S.A. de C.V.</v>
          </cell>
          <cell r="F787" t="str">
            <v>Material de limpieza</v>
          </cell>
          <cell r="G787">
            <v>497.23</v>
          </cell>
          <cell r="I787">
            <v>497.23</v>
          </cell>
        </row>
        <row r="788">
          <cell r="C788" t="str">
            <v>G_HCTB</v>
          </cell>
          <cell r="D788">
            <v>41866</v>
          </cell>
          <cell r="E788" t="str">
            <v>Siegrist Contadores Publicos</v>
          </cell>
          <cell r="F788" t="str">
            <v>Honorarios profesionales mes de agosto/14</v>
          </cell>
          <cell r="G788">
            <v>862</v>
          </cell>
          <cell r="H788">
            <v>138</v>
          </cell>
          <cell r="I788">
            <v>1000</v>
          </cell>
        </row>
        <row r="789">
          <cell r="C789" t="str">
            <v>IVA</v>
          </cell>
          <cell r="D789">
            <v>41866</v>
          </cell>
          <cell r="E789" t="str">
            <v>SAT Administración Tributaría</v>
          </cell>
          <cell r="F789" t="str">
            <v>Pago de retenciión de IVA del Colegio Carmel Mes julio/14</v>
          </cell>
          <cell r="H789">
            <v>1600</v>
          </cell>
          <cell r="I789">
            <v>1600</v>
          </cell>
        </row>
        <row r="790">
          <cell r="C790" t="str">
            <v>G_ORG</v>
          </cell>
          <cell r="D790">
            <v>41866</v>
          </cell>
          <cell r="E790" t="str">
            <v xml:space="preserve">Gloria Mazzón </v>
          </cell>
          <cell r="F790" t="str">
            <v>Pago por concepto de captura del 11 al 15 de agosto/14</v>
          </cell>
          <cell r="G790">
            <v>400</v>
          </cell>
          <cell r="I790">
            <v>400</v>
          </cell>
        </row>
        <row r="791">
          <cell r="C791" t="str">
            <v>G_NMNVG</v>
          </cell>
          <cell r="D791">
            <v>41866</v>
          </cell>
          <cell r="E791" t="str">
            <v>Artemio Mora Torres</v>
          </cell>
          <cell r="F791" t="str">
            <v>Pago correspondiente a la 1a. Quincena de agosto/14</v>
          </cell>
          <cell r="G791">
            <v>3200</v>
          </cell>
          <cell r="I791">
            <v>3200</v>
          </cell>
        </row>
        <row r="792">
          <cell r="C792" t="str">
            <v>G_NMNVG</v>
          </cell>
          <cell r="D792">
            <v>41866</v>
          </cell>
          <cell r="E792" t="str">
            <v>Guardías y Custodias Privadas Gama, S.A. de C.V.</v>
          </cell>
          <cell r="F792" t="str">
            <v>Correspondiente al pago de la 1a quincena de agosto/14</v>
          </cell>
          <cell r="G792">
            <v>27900</v>
          </cell>
          <cell r="I792">
            <v>27900</v>
          </cell>
        </row>
        <row r="793">
          <cell r="C793" t="str">
            <v>G_VRS</v>
          </cell>
          <cell r="D793">
            <v>41866</v>
          </cell>
          <cell r="E793" t="str">
            <v>Advance, servicio CCTV y cómputo</v>
          </cell>
          <cell r="F793" t="str">
            <v>Respaldos de videograbación en USB</v>
          </cell>
          <cell r="G793">
            <v>1050</v>
          </cell>
          <cell r="I793">
            <v>1050</v>
          </cell>
        </row>
        <row r="794">
          <cell r="C794" t="str">
            <v>G_MTLPZ</v>
          </cell>
          <cell r="D794">
            <v>41867</v>
          </cell>
          <cell r="E794" t="str">
            <v>Tiendas Chedraui, S.A. DE C.V.</v>
          </cell>
          <cell r="F794" t="str">
            <v>Material de limpieza</v>
          </cell>
          <cell r="G794">
            <v>182</v>
          </cell>
          <cell r="I794">
            <v>182</v>
          </cell>
        </row>
        <row r="795">
          <cell r="C795" t="str">
            <v>G_VRS</v>
          </cell>
          <cell r="D795">
            <v>41869</v>
          </cell>
          <cell r="E795" t="str">
            <v>Advance, servicio CCTV y cómputo</v>
          </cell>
          <cell r="F795" t="str">
            <v>Respaldos de videograbación en USB</v>
          </cell>
          <cell r="G795">
            <v>350</v>
          </cell>
          <cell r="I795">
            <v>350</v>
          </cell>
        </row>
        <row r="796">
          <cell r="C796" t="str">
            <v>G_AGUA</v>
          </cell>
          <cell r="D796">
            <v>41869</v>
          </cell>
          <cell r="E796" t="str">
            <v>Electropura, S de R.L. de C.V.</v>
          </cell>
          <cell r="F796" t="str">
            <v>3 garrafones de agua</v>
          </cell>
          <cell r="G796">
            <v>90</v>
          </cell>
          <cell r="I796">
            <v>90</v>
          </cell>
        </row>
        <row r="797">
          <cell r="C797" t="str">
            <v>G_DIF</v>
          </cell>
          <cell r="D797">
            <v>41871</v>
          </cell>
          <cell r="E797" t="str">
            <v>Cristóbal Pineda Méndez</v>
          </cell>
          <cell r="F797" t="str">
            <v>1 servicio de impresión digital</v>
          </cell>
          <cell r="G797">
            <v>368</v>
          </cell>
          <cell r="H797">
            <v>58.88</v>
          </cell>
          <cell r="I797">
            <v>426.88</v>
          </cell>
        </row>
        <row r="798">
          <cell r="C798" t="str">
            <v>G_AGUA</v>
          </cell>
          <cell r="D798">
            <v>41873</v>
          </cell>
          <cell r="E798" t="str">
            <v>Electropura, S. de R.L. de C.V.</v>
          </cell>
          <cell r="F798" t="str">
            <v>2 garrafones de agua.</v>
          </cell>
          <cell r="G798">
            <v>60</v>
          </cell>
          <cell r="I798">
            <v>60</v>
          </cell>
        </row>
        <row r="799">
          <cell r="C799" t="str">
            <v>G_ORG</v>
          </cell>
          <cell r="D799">
            <v>41873</v>
          </cell>
          <cell r="E799" t="str">
            <v xml:space="preserve">Gloria Mazzón </v>
          </cell>
          <cell r="F799" t="str">
            <v>Pago por concepto de captura del 18 al 22 agosto/14</v>
          </cell>
          <cell r="G799">
            <v>400</v>
          </cell>
          <cell r="I799">
            <v>400</v>
          </cell>
        </row>
        <row r="800">
          <cell r="C800" t="str">
            <v>G_MTCYP</v>
          </cell>
          <cell r="D800">
            <v>41873</v>
          </cell>
          <cell r="E800" t="str">
            <v>Advance servicio CCTV y cómputo</v>
          </cell>
          <cell r="F800" t="str">
            <v>Anticipo de honorarios por concepto de circuito Zinampa</v>
          </cell>
          <cell r="G800">
            <v>2000</v>
          </cell>
          <cell r="I800">
            <v>2000</v>
          </cell>
        </row>
        <row r="801">
          <cell r="C801" t="str">
            <v>G_MTCST</v>
          </cell>
          <cell r="D801">
            <v>41877</v>
          </cell>
          <cell r="E801" t="str">
            <v>Corporación Bran, S.A. de C.V.</v>
          </cell>
          <cell r="F801" t="str">
            <v xml:space="preserve">Servicio a 2 WC de la caseta </v>
          </cell>
          <cell r="G801">
            <v>300</v>
          </cell>
          <cell r="I801">
            <v>300</v>
          </cell>
        </row>
        <row r="802">
          <cell r="C802" t="str">
            <v>G_AGUA</v>
          </cell>
          <cell r="D802">
            <v>41878</v>
          </cell>
          <cell r="E802" t="str">
            <v>Electropura, S. de R.L. de C.V.</v>
          </cell>
          <cell r="F802" t="str">
            <v>2 garrafones de agua.</v>
          </cell>
          <cell r="G802">
            <v>60</v>
          </cell>
          <cell r="I802">
            <v>60</v>
          </cell>
        </row>
        <row r="803">
          <cell r="C803" t="str">
            <v>G_JDN</v>
          </cell>
          <cell r="D803">
            <v>41879</v>
          </cell>
          <cell r="E803" t="str">
            <v>Raúl Flores</v>
          </cell>
          <cell r="F803" t="str">
            <v>Servicio de jardinería, area caseta Romeral</v>
          </cell>
          <cell r="G803">
            <v>300</v>
          </cell>
          <cell r="I803">
            <v>300</v>
          </cell>
        </row>
        <row r="804">
          <cell r="C804" t="str">
            <v>G_PAPE</v>
          </cell>
          <cell r="D804">
            <v>41879</v>
          </cell>
          <cell r="E804" t="str">
            <v>Office Depot de México, S.A. de C.V.</v>
          </cell>
          <cell r="F804" t="str">
            <v>Registrador of., grapas, engrapadora y perforadora</v>
          </cell>
          <cell r="G804">
            <v>409.22</v>
          </cell>
          <cell r="H804">
            <v>65.48</v>
          </cell>
          <cell r="I804">
            <v>474.70000000000005</v>
          </cell>
        </row>
        <row r="805">
          <cell r="C805" t="str">
            <v>G_INFRA</v>
          </cell>
          <cell r="D805">
            <v>41879</v>
          </cell>
          <cell r="E805" t="str">
            <v xml:space="preserve">Tecnoplaza Electrónica S.A. de C.V. </v>
          </cell>
          <cell r="F805" t="str">
            <v>Fuente 2Amp 12 v, conector macho y hembra, bytek y disco d.</v>
          </cell>
          <cell r="G805">
            <v>7186.11</v>
          </cell>
          <cell r="H805">
            <v>1149.78</v>
          </cell>
          <cell r="I805">
            <v>8335.89</v>
          </cell>
        </row>
        <row r="806">
          <cell r="C806" t="str">
            <v>G_PAPE</v>
          </cell>
          <cell r="D806">
            <v>41880</v>
          </cell>
          <cell r="E806" t="str">
            <v>Office Depot de México, S.A. de C.V.</v>
          </cell>
          <cell r="F806" t="str">
            <v>Cartuchos, negro, cyan, amar y post-it</v>
          </cell>
          <cell r="G806">
            <v>780.17</v>
          </cell>
          <cell r="H806">
            <v>124.83</v>
          </cell>
          <cell r="I806">
            <v>905</v>
          </cell>
        </row>
        <row r="807">
          <cell r="C807" t="str">
            <v>G_ORG</v>
          </cell>
          <cell r="D807">
            <v>41880</v>
          </cell>
          <cell r="E807" t="str">
            <v xml:space="preserve">Gloria Mazzón </v>
          </cell>
          <cell r="F807" t="str">
            <v>Pago por concepto de captura del 25 al 29 de agosto/14</v>
          </cell>
          <cell r="G807">
            <v>400</v>
          </cell>
          <cell r="I807">
            <v>400</v>
          </cell>
        </row>
        <row r="808">
          <cell r="C808" t="str">
            <v>G_NMNVG</v>
          </cell>
          <cell r="D808">
            <v>41882</v>
          </cell>
          <cell r="E808" t="str">
            <v>Guardias y Custodias Privadas Gama S.A. de C.V.</v>
          </cell>
          <cell r="F808" t="str">
            <v>Correspondiente al pago de la 2a quincena agosto/14</v>
          </cell>
          <cell r="G808">
            <v>27900</v>
          </cell>
          <cell r="I808">
            <v>27900</v>
          </cell>
        </row>
        <row r="809">
          <cell r="C809" t="str">
            <v>G_NMNVG</v>
          </cell>
          <cell r="D809">
            <v>41882</v>
          </cell>
          <cell r="E809" t="str">
            <v>Artemio Mora Torres</v>
          </cell>
          <cell r="F809" t="str">
            <v>Pago correspondiente  de la 2a. Quincena agosto/14</v>
          </cell>
          <cell r="G809">
            <v>3200</v>
          </cell>
          <cell r="I809">
            <v>3200</v>
          </cell>
        </row>
        <row r="810">
          <cell r="C810" t="str">
            <v>IVA</v>
          </cell>
          <cell r="D810">
            <v>41856</v>
          </cell>
          <cell r="E810" t="str">
            <v>Colegio Carmel</v>
          </cell>
          <cell r="F810" t="str">
            <v>I.V.A. sobre cuota de mantenimiento</v>
          </cell>
          <cell r="H810">
            <v>-1600</v>
          </cell>
          <cell r="I810">
            <v>-1600</v>
          </cell>
        </row>
        <row r="811">
          <cell r="C811" t="str">
            <v>G_P_Fin</v>
          </cell>
          <cell r="D811">
            <v>41856</v>
          </cell>
          <cell r="E811" t="str">
            <v>Alberto Augusto Fuentes Herrera</v>
          </cell>
          <cell r="F811" t="str">
            <v>Remanente identificador</v>
          </cell>
          <cell r="G811">
            <v>-0.46</v>
          </cell>
          <cell r="I811">
            <v>-0.46</v>
          </cell>
        </row>
        <row r="812">
          <cell r="B812" t="str">
            <v>N°</v>
          </cell>
          <cell r="C812" t="str">
            <v>clave</v>
          </cell>
          <cell r="D812" t="str">
            <v>fecha</v>
          </cell>
          <cell r="E812" t="str">
            <v>Beneficiario</v>
          </cell>
          <cell r="F812" t="str">
            <v>Concepto</v>
          </cell>
          <cell r="G812" t="str">
            <v>Gasto</v>
          </cell>
          <cell r="H812" t="str">
            <v>I.V.A.</v>
          </cell>
          <cell r="I812" t="str">
            <v>Total</v>
          </cell>
        </row>
        <row r="813">
          <cell r="C813" t="str">
            <v>G_HCTB</v>
          </cell>
          <cell r="D813">
            <v>41883</v>
          </cell>
          <cell r="E813" t="str">
            <v>Marco Antonio Medina Aragón</v>
          </cell>
          <cell r="F813" t="str">
            <v>Lllave contabilidad electrónica</v>
          </cell>
          <cell r="G813">
            <v>3132</v>
          </cell>
          <cell r="I813">
            <v>3132</v>
          </cell>
        </row>
        <row r="814">
          <cell r="C814" t="str">
            <v>G_AGUA</v>
          </cell>
          <cell r="D814">
            <v>41883</v>
          </cell>
          <cell r="E814" t="str">
            <v>Electropura, S. de R.L. de C.V.</v>
          </cell>
          <cell r="F814" t="str">
            <v>2 garrafones de agua.</v>
          </cell>
          <cell r="G814">
            <v>60</v>
          </cell>
          <cell r="I814">
            <v>60</v>
          </cell>
        </row>
        <row r="815">
          <cell r="C815" t="str">
            <v>G_PAPE</v>
          </cell>
          <cell r="D815">
            <v>41883</v>
          </cell>
          <cell r="E815" t="str">
            <v>Office Depot de México, S.A. de C.V.</v>
          </cell>
          <cell r="F815" t="str">
            <v>Compra marc sharpie P/F negro</v>
          </cell>
          <cell r="G815">
            <v>21.47</v>
          </cell>
          <cell r="H815">
            <v>3.43</v>
          </cell>
          <cell r="I815">
            <v>24.9</v>
          </cell>
        </row>
        <row r="816">
          <cell r="C816" t="str">
            <v>G_JDN</v>
          </cell>
          <cell r="D816">
            <v>41885</v>
          </cell>
          <cell r="E816" t="str">
            <v>Roberto Miranda</v>
          </cell>
          <cell r="F816" t="str">
            <v>Limpieza del parque y ambas calles del mismo mas  el Hueso</v>
          </cell>
          <cell r="G816">
            <v>300</v>
          </cell>
          <cell r="I816">
            <v>300</v>
          </cell>
        </row>
        <row r="817">
          <cell r="C817" t="str">
            <v>G_VRS</v>
          </cell>
          <cell r="D817">
            <v>41885</v>
          </cell>
          <cell r="E817" t="str">
            <v>Advanced, servicio CCTV y cómputo</v>
          </cell>
          <cell r="F817" t="str">
            <v>Respaldo de una videograbación suceso calle Romeral y Upacua</v>
          </cell>
          <cell r="G817">
            <v>250</v>
          </cell>
          <cell r="I817">
            <v>250</v>
          </cell>
        </row>
        <row r="818">
          <cell r="C818" t="str">
            <v>G_AGUA</v>
          </cell>
          <cell r="D818">
            <v>41885</v>
          </cell>
          <cell r="E818" t="str">
            <v>Electropura, S. de R.L. de C.V.</v>
          </cell>
          <cell r="F818" t="str">
            <v>2 garrafones de agua.</v>
          </cell>
          <cell r="G818">
            <v>60</v>
          </cell>
          <cell r="I818">
            <v>60</v>
          </cell>
        </row>
        <row r="819">
          <cell r="C819" t="str">
            <v>G_VRS</v>
          </cell>
          <cell r="D819">
            <v>41886</v>
          </cell>
          <cell r="E819" t="str">
            <v>Antonio Martínez</v>
          </cell>
          <cell r="F819" t="str">
            <v>Gratificación por quitar la publicidad y anuncios de entradas</v>
          </cell>
          <cell r="G819">
            <v>150</v>
          </cell>
          <cell r="I819">
            <v>150</v>
          </cell>
        </row>
        <row r="820">
          <cell r="C820" t="str">
            <v>G_MTCBQ</v>
          </cell>
          <cell r="D820">
            <v>41886</v>
          </cell>
          <cell r="E820" t="str">
            <v>Marco A. Vellada</v>
          </cell>
          <cell r="F820" t="str">
            <v>Reparación de fuga de agua en al banqueta caseta Romeral</v>
          </cell>
          <cell r="G820">
            <v>1800</v>
          </cell>
          <cell r="I820">
            <v>1800</v>
          </cell>
        </row>
        <row r="821">
          <cell r="C821" t="str">
            <v>G_ORG</v>
          </cell>
          <cell r="D821">
            <v>41887</v>
          </cell>
          <cell r="E821" t="str">
            <v xml:space="preserve">Gloria Mazzón </v>
          </cell>
          <cell r="F821" t="str">
            <v>Pago por concepto de captura del 01 al 05 de Septiembre 14</v>
          </cell>
          <cell r="G821">
            <v>400</v>
          </cell>
          <cell r="I821">
            <v>400</v>
          </cell>
        </row>
        <row r="822">
          <cell r="C822" t="str">
            <v>G_VRS</v>
          </cell>
          <cell r="D822">
            <v>41889</v>
          </cell>
          <cell r="E822" t="str">
            <v>Networks II Compute</v>
          </cell>
          <cell r="F822" t="str">
            <v>4 mouse genius x scroil USA</v>
          </cell>
          <cell r="G822">
            <v>560</v>
          </cell>
          <cell r="I822">
            <v>560</v>
          </cell>
        </row>
        <row r="823">
          <cell r="C823" t="str">
            <v>G_MTLPZ</v>
          </cell>
          <cell r="D823">
            <v>41891</v>
          </cell>
          <cell r="E823" t="str">
            <v>Nueva Wallmart de México, S de R.L. de C.V.</v>
          </cell>
          <cell r="F823" t="str">
            <v>Compra de material de limpieza</v>
          </cell>
          <cell r="G823">
            <v>206.5</v>
          </cell>
          <cell r="I823">
            <v>206.5</v>
          </cell>
        </row>
        <row r="824">
          <cell r="C824" t="str">
            <v>G_TLF</v>
          </cell>
          <cell r="D824">
            <v>41891</v>
          </cell>
          <cell r="E824" t="str">
            <v>Telefonos de México, S.A.B. de C.V.</v>
          </cell>
          <cell r="F824" t="str">
            <v>Pago el mes de Julio/|4</v>
          </cell>
          <cell r="G824">
            <v>940</v>
          </cell>
          <cell r="I824">
            <v>940</v>
          </cell>
        </row>
        <row r="825">
          <cell r="C825" t="str">
            <v>G_AGUA</v>
          </cell>
          <cell r="D825">
            <v>41892</v>
          </cell>
          <cell r="E825" t="str">
            <v>Electropuraa, S. de R.L. de C.V.</v>
          </cell>
          <cell r="F825" t="str">
            <v>3 garrafones de agua</v>
          </cell>
          <cell r="G825">
            <v>90</v>
          </cell>
          <cell r="I825">
            <v>90</v>
          </cell>
        </row>
        <row r="826">
          <cell r="C826" t="str">
            <v>G_PAPE</v>
          </cell>
          <cell r="D826">
            <v>41892</v>
          </cell>
          <cell r="E826" t="str">
            <v>Eguía impresos</v>
          </cell>
          <cell r="F826" t="str">
            <v>460 copias carta juegos 2 copias engrapadas e impresión color</v>
          </cell>
          <cell r="G826">
            <v>246</v>
          </cell>
          <cell r="I826">
            <v>246</v>
          </cell>
        </row>
        <row r="827">
          <cell r="C827" t="str">
            <v>G_PAPE</v>
          </cell>
          <cell r="D827">
            <v>41894</v>
          </cell>
          <cell r="E827" t="str">
            <v>Copifaz</v>
          </cell>
          <cell r="F827" t="str">
            <v>10 enmicados</v>
          </cell>
          <cell r="G827">
            <v>80</v>
          </cell>
          <cell r="I827">
            <v>80</v>
          </cell>
        </row>
        <row r="828">
          <cell r="C828" t="str">
            <v>G_VRS</v>
          </cell>
          <cell r="D828">
            <v>41894</v>
          </cell>
          <cell r="E828" t="str">
            <v>Advanced, servicio CCTV y cómputo</v>
          </cell>
          <cell r="F828" t="str">
            <v>2 respaldos de videograbación en USB, posible robo Upacuaro 120</v>
          </cell>
          <cell r="G828">
            <v>600</v>
          </cell>
          <cell r="I828">
            <v>600</v>
          </cell>
        </row>
        <row r="829">
          <cell r="C829" t="str">
            <v>G_MTCST</v>
          </cell>
          <cell r="D829">
            <v>41895</v>
          </cell>
          <cell r="E829" t="str">
            <v>Ferre Electrica Diaz</v>
          </cell>
          <cell r="F829" t="str">
            <v>6 kg. Cemento gris</v>
          </cell>
          <cell r="G829">
            <v>42</v>
          </cell>
          <cell r="I829">
            <v>42</v>
          </cell>
        </row>
        <row r="830">
          <cell r="C830" t="str">
            <v>G_MTCST</v>
          </cell>
          <cell r="D830">
            <v>41895</v>
          </cell>
          <cell r="E830" t="str">
            <v>J. Manuel Olivares</v>
          </cell>
          <cell r="F830" t="str">
            <v>Compra de1 bolsa de areana, trabajo albañileria caseta RM</v>
          </cell>
          <cell r="G830">
            <v>225</v>
          </cell>
          <cell r="I830">
            <v>225</v>
          </cell>
        </row>
        <row r="831">
          <cell r="C831" t="str">
            <v>G_ORG</v>
          </cell>
          <cell r="D831">
            <v>41895</v>
          </cell>
          <cell r="E831" t="str">
            <v xml:space="preserve">Gloria Mazzón </v>
          </cell>
          <cell r="F831" t="str">
            <v>Pago por concepto de captura del 08 al 13 de septiembre/14</v>
          </cell>
          <cell r="G831">
            <v>500</v>
          </cell>
          <cell r="I831">
            <v>500</v>
          </cell>
        </row>
        <row r="832">
          <cell r="C832" t="str">
            <v>G_JDN</v>
          </cell>
          <cell r="D832">
            <v>41896</v>
          </cell>
          <cell r="E832" t="str">
            <v>Pedro Cortes</v>
          </cell>
          <cell r="F832" t="str">
            <v>Recoger el pasto podado del parque y tirarlo</v>
          </cell>
          <cell r="G832">
            <v>400</v>
          </cell>
          <cell r="I832">
            <v>400</v>
          </cell>
        </row>
        <row r="833">
          <cell r="C833" t="str">
            <v>G_MTCBQ</v>
          </cell>
          <cell r="D833">
            <v>41896</v>
          </cell>
          <cell r="E833" t="str">
            <v>Jose Luis Hernández</v>
          </cell>
          <cell r="F833" t="str">
            <v>Desazolve calle Estanzuela</v>
          </cell>
          <cell r="G833">
            <v>400</v>
          </cell>
          <cell r="I833">
            <v>400</v>
          </cell>
        </row>
        <row r="834">
          <cell r="C834" t="str">
            <v>G_MTCBQ</v>
          </cell>
          <cell r="D834">
            <v>41897</v>
          </cell>
          <cell r="E834" t="str">
            <v>Esteban Alejo</v>
          </cell>
          <cell r="F834" t="str">
            <v>Tapar 1 houo en Zinampra, cortar la ramas del árbol Estanzuela</v>
          </cell>
          <cell r="G834">
            <v>500</v>
          </cell>
          <cell r="I834">
            <v>500</v>
          </cell>
        </row>
        <row r="835">
          <cell r="C835" t="str">
            <v>G_NMNVG</v>
          </cell>
          <cell r="D835">
            <v>41897</v>
          </cell>
          <cell r="E835" t="str">
            <v>Artemio Mora Torres</v>
          </cell>
          <cell r="F835" t="str">
            <v>Pago correspondiente de la 1° quincena septiembre/14</v>
          </cell>
          <cell r="G835">
            <v>3200</v>
          </cell>
          <cell r="I835">
            <v>3200</v>
          </cell>
        </row>
        <row r="836">
          <cell r="C836" t="str">
            <v>G_NMNVG</v>
          </cell>
          <cell r="D836">
            <v>41897</v>
          </cell>
          <cell r="E836" t="str">
            <v>Guardias y Custodias Privadas Gama S.A. de C.V.</v>
          </cell>
          <cell r="F836" t="str">
            <v>Pago correspondiente a la 1° quincena septiembre/14</v>
          </cell>
          <cell r="G836">
            <v>27900</v>
          </cell>
          <cell r="I836">
            <v>27900</v>
          </cell>
        </row>
        <row r="837">
          <cell r="C837" t="str">
            <v>G_VRS</v>
          </cell>
          <cell r="D837">
            <v>41898</v>
          </cell>
          <cell r="E837" t="str">
            <v>Com. Franco</v>
          </cell>
          <cell r="F837" t="str">
            <v>Envío grua para llevarse pipa en la peta Hueso-Estanzuela</v>
          </cell>
          <cell r="G837">
            <v>400</v>
          </cell>
          <cell r="I837">
            <v>400</v>
          </cell>
        </row>
        <row r="838">
          <cell r="C838" t="str">
            <v>G_MTILM</v>
          </cell>
          <cell r="D838">
            <v>41898</v>
          </cell>
          <cell r="E838" t="str">
            <v>Víctor Manuel Sánchez</v>
          </cell>
          <cell r="F838" t="str">
            <v>Compra mat. Elec. Para lámparas en Rancho CL, UP Y RV</v>
          </cell>
          <cell r="G838">
            <v>5500</v>
          </cell>
          <cell r="I838">
            <v>5500</v>
          </cell>
        </row>
        <row r="839">
          <cell r="C839" t="str">
            <v>G_ADQ</v>
          </cell>
          <cell r="D839">
            <v>41899</v>
          </cell>
          <cell r="E839" t="str">
            <v>Sistemas de Segridad Electronica</v>
          </cell>
          <cell r="F839" t="str">
            <v>Compra de 50 tarjetas Procord</v>
          </cell>
          <cell r="G839">
            <v>5000</v>
          </cell>
          <cell r="I839">
            <v>5000</v>
          </cell>
        </row>
        <row r="840">
          <cell r="C840" t="str">
            <v>G_AGUA</v>
          </cell>
          <cell r="D840">
            <v>41899</v>
          </cell>
          <cell r="E840" t="str">
            <v>Electropura, S. de R.L. de C.V.</v>
          </cell>
          <cell r="F840" t="str">
            <v>2 garrafones de agua.</v>
          </cell>
          <cell r="G840">
            <v>60</v>
          </cell>
          <cell r="I840">
            <v>60</v>
          </cell>
        </row>
        <row r="841">
          <cell r="C841" t="str">
            <v>G_JDN</v>
          </cell>
          <cell r="D841">
            <v>41899</v>
          </cell>
          <cell r="E841" t="str">
            <v>Francisco Raúl Flores Herrera</v>
          </cell>
          <cell r="F841" t="str">
            <v>Poda de pasto</v>
          </cell>
          <cell r="G841">
            <v>4000</v>
          </cell>
          <cell r="I841">
            <v>4000</v>
          </cell>
        </row>
        <row r="842">
          <cell r="C842" t="str">
            <v>IVA</v>
          </cell>
          <cell r="D842">
            <v>41899</v>
          </cell>
          <cell r="E842" t="str">
            <v>SAT servicio de Administración Tributaria</v>
          </cell>
          <cell r="F842" t="str">
            <v>Pago de retenciión de IVA del Colegio Carmel Mes agosto/14</v>
          </cell>
          <cell r="H842">
            <v>1600</v>
          </cell>
          <cell r="I842">
            <v>1600</v>
          </cell>
        </row>
        <row r="843">
          <cell r="C843" t="str">
            <v>G_AGUA</v>
          </cell>
          <cell r="D843">
            <v>41901</v>
          </cell>
          <cell r="E843" t="str">
            <v>Electropura S. de R.L. de C.V.</v>
          </cell>
          <cell r="F843" t="str">
            <v>2 garrafones de agua.</v>
          </cell>
          <cell r="G843">
            <v>60</v>
          </cell>
          <cell r="I843">
            <v>60</v>
          </cell>
        </row>
        <row r="844">
          <cell r="C844" t="str">
            <v>G_ORG</v>
          </cell>
          <cell r="D844">
            <v>41901</v>
          </cell>
          <cell r="E844" t="str">
            <v xml:space="preserve">Gloria Mazzón </v>
          </cell>
          <cell r="F844" t="str">
            <v>Pago por concepto de captura del 15 al 19 de septiembre 14</v>
          </cell>
          <cell r="G844">
            <v>500</v>
          </cell>
          <cell r="I844">
            <v>500</v>
          </cell>
        </row>
        <row r="845">
          <cell r="C845" t="str">
            <v>G_PAPE</v>
          </cell>
          <cell r="D845">
            <v>41901</v>
          </cell>
          <cell r="E845" t="str">
            <v>Office Depot de México, S.A. de C.V.</v>
          </cell>
          <cell r="F845" t="str">
            <v>Compra de 4 cartuchos</v>
          </cell>
          <cell r="G845">
            <v>695</v>
          </cell>
          <cell r="I845">
            <v>695</v>
          </cell>
        </row>
        <row r="846">
          <cell r="C846" t="str">
            <v>G_VRS</v>
          </cell>
          <cell r="D846">
            <v>41900</v>
          </cell>
          <cell r="E846" t="str">
            <v>Advanced Servicio CCTV y Cómputo</v>
          </cell>
          <cell r="F846" t="str">
            <v>Respaldo de videograbación en USB daños auto UP_64</v>
          </cell>
          <cell r="G846">
            <v>750</v>
          </cell>
          <cell r="I846">
            <v>750</v>
          </cell>
        </row>
        <row r="847">
          <cell r="C847" t="str">
            <v>G_MTCYP</v>
          </cell>
          <cell r="D847">
            <v>41901</v>
          </cell>
          <cell r="E847" t="str">
            <v>Advanded Servicio CCTV y Cómputo</v>
          </cell>
          <cell r="F847" t="str">
            <v>Anticipo de honorarios por concepto de circuito ZB (8 camaras)</v>
          </cell>
          <cell r="G847">
            <v>1000</v>
          </cell>
          <cell r="I847">
            <v>1000</v>
          </cell>
        </row>
        <row r="848">
          <cell r="C848" t="str">
            <v>G_PAPE</v>
          </cell>
          <cell r="D848">
            <v>41901</v>
          </cell>
          <cell r="E848" t="str">
            <v>Office Depot de México, S.A. de C.V.</v>
          </cell>
          <cell r="F848" t="str">
            <v>Boligr retr ener par y 3 cartuchos</v>
          </cell>
          <cell r="G848">
            <v>599.14</v>
          </cell>
          <cell r="H848">
            <v>95.86</v>
          </cell>
          <cell r="I848">
            <v>695</v>
          </cell>
        </row>
        <row r="849">
          <cell r="C849" t="str">
            <v>G_AGUA</v>
          </cell>
          <cell r="D849">
            <v>41904</v>
          </cell>
          <cell r="E849" t="str">
            <v>Electropura S. de R.L. de C.V.</v>
          </cell>
          <cell r="F849" t="str">
            <v>2 garrafones de agua.</v>
          </cell>
          <cell r="G849">
            <v>60</v>
          </cell>
          <cell r="I849">
            <v>60</v>
          </cell>
        </row>
        <row r="850">
          <cell r="C850" t="str">
            <v>G_USB</v>
          </cell>
          <cell r="D850">
            <v>41908</v>
          </cell>
          <cell r="E850" t="str">
            <v>Cadena Comercial Oxxo, S. A. de C. V.</v>
          </cell>
          <cell r="F850" t="str">
            <v>1 USB 8GB SONY</v>
          </cell>
          <cell r="G850">
            <v>129.5</v>
          </cell>
          <cell r="I850">
            <v>129.5</v>
          </cell>
        </row>
        <row r="851">
          <cell r="C851" t="str">
            <v>G_ORG</v>
          </cell>
          <cell r="D851">
            <v>41908</v>
          </cell>
          <cell r="E851" t="str">
            <v xml:space="preserve">Gloria Mazzón </v>
          </cell>
          <cell r="F851" t="str">
            <v>Pago por concepto de captura del 22 al 26 de sept/14</v>
          </cell>
          <cell r="G851">
            <v>400</v>
          </cell>
          <cell r="I851">
            <v>400</v>
          </cell>
        </row>
        <row r="852">
          <cell r="C852" t="str">
            <v>G_VRS</v>
          </cell>
          <cell r="D852">
            <v>41909</v>
          </cell>
          <cell r="E852" t="str">
            <v>Advanded Servicio CCTV y Cómputo</v>
          </cell>
          <cell r="F852" t="str">
            <v>Respaldo de videograbación en USB Romeral robo de tubo</v>
          </cell>
          <cell r="G852">
            <v>900</v>
          </cell>
          <cell r="I852">
            <v>900</v>
          </cell>
        </row>
        <row r="853">
          <cell r="C853" t="str">
            <v>G_INFRA</v>
          </cell>
          <cell r="D853">
            <v>41909</v>
          </cell>
          <cell r="E853" t="str">
            <v xml:space="preserve">Tecnoplaza Electrónica S.A. de C.V. </v>
          </cell>
          <cell r="F853" t="str">
            <v>Monitor LCD 19" y fuente 2 amp 12 V CCTV</v>
          </cell>
          <cell r="G853">
            <v>1723.28</v>
          </cell>
          <cell r="H853">
            <v>275.72000000000003</v>
          </cell>
          <cell r="I853">
            <v>1999</v>
          </cell>
        </row>
        <row r="854">
          <cell r="C854" t="str">
            <v>G_AGUA</v>
          </cell>
          <cell r="D854">
            <v>41911</v>
          </cell>
          <cell r="E854" t="str">
            <v>Electropura S. de R.L. de C.V.</v>
          </cell>
          <cell r="F854" t="str">
            <v>2 garrafones de agua.</v>
          </cell>
          <cell r="G854">
            <v>60</v>
          </cell>
          <cell r="I854">
            <v>60</v>
          </cell>
        </row>
        <row r="855">
          <cell r="C855" t="str">
            <v>G_TLF</v>
          </cell>
          <cell r="D855">
            <v>41911</v>
          </cell>
          <cell r="E855" t="str">
            <v>Telefonos de México, S.A.B. de C.V.</v>
          </cell>
          <cell r="F855" t="str">
            <v>Pago el mes de Agosto/14</v>
          </cell>
          <cell r="G855">
            <v>934</v>
          </cell>
          <cell r="I855">
            <v>934</v>
          </cell>
        </row>
        <row r="856">
          <cell r="C856" t="str">
            <v>G_NMNVG</v>
          </cell>
          <cell r="D856">
            <v>41912</v>
          </cell>
          <cell r="E856" t="str">
            <v>Artemio Mora Torres</v>
          </cell>
          <cell r="F856" t="str">
            <v>Pago correspondiente de la 2° quincena septiembre/14</v>
          </cell>
          <cell r="G856">
            <v>3200</v>
          </cell>
          <cell r="I856">
            <v>3200</v>
          </cell>
        </row>
        <row r="857">
          <cell r="C857" t="str">
            <v>G_NMNVG</v>
          </cell>
          <cell r="D857">
            <v>41912</v>
          </cell>
          <cell r="E857" t="str">
            <v>Guardias y Custodias Privadas Gama S.A. de C.V.</v>
          </cell>
          <cell r="F857" t="str">
            <v>Pago correspondiente a la 2° quincena septiembre/14</v>
          </cell>
          <cell r="G857">
            <v>27900</v>
          </cell>
          <cell r="I857">
            <v>27900</v>
          </cell>
        </row>
        <row r="858">
          <cell r="C858" t="str">
            <v>G_HCTB</v>
          </cell>
          <cell r="E858" t="str">
            <v>Siegrist Contadores Publicos</v>
          </cell>
          <cell r="F858" t="str">
            <v>Honorarios profesionales mes de septiembre 14</v>
          </cell>
          <cell r="G858">
            <v>862</v>
          </cell>
          <cell r="H858">
            <v>138</v>
          </cell>
          <cell r="I858">
            <v>1000</v>
          </cell>
        </row>
        <row r="859">
          <cell r="C859" t="str">
            <v>G_P_Fin</v>
          </cell>
          <cell r="D859">
            <v>40422</v>
          </cell>
          <cell r="E859" t="str">
            <v>Familia Vega Sánchez C.</v>
          </cell>
          <cell r="F859" t="str">
            <v>Remanente identificador</v>
          </cell>
          <cell r="G859">
            <v>-2.3199999999999998</v>
          </cell>
          <cell r="I859">
            <v>-2.3199999999999998</v>
          </cell>
        </row>
        <row r="860">
          <cell r="C860" t="str">
            <v>IVA</v>
          </cell>
          <cell r="D860">
            <v>41884</v>
          </cell>
          <cell r="E860" t="str">
            <v>Colegio Carmel</v>
          </cell>
          <cell r="F860" t="str">
            <v>I.V.A. sobre cuota de mantenimiento</v>
          </cell>
          <cell r="H860">
            <v>-1600</v>
          </cell>
          <cell r="I860">
            <v>-1600</v>
          </cell>
        </row>
        <row r="861">
          <cell r="C861" t="str">
            <v>G_P_Fin</v>
          </cell>
          <cell r="D861">
            <v>41891</v>
          </cell>
          <cell r="E861" t="str">
            <v>Alberto Augusto Fuentes Herrera</v>
          </cell>
          <cell r="F861" t="str">
            <v>Remanente identificador</v>
          </cell>
          <cell r="G861">
            <v>-0.46</v>
          </cell>
          <cell r="I861">
            <v>-0.46</v>
          </cell>
        </row>
        <row r="862">
          <cell r="C862" t="str">
            <v>G_P_Fin</v>
          </cell>
          <cell r="D862">
            <v>41908</v>
          </cell>
          <cell r="E862" t="str">
            <v>Norma Lorena González Arevyan</v>
          </cell>
          <cell r="F862" t="str">
            <v>Remanente identificador</v>
          </cell>
          <cell r="G862">
            <v>-0.15</v>
          </cell>
          <cell r="I862">
            <v>-0.15</v>
          </cell>
        </row>
        <row r="863">
          <cell r="C863" t="str">
            <v>IVA</v>
          </cell>
          <cell r="D863">
            <v>41912</v>
          </cell>
          <cell r="E863" t="str">
            <v>Colegio Carmel</v>
          </cell>
          <cell r="F863" t="str">
            <v>I.V.A. sobre cuota de mantenimiento</v>
          </cell>
          <cell r="H863">
            <v>-1600</v>
          </cell>
          <cell r="I863">
            <v>-1600</v>
          </cell>
        </row>
        <row r="864">
          <cell r="C864" t="str">
            <v>G_P_Fin</v>
          </cell>
          <cell r="D864">
            <v>41912</v>
          </cell>
          <cell r="E864" t="str">
            <v>Banorte</v>
          </cell>
          <cell r="F864" t="str">
            <v>Comisión e I.V.A. por cheques expedidos</v>
          </cell>
          <cell r="G864">
            <v>12</v>
          </cell>
          <cell r="H864">
            <v>1.92</v>
          </cell>
          <cell r="I864">
            <v>13.92</v>
          </cell>
        </row>
        <row r="865">
          <cell r="B865" t="str">
            <v>N°</v>
          </cell>
          <cell r="C865" t="str">
            <v>clave</v>
          </cell>
          <cell r="D865" t="str">
            <v>fecha</v>
          </cell>
          <cell r="E865" t="str">
            <v>Beneficiario</v>
          </cell>
          <cell r="F865" t="str">
            <v>Concepto</v>
          </cell>
          <cell r="G865" t="str">
            <v>Gasto</v>
          </cell>
          <cell r="H865" t="str">
            <v>I.V.A.</v>
          </cell>
          <cell r="I865" t="str">
            <v>Total</v>
          </cell>
        </row>
        <row r="866">
          <cell r="C866" t="str">
            <v>G_VRS</v>
          </cell>
          <cell r="D866">
            <v>41913</v>
          </cell>
          <cell r="E866" t="str">
            <v>Pedro Cortes</v>
          </cell>
          <cell r="F866" t="str">
            <v>Gratificación por recolección  basura en todo el fraccionamiento</v>
          </cell>
          <cell r="G866">
            <v>500</v>
          </cell>
          <cell r="I866">
            <v>500</v>
          </cell>
        </row>
        <row r="867">
          <cell r="C867" t="str">
            <v>G_PAPE</v>
          </cell>
          <cell r="D867">
            <v>41913</v>
          </cell>
          <cell r="E867" t="str">
            <v>Office Depot de México, S.A. de C.V.</v>
          </cell>
          <cell r="F867" t="str">
            <v>Compra tabla con clip carta madera y 1 marcador</v>
          </cell>
          <cell r="G867">
            <v>66.290000000000006</v>
          </cell>
          <cell r="H867">
            <v>10.61</v>
          </cell>
          <cell r="I867">
            <v>76.900000000000006</v>
          </cell>
        </row>
        <row r="868">
          <cell r="C868" t="str">
            <v>G_PAPE</v>
          </cell>
          <cell r="D868">
            <v>41913</v>
          </cell>
          <cell r="E868" t="str">
            <v>Eguía impresos</v>
          </cell>
          <cell r="F868" t="str">
            <v>460 juegos 2 copias engrapadas copias bond carta</v>
          </cell>
          <cell r="G868">
            <v>322</v>
          </cell>
          <cell r="I868">
            <v>322</v>
          </cell>
        </row>
        <row r="869">
          <cell r="C869" t="str">
            <v>G_AGUA</v>
          </cell>
          <cell r="D869">
            <v>41914</v>
          </cell>
          <cell r="E869" t="str">
            <v>Electropura, S. de R.L. de C.V.</v>
          </cell>
          <cell r="F869" t="str">
            <v>3 garrafones de agua</v>
          </cell>
          <cell r="G869">
            <v>90</v>
          </cell>
          <cell r="I869">
            <v>90</v>
          </cell>
        </row>
        <row r="870">
          <cell r="C870" t="str">
            <v>G_JDN</v>
          </cell>
          <cell r="D870">
            <v>41915</v>
          </cell>
          <cell r="E870" t="str">
            <v>Roberto Medina</v>
          </cell>
          <cell r="F870" t="str">
            <v xml:space="preserve">Gratificación especial por recoger basura del parque </v>
          </cell>
          <cell r="G870">
            <v>300</v>
          </cell>
          <cell r="I870">
            <v>300</v>
          </cell>
        </row>
        <row r="871">
          <cell r="C871" t="str">
            <v>G_ORG</v>
          </cell>
          <cell r="D871">
            <v>41915</v>
          </cell>
          <cell r="E871" t="str">
            <v xml:space="preserve">Gloria Mazzón </v>
          </cell>
          <cell r="F871" t="str">
            <v>Pago por concepto de captura del 29 sept al 03 oct/14</v>
          </cell>
          <cell r="G871">
            <v>400</v>
          </cell>
          <cell r="I871">
            <v>400</v>
          </cell>
        </row>
        <row r="872">
          <cell r="C872" t="str">
            <v>G_MTCBQ</v>
          </cell>
          <cell r="D872">
            <v>41918</v>
          </cell>
          <cell r="E872" t="str">
            <v>Andres Millán</v>
          </cell>
          <cell r="F872" t="str">
            <v>Gratificación otorgada a la delegación, por apoyo de limpieza</v>
          </cell>
          <cell r="G872">
            <v>3000</v>
          </cell>
          <cell r="I872">
            <v>3000</v>
          </cell>
        </row>
        <row r="873">
          <cell r="C873" t="str">
            <v>G_VRS</v>
          </cell>
          <cell r="D873">
            <v>41918</v>
          </cell>
          <cell r="E873" t="str">
            <v>Dr. Oscar Roldán</v>
          </cell>
          <cell r="F873" t="str">
            <v xml:space="preserve">Pago de gastos erogados en el globo, juntas quincenales </v>
          </cell>
          <cell r="G873">
            <v>697</v>
          </cell>
          <cell r="I873">
            <v>697</v>
          </cell>
        </row>
        <row r="874">
          <cell r="C874" t="str">
            <v>G_MTLPZ</v>
          </cell>
          <cell r="D874">
            <v>41918</v>
          </cell>
          <cell r="E874" t="str">
            <v>Tiendas Comercial Mexicana S.A. de C.V.</v>
          </cell>
          <cell r="F874" t="str">
            <v>Compra de productos de limpieza</v>
          </cell>
          <cell r="G874">
            <v>144.75</v>
          </cell>
          <cell r="H874">
            <v>23.15</v>
          </cell>
          <cell r="I874">
            <v>167.9</v>
          </cell>
        </row>
        <row r="875">
          <cell r="C875" t="str">
            <v>G_P_Fin</v>
          </cell>
          <cell r="D875">
            <v>41918</v>
          </cell>
          <cell r="E875" t="str">
            <v>Alberto Augusto Fuentes Herrera</v>
          </cell>
          <cell r="F875" t="str">
            <v>Remanente identificador</v>
          </cell>
          <cell r="G875">
            <v>0.46</v>
          </cell>
          <cell r="I875">
            <v>0.46</v>
          </cell>
        </row>
        <row r="876">
          <cell r="C876" t="str">
            <v>G_DIF</v>
          </cell>
          <cell r="D876">
            <v>41919</v>
          </cell>
          <cell r="E876" t="str">
            <v>Eguía impresos</v>
          </cell>
          <cell r="F876" t="str">
            <v xml:space="preserve">Lona front 1 x 1       </v>
          </cell>
          <cell r="G876">
            <v>45</v>
          </cell>
          <cell r="I876">
            <v>45</v>
          </cell>
        </row>
        <row r="877">
          <cell r="C877" t="str">
            <v>G_DIF</v>
          </cell>
          <cell r="D877">
            <v>41919</v>
          </cell>
          <cell r="E877" t="str">
            <v>Eguía impresos</v>
          </cell>
          <cell r="F877" t="str">
            <v>Vinil adhesivo .84 x .92 cms 68 cm minimo un metro</v>
          </cell>
          <cell r="G877">
            <v>1600</v>
          </cell>
          <cell r="I877">
            <v>1600</v>
          </cell>
        </row>
        <row r="878">
          <cell r="C878" t="str">
            <v>G_PAPE</v>
          </cell>
          <cell r="D878">
            <v>41919</v>
          </cell>
          <cell r="E878" t="str">
            <v>Office Depot de México, S.A. de C.V.</v>
          </cell>
          <cell r="F878" t="str">
            <v>Folders ama. Papel carta, y 2 cartuchos</v>
          </cell>
          <cell r="G878">
            <v>514.48</v>
          </cell>
          <cell r="H878">
            <v>82.32</v>
          </cell>
          <cell r="I878">
            <v>596.79999999999995</v>
          </cell>
        </row>
        <row r="879">
          <cell r="C879" t="str">
            <v>G_AGUA</v>
          </cell>
          <cell r="D879">
            <v>41920</v>
          </cell>
          <cell r="E879" t="str">
            <v>Electroura, S. de R.L. de C.V.</v>
          </cell>
          <cell r="F879" t="str">
            <v>2 garrafones de agua.</v>
          </cell>
          <cell r="G879">
            <v>60</v>
          </cell>
          <cell r="I879">
            <v>60</v>
          </cell>
        </row>
        <row r="880">
          <cell r="C880" t="str">
            <v>G_VRS</v>
          </cell>
          <cell r="D880">
            <v>41921</v>
          </cell>
          <cell r="E880" t="str">
            <v>Advance servicio CCTV y cómputo</v>
          </cell>
          <cell r="F880" t="str">
            <v>2 respaldos de videograbación en USB, 3 hechos diferentes</v>
          </cell>
          <cell r="G880">
            <v>1050</v>
          </cell>
          <cell r="I880">
            <v>1050</v>
          </cell>
        </row>
        <row r="881">
          <cell r="C881" t="str">
            <v>G_JDN</v>
          </cell>
          <cell r="D881">
            <v>41922</v>
          </cell>
          <cell r="E881" t="str">
            <v>Constantino Cabrera</v>
          </cell>
          <cell r="F881" t="str">
            <v>Servicio de jardinería, area caseta Romeral</v>
          </cell>
          <cell r="G881">
            <v>100</v>
          </cell>
          <cell r="I881">
            <v>100</v>
          </cell>
        </row>
        <row r="882">
          <cell r="C882" t="str">
            <v>G_ORG</v>
          </cell>
          <cell r="D882">
            <v>41922</v>
          </cell>
          <cell r="E882" t="str">
            <v xml:space="preserve">Gloria Mazzón </v>
          </cell>
          <cell r="F882" t="str">
            <v>Pago por concepto de captura del 06 al 10 de octubre/14</v>
          </cell>
          <cell r="G882">
            <v>400</v>
          </cell>
          <cell r="I882">
            <v>400</v>
          </cell>
        </row>
        <row r="883">
          <cell r="C883" t="str">
            <v>G_ADQ</v>
          </cell>
          <cell r="D883">
            <v>41923</v>
          </cell>
          <cell r="E883" t="str">
            <v>Horacio Campos</v>
          </cell>
          <cell r="F883" t="str">
            <v>50 Duplicado de llaves de seguridad</v>
          </cell>
          <cell r="G883">
            <v>5000</v>
          </cell>
          <cell r="I883">
            <v>5000</v>
          </cell>
        </row>
        <row r="884">
          <cell r="C884" t="str">
            <v>G_MTPTA</v>
          </cell>
          <cell r="D884">
            <v>41923</v>
          </cell>
          <cell r="E884" t="str">
            <v>Horacio Campos</v>
          </cell>
          <cell r="F884" t="str">
            <v>Reparación de chapa en la reja de acceso Rancho Estopila</v>
          </cell>
          <cell r="G884">
            <v>250</v>
          </cell>
          <cell r="I884">
            <v>250</v>
          </cell>
        </row>
        <row r="885">
          <cell r="C885" t="str">
            <v>G_AGUA</v>
          </cell>
          <cell r="D885">
            <v>41925</v>
          </cell>
          <cell r="E885" t="str">
            <v>Electropura, S. de R.L. de C.V.</v>
          </cell>
          <cell r="F885" t="str">
            <v>1 garrafon de agua</v>
          </cell>
          <cell r="G885">
            <v>30</v>
          </cell>
          <cell r="I885">
            <v>30</v>
          </cell>
        </row>
        <row r="886">
          <cell r="C886" t="str">
            <v>G_NMNVG</v>
          </cell>
          <cell r="D886">
            <v>41927</v>
          </cell>
          <cell r="E886" t="str">
            <v>Guardias y Custodias Privadas Gama S.A. de C.V.</v>
          </cell>
          <cell r="F886" t="str">
            <v>Pago correspondiente a la 1° quincena octubre/14</v>
          </cell>
          <cell r="G886">
            <v>27900</v>
          </cell>
          <cell r="I886">
            <v>27900</v>
          </cell>
        </row>
        <row r="887">
          <cell r="C887" t="str">
            <v>G_NMNVG</v>
          </cell>
          <cell r="D887">
            <v>42292</v>
          </cell>
          <cell r="E887" t="str">
            <v>Artemio Mora Torres</v>
          </cell>
          <cell r="F887" t="str">
            <v>Pago correspondiente de la 1° quincena octubre/14</v>
          </cell>
          <cell r="G887">
            <v>3200</v>
          </cell>
          <cell r="I887">
            <v>3200</v>
          </cell>
        </row>
        <row r="888">
          <cell r="C888" t="str">
            <v>G_PAPE</v>
          </cell>
          <cell r="D888">
            <v>41929</v>
          </cell>
          <cell r="E888" t="str">
            <v>Eguía impresos</v>
          </cell>
          <cell r="F888" t="str">
            <v>Copias Bond carta juego 4 copias engrapadas</v>
          </cell>
          <cell r="G888">
            <v>644</v>
          </cell>
          <cell r="I888">
            <v>644</v>
          </cell>
        </row>
        <row r="889">
          <cell r="C889" t="str">
            <v>G_ORG</v>
          </cell>
          <cell r="D889">
            <v>41929</v>
          </cell>
          <cell r="E889" t="str">
            <v xml:space="preserve">Gloria Mazzón </v>
          </cell>
          <cell r="F889" t="str">
            <v>Pago por concepto de captura del 13 al 17 de octubre/14</v>
          </cell>
          <cell r="G889">
            <v>400</v>
          </cell>
          <cell r="I889">
            <v>400</v>
          </cell>
        </row>
        <row r="890">
          <cell r="C890" t="str">
            <v>G_AGUA</v>
          </cell>
          <cell r="D890">
            <v>41932</v>
          </cell>
          <cell r="E890" t="str">
            <v>Electropura, S. de R.L. de C.V.</v>
          </cell>
          <cell r="F890" t="str">
            <v>4 garrafones de agua</v>
          </cell>
          <cell r="G890">
            <v>120</v>
          </cell>
          <cell r="I890">
            <v>120</v>
          </cell>
        </row>
        <row r="891">
          <cell r="C891" t="str">
            <v>G_INFRA</v>
          </cell>
          <cell r="D891">
            <v>41934</v>
          </cell>
          <cell r="E891" t="str">
            <v>Sistemas y comunicaciones gaytan medina S.A. de C.V.</v>
          </cell>
          <cell r="F891" t="str">
            <v>Camara prof., lente japones, gabinete para camara y fuente p.</v>
          </cell>
          <cell r="G891">
            <v>7670.87</v>
          </cell>
          <cell r="H891">
            <v>1227.3399999999999</v>
          </cell>
          <cell r="I891">
            <v>8898.2099999999991</v>
          </cell>
        </row>
        <row r="892">
          <cell r="C892" t="str">
            <v>G_INFRA</v>
          </cell>
          <cell r="D892">
            <v>41934</v>
          </cell>
          <cell r="E892" t="str">
            <v xml:space="preserve">Tecnoplaza Electrónica S.A. de C.V. </v>
          </cell>
          <cell r="F892" t="str">
            <v>Cable electrico para intalación de camaras</v>
          </cell>
          <cell r="G892">
            <v>981.89</v>
          </cell>
          <cell r="H892">
            <v>157.1</v>
          </cell>
          <cell r="I892">
            <v>1138.99</v>
          </cell>
        </row>
        <row r="893">
          <cell r="C893" t="str">
            <v>G_HCTB</v>
          </cell>
          <cell r="D893">
            <v>41935</v>
          </cell>
          <cell r="E893" t="str">
            <v>Siegrist Contadores Publicos</v>
          </cell>
          <cell r="F893" t="str">
            <v>Honorarios profesionales mes de octubre 14</v>
          </cell>
          <cell r="G893">
            <v>862</v>
          </cell>
          <cell r="H893">
            <v>138</v>
          </cell>
          <cell r="I893">
            <v>1000</v>
          </cell>
        </row>
        <row r="894">
          <cell r="C894" t="str">
            <v>IVA</v>
          </cell>
          <cell r="D894">
            <v>41935</v>
          </cell>
          <cell r="E894" t="str">
            <v>SAT servicio de Administración Tributaria</v>
          </cell>
          <cell r="F894" t="str">
            <v>Pago de retención de IVA del Colegio Carmel mes septiembre/14</v>
          </cell>
          <cell r="H894">
            <v>1600</v>
          </cell>
          <cell r="I894">
            <v>1600</v>
          </cell>
        </row>
        <row r="895">
          <cell r="C895" t="str">
            <v>G_INFRA</v>
          </cell>
          <cell r="D895">
            <v>41935</v>
          </cell>
          <cell r="E895" t="str">
            <v xml:space="preserve">Tecnoplaza Electrónica S.A. de C.V. </v>
          </cell>
          <cell r="F895" t="str">
            <v>Fuente 2 amp, bullet 1200 TVL autozoom</v>
          </cell>
          <cell r="G895">
            <v>2960.35</v>
          </cell>
          <cell r="H895">
            <v>473.66</v>
          </cell>
          <cell r="I895">
            <v>3434.0099999999998</v>
          </cell>
        </row>
        <row r="896">
          <cell r="C896" t="str">
            <v>G_ORG</v>
          </cell>
          <cell r="D896">
            <v>41936</v>
          </cell>
          <cell r="E896" t="str">
            <v xml:space="preserve">Gloria Mazzón </v>
          </cell>
          <cell r="F896" t="str">
            <v>Pago por concepto de captura del 20 al 24 de octubre/14</v>
          </cell>
          <cell r="G896">
            <v>400</v>
          </cell>
          <cell r="I896">
            <v>400</v>
          </cell>
        </row>
        <row r="897">
          <cell r="C897" t="str">
            <v>G_PAPE</v>
          </cell>
          <cell r="D897">
            <v>41936</v>
          </cell>
          <cell r="E897" t="str">
            <v>Moises Gutierrez Olvera</v>
          </cell>
          <cell r="F897" t="str">
            <v>650 tarjetones impresos a una tinta plastificados y suajados</v>
          </cell>
          <cell r="G897">
            <v>750</v>
          </cell>
          <cell r="I897">
            <v>750</v>
          </cell>
        </row>
        <row r="898">
          <cell r="C898" t="str">
            <v>G_MTVBQ</v>
          </cell>
          <cell r="D898">
            <v>41937</v>
          </cell>
          <cell r="E898" t="str">
            <v>Materiales Y tlapalería metropolitana</v>
          </cell>
          <cell r="F898" t="str">
            <v>1 bulto de cemento de 25 kgs para taoar hoyos</v>
          </cell>
          <cell r="G898">
            <v>75</v>
          </cell>
          <cell r="I898">
            <v>75</v>
          </cell>
        </row>
        <row r="899">
          <cell r="C899" t="str">
            <v>G_VRS</v>
          </cell>
          <cell r="D899">
            <v>41937</v>
          </cell>
          <cell r="E899" t="str">
            <v>Advanced Servicio CCTV y Cómputo</v>
          </cell>
          <cell r="F899" t="str">
            <v>1 respaldo de videograbación en USB daños a prop., e inst. cam</v>
          </cell>
          <cell r="G899">
            <v>950</v>
          </cell>
          <cell r="I899">
            <v>950</v>
          </cell>
        </row>
        <row r="900">
          <cell r="C900" t="str">
            <v>G_AGUA</v>
          </cell>
          <cell r="D900">
            <v>41939</v>
          </cell>
          <cell r="E900" t="str">
            <v>Electropura, S. de R.L. de C.V.</v>
          </cell>
          <cell r="F900" t="str">
            <v>3 garrafones de agua</v>
          </cell>
          <cell r="G900">
            <v>90</v>
          </cell>
          <cell r="I900">
            <v>90</v>
          </cell>
        </row>
        <row r="901">
          <cell r="C901" t="str">
            <v>G_VRS</v>
          </cell>
          <cell r="D901">
            <v>41939</v>
          </cell>
          <cell r="E901" t="str">
            <v>Advanced Servicio CCTV y Cómputo</v>
          </cell>
          <cell r="F901" t="str">
            <v>Cableado nuevo de camara en EZ y CL</v>
          </cell>
          <cell r="G901">
            <v>1000</v>
          </cell>
          <cell r="I901">
            <v>1000</v>
          </cell>
        </row>
        <row r="902">
          <cell r="C902" t="str">
            <v>G_AGUA</v>
          </cell>
          <cell r="D902">
            <v>41941</v>
          </cell>
          <cell r="E902" t="str">
            <v>Electropura, S. de R.L. de C.V.</v>
          </cell>
          <cell r="F902" t="str">
            <v>1 garrafon de agua</v>
          </cell>
          <cell r="G902">
            <v>30</v>
          </cell>
          <cell r="I902">
            <v>30</v>
          </cell>
        </row>
        <row r="903">
          <cell r="C903" t="str">
            <v>G_AGUA</v>
          </cell>
          <cell r="D903">
            <v>41943</v>
          </cell>
          <cell r="E903" t="str">
            <v>Electropura, S. de R.L. de C.V.</v>
          </cell>
          <cell r="F903" t="str">
            <v>1 garrafon de agua</v>
          </cell>
          <cell r="G903">
            <v>30</v>
          </cell>
          <cell r="I903">
            <v>30</v>
          </cell>
        </row>
        <row r="904">
          <cell r="C904" t="str">
            <v>G_ORG</v>
          </cell>
          <cell r="D904">
            <v>41943</v>
          </cell>
          <cell r="E904" t="str">
            <v xml:space="preserve">Gloria Mazzón </v>
          </cell>
          <cell r="F904" t="str">
            <v>Pago por concepto de captura del 27 al 31 octubre/14</v>
          </cell>
          <cell r="G904">
            <v>400</v>
          </cell>
          <cell r="I904">
            <v>400</v>
          </cell>
        </row>
        <row r="905">
          <cell r="C905" t="str">
            <v>G_TLF</v>
          </cell>
          <cell r="D905">
            <v>41943</v>
          </cell>
          <cell r="E905" t="str">
            <v>Telefonos de México, S.A.B. de C.V.</v>
          </cell>
          <cell r="F905" t="str">
            <v>Pago del mes octubre/14</v>
          </cell>
          <cell r="G905">
            <v>863</v>
          </cell>
          <cell r="I905">
            <v>863</v>
          </cell>
        </row>
        <row r="906">
          <cell r="C906" t="str">
            <v>G_MTCBQ</v>
          </cell>
          <cell r="D906">
            <v>41943</v>
          </cell>
          <cell r="E906" t="str">
            <v>Manuel Olivares</v>
          </cell>
          <cell r="F906" t="str">
            <v>Tapar 4 hoyos en la calle de cuchilla y una grieta</v>
          </cell>
          <cell r="G906">
            <v>400</v>
          </cell>
          <cell r="I906">
            <v>400</v>
          </cell>
        </row>
        <row r="907">
          <cell r="C907" t="str">
            <v>G_NMNVG</v>
          </cell>
          <cell r="D907">
            <v>41943</v>
          </cell>
          <cell r="E907" t="str">
            <v>Guardias y Custodias Privadas Gama S.A. de C.V.</v>
          </cell>
          <cell r="F907" t="str">
            <v>Pago correspondiente a la 2° quincena octubre/14</v>
          </cell>
          <cell r="G907">
            <v>27900</v>
          </cell>
          <cell r="I907">
            <v>27900</v>
          </cell>
        </row>
        <row r="908">
          <cell r="C908" t="str">
            <v>G_NMNVG</v>
          </cell>
          <cell r="D908">
            <v>41943</v>
          </cell>
          <cell r="E908" t="str">
            <v>Artemio Mora Torres</v>
          </cell>
          <cell r="F908" t="str">
            <v>Pago correspondiente a la 2° quincena octubre/14</v>
          </cell>
          <cell r="G908">
            <v>3200</v>
          </cell>
          <cell r="I908">
            <v>3200</v>
          </cell>
        </row>
        <row r="909">
          <cell r="C909" t="str">
            <v>G_JDN</v>
          </cell>
          <cell r="D909">
            <v>41943</v>
          </cell>
          <cell r="E909" t="str">
            <v>Constantino Cabrera</v>
          </cell>
          <cell r="F909" t="str">
            <v>Podar pasto y arbustos en calle y banquetas del terreno aban</v>
          </cell>
          <cell r="G909">
            <v>300</v>
          </cell>
          <cell r="I909">
            <v>300</v>
          </cell>
        </row>
        <row r="910">
          <cell r="C910" t="str">
            <v>G_VRS</v>
          </cell>
          <cell r="D910">
            <v>41943</v>
          </cell>
          <cell r="E910" t="str">
            <v>Pedro Cortes</v>
          </cell>
          <cell r="F910" t="str">
            <v>Gratificacipon mensual por recoger basura en todo el fracciona.</v>
          </cell>
          <cell r="G910">
            <v>500</v>
          </cell>
          <cell r="I910">
            <v>500</v>
          </cell>
        </row>
        <row r="911">
          <cell r="C911" t="str">
            <v>G_P_Fin</v>
          </cell>
          <cell r="D911">
            <v>41919</v>
          </cell>
          <cell r="E911" t="str">
            <v>Alberto Augusto Fuentes Herrera</v>
          </cell>
          <cell r="F911" t="str">
            <v>Remanente identificador</v>
          </cell>
          <cell r="G911">
            <v>-0.46</v>
          </cell>
          <cell r="I911">
            <v>-0.46</v>
          </cell>
        </row>
        <row r="912">
          <cell r="C912" t="str">
            <v>G_P_Fin</v>
          </cell>
          <cell r="D912">
            <v>41922</v>
          </cell>
          <cell r="E912" t="str">
            <v>Familia Vega Sánchez C.</v>
          </cell>
          <cell r="F912" t="str">
            <v>Remanente identificador</v>
          </cell>
          <cell r="G912">
            <v>-0.28999999999999998</v>
          </cell>
          <cell r="I912">
            <v>-0.28999999999999998</v>
          </cell>
        </row>
        <row r="913">
          <cell r="B913" t="str">
            <v>N°</v>
          </cell>
          <cell r="C913" t="str">
            <v>clave</v>
          </cell>
          <cell r="D913" t="str">
            <v>fecha</v>
          </cell>
          <cell r="E913" t="str">
            <v>Beneficiario</v>
          </cell>
          <cell r="F913" t="str">
            <v>Concepto</v>
          </cell>
          <cell r="G913" t="str">
            <v>Gasto</v>
          </cell>
          <cell r="H913" t="str">
            <v>I.V.A.</v>
          </cell>
          <cell r="I913" t="str">
            <v>Total</v>
          </cell>
        </row>
        <row r="914">
          <cell r="C914" t="str">
            <v>G_DIF</v>
          </cell>
          <cell r="D914">
            <v>41857</v>
          </cell>
          <cell r="E914" t="str">
            <v>Luis Hernández</v>
          </cell>
          <cell r="F914" t="str">
            <v>Anticipo de 2 bastidores para el parque</v>
          </cell>
          <cell r="G914">
            <v>500</v>
          </cell>
          <cell r="I914">
            <v>500</v>
          </cell>
        </row>
        <row r="915">
          <cell r="C915" t="str">
            <v>G_JDN</v>
          </cell>
          <cell r="D915">
            <v>41937</v>
          </cell>
          <cell r="E915" t="str">
            <v>Rafael Ugalde</v>
          </cell>
          <cell r="F915" t="str">
            <v>Anticipo de poda del parque</v>
          </cell>
          <cell r="G915">
            <v>1500</v>
          </cell>
          <cell r="I915">
            <v>1500</v>
          </cell>
        </row>
        <row r="916">
          <cell r="C916" t="str">
            <v>G_JDN</v>
          </cell>
          <cell r="D916">
            <v>41941</v>
          </cell>
          <cell r="E916" t="str">
            <v>Rafael Ugalde</v>
          </cell>
          <cell r="F916" t="str">
            <v>Anticipo de poda del parque</v>
          </cell>
          <cell r="G916">
            <v>1000</v>
          </cell>
          <cell r="I916">
            <v>1000</v>
          </cell>
        </row>
        <row r="917">
          <cell r="C917" t="str">
            <v>G_MTCBQ</v>
          </cell>
          <cell r="D917">
            <v>41946</v>
          </cell>
          <cell r="E917" t="str">
            <v>Roberto Miranda</v>
          </cell>
          <cell r="F917" t="str">
            <v>Recoger basura parque, barrer ambas calles del parque</v>
          </cell>
          <cell r="G917">
            <v>300</v>
          </cell>
          <cell r="I917">
            <v>300</v>
          </cell>
        </row>
        <row r="918">
          <cell r="C918" t="str">
            <v>G_MTLPZ</v>
          </cell>
          <cell r="D918">
            <v>41946</v>
          </cell>
          <cell r="E918" t="str">
            <v>Nueva Walmart de México, S. de R.L. de C.V.</v>
          </cell>
          <cell r="F918" t="str">
            <v>Compra de material de limpieza</v>
          </cell>
          <cell r="G918">
            <v>465.8</v>
          </cell>
          <cell r="I918">
            <v>465.8</v>
          </cell>
        </row>
        <row r="919">
          <cell r="C919" t="str">
            <v>G_AGUA</v>
          </cell>
          <cell r="D919">
            <v>41948</v>
          </cell>
          <cell r="E919" t="str">
            <v>Electropura, S de R.L. de C.V.</v>
          </cell>
          <cell r="F919" t="str">
            <v>1 garrafon de agua</v>
          </cell>
          <cell r="G919">
            <v>30</v>
          </cell>
          <cell r="I919">
            <v>30</v>
          </cell>
        </row>
        <row r="920">
          <cell r="C920" t="str">
            <v>G_PAPE</v>
          </cell>
          <cell r="D920">
            <v>41949</v>
          </cell>
          <cell r="E920" t="str">
            <v>Eguía Impresos</v>
          </cell>
          <cell r="F920" t="str">
            <v>Copias Bond carta juegos 2 copias engrapadas</v>
          </cell>
          <cell r="G920">
            <v>315</v>
          </cell>
          <cell r="I920">
            <v>315</v>
          </cell>
        </row>
        <row r="921">
          <cell r="C921" t="str">
            <v>G_MTCBQ</v>
          </cell>
          <cell r="D921">
            <v>41949</v>
          </cell>
          <cell r="E921" t="str">
            <v>Ferreteria Electrica Diaz</v>
          </cell>
          <cell r="F921" t="str">
            <v>Compra de 10 kg de cemento gris, pavimentar orrilla caseta ZB</v>
          </cell>
          <cell r="G921">
            <v>70</v>
          </cell>
          <cell r="I921">
            <v>70</v>
          </cell>
        </row>
        <row r="922">
          <cell r="C922" t="str">
            <v>G_ORG</v>
          </cell>
          <cell r="D922">
            <v>41950</v>
          </cell>
          <cell r="E922" t="str">
            <v xml:space="preserve">Gloria Mazzón </v>
          </cell>
          <cell r="F922" t="str">
            <v>Pago por concepto de captura del 03 al 07 de noviembre/14</v>
          </cell>
          <cell r="G922">
            <v>400</v>
          </cell>
          <cell r="I922">
            <v>400</v>
          </cell>
        </row>
        <row r="923">
          <cell r="C923" t="str">
            <v>G_VRS</v>
          </cell>
          <cell r="D923">
            <v>41950</v>
          </cell>
          <cell r="E923" t="str">
            <v>Advanced Servicio CCTV y Cómputo</v>
          </cell>
          <cell r="F923" t="str">
            <v>1 respaldo de videograbación en USB y reparación cableado</v>
          </cell>
          <cell r="G923">
            <v>950</v>
          </cell>
          <cell r="I923">
            <v>950</v>
          </cell>
        </row>
        <row r="924">
          <cell r="C924" t="str">
            <v>G_PAPE</v>
          </cell>
          <cell r="D924">
            <v>41950</v>
          </cell>
          <cell r="E924" t="str">
            <v>Office Depot de México, S.A. de C.V.</v>
          </cell>
          <cell r="F924" t="str">
            <v>Boligr y 3 cartuchos</v>
          </cell>
          <cell r="G924">
            <v>538.79</v>
          </cell>
          <cell r="H924">
            <v>86.21</v>
          </cell>
          <cell r="I924">
            <v>625</v>
          </cell>
        </row>
        <row r="925">
          <cell r="C925" t="str">
            <v>G_VRS</v>
          </cell>
          <cell r="D925">
            <v>41953</v>
          </cell>
          <cell r="E925" t="str">
            <v>Constantino Cabrera</v>
          </cell>
          <cell r="F925" t="str">
            <v>Poda de pasto Recoveco esq con Cafetales</v>
          </cell>
          <cell r="G925">
            <v>150</v>
          </cell>
          <cell r="I925">
            <v>150</v>
          </cell>
        </row>
        <row r="926">
          <cell r="C926" t="str">
            <v>G_AGUA</v>
          </cell>
          <cell r="D926">
            <v>41953</v>
          </cell>
          <cell r="E926" t="str">
            <v>Electropura, S. de R.L. de C.V.</v>
          </cell>
          <cell r="F926" t="str">
            <v>4 garrafones de agua</v>
          </cell>
          <cell r="G926">
            <v>120</v>
          </cell>
          <cell r="I926">
            <v>120</v>
          </cell>
        </row>
        <row r="927">
          <cell r="C927" t="str">
            <v>G_VRS</v>
          </cell>
          <cell r="D927">
            <v>41953</v>
          </cell>
          <cell r="E927" t="str">
            <v>Cadena Comercial Oxxo, S. A. de C. V.</v>
          </cell>
          <cell r="F927" t="str">
            <v>Refrescos y vasos, para personal delegación</v>
          </cell>
          <cell r="G927">
            <v>190.5</v>
          </cell>
          <cell r="I927">
            <v>190.5</v>
          </cell>
        </row>
        <row r="928">
          <cell r="C928" t="str">
            <v>G_INFRA</v>
          </cell>
          <cell r="D928">
            <v>41954</v>
          </cell>
          <cell r="E928" t="str">
            <v xml:space="preserve">Tecnoplaza Electrónica S.A. de C.V. </v>
          </cell>
          <cell r="F928" t="str">
            <v>Bullet 720 TVL 72 LED varif 2.8-12MM DWDR</v>
          </cell>
          <cell r="G928">
            <v>4655.17</v>
          </cell>
          <cell r="H928">
            <v>744.83</v>
          </cell>
          <cell r="I928">
            <v>5400</v>
          </cell>
        </row>
        <row r="929">
          <cell r="C929" t="str">
            <v>G_ORG</v>
          </cell>
          <cell r="D929">
            <v>41957</v>
          </cell>
          <cell r="E929" t="str">
            <v xml:space="preserve">Gloria Mazzón </v>
          </cell>
          <cell r="F929" t="str">
            <v>Pago por concepto de captura del 10 al 14 de noviembre/14</v>
          </cell>
          <cell r="G929">
            <v>400</v>
          </cell>
          <cell r="I929">
            <v>400</v>
          </cell>
        </row>
        <row r="930">
          <cell r="C930" t="str">
            <v>G_INFRA</v>
          </cell>
          <cell r="D930">
            <v>41957</v>
          </cell>
          <cell r="E930" t="str">
            <v>Advanced Servicio CCTV y Cómputo</v>
          </cell>
          <cell r="F930" t="str">
            <v>Anticipo de elaboración 2da. Etapa circuito Zinamba (8 camaras)</v>
          </cell>
          <cell r="G930">
            <v>2000</v>
          </cell>
          <cell r="I930">
            <v>2000</v>
          </cell>
        </row>
        <row r="931">
          <cell r="C931" t="str">
            <v>G_NMNVG</v>
          </cell>
          <cell r="D931">
            <v>41958</v>
          </cell>
          <cell r="E931" t="str">
            <v>Artemio Mora Torres</v>
          </cell>
          <cell r="F931" t="str">
            <v>Pago correspondiente a la 1° quincena noviembre/14</v>
          </cell>
          <cell r="G931">
            <v>3200</v>
          </cell>
          <cell r="I931">
            <v>3200</v>
          </cell>
        </row>
        <row r="932">
          <cell r="C932" t="str">
            <v>G_VRS</v>
          </cell>
          <cell r="D932">
            <v>41958</v>
          </cell>
          <cell r="E932" t="str">
            <v>Manuel Olivares</v>
          </cell>
          <cell r="F932" t="str">
            <v>Quitar toda la propaganda y publicidad colocada en las rejas</v>
          </cell>
          <cell r="G932">
            <v>200</v>
          </cell>
          <cell r="I932">
            <v>200</v>
          </cell>
        </row>
        <row r="933">
          <cell r="C933" t="str">
            <v>G_NMNVG</v>
          </cell>
          <cell r="D933">
            <v>41959</v>
          </cell>
          <cell r="E933" t="str">
            <v>Guardias y Custodias Privadas Gama S.A. de C.V.</v>
          </cell>
          <cell r="F933" t="str">
            <v>Pago correspondiente a la 1° quincena de noviembre/14</v>
          </cell>
          <cell r="G933">
            <v>27900</v>
          </cell>
          <cell r="I933">
            <v>27900</v>
          </cell>
        </row>
        <row r="934">
          <cell r="C934" t="str">
            <v>G_VRS</v>
          </cell>
          <cell r="D934">
            <v>41960</v>
          </cell>
          <cell r="E934" t="str">
            <v>Roberto Miranda</v>
          </cell>
          <cell r="F934" t="str">
            <v>Gratificación por barrer las calles de RV, ZB,EZ y el parque</v>
          </cell>
          <cell r="G934">
            <v>300</v>
          </cell>
          <cell r="I934">
            <v>300</v>
          </cell>
        </row>
        <row r="935">
          <cell r="C935" t="str">
            <v>G_AGUA</v>
          </cell>
          <cell r="D935">
            <v>41960</v>
          </cell>
          <cell r="E935" t="str">
            <v>Electropura, S. de R.L. de C.V.</v>
          </cell>
          <cell r="F935" t="str">
            <v>1 garrafon de agua</v>
          </cell>
          <cell r="G935">
            <v>30</v>
          </cell>
          <cell r="I935">
            <v>30</v>
          </cell>
        </row>
        <row r="936">
          <cell r="C936" t="str">
            <v>G_VRS</v>
          </cell>
          <cell r="D936">
            <v>41961</v>
          </cell>
          <cell r="E936" t="str">
            <v>Dr. Oscar Roldán</v>
          </cell>
          <cell r="F936" t="str">
            <v xml:space="preserve">Pago de gastos erogados en el globo, juntas quincenales </v>
          </cell>
          <cell r="G936">
            <v>690</v>
          </cell>
          <cell r="I936">
            <v>690</v>
          </cell>
        </row>
        <row r="937">
          <cell r="C937" t="str">
            <v>G_AGUA</v>
          </cell>
          <cell r="D937">
            <v>41962</v>
          </cell>
          <cell r="E937" t="str">
            <v>Electropura, S. de R.L. de C.V.</v>
          </cell>
          <cell r="F937" t="str">
            <v>2 garrafones de agua.</v>
          </cell>
          <cell r="G937">
            <v>60</v>
          </cell>
          <cell r="I937">
            <v>60</v>
          </cell>
        </row>
        <row r="938">
          <cell r="C938" t="str">
            <v>G_ORG</v>
          </cell>
          <cell r="D938">
            <v>41964</v>
          </cell>
          <cell r="E938" t="str">
            <v xml:space="preserve">Gloria Mazzón </v>
          </cell>
          <cell r="F938" t="str">
            <v>Pago por concepto de captura del 17 al 21 de noviembre/14</v>
          </cell>
          <cell r="G938">
            <v>400</v>
          </cell>
          <cell r="I938">
            <v>400</v>
          </cell>
        </row>
        <row r="939">
          <cell r="C939" t="str">
            <v>G_HCTB</v>
          </cell>
          <cell r="D939">
            <v>41964</v>
          </cell>
          <cell r="E939" t="str">
            <v>Siegrist Contadores Publicos</v>
          </cell>
          <cell r="F939" t="str">
            <v>Honorarios profesionales mes de noviembre 14</v>
          </cell>
          <cell r="G939">
            <v>862</v>
          </cell>
          <cell r="H939">
            <v>138</v>
          </cell>
          <cell r="I939">
            <v>1000</v>
          </cell>
        </row>
        <row r="940">
          <cell r="C940" t="str">
            <v>G_AGUA</v>
          </cell>
          <cell r="D940">
            <v>41964</v>
          </cell>
          <cell r="E940" t="str">
            <v>Electropura, S. de R.L. de C.V.</v>
          </cell>
          <cell r="F940" t="str">
            <v>1 garrafon de agua</v>
          </cell>
          <cell r="G940">
            <v>30</v>
          </cell>
          <cell r="I940">
            <v>30</v>
          </cell>
        </row>
        <row r="941">
          <cell r="C941" t="str">
            <v>G_MTCYP</v>
          </cell>
          <cell r="D941">
            <v>41964</v>
          </cell>
          <cell r="E941" t="str">
            <v>Advanced Servicio CCTV y Cómputo</v>
          </cell>
          <cell r="F941" t="str">
            <v>Instalación de lente en camara y ajuste, reoaración 2 camaras</v>
          </cell>
          <cell r="G941">
            <v>800</v>
          </cell>
          <cell r="I941">
            <v>800</v>
          </cell>
        </row>
        <row r="942">
          <cell r="C942" t="str">
            <v>G_INFRA</v>
          </cell>
          <cell r="D942">
            <v>41964</v>
          </cell>
          <cell r="E942" t="str">
            <v>Sistemas y comunicaciones gaytan medina S.A. de C.V.</v>
          </cell>
          <cell r="F942" t="str">
            <v>Tamron 13VG550AS-lente japones</v>
          </cell>
          <cell r="G942">
            <v>1260</v>
          </cell>
          <cell r="H942">
            <v>201.6</v>
          </cell>
          <cell r="I942">
            <v>1461.6</v>
          </cell>
        </row>
        <row r="943">
          <cell r="C943" t="str">
            <v>IVA</v>
          </cell>
          <cell r="D943">
            <v>41964</v>
          </cell>
          <cell r="E943" t="str">
            <v>SAT servicio de Administración Tributaria</v>
          </cell>
          <cell r="F943" t="str">
            <v>Pago de retención de IVA del Colegio Carmel mes octubre/14</v>
          </cell>
          <cell r="H943">
            <v>1600</v>
          </cell>
          <cell r="I943">
            <v>1600</v>
          </cell>
        </row>
        <row r="944">
          <cell r="C944" t="str">
            <v>G_JDN</v>
          </cell>
          <cell r="D944">
            <v>41965</v>
          </cell>
          <cell r="E944" t="str">
            <v>Constantino Cabrera</v>
          </cell>
          <cell r="F944" t="str">
            <v>Transplante de las plantas que estaban cubriendo el paso</v>
          </cell>
          <cell r="G944">
            <v>500</v>
          </cell>
          <cell r="I944">
            <v>500</v>
          </cell>
        </row>
        <row r="945">
          <cell r="C945" t="str">
            <v>G_PAPE</v>
          </cell>
          <cell r="D945">
            <v>41965</v>
          </cell>
          <cell r="E945" t="str">
            <v>Eguía Impresos</v>
          </cell>
          <cell r="F945" t="str">
            <v>250 copias bond carta</v>
          </cell>
          <cell r="G945">
            <v>87.5</v>
          </cell>
          <cell r="I945">
            <v>87.5</v>
          </cell>
        </row>
        <row r="946">
          <cell r="C946" t="str">
            <v>G_MTCBQ</v>
          </cell>
          <cell r="D946">
            <v>41967</v>
          </cell>
          <cell r="E946" t="str">
            <v>Esteban Alejo</v>
          </cell>
          <cell r="F946" t="str">
            <v>Tapar con cemento la orilla de la banqueta en caseta Zinampa</v>
          </cell>
          <cell r="G946">
            <v>150</v>
          </cell>
          <cell r="I946">
            <v>150</v>
          </cell>
        </row>
        <row r="947">
          <cell r="C947" t="str">
            <v>G_MTLPZ</v>
          </cell>
          <cell r="D947">
            <v>41967</v>
          </cell>
          <cell r="E947" t="str">
            <v>Nueva Walmart de México, S. de R.L. de C.V.</v>
          </cell>
          <cell r="F947" t="str">
            <v>Compra de material de limpieza</v>
          </cell>
          <cell r="G947">
            <v>261.27999999999997</v>
          </cell>
          <cell r="I947">
            <v>261.27999999999997</v>
          </cell>
        </row>
        <row r="948">
          <cell r="C948" t="str">
            <v>G_PAPE</v>
          </cell>
          <cell r="D948">
            <v>41967</v>
          </cell>
          <cell r="E948" t="str">
            <v>Office Depot de México, S.A. de C.V.</v>
          </cell>
          <cell r="F948" t="str">
            <v>Clip, sujeta doctos chico, marc sharpie, boligr, block, papel y USB</v>
          </cell>
          <cell r="G948">
            <v>595.6</v>
          </cell>
          <cell r="I948">
            <v>595.6</v>
          </cell>
        </row>
        <row r="949">
          <cell r="C949" t="str">
            <v>G_AGUA</v>
          </cell>
          <cell r="D949">
            <v>41969</v>
          </cell>
          <cell r="E949" t="str">
            <v>Electropura, S. de R.L. de C.V.</v>
      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     <cell r="C950" t="str">
            <v>G_ORG</v>
          </cell>
          <cell r="D950">
            <v>41971</v>
          </cell>
          <cell r="E950" t="str">
            <v xml:space="preserve">Gloria Mazzón </v>
          </cell>
          <cell r="F950" t="str">
            <v>Pago por concepto de captura del 24 al 28 de noviembre/14</v>
          </cell>
          <cell r="G950">
            <v>400</v>
          </cell>
          <cell r="I950">
            <v>400</v>
          </cell>
        </row>
        <row r="951">
          <cell r="C951" t="str">
            <v>G_VRS</v>
          </cell>
          <cell r="D951">
            <v>41971</v>
          </cell>
          <cell r="E951" t="str">
            <v>Home Depot México, S. de R. L. de C. V.</v>
          </cell>
          <cell r="F951" t="str">
            <v>Compra de 1 garrafón roja para gasolina</v>
          </cell>
          <cell r="G951">
            <v>36</v>
          </cell>
          <cell r="I951">
            <v>36</v>
          </cell>
        </row>
        <row r="952">
          <cell r="C952" t="str">
            <v>G_VRS</v>
          </cell>
          <cell r="D952">
            <v>41973</v>
          </cell>
          <cell r="E952" t="str">
            <v>Pedro Cortes</v>
          </cell>
          <cell r="F952" t="str">
            <v>Gratifficación por recolección mensual de basura en el fracc.</v>
          </cell>
          <cell r="G952">
            <v>600</v>
          </cell>
          <cell r="I952">
            <v>600</v>
          </cell>
        </row>
        <row r="953">
          <cell r="C953" t="str">
            <v>G_JDN</v>
          </cell>
          <cell r="D953">
            <v>41973</v>
          </cell>
          <cell r="E953" t="str">
            <v>Constantino Cabrera</v>
          </cell>
          <cell r="F953" t="str">
            <v>Retirar plantas muertas y plangadas en la calle de ZB</v>
          </cell>
          <cell r="G953">
            <v>100</v>
          </cell>
          <cell r="I953">
            <v>100</v>
          </cell>
        </row>
        <row r="954">
          <cell r="C954" t="str">
            <v>G_JDN</v>
          </cell>
          <cell r="D954">
            <v>41973</v>
          </cell>
          <cell r="E954" t="str">
            <v>Jpsé Alberto González</v>
          </cell>
          <cell r="F954" t="str">
            <v>Pago de la poda de pasto del parque del fraccionamiento</v>
          </cell>
          <cell r="G954">
            <v>5500</v>
          </cell>
          <cell r="I954">
            <v>5500</v>
          </cell>
        </row>
        <row r="955">
          <cell r="C955" t="str">
            <v>G_NMNVG</v>
          </cell>
          <cell r="D955">
            <v>41973</v>
          </cell>
          <cell r="E955" t="str">
            <v>Artemio Mora Torres</v>
          </cell>
          <cell r="F955" t="str">
            <v>Pago correspondiente a la 2° quincena noviembre/14</v>
          </cell>
          <cell r="G955">
            <v>3200</v>
          </cell>
          <cell r="I955">
            <v>3200</v>
          </cell>
        </row>
        <row r="956">
          <cell r="C956" t="str">
            <v>G_NMNVG</v>
          </cell>
          <cell r="D956">
            <v>41973</v>
          </cell>
          <cell r="E956" t="str">
            <v>Guardias y Custodias Privadas Gama S.A. de C.V.</v>
          </cell>
          <cell r="F956" t="str">
            <v>Pago correspondiente a la 2° quincena de noviembre/14</v>
          </cell>
          <cell r="G956">
            <v>27900</v>
          </cell>
          <cell r="I956">
            <v>27900</v>
          </cell>
        </row>
        <row r="957">
          <cell r="C957" t="str">
            <v>IVA</v>
          </cell>
          <cell r="D957">
            <v>41948</v>
          </cell>
          <cell r="E957" t="str">
            <v>Colegio Carmel</v>
          </cell>
          <cell r="F957" t="str">
            <v>I.V.A. sobre cuota de mantenimiento</v>
          </cell>
          <cell r="G957">
            <v>-1600</v>
          </cell>
          <cell r="I957">
            <v>-1600</v>
          </cell>
        </row>
        <row r="958">
          <cell r="C958" t="str">
            <v>G_P_Fin</v>
          </cell>
          <cell r="D958">
            <v>41951</v>
          </cell>
          <cell r="E958" t="str">
            <v>Alberto Augusto Fuentes Herrera</v>
          </cell>
          <cell r="F958" t="str">
            <v>Remanente identificador</v>
          </cell>
          <cell r="G958">
            <v>-0.46</v>
          </cell>
          <cell r="I958">
            <v>-0.46</v>
          </cell>
        </row>
        <row r="960">
          <cell r="B960" t="str">
            <v>N°</v>
          </cell>
          <cell r="C960" t="str">
            <v>clave</v>
          </cell>
          <cell r="D960" t="str">
            <v>fecha</v>
          </cell>
          <cell r="E960" t="str">
            <v>Beneficiario</v>
          </cell>
          <cell r="F960" t="str">
            <v>Concepto</v>
          </cell>
          <cell r="G960" t="str">
            <v>Gasto</v>
          </cell>
          <cell r="H960" t="str">
            <v>I.V.A.</v>
          </cell>
          <cell r="I960" t="str">
            <v>Total</v>
          </cell>
        </row>
        <row r="961">
          <cell r="C961" t="str">
            <v>G_AGUA</v>
          </cell>
          <cell r="D961">
            <v>41976</v>
          </cell>
          <cell r="E961" t="str">
            <v>Electropura, S. de R.L. de C.V.</v>
          </cell>
          <cell r="F961" t="str">
            <v>3 garrafones de agua</v>
          </cell>
          <cell r="G961">
            <v>90</v>
          </cell>
          <cell r="I961">
            <v>90</v>
          </cell>
        </row>
        <row r="962">
          <cell r="C962" t="str">
            <v>G_INFRA</v>
          </cell>
          <cell r="D962">
            <v>41976</v>
          </cell>
          <cell r="E962" t="str">
            <v>Advanced Servicio CCTV y Cómputo</v>
          </cell>
          <cell r="F962" t="str">
            <v>Pago de honorarios de elaboración 2da. Etapa ciicuito ZB 8 cam.</v>
          </cell>
          <cell r="G962">
            <v>5000</v>
          </cell>
          <cell r="I962">
            <v>5000</v>
          </cell>
        </row>
        <row r="963">
          <cell r="C963" t="str">
            <v>G_VRS</v>
          </cell>
          <cell r="D963">
            <v>41977</v>
          </cell>
          <cell r="E963" t="str">
            <v>Advanced Servicio CCTV y Cómputo</v>
          </cell>
          <cell r="F963" t="str">
            <v>Revisión de una videograbacion UP y de EZ_3</v>
          </cell>
          <cell r="G963">
            <v>500</v>
          </cell>
          <cell r="I963">
            <v>500</v>
          </cell>
        </row>
        <row r="964">
          <cell r="C964" t="str">
            <v>G_VRS</v>
          </cell>
          <cell r="D964">
            <v>41978</v>
          </cell>
          <cell r="E964" t="str">
            <v>Roberto Miranda</v>
          </cell>
          <cell r="F964" t="str">
            <v>Gratificación por barrer RV ambas calles, ZB y parque</v>
          </cell>
          <cell r="G964">
            <v>300</v>
          </cell>
          <cell r="I964">
            <v>300</v>
          </cell>
        </row>
        <row r="965">
          <cell r="C965" t="str">
            <v>G_ORG</v>
          </cell>
          <cell r="D965">
            <v>41978</v>
          </cell>
          <cell r="E965" t="str">
            <v xml:space="preserve">Gloria Mazzón </v>
          </cell>
          <cell r="F965" t="str">
            <v>Pago por concepto de captura del 01 al 05 de diciembre/14</v>
          </cell>
          <cell r="G965">
            <v>500</v>
          </cell>
          <cell r="I965">
            <v>500</v>
          </cell>
        </row>
        <row r="966">
          <cell r="C966" t="str">
            <v>G_JDN</v>
          </cell>
          <cell r="D966">
            <v>41978</v>
          </cell>
          <cell r="E966" t="str">
            <v>Roberto Miranda</v>
          </cell>
          <cell r="F966" t="str">
            <v>Pago por recoger toda la basura del parque en la obra deleg.</v>
          </cell>
          <cell r="G966">
            <v>200</v>
          </cell>
          <cell r="I966">
            <v>200</v>
          </cell>
        </row>
        <row r="967">
          <cell r="C967" t="str">
            <v>G_AGUA</v>
          </cell>
          <cell r="D967">
            <v>41981</v>
          </cell>
          <cell r="E967" t="str">
            <v>Electropura, S. de R.L. de C.V.</v>
          </cell>
          <cell r="F967" t="str">
            <v>1 garrafon de agua</v>
          </cell>
          <cell r="G967">
            <v>30</v>
          </cell>
          <cell r="I967">
            <v>30</v>
          </cell>
        </row>
        <row r="968">
          <cell r="C968" t="str">
            <v>G_AGUA</v>
          </cell>
          <cell r="D968">
            <v>41983</v>
          </cell>
          <cell r="E968" t="str">
            <v>Electropura, S. de R.L. de C.V.</v>
          </cell>
          <cell r="F968" t="str">
            <v>3 garrafones de agua</v>
          </cell>
          <cell r="G968">
            <v>90</v>
          </cell>
          <cell r="I968">
            <v>90</v>
          </cell>
        </row>
        <row r="969">
          <cell r="C969" t="str">
            <v>G_ADQ</v>
          </cell>
          <cell r="D969">
            <v>41983</v>
          </cell>
          <cell r="E969" t="str">
            <v>Sistemas de Segridad Electónica</v>
          </cell>
          <cell r="F969" t="str">
            <v>Compra de100 tarjetas procord para Tag Syscom</v>
          </cell>
          <cell r="G969">
            <v>10500</v>
          </cell>
          <cell r="I969">
            <v>10500</v>
          </cell>
        </row>
        <row r="970">
          <cell r="C970" t="str">
            <v>G_JDN</v>
          </cell>
          <cell r="D970">
            <v>41983</v>
          </cell>
          <cell r="E970" t="str">
            <v>Pedro Cortes</v>
          </cell>
          <cell r="F970" t="str">
            <v>Recoger y tirar el pasto podado y ramas del parque</v>
          </cell>
          <cell r="G970">
            <v>500</v>
          </cell>
          <cell r="I970">
            <v>500</v>
          </cell>
        </row>
        <row r="971">
          <cell r="C971" t="str">
            <v>G_TLF</v>
          </cell>
          <cell r="D971">
            <v>41983</v>
          </cell>
          <cell r="E971" t="str">
            <v>Telefonos de México, S.A.B. de C.V.</v>
          </cell>
          <cell r="F971" t="str">
            <v>Pago el mes de noviembre/14</v>
          </cell>
          <cell r="G971">
            <v>816</v>
          </cell>
          <cell r="I971">
            <v>816</v>
          </cell>
        </row>
        <row r="972">
          <cell r="C972" t="str">
            <v>G_VRS</v>
          </cell>
          <cell r="D972">
            <v>41985</v>
          </cell>
          <cell r="E972" t="str">
            <v>Manuel Olivares</v>
          </cell>
          <cell r="F972" t="str">
            <v>Retiro de mantas colocadas en bardas y puertas del fraccion.</v>
          </cell>
          <cell r="G972">
            <v>100</v>
          </cell>
          <cell r="I972">
            <v>100</v>
          </cell>
        </row>
        <row r="973">
          <cell r="C973" t="str">
            <v>G_VRS</v>
          </cell>
          <cell r="D973">
            <v>41985</v>
          </cell>
          <cell r="E973" t="str">
            <v>Nueva Walmart de México, S. de R.L. de C.V.</v>
          </cell>
          <cell r="F973" t="str">
            <v>Tarjetas electrónicas de pago de aguinaldo</v>
          </cell>
          <cell r="G973">
            <v>18250</v>
          </cell>
          <cell r="I973">
            <v>18250</v>
          </cell>
        </row>
        <row r="974">
          <cell r="C974" t="str">
            <v>G_ORG</v>
          </cell>
          <cell r="D974">
            <v>41985</v>
          </cell>
          <cell r="E974" t="str">
            <v xml:space="preserve">Gloria Mazzón </v>
          </cell>
          <cell r="F974" t="str">
            <v>Pago por concepto de captura del 08 al 12 de diciembre/14</v>
          </cell>
          <cell r="G974">
            <v>500</v>
          </cell>
          <cell r="I974">
            <v>500</v>
          </cell>
        </row>
        <row r="975">
          <cell r="C975" t="str">
            <v>G_JDN</v>
          </cell>
          <cell r="D975">
            <v>41987</v>
          </cell>
          <cell r="E975" t="str">
            <v>José Alberto González</v>
          </cell>
          <cell r="F975" t="str">
            <v>Por concepto del trabajo de encalado, de todos los árboles</v>
          </cell>
          <cell r="G975">
            <v>3500</v>
          </cell>
          <cell r="I975">
            <v>3500</v>
          </cell>
        </row>
        <row r="976">
          <cell r="C976" t="str">
            <v>G_AGUA</v>
          </cell>
          <cell r="D976">
            <v>41988</v>
          </cell>
          <cell r="E976" t="str">
            <v>Electropura, S. de R.L. de C.V.</v>
          </cell>
          <cell r="F976" t="str">
            <v>2 garrafones de agua.</v>
          </cell>
          <cell r="G976">
            <v>60</v>
          </cell>
          <cell r="I976">
            <v>60</v>
          </cell>
        </row>
        <row r="977">
          <cell r="C977" t="str">
            <v>G_NMNVG</v>
          </cell>
          <cell r="D977">
            <v>41988</v>
          </cell>
          <cell r="E977" t="str">
            <v>Guardias y Custodias Privadas Gama S.A. de C.V.</v>
          </cell>
          <cell r="F977" t="str">
            <v>Pago correspondiente a la 1° quincena diciembre/14</v>
          </cell>
          <cell r="G977">
            <v>27900</v>
          </cell>
          <cell r="I977">
            <v>27900</v>
          </cell>
        </row>
        <row r="978">
          <cell r="C978" t="str">
            <v>G_NMNVG</v>
          </cell>
          <cell r="D978">
            <v>41988</v>
          </cell>
          <cell r="E978" t="str">
            <v>Artemio Mora Torres</v>
          </cell>
          <cell r="F978" t="str">
            <v>Pago correspondiente a la 1° quincena diciembre/14</v>
          </cell>
          <cell r="G978">
            <v>3200</v>
          </cell>
          <cell r="I978">
            <v>3200</v>
          </cell>
        </row>
        <row r="979">
          <cell r="C979" t="str">
            <v>G_NMNVG</v>
          </cell>
          <cell r="D979">
            <v>41988</v>
          </cell>
          <cell r="E979" t="str">
            <v>Artemio Mora Torres</v>
          </cell>
          <cell r="F979" t="str">
            <v>Pago de aguinaldo del año 2014</v>
          </cell>
          <cell r="G979">
            <v>3200</v>
          </cell>
          <cell r="I979">
            <v>3200</v>
          </cell>
        </row>
        <row r="980">
          <cell r="C980" t="str">
            <v>G_MTPTA</v>
          </cell>
          <cell r="D980">
            <v>41989</v>
          </cell>
          <cell r="E980" t="str">
            <v>Herreria en General Janiel</v>
          </cell>
          <cell r="F980" t="str">
            <v>Revisión y reparación de 2 chapas una en EP y CF, CL y HS</v>
          </cell>
          <cell r="G980">
            <v>300</v>
          </cell>
          <cell r="I980">
            <v>300</v>
          </cell>
        </row>
        <row r="981">
          <cell r="C981" t="str">
            <v>G_MTPTA</v>
          </cell>
          <cell r="D981">
            <v>41989</v>
          </cell>
          <cell r="E981" t="str">
            <v>Herreria en General Janiel</v>
          </cell>
          <cell r="F981" t="str">
            <v>Reparación de tejuelo de la puerta de EP y servicio a chapas</v>
          </cell>
          <cell r="G981">
            <v>1100</v>
          </cell>
          <cell r="I981">
            <v>1100</v>
          </cell>
        </row>
        <row r="982">
          <cell r="C982" t="str">
            <v>G_VRS</v>
          </cell>
          <cell r="D982">
            <v>41989</v>
          </cell>
          <cell r="E982" t="str">
            <v>Roberto Miranda</v>
          </cell>
          <cell r="F982" t="str">
            <v>Gratificación por servicio de limpieza en el fraccionamiento</v>
          </cell>
          <cell r="G982">
            <v>300</v>
          </cell>
          <cell r="I982">
            <v>300</v>
          </cell>
        </row>
        <row r="983">
          <cell r="C983" t="str">
            <v>G_MTILM</v>
          </cell>
          <cell r="D983">
            <v>41990</v>
          </cell>
          <cell r="E983" t="str">
            <v>Víctor Manuel Sánchez</v>
          </cell>
          <cell r="F983" t="str">
            <v>Por concepto de cambio de balastras y luminarias de los postes</v>
          </cell>
          <cell r="G983">
            <v>4000</v>
          </cell>
          <cell r="I983">
            <v>4000</v>
          </cell>
        </row>
        <row r="984">
          <cell r="C984" t="str">
            <v>G_ORG</v>
          </cell>
          <cell r="D984">
            <v>41992</v>
          </cell>
          <cell r="E984" t="str">
            <v xml:space="preserve">Gloria Mazzón </v>
          </cell>
          <cell r="F984" t="str">
            <v>Pago por concepto de captura del 15 al 19 de diciembre/14</v>
          </cell>
          <cell r="G984">
            <v>500</v>
          </cell>
          <cell r="I984">
            <v>500</v>
          </cell>
        </row>
        <row r="985">
          <cell r="C985" t="str">
            <v>G_VRS</v>
          </cell>
          <cell r="D985">
            <v>41995</v>
          </cell>
          <cell r="E985" t="str">
            <v>Tiendas Chedraui, S.A. DE C.V.</v>
          </cell>
          <cell r="F985" t="str">
            <v xml:space="preserve">Compras de refrescos y deseclables inauguración de juegos </v>
          </cell>
          <cell r="G985">
            <v>417.6</v>
          </cell>
          <cell r="I985">
            <v>417.6</v>
          </cell>
        </row>
        <row r="986">
          <cell r="C986" t="str">
            <v>G_VRS</v>
          </cell>
          <cell r="D986">
            <v>41996</v>
          </cell>
          <cell r="E986" t="str">
            <v>Banquetes Cafetales, Eventos Sociales</v>
          </cell>
          <cell r="F986" t="str">
            <v>2 Tlabones con mantel y 2 meseros</v>
          </cell>
          <cell r="G986">
            <v>900</v>
          </cell>
          <cell r="I986">
            <v>900</v>
          </cell>
        </row>
        <row r="987">
          <cell r="C987" t="str">
            <v>G_PAPE</v>
          </cell>
          <cell r="D987">
            <v>41996</v>
          </cell>
          <cell r="E987" t="str">
            <v>Eguía Impresos</v>
          </cell>
          <cell r="F987" t="str">
            <v>460 copias bond carta</v>
          </cell>
          <cell r="G987">
            <v>161</v>
          </cell>
          <cell r="I987">
            <v>161</v>
          </cell>
        </row>
        <row r="988">
          <cell r="C988" t="str">
            <v>G_VRS</v>
          </cell>
          <cell r="D988">
            <v>41996</v>
          </cell>
          <cell r="E988" t="str">
            <v xml:space="preserve">Panerías La Esperanza, S.A. de .C.V   </v>
          </cell>
          <cell r="F988" t="str">
            <v>Bocadillos paral personal delegación y vecinos en inauguración juegos</v>
          </cell>
          <cell r="G988">
            <v>3600</v>
          </cell>
          <cell r="I988">
            <v>3600</v>
          </cell>
        </row>
        <row r="989">
          <cell r="C989" t="str">
            <v>G_MTLPZ</v>
          </cell>
          <cell r="D989">
            <v>41997</v>
          </cell>
          <cell r="E989" t="str">
            <v>Nueva Walmart de México, S. de R.L. de C.V.</v>
          </cell>
          <cell r="F989" t="str">
            <v>Compra de materiales de limpieza</v>
          </cell>
          <cell r="G989">
            <v>332.4</v>
          </cell>
          <cell r="I989">
            <v>332.4</v>
          </cell>
        </row>
        <row r="990">
          <cell r="C990" t="str">
            <v>G_AGUA</v>
          </cell>
          <cell r="D990">
            <v>41997</v>
          </cell>
          <cell r="E990" t="str">
            <v>Erlectropura, S. de R.L. de C.V.</v>
          </cell>
          <cell r="F990" t="str">
            <v>3 garrafones de agua</v>
          </cell>
          <cell r="G990">
            <v>90</v>
          </cell>
          <cell r="I990">
            <v>90</v>
          </cell>
        </row>
        <row r="991">
          <cell r="C991" t="str">
            <v>G_VRS</v>
          </cell>
          <cell r="D991">
            <v>41997</v>
          </cell>
          <cell r="E991" t="str">
            <v>Manuel Olivares</v>
          </cell>
          <cell r="F991" t="str">
            <v>Gratificación especial por su ayuda en el reparto de aviso a vecinos</v>
          </cell>
          <cell r="G991">
            <v>200</v>
          </cell>
          <cell r="I991">
            <v>200</v>
          </cell>
        </row>
        <row r="992">
          <cell r="C992" t="str">
            <v>G_VRS</v>
          </cell>
          <cell r="D992">
            <v>41997</v>
          </cell>
          <cell r="E992" t="str">
            <v>Pedro Cortes</v>
          </cell>
          <cell r="F992" t="str">
            <v>Pago por gratificación anual por recolectar basura del fraccionamiento</v>
          </cell>
          <cell r="G992">
            <v>500</v>
          </cell>
          <cell r="I992">
            <v>500</v>
          </cell>
        </row>
        <row r="993">
          <cell r="C993" t="str">
            <v>G_AGUA</v>
          </cell>
          <cell r="D993">
            <v>41999</v>
          </cell>
          <cell r="E993" t="str">
            <v>Electropura, S. de R.L. de C.V.</v>
          </cell>
          <cell r="F993" t="str">
            <v>1 garrafon de agua</v>
          </cell>
          <cell r="G993">
            <v>30</v>
          </cell>
          <cell r="I993">
            <v>30</v>
          </cell>
        </row>
        <row r="994">
          <cell r="C994" t="str">
            <v>G_ORG</v>
          </cell>
          <cell r="D994">
            <v>41999</v>
          </cell>
          <cell r="E994" t="str">
            <v xml:space="preserve">Gloria Mazzón </v>
          </cell>
          <cell r="F994" t="str">
            <v>Pago por concepto de captura del 22 al 26 de dic/14</v>
          </cell>
          <cell r="G994">
            <v>500</v>
          </cell>
          <cell r="I994">
            <v>500</v>
          </cell>
        </row>
        <row r="995">
          <cell r="C995" t="str">
            <v>G_AGUA</v>
          </cell>
          <cell r="D995">
            <v>42002</v>
          </cell>
          <cell r="E995" t="str">
            <v>Electropura, S. de R.L. de C.V.</v>
          </cell>
          <cell r="F995" t="str">
            <v>3 garrafones de agua</v>
          </cell>
          <cell r="G995">
            <v>90</v>
          </cell>
          <cell r="I995">
            <v>90</v>
          </cell>
        </row>
        <row r="996">
          <cell r="C996" t="str">
            <v>G_VRS</v>
          </cell>
          <cell r="D996">
            <v>42002</v>
          </cell>
          <cell r="E996" t="str">
            <v>El bajio cocina mexicana</v>
          </cell>
          <cell r="F996" t="str">
            <v>Comida anual 2014 para personal mesa directiva</v>
          </cell>
          <cell r="G996">
            <v>3552.55</v>
          </cell>
          <cell r="H996">
            <v>568.39</v>
          </cell>
          <cell r="I996">
            <v>4120.9400000000005</v>
          </cell>
        </row>
        <row r="997">
          <cell r="C997" t="str">
            <v>G_VRS</v>
          </cell>
          <cell r="D997">
            <v>42002</v>
          </cell>
          <cell r="E997" t="str">
            <v>El bajio cocina mexicana</v>
          </cell>
          <cell r="F997" t="str">
            <v>Propina</v>
          </cell>
          <cell r="G997">
            <v>500</v>
          </cell>
          <cell r="I997">
            <v>500</v>
          </cell>
        </row>
        <row r="998">
          <cell r="C998" t="str">
            <v>G_MTILM</v>
          </cell>
          <cell r="D998">
            <v>42003</v>
          </cell>
          <cell r="E998" t="str">
            <v>Ferre Electrica Diaz</v>
          </cell>
          <cell r="F998" t="str">
            <v>Cinta nitto, material eléctrico para poste eléctrico</v>
          </cell>
          <cell r="G998">
            <v>22.5</v>
          </cell>
          <cell r="I998">
            <v>22.5</v>
          </cell>
        </row>
        <row r="999">
          <cell r="C999" t="str">
            <v>G_MTILM</v>
          </cell>
          <cell r="D999">
            <v>42003</v>
          </cell>
          <cell r="E999" t="str">
            <v>Víctor Manuel Sánchez</v>
          </cell>
          <cell r="F999" t="str">
            <v>Cambio de luminarias de los porstes en ZB, EZ, RV,CL y UP</v>
          </cell>
          <cell r="G999">
            <v>5000</v>
          </cell>
          <cell r="I999">
            <v>5000</v>
          </cell>
        </row>
        <row r="1000">
          <cell r="C1000" t="str">
            <v>G_MTPTA</v>
          </cell>
          <cell r="D1000">
            <v>42003</v>
          </cell>
          <cell r="E1000" t="str">
            <v>Horacio Campos</v>
          </cell>
          <cell r="F1000" t="str">
            <v>Reparación chpara en Estopila</v>
          </cell>
          <cell r="G1000">
            <v>250</v>
          </cell>
          <cell r="I1000">
            <v>250</v>
          </cell>
        </row>
        <row r="1001">
          <cell r="C1001" t="str">
            <v>G_NMNVG</v>
          </cell>
          <cell r="D1001">
            <v>42004</v>
          </cell>
          <cell r="E1001" t="str">
            <v>Artemio Mora Torres</v>
          </cell>
          <cell r="F1001" t="str">
            <v>Pago correspondiente a la 2° quincena diciembre/14</v>
          </cell>
          <cell r="G1001">
            <v>3200</v>
          </cell>
          <cell r="I1001">
            <v>3200</v>
          </cell>
        </row>
        <row r="1002">
          <cell r="C1002" t="str">
            <v>G_NMNVG</v>
          </cell>
          <cell r="D1002">
            <v>38352</v>
          </cell>
          <cell r="E1002" t="str">
            <v>Guardias y Custodias Privadas Gama S.A. de C.V.</v>
          </cell>
          <cell r="F1002" t="str">
            <v>Pago correspondiente a la 2° quincena diciembre/14</v>
          </cell>
          <cell r="G1002">
            <v>27900</v>
          </cell>
          <cell r="I1002">
            <v>27900</v>
          </cell>
        </row>
        <row r="1003">
          <cell r="C1003" t="str">
            <v>IVA</v>
          </cell>
          <cell r="D1003">
            <v>41976</v>
          </cell>
          <cell r="E1003" t="str">
            <v>Colegio Carmel</v>
          </cell>
          <cell r="F1003" t="str">
            <v>I.V.A. sobre cuota de mantenimiento</v>
          </cell>
          <cell r="G1003">
            <v>-1600</v>
          </cell>
          <cell r="I1003">
            <v>-1600</v>
          </cell>
        </row>
        <row r="1004">
          <cell r="C1004" t="str">
            <v>G_P_Fin</v>
          </cell>
          <cell r="D1004">
            <v>41983</v>
          </cell>
          <cell r="E1004" t="str">
            <v>Familia Vega Sánchez C.</v>
          </cell>
          <cell r="F1004" t="str">
            <v>Remanente identificador</v>
          </cell>
          <cell r="G1004">
            <v>-0.28999999999999998</v>
          </cell>
          <cell r="I1004">
            <v>-0.28999999999999998</v>
          </cell>
        </row>
        <row r="1005">
          <cell r="C1005" t="str">
            <v>G_P_Fin</v>
          </cell>
          <cell r="D1005">
            <v>41990</v>
          </cell>
          <cell r="E1005" t="str">
            <v>Alberto Augusto Fuentes Herrera</v>
          </cell>
          <cell r="F1005" t="str">
            <v>Remanente identificador</v>
          </cell>
          <cell r="G1005">
            <v>-0.46</v>
          </cell>
          <cell r="I1005">
            <v>-0.46</v>
          </cell>
        </row>
        <row r="1006">
          <cell r="C1006" t="str">
            <v>G_P_Fin</v>
          </cell>
          <cell r="D1006">
            <v>42004</v>
          </cell>
          <cell r="E1006" t="str">
            <v>Banorte</v>
          </cell>
          <cell r="F1006" t="str">
            <v>Com. Ch. exped.</v>
          </cell>
          <cell r="G1006">
            <v>-24</v>
          </cell>
          <cell r="I1006">
            <v>-24</v>
          </cell>
        </row>
        <row r="1007">
          <cell r="C1007" t="str">
            <v>G_P_Fin</v>
          </cell>
          <cell r="D1007">
            <v>42004</v>
          </cell>
          <cell r="E1007" t="str">
            <v>Banorte</v>
          </cell>
          <cell r="F1007" t="str">
            <v xml:space="preserve">I.V.A.  </v>
          </cell>
          <cell r="G1007">
            <v>-3.84</v>
          </cell>
          <cell r="I1007">
            <v>-3.84</v>
          </cell>
        </row>
        <row r="1008">
          <cell r="B1008" t="str">
            <v>N°</v>
          </cell>
          <cell r="C1008" t="str">
            <v>clave</v>
          </cell>
          <cell r="D1008" t="str">
            <v>fecha</v>
          </cell>
          <cell r="E1008" t="str">
            <v>Beneficiario</v>
          </cell>
          <cell r="F1008" t="str">
            <v>Concepto</v>
          </cell>
          <cell r="G1008" t="str">
            <v>Gasto</v>
          </cell>
          <cell r="H1008" t="str">
            <v>I.V.A.</v>
          </cell>
          <cell r="I1008" t="str">
            <v>Total</v>
          </cell>
        </row>
        <row r="1009">
          <cell r="C1009" t="str">
            <v>G_DIF</v>
          </cell>
          <cell r="D1009">
            <v>42006</v>
          </cell>
          <cell r="E1009" t="str">
            <v>Ferre Electrica Diaz</v>
          </cell>
          <cell r="F1009" t="str">
            <v>10 cinchos para fijar lonas</v>
          </cell>
          <cell r="G1009">
            <v>12.5</v>
          </cell>
          <cell r="I1009">
            <v>12.5</v>
          </cell>
        </row>
        <row r="1010">
          <cell r="C1010" t="str">
            <v>G_ORG</v>
          </cell>
          <cell r="D1010">
            <v>42006</v>
          </cell>
          <cell r="E1010" t="str">
            <v xml:space="preserve">Gloria Mazzón </v>
          </cell>
          <cell r="F1010" t="str">
            <v>Pago por concepto de captura del 29/dic/14 al 02/ene/15</v>
          </cell>
          <cell r="G1010">
            <v>500</v>
          </cell>
          <cell r="I1010">
            <v>500</v>
          </cell>
        </row>
        <row r="1011">
          <cell r="C1011" t="str">
            <v>IVA</v>
          </cell>
          <cell r="D1011">
            <v>42010</v>
          </cell>
          <cell r="E1011" t="str">
            <v>SAT servicio de Administración Tributaria</v>
          </cell>
          <cell r="F1011" t="str">
            <v>Pago de retención de IVA del Colegio Carmel mes noviembre/14 c/recargo</v>
          </cell>
          <cell r="H1011">
            <v>1618</v>
          </cell>
          <cell r="I1011">
            <v>1618</v>
          </cell>
        </row>
        <row r="1012">
          <cell r="C1012" t="str">
            <v>IVA</v>
          </cell>
          <cell r="D1012">
            <v>42010</v>
          </cell>
          <cell r="E1012" t="str">
            <v>SAT servicio de Administración Tributaria</v>
          </cell>
          <cell r="F1012" t="str">
            <v>Pago de retención de IVA del Colegio Carmel mes diciembre/14</v>
          </cell>
          <cell r="H1012">
            <v>1600</v>
          </cell>
          <cell r="I1012">
            <v>1600</v>
          </cell>
        </row>
        <row r="1013">
          <cell r="C1013" t="str">
            <v>G_HCTB</v>
          </cell>
          <cell r="D1013">
            <v>42011</v>
          </cell>
          <cell r="E1013" t="str">
            <v>Siegrist Contadores Publicos</v>
          </cell>
          <cell r="F1013" t="str">
            <v>Honorarios profesionales mes de diciembre 14</v>
          </cell>
          <cell r="G1013">
            <v>862</v>
          </cell>
          <cell r="H1013">
            <v>138</v>
          </cell>
          <cell r="I1013">
            <v>1000</v>
          </cell>
        </row>
        <row r="1014">
          <cell r="C1014" t="str">
            <v>G_AGUA</v>
          </cell>
          <cell r="D1014">
            <v>42011</v>
          </cell>
          <cell r="E1014" t="str">
            <v>Electropura, S. de R.L. de C.V.</v>
          </cell>
          <cell r="F1014" t="str">
            <v>3 garrafones de agua</v>
          </cell>
          <cell r="G1014">
            <v>90</v>
          </cell>
          <cell r="I1014">
            <v>90</v>
          </cell>
        </row>
        <row r="1015">
          <cell r="C1015" t="str">
            <v>G_VRS</v>
          </cell>
          <cell r="D1015">
            <v>42013</v>
          </cell>
          <cell r="E1015" t="str">
            <v>Advaned Servicio CCTV y Cómputo</v>
          </cell>
          <cell r="F1015" t="str">
            <v>Respaldo de una videograbación suceso calle Cuchilla</v>
          </cell>
          <cell r="G1015">
            <v>350</v>
          </cell>
          <cell r="I1015">
            <v>350</v>
          </cell>
        </row>
        <row r="1016">
          <cell r="C1016" t="str">
            <v>G_ORG</v>
          </cell>
          <cell r="D1016">
            <v>42013</v>
          </cell>
          <cell r="E1016" t="str">
            <v xml:space="preserve">Gloria Mazzón </v>
          </cell>
          <cell r="F1016" t="str">
            <v>Pago por concepto de captura del 05 al 09 de enero/15</v>
          </cell>
          <cell r="G1016">
            <v>500</v>
          </cell>
          <cell r="I1016">
            <v>500</v>
          </cell>
        </row>
        <row r="1017">
          <cell r="C1017" t="str">
            <v>G_AGUA</v>
          </cell>
          <cell r="D1017">
            <v>42018</v>
          </cell>
          <cell r="E1017" t="str">
            <v>Electropura, S. de R.L. de C.V.</v>
          </cell>
          <cell r="F1017" t="str">
            <v>3 garrafones de agua</v>
          </cell>
          <cell r="G1017">
            <v>90</v>
          </cell>
          <cell r="I1017">
            <v>90</v>
          </cell>
        </row>
        <row r="1018">
          <cell r="C1018" t="str">
            <v>G_MTLPZ</v>
          </cell>
          <cell r="D1018">
            <v>42019</v>
          </cell>
          <cell r="E1018" t="str">
            <v>Nueva Walmart de México, S. de R.L. de C.V.</v>
          </cell>
          <cell r="F1018" t="str">
            <v>Compra de materiales de limpieza</v>
          </cell>
          <cell r="G1018">
            <v>378.6</v>
          </cell>
          <cell r="I1018">
            <v>378.6</v>
          </cell>
        </row>
        <row r="1019">
          <cell r="C1019" t="str">
            <v>G_NMNVG</v>
          </cell>
          <cell r="D1019">
            <v>42019</v>
          </cell>
          <cell r="E1019" t="str">
            <v>Guardias y Custodias Privadas Gama S.A. de C.V.</v>
          </cell>
          <cell r="F1019" t="str">
            <v>Pago correspondiente a la 1° quincena enero/15</v>
          </cell>
          <cell r="G1019">
            <v>27900</v>
          </cell>
          <cell r="I1019">
            <v>27900</v>
          </cell>
        </row>
        <row r="1020">
          <cell r="C1020" t="str">
            <v>G_NMNVG</v>
          </cell>
          <cell r="D1020">
            <v>42019</v>
          </cell>
          <cell r="E1020" t="str">
            <v>Artemio Mora Torres</v>
          </cell>
          <cell r="F1020" t="str">
            <v>Pago correspondiente a la 1° quincena enero/15</v>
          </cell>
          <cell r="G1020">
            <v>3200</v>
          </cell>
          <cell r="I1020">
            <v>3200</v>
          </cell>
        </row>
        <row r="1021">
          <cell r="C1021" t="str">
            <v>G_ORG</v>
          </cell>
          <cell r="D1021">
            <v>42020</v>
          </cell>
          <cell r="E1021" t="str">
            <v xml:space="preserve">Gloria Mazzón </v>
          </cell>
          <cell r="F1021" t="str">
            <v>Pago por concepto de captura del 12 al 16 de enero/15</v>
          </cell>
          <cell r="G1021">
            <v>500</v>
          </cell>
          <cell r="I1021">
            <v>500</v>
          </cell>
        </row>
        <row r="1022">
          <cell r="C1022" t="str">
            <v>G_MTCYP</v>
          </cell>
          <cell r="D1022">
            <v>42020</v>
          </cell>
          <cell r="E1022" t="str">
            <v>Advanced Servicio CCTV y Cómputo</v>
          </cell>
          <cell r="F1022" t="str">
            <v>Honorarios por reparación de cableado aereo calle cuchila y Romeral</v>
          </cell>
          <cell r="G1022">
            <v>600</v>
          </cell>
          <cell r="I1022">
            <v>600</v>
          </cell>
        </row>
        <row r="1023">
          <cell r="C1023" t="str">
            <v>G_DIF</v>
          </cell>
          <cell r="D1023">
            <v>42020</v>
          </cell>
          <cell r="E1023" t="str">
            <v>MD Gran Formato, S. A. de C. V.</v>
          </cell>
          <cell r="F1023" t="str">
            <v>1 metro cuadrado lona impresa de 1.38 x 1.65</v>
          </cell>
          <cell r="G1023">
            <v>182.16</v>
          </cell>
          <cell r="H1023">
            <v>29.15</v>
          </cell>
          <cell r="I1023">
            <v>211.31</v>
          </cell>
        </row>
        <row r="1024">
          <cell r="C1024" t="str">
            <v>G_JDN</v>
          </cell>
          <cell r="D1024">
            <v>42023</v>
          </cell>
          <cell r="E1024" t="str">
            <v>Roberto Miranda</v>
          </cell>
          <cell r="F1024" t="str">
            <v>Gratificación por recolección de basura en el Hueso y el parque (calles)</v>
          </cell>
          <cell r="G1024">
            <v>300</v>
          </cell>
          <cell r="I1024">
            <v>300</v>
          </cell>
        </row>
        <row r="1025">
          <cell r="C1025" t="str">
            <v>G_MTCYP</v>
          </cell>
          <cell r="D1025">
            <v>42024</v>
          </cell>
          <cell r="E1025" t="str">
            <v>Advanced Servicio CCTV y Cómputo</v>
          </cell>
          <cell r="F1025" t="str">
            <v>Configuración de DVR en grabación continua, sustitución 10 transceptores</v>
          </cell>
          <cell r="G1025">
            <v>1000</v>
          </cell>
          <cell r="I1025">
            <v>1000</v>
          </cell>
        </row>
        <row r="1026">
          <cell r="C1026" t="str">
            <v>G_PAPE</v>
          </cell>
          <cell r="D1026">
            <v>42025</v>
          </cell>
          <cell r="E1026" t="str">
            <v>Office Depot de México, S.A. de C.V.</v>
          </cell>
          <cell r="F1026" t="str">
            <v>Compra de 4 cartuchos</v>
          </cell>
          <cell r="G1026">
            <v>816</v>
          </cell>
          <cell r="I1026">
            <v>816</v>
          </cell>
        </row>
        <row r="1027">
          <cell r="C1027" t="str">
            <v>G_AGUA</v>
          </cell>
          <cell r="D1027">
            <v>42025</v>
          </cell>
          <cell r="E1027" t="str">
            <v>Electropura, S. de R.L. de C.V.</v>
          </cell>
          <cell r="F1027" t="str">
            <v>2 garrafones de agua.</v>
          </cell>
          <cell r="G1027">
            <v>60</v>
          </cell>
          <cell r="I1027">
            <v>60</v>
          </cell>
        </row>
        <row r="1028">
          <cell r="C1028" t="str">
            <v>G_JDN</v>
          </cell>
          <cell r="D1028">
            <v>42026</v>
          </cell>
          <cell r="E1028" t="str">
            <v>Jose Alberto González</v>
          </cell>
          <cell r="F1028" t="str">
            <v>Anticipo para la compra de materiales que se requieren en poda de parque</v>
          </cell>
          <cell r="G1028">
            <v>1000</v>
          </cell>
          <cell r="I1028">
            <v>1000</v>
          </cell>
        </row>
        <row r="1029">
          <cell r="C1029" t="str">
            <v>G_PAPE</v>
          </cell>
          <cell r="D1029">
            <v>42026</v>
          </cell>
          <cell r="E1029" t="str">
            <v>Eguía Impresos</v>
          </cell>
          <cell r="F1029" t="str">
            <v>460 copias informe anual</v>
          </cell>
          <cell r="G1029">
            <v>644</v>
          </cell>
          <cell r="I1029">
            <v>644</v>
          </cell>
        </row>
        <row r="1030">
          <cell r="C1030" t="str">
            <v>G_ORG</v>
          </cell>
          <cell r="D1030">
            <v>42027</v>
          </cell>
          <cell r="E1030" t="str">
            <v xml:space="preserve">Gloria Mazzón </v>
          </cell>
          <cell r="F1030" t="str">
            <v>Pago por concepto de captura del 19 al 23 de enero/15</v>
          </cell>
          <cell r="G1030">
            <v>500</v>
          </cell>
          <cell r="I1030">
            <v>500</v>
          </cell>
        </row>
        <row r="1031">
          <cell r="C1031" t="str">
            <v>IVA</v>
          </cell>
          <cell r="D1031">
            <v>42027</v>
          </cell>
          <cell r="E1031" t="str">
            <v>SAT servicio de Administración Tributaria</v>
          </cell>
          <cell r="F1031" t="str">
            <v>Pago de retención de IVA del Colegio Carmel mes enero/15</v>
          </cell>
          <cell r="H1031">
            <v>1760</v>
          </cell>
          <cell r="I1031">
            <v>1760</v>
          </cell>
        </row>
        <row r="1032">
          <cell r="C1032" t="str">
            <v>G_HCTB</v>
          </cell>
          <cell r="D1032">
            <v>42027</v>
          </cell>
          <cell r="E1032" t="str">
            <v>Siegrist Contadores Publicos</v>
          </cell>
          <cell r="F1032" t="str">
            <v>Honorarios profesionales mes de enero/15</v>
          </cell>
          <cell r="G1032">
            <v>906</v>
          </cell>
          <cell r="H1032">
            <v>145</v>
          </cell>
          <cell r="I1032">
            <v>1051</v>
          </cell>
        </row>
        <row r="1033">
          <cell r="C1033" t="str">
            <v>G_VRS</v>
          </cell>
          <cell r="D1033">
            <v>42027</v>
          </cell>
          <cell r="E1033" t="str">
            <v>Manuel Olivares</v>
          </cell>
          <cell r="F1033" t="str">
            <v>Pago por quitar materiall puclicitario, de todas las rejas del fraccionamiento</v>
          </cell>
          <cell r="G1033">
            <v>200</v>
          </cell>
          <cell r="I1033">
            <v>200</v>
          </cell>
        </row>
        <row r="1034">
          <cell r="C1034" t="str">
            <v>G_JDN</v>
          </cell>
          <cell r="D1034">
            <v>42028</v>
          </cell>
          <cell r="E1034" t="str">
            <v>Jose Alberto González</v>
          </cell>
          <cell r="F1034" t="str">
            <v>Concepto de pago de poda de pasto del parque del fraccionamiento</v>
          </cell>
          <cell r="G1034">
            <v>5000</v>
          </cell>
          <cell r="I1034">
            <v>5000</v>
          </cell>
        </row>
        <row r="1035">
          <cell r="C1035" t="str">
            <v>G_TRSP</v>
          </cell>
          <cell r="D1035">
            <v>42028</v>
          </cell>
          <cell r="E1035" t="str">
            <v>Aldama, S.A.</v>
          </cell>
          <cell r="F1035" t="str">
            <v>Bomba grande para bisicleta</v>
          </cell>
          <cell r="G1035">
            <v>180</v>
          </cell>
          <cell r="I1035">
            <v>180</v>
          </cell>
        </row>
        <row r="1036">
          <cell r="C1036" t="str">
            <v>G_AGUA</v>
          </cell>
          <cell r="D1036">
            <v>42030</v>
          </cell>
          <cell r="E1036" t="str">
            <v>Electropura, S. de R.L. de C.V.</v>
          </cell>
          <cell r="F1036" t="str">
            <v>2 garrafones de agua.</v>
          </cell>
          <cell r="G1036">
            <v>60</v>
          </cell>
          <cell r="I1036">
            <v>60</v>
          </cell>
        </row>
        <row r="1037">
          <cell r="C1037" t="str">
            <v>G_MTCYP</v>
          </cell>
          <cell r="D1037">
            <v>42030</v>
          </cell>
          <cell r="E1037" t="str">
            <v>Advanced Servicio CCTV y Cómputo</v>
          </cell>
          <cell r="F1037" t="str">
            <v>Elaboración y colocación de 2 barreras vehiculares en aluminio de alta resist.</v>
          </cell>
          <cell r="G1037">
            <v>6000</v>
          </cell>
          <cell r="I1037">
            <v>6000</v>
          </cell>
        </row>
        <row r="1038">
          <cell r="C1038" t="str">
            <v>G_MTILM</v>
          </cell>
          <cell r="D1038">
            <v>42031</v>
          </cell>
          <cell r="E1038" t="str">
            <v>Jorge López</v>
          </cell>
          <cell r="F1038" t="str">
            <v>Gratificación por cambio de 5 luminarias en mal estado</v>
          </cell>
          <cell r="G1038">
            <v>500</v>
          </cell>
          <cell r="I1038">
            <v>500</v>
          </cell>
        </row>
        <row r="1039">
          <cell r="C1039" t="str">
            <v>G_JDN</v>
          </cell>
          <cell r="D1039">
            <v>42033</v>
          </cell>
          <cell r="E1039" t="str">
            <v>Pedro Cortes</v>
          </cell>
          <cell r="F1039" t="str">
            <v>gratificación por recoger y tirar el pasto podado del parque</v>
          </cell>
          <cell r="G1039">
            <v>400</v>
          </cell>
          <cell r="I1039">
            <v>400</v>
          </cell>
        </row>
        <row r="1040">
          <cell r="C1040" t="str">
            <v>G_MTILM</v>
          </cell>
          <cell r="D1040">
            <v>42033</v>
          </cell>
          <cell r="E1040" t="str">
            <v>Jorge López</v>
          </cell>
          <cell r="F1040" t="str">
            <v>Por cambio de 9 luminarias en la calle del hueso</v>
          </cell>
          <cell r="G1040">
            <v>3000</v>
          </cell>
          <cell r="I1040">
            <v>3000</v>
          </cell>
        </row>
        <row r="1041">
          <cell r="C1041" t="str">
            <v>G_VRS</v>
          </cell>
          <cell r="D1041">
            <v>42033</v>
          </cell>
          <cell r="E1041" t="str">
            <v>Jorge López</v>
          </cell>
          <cell r="F1041" t="str">
            <v>Gsto para comida de la cuadrilla que esta trabajando en el cambio de lumin.</v>
          </cell>
          <cell r="G1041">
            <v>400</v>
          </cell>
          <cell r="I1041">
            <v>400</v>
          </cell>
        </row>
        <row r="1042">
          <cell r="C1042" t="str">
            <v>G_AGUA</v>
          </cell>
          <cell r="D1042">
            <v>42034</v>
          </cell>
          <cell r="E1042" t="str">
            <v>Electropura, S. de R.L. de C.V.</v>
          </cell>
          <cell r="F1042" t="str">
            <v>2 garrafones de agua.</v>
          </cell>
          <cell r="G1042">
            <v>60</v>
          </cell>
          <cell r="I1042">
            <v>60</v>
          </cell>
        </row>
        <row r="1043">
          <cell r="C1043" t="str">
            <v>G_ORG</v>
          </cell>
          <cell r="D1043">
            <v>42034</v>
          </cell>
          <cell r="E1043" t="str">
            <v>Gloria Mazzón</v>
          </cell>
          <cell r="F1043" t="str">
            <v>Pago por concepto de captura del 26 al 30 de enero/15</v>
          </cell>
          <cell r="G1043">
            <v>500</v>
          </cell>
          <cell r="I1043">
            <v>500</v>
          </cell>
        </row>
        <row r="1044">
          <cell r="C1044" t="str">
            <v>G_VRS</v>
          </cell>
          <cell r="D1044">
            <v>42035</v>
          </cell>
          <cell r="E1044" t="str">
            <v>Pedro Cortes</v>
          </cell>
          <cell r="F1044" t="str">
            <v>Pago por recolección de basura del fraccionamiento</v>
          </cell>
          <cell r="G1044">
            <v>500</v>
          </cell>
          <cell r="I1044">
            <v>500</v>
          </cell>
        </row>
        <row r="1045">
          <cell r="C1045" t="str">
            <v>G_NMNVG</v>
          </cell>
          <cell r="D1045">
            <v>42035</v>
          </cell>
          <cell r="E1045" t="str">
            <v>Guardias y Custodias Privadas Gama, S.A. de C.V.</v>
          </cell>
          <cell r="F1045" t="str">
            <v>Pago correspondiente a la 2° quincena enero/15</v>
          </cell>
          <cell r="G1045">
            <v>27900</v>
          </cell>
          <cell r="I1045">
            <v>27900</v>
          </cell>
        </row>
        <row r="1046">
          <cell r="C1046" t="str">
            <v>G_NMNVG</v>
          </cell>
          <cell r="D1046">
            <v>42035</v>
          </cell>
          <cell r="E1046" t="str">
            <v>Artemio Mora Torres</v>
          </cell>
          <cell r="F1046" t="str">
            <v>Pago correspondiente a la 2° quincena enero/15</v>
          </cell>
          <cell r="G1046">
            <v>3200</v>
          </cell>
          <cell r="I1046">
            <v>3200</v>
          </cell>
        </row>
        <row r="1047">
          <cell r="C1047" t="str">
            <v>G_P_Fin</v>
          </cell>
          <cell r="D1047">
            <v>42007</v>
          </cell>
          <cell r="E1047" t="str">
            <v>Alberto Augusto Fuentes Herrera</v>
          </cell>
          <cell r="F1047" t="str">
            <v>Remanente identificador</v>
          </cell>
          <cell r="G1047">
            <v>-0.46</v>
          </cell>
          <cell r="I1047">
            <v>-0.46</v>
          </cell>
        </row>
        <row r="1048">
          <cell r="C1048" t="str">
            <v>IVA</v>
          </cell>
          <cell r="D1048">
            <v>42031</v>
          </cell>
          <cell r="E1048" t="str">
            <v>Colegio Carmel</v>
          </cell>
          <cell r="F1048" t="str">
            <v>I.V.A. sobre cuota de mantenimiento</v>
          </cell>
          <cell r="G1048">
            <v>-1600</v>
          </cell>
          <cell r="I1048">
            <v>-1600</v>
          </cell>
        </row>
        <row r="1049">
          <cell r="B1049" t="str">
            <v>N°</v>
          </cell>
          <cell r="C1049" t="str">
            <v>clave</v>
          </cell>
          <cell r="D1049" t="str">
            <v>fecha</v>
          </cell>
          <cell r="E1049" t="str">
            <v>Beneficiario</v>
          </cell>
          <cell r="F1049" t="str">
            <v>Concepto</v>
          </cell>
          <cell r="G1049" t="str">
            <v>Gasto</v>
          </cell>
          <cell r="H1049" t="str">
            <v>I.V.A.</v>
          </cell>
          <cell r="I1049" t="str">
            <v>Total</v>
          </cell>
        </row>
        <row r="1050">
          <cell r="C1050" t="str">
            <v>G_VRS</v>
          </cell>
          <cell r="D1050">
            <v>42036</v>
          </cell>
          <cell r="E1050" t="str">
            <v>Roberto Miranda</v>
          </cell>
          <cell r="F1050" t="str">
            <v>Gratificación quincenal por limpieza del parque calle HS, EZ, RV</v>
          </cell>
          <cell r="G1050">
            <v>300</v>
          </cell>
          <cell r="I1050">
            <v>300</v>
          </cell>
        </row>
        <row r="1051">
          <cell r="C1051" t="str">
            <v>G_MTILM</v>
          </cell>
          <cell r="D1051">
            <v>42038</v>
          </cell>
          <cell r="E1051" t="str">
            <v>Jorge López</v>
          </cell>
          <cell r="F1051" t="str">
            <v>Cambio 7 luminarías en: EZ,RM esq. UP,LD,UP,RV y CL</v>
          </cell>
          <cell r="G1051">
            <v>2100</v>
          </cell>
          <cell r="I1051">
            <v>2100</v>
          </cell>
        </row>
        <row r="1052">
          <cell r="C1052" t="str">
            <v>G_TLF</v>
          </cell>
          <cell r="D1052">
            <v>42038</v>
          </cell>
          <cell r="E1052" t="str">
            <v>Telefonos de México, SAB de C.V.</v>
          </cell>
          <cell r="F1052" t="str">
            <v>Pago del mes de diciembre/14 y enero/15</v>
          </cell>
          <cell r="G1052">
            <v>1688</v>
          </cell>
          <cell r="I1052">
            <v>1688</v>
          </cell>
        </row>
        <row r="1053">
          <cell r="C1053" t="str">
            <v>G_AGUA</v>
          </cell>
          <cell r="D1053">
            <v>42039</v>
          </cell>
          <cell r="E1053" t="str">
            <v>Electropura, S. de R.L. de C.V.</v>
          </cell>
          <cell r="F1053" t="str">
            <v>3 garrafones de agua</v>
          </cell>
          <cell r="G1053">
            <v>90</v>
          </cell>
          <cell r="I1053">
            <v>90</v>
          </cell>
        </row>
        <row r="1054">
          <cell r="C1054" t="str">
            <v>G_VRS</v>
          </cell>
          <cell r="D1054">
            <v>42039</v>
          </cell>
          <cell r="E1054" t="str">
            <v>Advandec Servicio CCTV y Cómputo</v>
          </cell>
          <cell r="F1054" t="str">
            <v>Pago de videograbaciones(suceso salida Zinampa agreciones entre residen.</v>
          </cell>
          <cell r="G1054">
            <v>600</v>
          </cell>
          <cell r="I1054">
            <v>600</v>
          </cell>
        </row>
        <row r="1055">
          <cell r="C1055" t="str">
            <v>G_VRS</v>
          </cell>
          <cell r="D1055">
            <v>42040</v>
          </cell>
          <cell r="E1055" t="str">
            <v>Olegario Vázquez</v>
          </cell>
          <cell r="F1055" t="str">
            <v>Gratificación especial por trabajo realizado eficientemente en cambio tarjeto</v>
          </cell>
          <cell r="G1055">
            <v>500</v>
          </cell>
          <cell r="I1055">
            <v>500</v>
          </cell>
        </row>
        <row r="1056">
          <cell r="C1056" t="str">
            <v>G_VRS</v>
          </cell>
          <cell r="D1056">
            <v>42040</v>
          </cell>
          <cell r="E1056" t="str">
            <v>Humberto Soto</v>
          </cell>
          <cell r="F1056" t="str">
            <v>Gratificación especial por trabajo realizado eficientemente en cambio tarjeto</v>
          </cell>
          <cell r="G1056">
            <v>500</v>
          </cell>
          <cell r="I1056">
            <v>500</v>
          </cell>
        </row>
        <row r="1057">
          <cell r="C1057" t="str">
            <v>G_ORG</v>
          </cell>
          <cell r="D1057">
            <v>42041</v>
          </cell>
          <cell r="E1057" t="str">
            <v>Gloria Mazzón</v>
          </cell>
          <cell r="F1057" t="str">
            <v>Pago por cencepto de captura del 02 al 06 de febrero/15</v>
          </cell>
          <cell r="G1057">
            <v>600</v>
          </cell>
          <cell r="I1057">
            <v>600</v>
          </cell>
        </row>
        <row r="1058">
          <cell r="C1058" t="str">
            <v>G_MTCBQ</v>
          </cell>
          <cell r="D1058">
            <v>42043</v>
          </cell>
          <cell r="E1058" t="str">
            <v>Distribución de Papelería y Ferretaria el Capricho</v>
          </cell>
          <cell r="F1058" t="str">
            <v>Material  para pavimentar hoyo en CL y EP</v>
          </cell>
          <cell r="G1058">
            <v>185</v>
          </cell>
          <cell r="I1058">
            <v>185</v>
          </cell>
        </row>
        <row r="1059">
          <cell r="C1059" t="str">
            <v>G_PAPE</v>
          </cell>
          <cell r="D1059">
            <v>42044</v>
          </cell>
          <cell r="E1059" t="str">
            <v>Office Depot de México, S.A. de C.V.</v>
          </cell>
          <cell r="F1059" t="str">
            <v>Papel xerox, post-it, comprobante de gastos, grapas,clip, diurex y cartucho</v>
          </cell>
          <cell r="G1059">
            <v>718.63199999999995</v>
          </cell>
          <cell r="H1059">
            <v>114.98</v>
          </cell>
          <cell r="I1059">
            <v>833.61199999999997</v>
          </cell>
        </row>
        <row r="1060">
          <cell r="C1060" t="str">
            <v>G_INFRA</v>
          </cell>
          <cell r="D1060">
            <v>42044</v>
          </cell>
          <cell r="E1060" t="str">
            <v>Advandec Servicio CCTV y Cómputo</v>
          </cell>
          <cell r="F1060" t="str">
            <v>Anticipo de pago de 8 camaras e intalación de las mismsas</v>
          </cell>
          <cell r="G1060">
            <v>15200</v>
          </cell>
          <cell r="I1060">
            <v>15200</v>
          </cell>
        </row>
        <row r="1061">
          <cell r="C1061" t="str">
            <v>G_AGUA</v>
          </cell>
          <cell r="D1061">
            <v>42046</v>
          </cell>
          <cell r="E1061" t="str">
            <v>Electropura, S. de R.L. de C.V.</v>
          </cell>
          <cell r="F1061" t="str">
            <v>2 garrafones de agua</v>
          </cell>
          <cell r="G1061">
            <v>60</v>
          </cell>
          <cell r="I1061">
            <v>60</v>
          </cell>
        </row>
        <row r="1062">
          <cell r="C1062" t="str">
            <v>G_MTILM</v>
          </cell>
          <cell r="D1062">
            <v>42047</v>
          </cell>
          <cell r="E1062" t="str">
            <v>Jorge López</v>
          </cell>
          <cell r="F1062" t="str">
            <v>Cambio de luminarias en CL, EZ, HS y ZB, parque 2 inst. proectores</v>
          </cell>
          <cell r="G1062">
            <v>3200</v>
          </cell>
          <cell r="I1062">
            <v>3200</v>
          </cell>
        </row>
        <row r="1063">
          <cell r="C1063" t="str">
            <v>G_MTCBQ</v>
          </cell>
          <cell r="D1063">
            <v>42047</v>
          </cell>
          <cell r="E1063" t="str">
            <v>Manuel Olivares</v>
          </cell>
          <cell r="F1063" t="str">
            <v>Pavimentar hoyo en la calle de CL y EP</v>
          </cell>
          <cell r="G1063">
            <v>300</v>
          </cell>
          <cell r="I1063">
            <v>300</v>
          </cell>
        </row>
        <row r="1064">
          <cell r="C1064" t="str">
            <v>G_VRS</v>
          </cell>
          <cell r="D1064">
            <v>42047</v>
          </cell>
          <cell r="E1064" t="str">
            <v>Advance Servicio CCTV y Cómputo</v>
          </cell>
          <cell r="F1064" t="str">
            <v>1 respaldo de videograbacion USB, configuración tarjetas y rev  de cableado</v>
          </cell>
          <cell r="G1064">
            <v>500</v>
          </cell>
          <cell r="I1064">
            <v>500</v>
          </cell>
        </row>
        <row r="1065">
          <cell r="C1065" t="str">
            <v>G_ADQ</v>
          </cell>
          <cell r="D1065">
            <v>42047</v>
          </cell>
          <cell r="E1065" t="str">
            <v>Horacio Campos</v>
          </cell>
          <cell r="F1065" t="str">
            <v>50 Duplicados de llaves kale</v>
          </cell>
          <cell r="G1065">
            <v>5500</v>
          </cell>
          <cell r="I1065">
            <v>5500</v>
          </cell>
        </row>
        <row r="1066">
          <cell r="C1066" t="str">
            <v>G_ORG</v>
          </cell>
          <cell r="D1066">
            <v>42048</v>
          </cell>
          <cell r="E1066" t="str">
            <v>Gloria Mazzón</v>
          </cell>
          <cell r="F1066" t="str">
            <v>Pago por cencepto de captura del 09 al 13 de febrero/15</v>
          </cell>
          <cell r="G1066">
            <v>600</v>
          </cell>
          <cell r="I1066">
            <v>600</v>
          </cell>
        </row>
        <row r="1067">
          <cell r="C1067" t="str">
            <v>G_NMNVG</v>
          </cell>
          <cell r="D1067">
            <v>42050</v>
          </cell>
          <cell r="E1067" t="str">
            <v>Guardias y Custodias Privadas Gama, S.A. de C.V.</v>
          </cell>
          <cell r="F1067" t="str">
            <v>Pago correspondiente a la 1° quincena febrero/15</v>
          </cell>
          <cell r="G1067">
            <v>27900</v>
          </cell>
          <cell r="I1067">
            <v>27900</v>
          </cell>
        </row>
        <row r="1068">
          <cell r="C1068" t="str">
            <v>G_NMNVG</v>
          </cell>
          <cell r="D1068">
            <v>42050</v>
          </cell>
          <cell r="E1068" t="str">
            <v>Artemio Mora Torres</v>
          </cell>
          <cell r="F1068" t="str">
            <v>Pago correspondiente a la 1° quincena febrero/15</v>
          </cell>
          <cell r="G1068">
            <v>3200</v>
          </cell>
          <cell r="I1068">
            <v>3200</v>
          </cell>
        </row>
        <row r="1069">
          <cell r="C1069" t="str">
            <v>G_JDN</v>
          </cell>
          <cell r="D1069">
            <v>42051</v>
          </cell>
          <cell r="E1069" t="str">
            <v>Constantino Cabrera</v>
          </cell>
          <cell r="F1069" t="str">
            <v>Poda del pasto de la entrade de la caseta Romeral en ambas aceras</v>
          </cell>
          <cell r="G1069">
            <v>200</v>
          </cell>
          <cell r="I1069">
            <v>200</v>
          </cell>
        </row>
        <row r="1070">
          <cell r="C1070" t="str">
            <v>G_AGUA</v>
          </cell>
          <cell r="D1070">
            <v>42051</v>
          </cell>
          <cell r="E1070" t="str">
            <v>Electropura, S. de R.L. de C.V.</v>
          </cell>
          <cell r="F1070" t="str">
            <v>2 garrafones de agua</v>
          </cell>
          <cell r="G1070">
            <v>60</v>
          </cell>
          <cell r="I1070">
            <v>60</v>
          </cell>
        </row>
        <row r="1071">
          <cell r="C1071" t="str">
            <v>G_HCTB</v>
          </cell>
          <cell r="D1071">
            <v>42053</v>
          </cell>
          <cell r="E1071" t="str">
            <v>Siegrist Contadores Publicos</v>
          </cell>
          <cell r="F1071" t="str">
            <v>Honorarios profesionales mes de febrero/15</v>
          </cell>
          <cell r="G1071">
            <v>906</v>
          </cell>
          <cell r="H1071">
            <v>145</v>
          </cell>
          <cell r="I1071">
            <v>1051</v>
          </cell>
        </row>
        <row r="1072">
          <cell r="C1072" t="str">
            <v>G_ORG</v>
          </cell>
          <cell r="D1072">
            <v>42055</v>
          </cell>
          <cell r="E1072" t="str">
            <v>Gloria Mazzón</v>
          </cell>
          <cell r="F1072" t="str">
            <v>Pago por concepto de captura del 16 al 20 de febrero/15</v>
          </cell>
          <cell r="G1072">
            <v>600</v>
          </cell>
          <cell r="I1072">
            <v>600</v>
          </cell>
        </row>
        <row r="1073">
          <cell r="C1073" t="str">
            <v>G_AGUA</v>
          </cell>
          <cell r="D1073">
            <v>42055</v>
          </cell>
          <cell r="E1073" t="str">
            <v>Electropura, S. de R.L. de C.V.</v>
          </cell>
          <cell r="F1073" t="str">
            <v>2 garrafones de agua</v>
          </cell>
          <cell r="G1073">
            <v>60</v>
          </cell>
          <cell r="I1073">
            <v>60</v>
          </cell>
        </row>
        <row r="1074">
          <cell r="C1074" t="str">
            <v>G_JDN</v>
          </cell>
          <cell r="D1074">
            <v>42055</v>
          </cell>
          <cell r="E1074" t="str">
            <v>Alberto Gonzalez</v>
          </cell>
          <cell r="F1074" t="str">
            <v>Pago por recoger y barrer toda la hojarasca del parque</v>
          </cell>
          <cell r="G1074">
            <v>1500</v>
          </cell>
          <cell r="I1074">
            <v>1500</v>
          </cell>
        </row>
        <row r="1075">
          <cell r="C1075" t="str">
            <v>G_JDN</v>
          </cell>
          <cell r="D1075">
            <v>42060</v>
          </cell>
          <cell r="E1075" t="str">
            <v>Pedro Cortés</v>
          </cell>
          <cell r="F1075" t="str">
            <v>Recoger y tirar toda la hojarasca del parque</v>
          </cell>
          <cell r="G1075">
            <v>600</v>
          </cell>
          <cell r="I1075">
            <v>600</v>
          </cell>
        </row>
        <row r="1076">
          <cell r="C1076" t="str">
            <v>G_DIF</v>
          </cell>
          <cell r="D1076">
            <v>42062</v>
          </cell>
          <cell r="E1076" t="str">
            <v>MD Gran Formato, S.A. de C.V.</v>
          </cell>
          <cell r="F1076" t="str">
            <v>1 manta urgente de 1.72 X 1.20 lona</v>
          </cell>
          <cell r="G1076">
            <v>92.88</v>
          </cell>
          <cell r="I1076">
            <v>92.88</v>
          </cell>
        </row>
        <row r="1077">
          <cell r="C1077" t="str">
            <v>G_AGUA</v>
          </cell>
          <cell r="D1077">
            <v>42062</v>
          </cell>
          <cell r="E1077" t="str">
            <v>Electropura, S. de R.L. de C.V.</v>
          </cell>
          <cell r="F1077" t="str">
            <v>3 garrafones de agua</v>
          </cell>
          <cell r="G1077">
            <v>90</v>
          </cell>
          <cell r="I1077">
            <v>90</v>
          </cell>
        </row>
        <row r="1078">
          <cell r="C1078" t="str">
            <v>G_ORG</v>
          </cell>
          <cell r="D1078">
            <v>42062</v>
          </cell>
          <cell r="E1078" t="str">
            <v>Gloria Mazzón</v>
          </cell>
          <cell r="F1078" t="str">
            <v>Pago por concepto de captura del 23 al 27 de febrero/15</v>
          </cell>
          <cell r="G1078">
            <v>600</v>
          </cell>
          <cell r="I1078">
            <v>600</v>
          </cell>
        </row>
        <row r="1079">
          <cell r="C1079" t="str">
            <v>G_NMNVG</v>
          </cell>
          <cell r="D1079">
            <v>42063</v>
          </cell>
          <cell r="E1079" t="str">
            <v>Guardias y Custodias Privadas Gama, S.A. de C.V.</v>
          </cell>
          <cell r="F1079" t="str">
            <v>Pago correspondiente a la 2° quincena febrero/15</v>
          </cell>
          <cell r="G1079">
            <v>27900</v>
          </cell>
          <cell r="I1079">
            <v>27900</v>
          </cell>
        </row>
        <row r="1080">
          <cell r="C1080" t="str">
            <v>G_NMNVG</v>
          </cell>
          <cell r="D1080">
            <v>42063</v>
          </cell>
          <cell r="E1080" t="str">
            <v>Artemio Mora Torres</v>
          </cell>
          <cell r="F1080" t="str">
            <v>Pago correspondiente a la 2° quincena febrero/15</v>
          </cell>
          <cell r="G1080">
            <v>3200</v>
          </cell>
          <cell r="I1080">
            <v>3200</v>
          </cell>
        </row>
        <row r="1081">
          <cell r="C1081" t="str">
            <v>G_P_Fin</v>
          </cell>
          <cell r="D1081">
            <v>42039</v>
          </cell>
          <cell r="E1081" t="str">
            <v>Alberto Augusto Fuentes Herrera</v>
          </cell>
          <cell r="F1081" t="str">
            <v>Remanente identificador</v>
          </cell>
          <cell r="G1081">
            <v>-0.46</v>
          </cell>
          <cell r="I1081">
            <v>-0.46</v>
          </cell>
        </row>
        <row r="1082">
          <cell r="C1082" t="str">
            <v>G_P_Fin</v>
          </cell>
          <cell r="D1082">
            <v>42044</v>
          </cell>
          <cell r="E1082" t="str">
            <v>Familia Vega Sánchez</v>
          </cell>
          <cell r="F1082" t="str">
            <v>Remanente identificador</v>
          </cell>
          <cell r="G1082">
            <v>-0.09</v>
          </cell>
          <cell r="I1082">
            <v>-0.09</v>
          </cell>
        </row>
        <row r="1083">
          <cell r="B1083" t="str">
            <v>N°</v>
          </cell>
          <cell r="C1083" t="str">
            <v>clave</v>
          </cell>
          <cell r="D1083" t="str">
            <v>fecha</v>
          </cell>
          <cell r="E1083" t="str">
            <v>Beneficiario</v>
          </cell>
          <cell r="F1083" t="str">
            <v>Concepto</v>
          </cell>
          <cell r="G1083" t="str">
            <v>Gasto</v>
          </cell>
          <cell r="H1083" t="str">
            <v>I.V.A.</v>
          </cell>
          <cell r="I1083" t="str">
            <v>Total</v>
          </cell>
        </row>
        <row r="1084">
          <cell r="C1084" t="str">
            <v>G_JDN</v>
          </cell>
          <cell r="D1084">
            <v>42064</v>
          </cell>
          <cell r="E1084" t="str">
            <v>Pedro Cortes,</v>
          </cell>
          <cell r="F1084" t="str">
            <v>Gratificación por la recolección de basura del fraccionamiento en feb/15</v>
          </cell>
          <cell r="G1084">
            <v>600</v>
          </cell>
          <cell r="I1084">
            <v>600</v>
          </cell>
        </row>
        <row r="1085">
          <cell r="C1085" t="str">
            <v>G_TLF</v>
          </cell>
          <cell r="D1085">
            <v>42065</v>
          </cell>
          <cell r="E1085" t="str">
            <v>Telefonos de Mexico SAB de C.V.</v>
          </cell>
          <cell r="F1085" t="str">
            <v>Pago del mes de febrero/15</v>
          </cell>
          <cell r="G1085">
            <v>988</v>
          </cell>
          <cell r="I1085">
            <v>988</v>
          </cell>
        </row>
        <row r="1086">
          <cell r="C1086" t="str">
            <v>G_AGUA</v>
          </cell>
          <cell r="D1086">
            <v>42065</v>
          </cell>
          <cell r="E1086" t="str">
            <v>Electropura, S. de R.L. de C.V.</v>
          </cell>
          <cell r="F1086" t="str">
            <v>Compra de 3 garrafones de agua</v>
          </cell>
          <cell r="G1086">
            <v>90</v>
          </cell>
          <cell r="I1086">
            <v>90</v>
          </cell>
        </row>
        <row r="1087">
          <cell r="C1087" t="str">
            <v>G_VRS</v>
          </cell>
          <cell r="D1087">
            <v>42066</v>
          </cell>
          <cell r="E1087" t="str">
            <v>Roberto Miranda</v>
          </cell>
          <cell r="F1087" t="str">
            <v>Gratificación por recolección de basura en varias calles incluyendo el Hueso</v>
          </cell>
          <cell r="G1087">
            <v>300</v>
          </cell>
          <cell r="I1087">
            <v>300</v>
          </cell>
        </row>
        <row r="1088">
          <cell r="C1088" t="str">
            <v>G_VRS</v>
          </cell>
          <cell r="D1088">
            <v>42067</v>
          </cell>
          <cell r="E1088" t="str">
            <v>Roberto Miranda</v>
          </cell>
          <cell r="F1088" t="str">
            <v xml:space="preserve">Gratificación especial, por recoger la hojarasca que el camión no alcanza a </v>
          </cell>
          <cell r="G1088">
            <v>200</v>
          </cell>
          <cell r="I1088">
            <v>200</v>
          </cell>
        </row>
        <row r="1089">
          <cell r="C1089" t="str">
            <v>G_VRS</v>
          </cell>
          <cell r="D1089">
            <v>42068</v>
          </cell>
          <cell r="E1089" t="str">
            <v>Advance Servicio CCTV y Cómputo</v>
          </cell>
          <cell r="F1089" t="str">
            <v>Respaldo de una videograbación suceso acontecido en calle EZ_55</v>
          </cell>
          <cell r="G1089">
            <v>350</v>
          </cell>
          <cell r="I1089">
            <v>350</v>
          </cell>
        </row>
        <row r="1090">
          <cell r="C1090" t="str">
            <v>G_MTCYP</v>
          </cell>
          <cell r="D1090">
            <v>42068</v>
          </cell>
          <cell r="E1090" t="str">
            <v>Grupo ERN</v>
          </cell>
          <cell r="F1090" t="str">
            <v>10 gabinetes plastico</v>
          </cell>
          <cell r="G1090">
            <v>420</v>
          </cell>
          <cell r="I1090">
            <v>420</v>
          </cell>
        </row>
        <row r="1091">
          <cell r="C1091" t="str">
            <v>G_VRS</v>
          </cell>
          <cell r="D1091">
            <v>42069</v>
          </cell>
          <cell r="E1091" t="str">
            <v>Dr. Oscar Roldan</v>
          </cell>
          <cell r="F1091" t="str">
            <v>Gastos erogados en el Globo, con motivo de juntas quincenales</v>
          </cell>
          <cell r="G1091">
            <v>730</v>
          </cell>
          <cell r="I1091">
            <v>730</v>
          </cell>
        </row>
        <row r="1092">
          <cell r="C1092" t="str">
            <v>G_ORG</v>
          </cell>
          <cell r="D1092">
            <v>42069</v>
          </cell>
          <cell r="E1092" t="str">
            <v>Gloria Mazzón</v>
          </cell>
          <cell r="F1092" t="str">
            <v>Pago por concepto de captura del 02 al 06 de Marzo/15</v>
          </cell>
          <cell r="G1092">
            <v>600</v>
          </cell>
          <cell r="I1092">
            <v>600</v>
          </cell>
        </row>
        <row r="1093">
          <cell r="C1093" t="str">
            <v>G_AGUA</v>
          </cell>
          <cell r="D1093">
            <v>42072</v>
          </cell>
          <cell r="E1093" t="str">
            <v>Electropura, S. de R.L. de C.V.</v>
          </cell>
          <cell r="F1093" t="str">
            <v>Compra de 2 garrafones de agua</v>
          </cell>
          <cell r="G1093">
            <v>60</v>
          </cell>
          <cell r="I1093">
            <v>60</v>
          </cell>
        </row>
        <row r="1094">
          <cell r="C1094" t="str">
            <v>G_HCTB</v>
          </cell>
          <cell r="D1094">
            <v>42074</v>
          </cell>
          <cell r="E1094" t="str">
            <v>Siegrist Contadores Publicos</v>
          </cell>
          <cell r="F1094" t="str">
            <v>Honorarios Profesionales marzo/15</v>
          </cell>
          <cell r="G1094">
            <v>962</v>
          </cell>
          <cell r="H1094">
            <v>154</v>
          </cell>
          <cell r="I1094">
            <v>1116</v>
          </cell>
        </row>
        <row r="1095">
          <cell r="C1095" t="str">
            <v>G_ORG</v>
          </cell>
          <cell r="D1095">
            <v>42076</v>
          </cell>
          <cell r="E1095" t="str">
            <v>Gloria Mazzón</v>
          </cell>
          <cell r="F1095" t="str">
            <v>Pago por concepto de captura del 09 al 13 de marzo/15</v>
          </cell>
          <cell r="G1095">
            <v>600</v>
          </cell>
          <cell r="I1095">
            <v>600</v>
          </cell>
        </row>
        <row r="1096">
          <cell r="C1096" t="str">
            <v>G_AGUA</v>
          </cell>
          <cell r="D1096">
            <v>42076</v>
          </cell>
          <cell r="E1096" t="str">
            <v>Electropura, S. de R.L. de C.V.</v>
          </cell>
          <cell r="F1096" t="str">
            <v>Combra de 2 garrafones</v>
          </cell>
          <cell r="G1096">
            <v>60</v>
          </cell>
          <cell r="I1096">
            <v>60</v>
          </cell>
        </row>
        <row r="1097">
          <cell r="C1097" t="str">
            <v>G_SÑ</v>
          </cell>
          <cell r="D1097">
            <v>42077</v>
          </cell>
          <cell r="E1097" t="str">
            <v>Home Depot México, S. de R.L. de C.V.</v>
          </cell>
          <cell r="F1097" t="str">
            <v>Compra de 3 conos reforzado de 71 cms.</v>
          </cell>
          <cell r="G1097">
            <v>643.98</v>
          </cell>
          <cell r="H1097">
            <v>103.05</v>
          </cell>
          <cell r="I1097">
            <v>747.03</v>
          </cell>
        </row>
        <row r="1098">
          <cell r="C1098" t="str">
            <v>G_NMNVG</v>
          </cell>
          <cell r="D1098">
            <v>42078</v>
          </cell>
          <cell r="E1098" t="str">
            <v>Guardias y Custodias Privadas Gama, S.A. de C.V.</v>
          </cell>
          <cell r="F1098" t="str">
            <v>Pago correspondiente a la 1° quincena marzo/15</v>
          </cell>
          <cell r="G1098">
            <v>27900</v>
          </cell>
          <cell r="I1098">
            <v>27900</v>
          </cell>
        </row>
        <row r="1099">
          <cell r="C1099" t="str">
            <v>G_NMNVG</v>
          </cell>
          <cell r="D1099">
            <v>42078</v>
          </cell>
          <cell r="E1099" t="str">
            <v>Artemio Mora Torres</v>
          </cell>
          <cell r="F1099" t="str">
            <v>Pago correspondiente a la 1° quincena marzo/15</v>
          </cell>
          <cell r="G1099">
            <v>3200</v>
          </cell>
          <cell r="I1099">
            <v>3200</v>
          </cell>
        </row>
        <row r="1100">
          <cell r="C1100" t="str">
            <v>G_TRSP</v>
          </cell>
          <cell r="D1100">
            <v>42078</v>
          </cell>
          <cell r="E1100" t="str">
            <v>Servicio y venta Paco-Bicis</v>
          </cell>
          <cell r="F1100" t="str">
            <v>Cambio de 2 palancas freno y ajuste de frenos</v>
          </cell>
          <cell r="G1100">
            <v>350</v>
          </cell>
          <cell r="I1100">
            <v>350</v>
          </cell>
        </row>
        <row r="1101">
          <cell r="C1101" t="str">
            <v>G_ADQ</v>
          </cell>
          <cell r="D1101">
            <v>42079</v>
          </cell>
          <cell r="E1101" t="str">
            <v>Advance Servicio CCTV y Cómputo</v>
          </cell>
          <cell r="F1101" t="str">
            <v>Pago honorarios reconfiguración de tarjetas TAG actualización base datos</v>
          </cell>
          <cell r="G1101">
            <v>700</v>
          </cell>
          <cell r="I1101">
            <v>700</v>
          </cell>
        </row>
        <row r="1102">
          <cell r="C1102" t="str">
            <v>G_VRS</v>
          </cell>
          <cell r="D1102">
            <v>42079</v>
          </cell>
          <cell r="E1102" t="str">
            <v>Roberto Miranda</v>
          </cell>
          <cell r="F1102" t="str">
            <v>Servicio especial de limpieza y tirar toda la basutoa del fraccionamiento</v>
          </cell>
          <cell r="G1102">
            <v>300</v>
          </cell>
          <cell r="I1102">
            <v>300</v>
          </cell>
        </row>
        <row r="1103">
          <cell r="C1103" t="str">
            <v>G_TRSP</v>
          </cell>
          <cell r="D1103">
            <v>42080</v>
          </cell>
          <cell r="E1103" t="str">
            <v>Servicio y venta Paco-Bicis</v>
          </cell>
          <cell r="F1103" t="str">
            <v>Cambio eje trasero, alineación, ajuste taza, ajuste rayos y ajuste de manubrio</v>
          </cell>
          <cell r="G1103">
            <v>415</v>
          </cell>
          <cell r="I1103">
            <v>415</v>
          </cell>
        </row>
        <row r="1104">
          <cell r="C1104" t="str">
            <v>G_ORG</v>
          </cell>
          <cell r="D1104">
            <v>42083</v>
          </cell>
          <cell r="E1104" t="str">
            <v>Gloria Mazzón</v>
          </cell>
          <cell r="F1104" t="str">
            <v>Pago por concepto de captura del 16 al 21 y el día 15 de marzo/15</v>
          </cell>
          <cell r="G1104">
            <v>800</v>
          </cell>
          <cell r="I1104">
            <v>800</v>
          </cell>
        </row>
        <row r="1105">
          <cell r="C1105" t="str">
            <v>G_VRS</v>
          </cell>
          <cell r="D1105">
            <v>42083</v>
          </cell>
          <cell r="E1105" t="str">
            <v>Advance Servicio CCTV y Cómputo</v>
          </cell>
          <cell r="F1105" t="str">
            <v>Respaldo de una videograbación de todas las camaras de circuito RM</v>
          </cell>
          <cell r="G1105">
            <v>350</v>
          </cell>
          <cell r="I1105">
            <v>350</v>
          </cell>
        </row>
        <row r="1106">
          <cell r="C1106" t="str">
            <v>G_AGUA</v>
          </cell>
          <cell r="D1106">
            <v>42086</v>
          </cell>
          <cell r="E1106" t="str">
            <v>Electropura, S. de R.L. de C.V.</v>
          </cell>
          <cell r="F1106" t="str">
            <v>Compra de 3 garrafones de agua</v>
          </cell>
          <cell r="G1106">
            <v>90</v>
          </cell>
          <cell r="I1106">
            <v>90</v>
          </cell>
        </row>
        <row r="1107">
          <cell r="C1107" t="str">
            <v>G_AGUA</v>
          </cell>
          <cell r="D1107">
            <v>42086</v>
          </cell>
          <cell r="E1107" t="str">
            <v>Electropura, S. de R.L. de C.V.</v>
          </cell>
          <cell r="F1107" t="str">
            <v>Compra de 2 garrafones de agua</v>
          </cell>
          <cell r="G1107">
            <v>60</v>
          </cell>
          <cell r="I1107">
            <v>60</v>
          </cell>
        </row>
        <row r="1108">
          <cell r="C1108" t="str">
            <v>G_P_FIN</v>
          </cell>
          <cell r="D1108">
            <v>42086</v>
          </cell>
          <cell r="E1108" t="str">
            <v>Facturar en Linea, S. de R.L. de C.V.</v>
          </cell>
          <cell r="F1108" t="str">
            <v>Compra de 25 cfdis</v>
          </cell>
          <cell r="G1108">
            <v>336.21</v>
          </cell>
          <cell r="H1108">
            <v>53.79</v>
          </cell>
          <cell r="I1108">
            <v>390</v>
          </cell>
        </row>
        <row r="1109">
          <cell r="C1109" t="str">
            <v>G_ADQ</v>
          </cell>
          <cell r="D1109">
            <v>42086</v>
          </cell>
          <cell r="E1109" t="str">
            <v>Advance Servicio CCTV y Cómputo</v>
          </cell>
          <cell r="F1109" t="str">
            <v>Compra de 3 tarjetas electrónicas con clip</v>
          </cell>
          <cell r="G1109">
            <v>300</v>
          </cell>
          <cell r="I1109">
            <v>300</v>
          </cell>
        </row>
        <row r="1110">
          <cell r="C1110" t="str">
            <v>G_MTCST</v>
          </cell>
          <cell r="D1110">
            <v>42087</v>
          </cell>
          <cell r="E1110" t="str">
            <v>Esteban Alejo</v>
          </cell>
          <cell r="F1110" t="str">
            <v>Compra de pintura, para un aviso al transito vehiculos ZB(SE LLEVO EL $)</v>
          </cell>
          <cell r="G1110">
            <v>200</v>
          </cell>
          <cell r="I1110">
            <v>200</v>
          </cell>
        </row>
        <row r="1111">
          <cell r="C1111" t="str">
            <v>IVA</v>
          </cell>
          <cell r="D1111">
            <v>42087</v>
          </cell>
          <cell r="E1111" t="str">
            <v>SAT Servicio de Administración Tributaría</v>
          </cell>
          <cell r="F1111" t="str">
            <v>Pago de retención de IVA del Colegio Carmel mes febrero/15</v>
          </cell>
          <cell r="H1111">
            <v>1760</v>
          </cell>
          <cell r="I1111">
            <v>1760</v>
          </cell>
        </row>
        <row r="1112">
          <cell r="C1112" t="str">
            <v>G_PAPE</v>
          </cell>
          <cell r="D1112">
            <v>42087</v>
          </cell>
          <cell r="E1112" t="str">
            <v>Impresiones Graficas</v>
          </cell>
          <cell r="F1112" t="str">
            <v>Costo de elaboración de 500 recibos con copia, cobranza cuotas</v>
          </cell>
          <cell r="G1112">
            <v>650</v>
          </cell>
          <cell r="I1112">
            <v>650</v>
          </cell>
        </row>
        <row r="1113">
          <cell r="C1113" t="str">
            <v>G_ORG</v>
          </cell>
          <cell r="D1113">
            <v>42090</v>
          </cell>
          <cell r="E1113" t="str">
            <v>Gloria Mazzón</v>
          </cell>
          <cell r="F1113" t="str">
            <v>Pago por concepto de captura del 23 al 27 de marzo/15</v>
          </cell>
          <cell r="G1113">
            <v>600</v>
          </cell>
          <cell r="I1113">
            <v>600</v>
          </cell>
        </row>
        <row r="1114">
          <cell r="C1114" t="str">
            <v>G_AGUA</v>
          </cell>
          <cell r="D1114">
            <v>42090</v>
          </cell>
          <cell r="E1114" t="str">
            <v>Electropura, S. de R.L. de C.V.</v>
          </cell>
          <cell r="F1114" t="str">
            <v>1 garrafon de agua</v>
          </cell>
          <cell r="G1114">
            <v>30</v>
          </cell>
          <cell r="I1114">
            <v>30</v>
          </cell>
        </row>
        <row r="1115">
          <cell r="C1115" t="str">
            <v>G_INFRA</v>
          </cell>
          <cell r="D1115">
            <v>42094</v>
          </cell>
          <cell r="E1115" t="str">
            <v>Advance Servicio CCTV y Cómputo</v>
          </cell>
          <cell r="F1115" t="str">
            <v>Liq. De intalación de circuito de CCTV 8 camaras ZB, cableado y monitor</v>
          </cell>
          <cell r="G1115">
            <v>13700</v>
          </cell>
          <cell r="I1115">
            <v>13700</v>
          </cell>
        </row>
        <row r="1116">
          <cell r="C1116" t="str">
            <v>G_NMNVG</v>
          </cell>
          <cell r="D1116">
            <v>42094</v>
          </cell>
          <cell r="E1116" t="str">
            <v>Guardias y Custodias Privadas Gama, S.A. de C.V.</v>
          </cell>
          <cell r="F1116" t="str">
            <v>Pago correspondiente a la 2° quincena de marzo/15</v>
          </cell>
          <cell r="G1116">
            <v>27900</v>
          </cell>
          <cell r="I1116">
            <v>27900</v>
          </cell>
        </row>
        <row r="1117">
          <cell r="C1117" t="str">
            <v>G_NMNVG</v>
          </cell>
          <cell r="D1117">
            <v>42094</v>
          </cell>
          <cell r="E1117" t="str">
            <v>Artemio Mora Torres</v>
          </cell>
          <cell r="F1117" t="str">
            <v>Pago correspondiente a la 2° quincena de marzo/15</v>
          </cell>
          <cell r="G1117">
            <v>3200</v>
          </cell>
          <cell r="I1117">
            <v>3200</v>
          </cell>
        </row>
        <row r="1118">
          <cell r="C1118" t="str">
            <v>G_P_FIN</v>
          </cell>
          <cell r="D1118">
            <v>42067</v>
          </cell>
          <cell r="E1118" t="str">
            <v>Alberto Augusto Fuentes Herrera</v>
          </cell>
          <cell r="F1118" t="str">
            <v>Remanente identificador</v>
          </cell>
          <cell r="G1118">
            <v>-0.46</v>
          </cell>
          <cell r="I1118">
            <v>-0.46</v>
          </cell>
        </row>
        <row r="1119">
          <cell r="C1119" t="str">
            <v>G_P_FIN</v>
          </cell>
          <cell r="D1119">
            <v>42072</v>
          </cell>
          <cell r="E1119" t="str">
            <v>Familia Vega Sánchez C.</v>
          </cell>
          <cell r="F1119" t="str">
            <v>Remanente identificador</v>
          </cell>
          <cell r="G1119">
            <v>-0.28999999999999998</v>
          </cell>
          <cell r="I1119">
            <v>-0.28999999999999998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58"/>
  <sheetViews>
    <sheetView tabSelected="1" workbookViewId="0">
      <selection activeCell="E21" sqref="E21"/>
    </sheetView>
  </sheetViews>
  <sheetFormatPr baseColWidth="10" defaultRowHeight="15" x14ac:dyDescent="0.25"/>
  <cols>
    <col min="2" max="2" width="42.5703125" bestFit="1" customWidth="1"/>
    <col min="3" max="3" width="12.42578125" customWidth="1"/>
  </cols>
  <sheetData>
    <row r="1" spans="2:33" ht="9" customHeight="1" x14ac:dyDescent="0.25"/>
    <row r="2" spans="2:33" ht="30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Q2" s="2"/>
      <c r="R2" s="2"/>
      <c r="S2" s="2"/>
      <c r="T2" s="2"/>
      <c r="AD2" s="2"/>
      <c r="AE2" s="2"/>
      <c r="AF2" s="2"/>
      <c r="AG2" s="2"/>
    </row>
    <row r="3" spans="2:33" x14ac:dyDescent="0.25">
      <c r="B3" s="4" t="s">
        <v>1</v>
      </c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Q3" s="4"/>
      <c r="R3" s="3"/>
      <c r="S3" s="3"/>
      <c r="T3" s="3"/>
      <c r="AD3" s="4"/>
      <c r="AE3" s="3"/>
      <c r="AF3" s="3"/>
      <c r="AG3" s="3"/>
    </row>
    <row r="4" spans="2:33" x14ac:dyDescent="0.25">
      <c r="B4" s="4" t="s">
        <v>2</v>
      </c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Q4" s="4"/>
      <c r="R4" s="3"/>
      <c r="S4" s="3"/>
      <c r="T4" s="3"/>
      <c r="AD4" s="4"/>
      <c r="AE4" s="3"/>
      <c r="AF4" s="3"/>
      <c r="AG4" s="3"/>
    </row>
    <row r="5" spans="2:33" x14ac:dyDescent="0.25">
      <c r="B5" s="5" t="s">
        <v>3</v>
      </c>
      <c r="C5" s="6" t="s">
        <v>4</v>
      </c>
      <c r="D5" s="6" t="s">
        <v>5</v>
      </c>
      <c r="E5" s="6" t="s">
        <v>6</v>
      </c>
    </row>
    <row r="6" spans="2:33" x14ac:dyDescent="0.25">
      <c r="B6" s="7" t="s">
        <v>7</v>
      </c>
      <c r="C6" s="8"/>
      <c r="D6" s="8"/>
      <c r="E6" s="8"/>
    </row>
    <row r="7" spans="2:33" x14ac:dyDescent="0.25">
      <c r="B7" s="9" t="s">
        <v>8</v>
      </c>
      <c r="C7" s="11">
        <f>DSUM(ENE_2015,importe,ING_CUOTAS)</f>
        <v>152075</v>
      </c>
      <c r="D7" s="11">
        <f>DSUM(FEB_2015,importe,ING_CUOTAS)</f>
        <v>105825</v>
      </c>
      <c r="E7" s="11">
        <f>DSUM(MAR_2015,importe,ING_CUOTAS)</f>
        <v>117075</v>
      </c>
    </row>
    <row r="8" spans="2:33" x14ac:dyDescent="0.25">
      <c r="B8" s="9" t="s">
        <v>9</v>
      </c>
      <c r="C8" s="11">
        <f>DSUM(ENE_2015,importe,ING_EXTRA)</f>
        <v>0</v>
      </c>
      <c r="D8" s="11">
        <f>DSUM(FEB_2015,importe,ING_EXTRA)</f>
        <v>0</v>
      </c>
      <c r="E8" s="11">
        <f>DSUM(MAR_2015,importe,ING_EXTRA)</f>
        <v>0</v>
      </c>
    </row>
    <row r="9" spans="2:33" x14ac:dyDescent="0.25">
      <c r="B9" s="9" t="s">
        <v>10</v>
      </c>
      <c r="C9" s="11">
        <f>DSUM(ENE_2015,importe,ING_LLAVES)</f>
        <v>2080</v>
      </c>
      <c r="D9" s="11">
        <f>DSUM(FEB_2015,importe,ING_LLAVES)</f>
        <v>2400</v>
      </c>
      <c r="E9" s="11">
        <f>DSUM(MAR_2015,importe,ING_LLAVES)</f>
        <v>2400</v>
      </c>
    </row>
    <row r="10" spans="2:33" x14ac:dyDescent="0.25">
      <c r="B10" s="9" t="s">
        <v>11</v>
      </c>
      <c r="C10" s="10">
        <f>DSUM(ENE_2015,importe,ING_TELE)</f>
        <v>2880</v>
      </c>
      <c r="D10" s="10">
        <f>DSUM(FEB_2015,importe,ING_TELE)</f>
        <v>1920</v>
      </c>
      <c r="E10" s="10">
        <f>DSUM(MAR_2015,importe,ING_TELE)</f>
        <v>2080</v>
      </c>
    </row>
    <row r="11" spans="2:33" x14ac:dyDescent="0.25">
      <c r="B11" s="9" t="s">
        <v>12</v>
      </c>
      <c r="C11" s="10">
        <f>DSUM(ENE_2015,importe,ING_TAR)</f>
        <v>600</v>
      </c>
      <c r="D11" s="10">
        <f>DSUM(FEB_2015,importe,ING_TAR)</f>
        <v>160</v>
      </c>
      <c r="E11" s="10">
        <f>DSUM(MAR_2015,importe,ING_TAR)</f>
        <v>0</v>
      </c>
    </row>
    <row r="12" spans="2:33" x14ac:dyDescent="0.25">
      <c r="B12" s="12" t="s">
        <v>13</v>
      </c>
      <c r="C12" s="13">
        <f>DSUM(ENE_2015,importe,ING_OTROS)</f>
        <v>0</v>
      </c>
      <c r="D12" s="13">
        <f>DSUM(FEB_2015,importe,ING_OTROS)</f>
        <v>0</v>
      </c>
      <c r="E12" s="13">
        <f>DSUM(MAR_2015,importe,ING_OTROS)</f>
        <v>2700</v>
      </c>
    </row>
    <row r="13" spans="2:33" x14ac:dyDescent="0.25">
      <c r="B13" s="14"/>
      <c r="C13" s="15"/>
      <c r="D13" s="15"/>
      <c r="E13" s="15"/>
    </row>
    <row r="14" spans="2:33" ht="15.75" thickBot="1" x14ac:dyDescent="0.3">
      <c r="B14" s="16" t="s">
        <v>14</v>
      </c>
      <c r="C14" s="17">
        <f t="shared" ref="C14:E14" si="0">SUM(C7:C12)</f>
        <v>157635</v>
      </c>
      <c r="D14" s="17">
        <f t="shared" si="0"/>
        <v>110305</v>
      </c>
      <c r="E14" s="17">
        <f t="shared" si="0"/>
        <v>124255</v>
      </c>
    </row>
    <row r="15" spans="2:33" ht="15.75" thickTop="1" x14ac:dyDescent="0.25">
      <c r="B15" s="18" t="s">
        <v>15</v>
      </c>
      <c r="C15" s="19"/>
      <c r="D15" s="19"/>
      <c r="E15" s="19"/>
    </row>
    <row r="16" spans="2:33" x14ac:dyDescent="0.25">
      <c r="B16" s="20" t="s">
        <v>16</v>
      </c>
      <c r="C16" s="22">
        <f>SUM(C17:C23)</f>
        <v>63118.6</v>
      </c>
      <c r="D16" s="22">
        <f>SUM(D17:D23)</f>
        <v>62560</v>
      </c>
      <c r="E16" s="22">
        <f>SUM(E17:E23)</f>
        <v>63355</v>
      </c>
    </row>
    <row r="17" spans="2:5" x14ac:dyDescent="0.25">
      <c r="B17" s="23" t="s">
        <v>17</v>
      </c>
      <c r="C17" s="24">
        <f>DSUM(G_ENE_2015,GASTO,G_NMNVG)</f>
        <v>62200</v>
      </c>
      <c r="D17" s="24">
        <f>DSUM(G_FEB_2015,GASTO,G_NMNVG)</f>
        <v>62200</v>
      </c>
      <c r="E17" s="24">
        <f>DSUM(G_MAR_2015,GASTO,G_NMNVG)</f>
        <v>62200</v>
      </c>
    </row>
    <row r="18" spans="2:5" x14ac:dyDescent="0.25">
      <c r="B18" s="25" t="s">
        <v>18</v>
      </c>
      <c r="C18" s="11">
        <f>DSUM(G_ENE_2015,GASTO,G_AGUA)</f>
        <v>360</v>
      </c>
      <c r="D18" s="11">
        <f>DSUM(G_FEB_2015,GASTO,G_AGUA)</f>
        <v>360</v>
      </c>
      <c r="E18" s="11">
        <f>DSUM(G_MAR_2015,GASTO,G_AGUA)</f>
        <v>390</v>
      </c>
    </row>
    <row r="19" spans="2:5" x14ac:dyDescent="0.25">
      <c r="B19" s="25" t="s">
        <v>19</v>
      </c>
      <c r="C19" s="11">
        <f>DSUM(G_ENE_2015,GASTO,G_ALMVG)</f>
        <v>0</v>
      </c>
      <c r="D19" s="11">
        <f>DSUM(G_FEB_2015,GASTO,G_ALMVG)</f>
        <v>0</v>
      </c>
      <c r="E19" s="11">
        <f>DSUM(G_MAR_2015,GASTO,G_ALMVG)</f>
        <v>0</v>
      </c>
    </row>
    <row r="20" spans="2:5" x14ac:dyDescent="0.25">
      <c r="B20" s="25" t="s">
        <v>20</v>
      </c>
      <c r="C20" s="11">
        <f>DSUM(G_ENE_2015,GASTO,G_MTLPZ)</f>
        <v>378.6</v>
      </c>
      <c r="D20" s="11">
        <f>DSUM(G_FEB_2015,GASTO,G_MTLPZ)</f>
        <v>0</v>
      </c>
      <c r="E20" s="11">
        <f>DSUM(G_MAR_2015,GASTO,G_MTLPZ)</f>
        <v>0</v>
      </c>
    </row>
    <row r="21" spans="2:5" x14ac:dyDescent="0.25">
      <c r="B21" s="25" t="s">
        <v>21</v>
      </c>
      <c r="C21" s="11">
        <f>DSUM(G_ENE_2015,GASTO,G_MDC)</f>
        <v>0</v>
      </c>
      <c r="D21" s="11">
        <f>DSUM(G_FEB_2015,GASTO,G_MDC)</f>
        <v>0</v>
      </c>
      <c r="E21" s="11">
        <f>DSUM(G_MAR_2015,GASTO,G_MDC)</f>
        <v>0</v>
      </c>
    </row>
    <row r="22" spans="2:5" x14ac:dyDescent="0.25">
      <c r="B22" s="25" t="s">
        <v>22</v>
      </c>
      <c r="C22" s="11">
        <f>DSUM(G_ENE_2015,GASTO,G_TRSP)</f>
        <v>180</v>
      </c>
      <c r="D22" s="11">
        <f>DSUM(G_FEB_2015,GASTO,G_TRSP)</f>
        <v>0</v>
      </c>
      <c r="E22" s="11">
        <f>DSUM(G_MAR_2015,GASTO,G_TRSP)</f>
        <v>765</v>
      </c>
    </row>
    <row r="23" spans="2:5" x14ac:dyDescent="0.25">
      <c r="B23" s="26" t="s">
        <v>23</v>
      </c>
      <c r="C23" s="27">
        <f>DSUM(G_ENE_2015,GASTO,G_UNF)</f>
        <v>0</v>
      </c>
      <c r="D23" s="27">
        <f>DSUM(G_FEB_2015,GASTO,G_UNF)</f>
        <v>0</v>
      </c>
      <c r="E23" s="27">
        <f>DSUM(G_MAR_2015,GASTO,G_UNF)</f>
        <v>0</v>
      </c>
    </row>
    <row r="24" spans="2:5" x14ac:dyDescent="0.25">
      <c r="B24" s="28" t="s">
        <v>24</v>
      </c>
      <c r="C24" s="22">
        <f>SUM(C25:C28)</f>
        <v>0</v>
      </c>
      <c r="D24" s="22">
        <f>SUM(D25:D28)</f>
        <v>20700</v>
      </c>
      <c r="E24" s="22">
        <f>SUM(E25:E28)</f>
        <v>15343.98</v>
      </c>
    </row>
    <row r="25" spans="2:5" x14ac:dyDescent="0.25">
      <c r="B25" s="29" t="s">
        <v>25</v>
      </c>
      <c r="C25" s="24">
        <f>DSUM(G_ENE_2015,GASTO,G_INFRA)</f>
        <v>0</v>
      </c>
      <c r="D25" s="24">
        <f>DSUM(G_FEB_2015,GASTO,G_INFRA)</f>
        <v>15200</v>
      </c>
      <c r="E25" s="24">
        <f>DSUM(G_MAR_2015,GASTO,G_INFRA)</f>
        <v>13700</v>
      </c>
    </row>
    <row r="26" spans="2:5" x14ac:dyDescent="0.25">
      <c r="B26" s="25" t="s">
        <v>26</v>
      </c>
      <c r="C26" s="11">
        <f>DSUM(G_ENE_2015,GASTO,G_USB)</f>
        <v>0</v>
      </c>
      <c r="D26" s="11">
        <f>DSUM(G_FEB_2015,GASTO,G_USB)</f>
        <v>0</v>
      </c>
      <c r="E26" s="11">
        <f>DSUM(G_MAR_2015,GASTO,G_USB)</f>
        <v>0</v>
      </c>
    </row>
    <row r="27" spans="2:5" x14ac:dyDescent="0.25">
      <c r="B27" s="25" t="s">
        <v>27</v>
      </c>
      <c r="C27" s="11">
        <f>DSUM(G_ENE_2015,GASTO,G_ADQ)</f>
        <v>0</v>
      </c>
      <c r="D27" s="11">
        <f>DSUM(G_FEB_2015,GASTO,G_ADQ)</f>
        <v>5500</v>
      </c>
      <c r="E27" s="11">
        <f>DSUM(G_MAR_2015,GASTO,G_ADQ)</f>
        <v>1000</v>
      </c>
    </row>
    <row r="28" spans="2:5" x14ac:dyDescent="0.25">
      <c r="B28" s="26" t="s">
        <v>28</v>
      </c>
      <c r="C28" s="27">
        <f>DSUM(G_ENE_2015,GASTO,G_SÑ)</f>
        <v>0</v>
      </c>
      <c r="D28" s="27">
        <f>DSUM(G_FEB_2015,GASTO,G_SÑ)</f>
        <v>0</v>
      </c>
      <c r="E28" s="27">
        <f>DSUM(G_MAR_2015,GASTO,G_SÑ)</f>
        <v>643.98</v>
      </c>
    </row>
    <row r="29" spans="2:5" x14ac:dyDescent="0.25">
      <c r="B29" s="28" t="s">
        <v>29</v>
      </c>
      <c r="C29" s="21">
        <f t="shared" ref="C29:E29" si="1">SUM(C30:C36)</f>
        <v>19250</v>
      </c>
      <c r="D29" s="21">
        <f t="shared" si="1"/>
        <v>10485</v>
      </c>
      <c r="E29" s="21">
        <f t="shared" si="1"/>
        <v>3450</v>
      </c>
    </row>
    <row r="30" spans="2:5" x14ac:dyDescent="0.25">
      <c r="B30" s="29" t="s">
        <v>30</v>
      </c>
      <c r="C30" s="24">
        <f>DSUM(G_ENE_2015,GASTO,G_MTCBQ)</f>
        <v>0</v>
      </c>
      <c r="D30" s="24">
        <f>DSUM(G_FEB_2015,GASTO,G_MTCBQ)</f>
        <v>485</v>
      </c>
      <c r="E30" s="24">
        <f>DSUM(G_MAR_2015,GASTO,G_MTCBQ)</f>
        <v>0</v>
      </c>
    </row>
    <row r="31" spans="2:5" x14ac:dyDescent="0.25">
      <c r="B31" s="25" t="s">
        <v>31</v>
      </c>
      <c r="C31" s="11">
        <f>DSUM(G_ENE_2015,GASTO,G_MTCYP)</f>
        <v>7600</v>
      </c>
      <c r="D31" s="11">
        <f>DSUM(G_FEB_2015,GASTO,G_MTCYP)</f>
        <v>0</v>
      </c>
      <c r="E31" s="11">
        <f>DSUM(G_MAR_2015,GASTO,G_MTCYP)</f>
        <v>420</v>
      </c>
    </row>
    <row r="32" spans="2:5" x14ac:dyDescent="0.25">
      <c r="B32" s="25" t="s">
        <v>32</v>
      </c>
      <c r="C32" s="11">
        <f>DSUM(G_ENE_2015,GASTO,G_MTCST)</f>
        <v>0</v>
      </c>
      <c r="D32" s="11">
        <f>DSUM(G_FEB_2015,GASTO,G_MTCST)</f>
        <v>0</v>
      </c>
      <c r="E32" s="11">
        <f>DSUM(G_MAR_2015,GASTO,G_MTCST)</f>
        <v>200</v>
      </c>
    </row>
    <row r="33" spans="2:5" x14ac:dyDescent="0.25">
      <c r="B33" s="25" t="s">
        <v>33</v>
      </c>
      <c r="C33" s="11">
        <f>DSUM(G_ENE_2015,GASTO,G_MTPTA)</f>
        <v>0</v>
      </c>
      <c r="D33" s="11">
        <f>DSUM(G_FEB_2015,GASTO,G_MTPTA)</f>
        <v>0</v>
      </c>
      <c r="E33" s="11">
        <f>DSUM(G_MAR_2015,GASTO,G_MTPTA)</f>
        <v>0</v>
      </c>
    </row>
    <row r="34" spans="2:5" x14ac:dyDescent="0.25">
      <c r="B34" s="25" t="s">
        <v>34</v>
      </c>
      <c r="C34" s="11">
        <f>DSUM(G_ENE_2015,GASTO,G_MTILM)</f>
        <v>3500</v>
      </c>
      <c r="D34" s="11">
        <f>DSUM(G_FEB_2015,GASTO,G_MTILM)</f>
        <v>5300</v>
      </c>
      <c r="E34" s="11">
        <f>DSUM(G_MAR_2015,GASTO,G_MTILM)</f>
        <v>0</v>
      </c>
    </row>
    <row r="35" spans="2:5" x14ac:dyDescent="0.25">
      <c r="B35" s="25" t="s">
        <v>35</v>
      </c>
      <c r="C35" s="11">
        <f>DSUM(G_ENE_2015,GASTO,G_JDN)</f>
        <v>6700</v>
      </c>
      <c r="D35" s="11">
        <f>DSUM(G_FEB_2015,GASTO,G_JDN)</f>
        <v>2300</v>
      </c>
      <c r="E35" s="11">
        <f>DSUM(G_MAR_2015,GASTO,G_JDN)</f>
        <v>600</v>
      </c>
    </row>
    <row r="36" spans="2:5" x14ac:dyDescent="0.25">
      <c r="B36" s="26" t="s">
        <v>36</v>
      </c>
      <c r="C36" s="27">
        <f>DSUM(G_ENE_2015,GASTO,G_VRS)</f>
        <v>1450</v>
      </c>
      <c r="D36" s="27">
        <f>DSUM(G_FEB_2015,GASTO,G_VRS)</f>
        <v>2400</v>
      </c>
      <c r="E36" s="27">
        <f>DSUM(G_MAR_2015,GASTO,G_VRS)</f>
        <v>2230</v>
      </c>
    </row>
    <row r="37" spans="2:5" x14ac:dyDescent="0.25">
      <c r="B37" s="20" t="s">
        <v>37</v>
      </c>
      <c r="C37" s="21">
        <f>SUM(C38:C46)</f>
        <v>5922.2</v>
      </c>
      <c r="D37" s="21">
        <f>SUM(D38:D46)</f>
        <v>5804.9619999999995</v>
      </c>
      <c r="E37" s="21">
        <f>SUM(E38:E46)</f>
        <v>5535.46</v>
      </c>
    </row>
    <row r="38" spans="2:5" x14ac:dyDescent="0.25">
      <c r="B38" s="29" t="s">
        <v>38</v>
      </c>
      <c r="C38" s="24">
        <f>DSUM(G_ENE_2015,GASTO,G_CBR)</f>
        <v>0</v>
      </c>
      <c r="D38" s="24">
        <f>DSUM(G_FEB_2015,GASTO,G_CBR)</f>
        <v>0</v>
      </c>
      <c r="E38" s="24">
        <f>DSUM(G_MAR_2015,GASTO,G_CBR)</f>
        <v>0</v>
      </c>
    </row>
    <row r="39" spans="2:5" x14ac:dyDescent="0.25">
      <c r="B39" s="30" t="s">
        <v>39</v>
      </c>
      <c r="C39" s="11">
        <f>DSUM(G_ENE_2015,GASTO,G_ORG)</f>
        <v>2500</v>
      </c>
      <c r="D39" s="11">
        <f>DSUM(G_FEB_2015,GASTO,G_ORG)</f>
        <v>2400</v>
      </c>
      <c r="E39" s="11">
        <f>DSUM(G_MAR_2015,GASTO,G_ORG)</f>
        <v>2600</v>
      </c>
    </row>
    <row r="40" spans="2:5" x14ac:dyDescent="0.25">
      <c r="B40" s="25" t="s">
        <v>40</v>
      </c>
      <c r="C40" s="11">
        <f>DSUM(G_ENE_2015,GASTO,G_P_Fin)</f>
        <v>-0.46</v>
      </c>
      <c r="D40" s="11">
        <f>DSUM(G_FEB_2015,GASTO,G_P_Fin)</f>
        <v>-0.55000000000000004</v>
      </c>
      <c r="E40" s="11">
        <f>DSUM(G_MAR_2015,GASTO,G_P_Fin)</f>
        <v>335.46</v>
      </c>
    </row>
    <row r="41" spans="2:5" x14ac:dyDescent="0.25">
      <c r="B41" s="25" t="s">
        <v>41</v>
      </c>
      <c r="C41" s="11">
        <f>DSUM(G_ENE_2015,GASTO,G_HCTB)</f>
        <v>1768</v>
      </c>
      <c r="D41" s="11">
        <f>DSUM(G_FEB_2015,GASTO,G_HCTB)</f>
        <v>906</v>
      </c>
      <c r="E41" s="11">
        <f>DSUM(G_MAR_2015,GASTO,G_HCTB)</f>
        <v>962</v>
      </c>
    </row>
    <row r="42" spans="2:5" x14ac:dyDescent="0.25">
      <c r="B42" s="25" t="s">
        <v>42</v>
      </c>
      <c r="C42" s="11">
        <f>DSUM(G_ENE_2015,GASTO,G_HJRD)</f>
        <v>0</v>
      </c>
      <c r="D42" s="11">
        <f>DSUM(G_FEB_2015,GASTO,G_HJRD)</f>
        <v>0</v>
      </c>
      <c r="E42" s="11">
        <f>DSUM(G_MAR_2015,GASTO,G_HJRD)</f>
        <v>0</v>
      </c>
    </row>
    <row r="43" spans="2:5" x14ac:dyDescent="0.25">
      <c r="B43" s="25" t="s">
        <v>43</v>
      </c>
      <c r="C43" s="11">
        <f>DSUM(G_ENE_2015,GASTO,G_ASLE)</f>
        <v>0</v>
      </c>
      <c r="D43" s="11">
        <f>DSUM(G_FEB_2015,GASTO,G_ASLE)</f>
        <v>0</v>
      </c>
      <c r="E43" s="11">
        <f>DSUM(G_MAR_2015,GASTO,G_ASLE)</f>
        <v>0</v>
      </c>
    </row>
    <row r="44" spans="2:5" x14ac:dyDescent="0.25">
      <c r="B44" s="25" t="s">
        <v>44</v>
      </c>
      <c r="C44" s="11">
        <f>DSUM(G_ENE_2015,GASTO,G_PAPE)</f>
        <v>1460</v>
      </c>
      <c r="D44" s="11">
        <f>DSUM(G_FEB_2015,GASTO,G_PAPE)</f>
        <v>718.63199999999995</v>
      </c>
      <c r="E44" s="11">
        <f>DSUM(G_MAR_2015,GASTO,G_PAPE)</f>
        <v>650</v>
      </c>
    </row>
    <row r="45" spans="2:5" x14ac:dyDescent="0.25">
      <c r="B45" s="25" t="s">
        <v>45</v>
      </c>
      <c r="C45" s="11">
        <f>DSUM(G_ENE_2015,GASTO,G_DIF)</f>
        <v>194.66</v>
      </c>
      <c r="D45" s="11">
        <f>DSUM(G_FEB_2015,GASTO,G_DIF)</f>
        <v>92.88</v>
      </c>
      <c r="E45" s="11">
        <f>DSUM(G_MAR_2015,GASTO,G_DIF)</f>
        <v>0</v>
      </c>
    </row>
    <row r="46" spans="2:5" x14ac:dyDescent="0.25">
      <c r="B46" s="26" t="s">
        <v>46</v>
      </c>
      <c r="C46" s="27">
        <f>DSUM(G_ENE_2015,GASTO,G_TLF)</f>
        <v>0</v>
      </c>
      <c r="D46" s="27">
        <f>DSUM(G_FEB_2015,GASTO,G_TLF)</f>
        <v>1688</v>
      </c>
      <c r="E46" s="27">
        <f>DSUM(G_MAR_2015,GASTO,G_TLF)</f>
        <v>988</v>
      </c>
    </row>
    <row r="47" spans="2:5" x14ac:dyDescent="0.25">
      <c r="B47" s="28" t="s">
        <v>47</v>
      </c>
      <c r="C47" s="21">
        <f t="shared" ref="C47:E47" si="2">SUM(C48)</f>
        <v>5290.15</v>
      </c>
      <c r="D47" s="21">
        <f t="shared" si="2"/>
        <v>259.98</v>
      </c>
      <c r="E47" s="21">
        <f t="shared" si="2"/>
        <v>2070.84</v>
      </c>
    </row>
    <row r="48" spans="2:5" x14ac:dyDescent="0.25">
      <c r="B48" s="31" t="s">
        <v>48</v>
      </c>
      <c r="C48" s="24">
        <f>DSUM(G_ENE_2015,IVA,G_TOTAL)</f>
        <v>5290.15</v>
      </c>
      <c r="D48" s="24">
        <f>DSUM(G_FEB_2015,IVA,G_TOTAL)</f>
        <v>259.98</v>
      </c>
      <c r="E48" s="24">
        <f>DSUM(G_MAR_2015,IVA,G_TOTAL)</f>
        <v>2070.84</v>
      </c>
    </row>
    <row r="49" spans="2:5" ht="15.75" thickBot="1" x14ac:dyDescent="0.3">
      <c r="B49" s="16" t="s">
        <v>49</v>
      </c>
      <c r="C49" s="32">
        <f>SUM(C16,C24,C29,C37,C47)</f>
        <v>93580.95</v>
      </c>
      <c r="D49" s="32">
        <f>SUM(D16,D24,D29,D37,D47)</f>
        <v>99809.941999999995</v>
      </c>
      <c r="E49" s="32">
        <f>SUM(E16,E24,E29,E37,E47)</f>
        <v>89755.28</v>
      </c>
    </row>
    <row r="50" spans="2:5" ht="16.5" thickTop="1" thickBot="1" x14ac:dyDescent="0.3">
      <c r="B50" s="33" t="s">
        <v>50</v>
      </c>
      <c r="C50" s="34">
        <f t="shared" ref="C50:E50" si="3">C14-C49</f>
        <v>64054.05</v>
      </c>
      <c r="D50" s="34">
        <f t="shared" si="3"/>
        <v>10495.058000000005</v>
      </c>
      <c r="E50" s="34">
        <f t="shared" si="3"/>
        <v>34499.72</v>
      </c>
    </row>
    <row r="51" spans="2:5" ht="16.5" thickTop="1" thickBot="1" x14ac:dyDescent="0.3">
      <c r="B51" s="35" t="s">
        <v>51</v>
      </c>
      <c r="C51" s="36"/>
      <c r="D51" s="36"/>
      <c r="E51" s="36"/>
    </row>
    <row r="52" spans="2:5" ht="15.75" thickTop="1" x14ac:dyDescent="0.25">
      <c r="B52" s="23" t="s">
        <v>52</v>
      </c>
      <c r="C52" s="11" t="e">
        <f>#REF!</f>
        <v>#REF!</v>
      </c>
      <c r="D52" s="11" t="e">
        <f>C55</f>
        <v>#REF!</v>
      </c>
      <c r="E52" s="11" t="e">
        <f>D55</f>
        <v>#REF!</v>
      </c>
    </row>
    <row r="53" spans="2:5" ht="15.75" thickBot="1" x14ac:dyDescent="0.3">
      <c r="B53" s="25" t="s">
        <v>53</v>
      </c>
      <c r="C53" s="11" t="e">
        <f>#REF!</f>
        <v>#REF!</v>
      </c>
      <c r="D53" s="11">
        <f>C57</f>
        <v>155835.84</v>
      </c>
      <c r="E53" s="11">
        <f>D57</f>
        <v>158497.93000000005</v>
      </c>
    </row>
    <row r="54" spans="2:5" ht="16.5" thickTop="1" thickBot="1" x14ac:dyDescent="0.3">
      <c r="B54" s="35" t="s">
        <v>54</v>
      </c>
      <c r="C54" s="36"/>
      <c r="D54" s="36"/>
      <c r="E54" s="36"/>
    </row>
    <row r="55" spans="2:5" ht="15.75" thickTop="1" x14ac:dyDescent="0.25">
      <c r="B55" s="38" t="s">
        <v>52</v>
      </c>
      <c r="C55" s="37" t="e">
        <f t="shared" ref="C55:E55" si="4">SUM(C52:C53,C50,-(C57+C56))</f>
        <v>#REF!</v>
      </c>
      <c r="D55" s="37" t="e">
        <f t="shared" si="4"/>
        <v>#REF!</v>
      </c>
      <c r="E55" s="37" t="e">
        <f t="shared" si="4"/>
        <v>#REF!</v>
      </c>
    </row>
    <row r="56" spans="2:5" x14ac:dyDescent="0.25">
      <c r="B56" s="39" t="s">
        <v>55</v>
      </c>
      <c r="C56" s="40"/>
      <c r="D56" s="40"/>
      <c r="E56" s="40"/>
    </row>
    <row r="57" spans="2:5" ht="15.75" thickBot="1" x14ac:dyDescent="0.3">
      <c r="B57" s="41" t="s">
        <v>53</v>
      </c>
      <c r="C57" s="42">
        <v>155835.84</v>
      </c>
      <c r="D57" s="42">
        <v>158497.93000000005</v>
      </c>
      <c r="E57" s="42">
        <v>210758.68</v>
      </c>
    </row>
    <row r="58" spans="2:5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Bsala</cp:lastModifiedBy>
  <dcterms:created xsi:type="dcterms:W3CDTF">2015-04-09T21:52:34Z</dcterms:created>
  <dcterms:modified xsi:type="dcterms:W3CDTF">2015-04-09T21:57:45Z</dcterms:modified>
</cp:coreProperties>
</file>