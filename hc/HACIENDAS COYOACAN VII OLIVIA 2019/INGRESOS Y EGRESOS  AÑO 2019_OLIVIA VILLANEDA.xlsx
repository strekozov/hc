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HACIENDAS COYOACAN VII OLIVIA 2019\"/>
    </mc:Choice>
  </mc:AlternateContent>
  <xr:revisionPtr revIDLastSave="0" documentId="8_{CA1DC149-C380-4F6C-880E-881DF25DD9BB}" xr6:coauthVersionLast="45" xr6:coauthVersionMax="45" xr10:uidLastSave="{00000000-0000-0000-0000-000000000000}"/>
  <bookViews>
    <workbookView xWindow="-120" yWindow="-120" windowWidth="20730" windowHeight="11160" firstSheet="6" activeTab="11" xr2:uid="{00000000-000D-0000-FFFF-FFFF00000000}"/>
  </bookViews>
  <sheets>
    <sheet name="ENERO-19 " sheetId="15" r:id="rId1"/>
    <sheet name="FEBRERO-19 " sheetId="28" r:id="rId2"/>
    <sheet name="MARZO-19" sheetId="18" r:id="rId3"/>
    <sheet name="ABRIL-19" sheetId="21" r:id="rId4"/>
    <sheet name="MAYO-19" sheetId="26" r:id="rId5"/>
    <sheet name="JUNIO-19" sheetId="9" r:id="rId6"/>
    <sheet name="JULIO-19" sheetId="10" r:id="rId7"/>
    <sheet name="AGOSTO-19" sheetId="11" r:id="rId8"/>
    <sheet name="SEPTIEMBRE-19" sheetId="12" r:id="rId9"/>
    <sheet name="OCTUBRE-19" sheetId="13" r:id="rId10"/>
    <sheet name="NOVIEMBRE-19 " sheetId="29" r:id="rId11"/>
    <sheet name="DICIEMBRE-19" sheetId="30" r:id="rId12"/>
    <sheet name="ESTADO DE CUENTA" sheetId="16" r:id="rId13"/>
    <sheet name="Hoja1" sheetId="31" r:id="rId14"/>
  </sheets>
  <definedNames>
    <definedName name="_xlnm.Print_Area" localSheetId="3">'ABRIL-19'!$B$1:$L$198</definedName>
    <definedName name="_xlnm.Print_Area" localSheetId="7">'AGOSTO-19'!$B$1:$L$118</definedName>
    <definedName name="_xlnm.Print_Area" localSheetId="11">'DICIEMBRE-19'!$B$1:$L$127</definedName>
    <definedName name="_xlnm.Print_Area" localSheetId="0">'ENERO-19 '!$B$1:$K$149</definedName>
    <definedName name="_xlnm.Print_Area" localSheetId="12">'ESTADO DE CUENTA'!$B$1:$N$28</definedName>
    <definedName name="_xlnm.Print_Area" localSheetId="1">'FEBRERO-19 '!$B$1:$L$124</definedName>
    <definedName name="_xlnm.Print_Area" localSheetId="6">'JULIO-19'!$B$1:$L$111</definedName>
    <definedName name="_xlnm.Print_Area" localSheetId="5">'JUNIO-19'!$B$1:$L$125</definedName>
    <definedName name="_xlnm.Print_Area" localSheetId="2">'MARZO-19'!$B$1:$L$123</definedName>
    <definedName name="_xlnm.Print_Area" localSheetId="4">'MAYO-19'!$B$4:$L$118</definedName>
    <definedName name="_xlnm.Print_Area" localSheetId="10">'NOVIEMBRE-19 '!$A$1:$L$128</definedName>
    <definedName name="_xlnm.Print_Area" localSheetId="9">'OCTUBRE-19'!$A$106:$L$118</definedName>
    <definedName name="_xlnm.Print_Area" localSheetId="8">'SEPTIEMBRE-19'!$B$1:$L$136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05" i="30" l="1"/>
  <c r="J106" i="30" s="1"/>
  <c r="J107" i="30" s="1"/>
  <c r="J108" i="30" s="1"/>
  <c r="J109" i="30" s="1"/>
  <c r="J110" i="30" s="1"/>
  <c r="J111" i="30" s="1"/>
  <c r="J112" i="30" s="1"/>
  <c r="J113" i="30" s="1"/>
  <c r="J114" i="30" s="1"/>
  <c r="J115" i="30" s="1"/>
  <c r="J116" i="30" s="1"/>
  <c r="J117" i="30" s="1"/>
  <c r="J118" i="30" s="1"/>
  <c r="J119" i="30" s="1"/>
  <c r="J120" i="30" s="1"/>
  <c r="J121" i="30" s="1"/>
  <c r="J122" i="30" s="1"/>
  <c r="K105" i="30"/>
  <c r="K106" i="30" s="1"/>
  <c r="K107" i="30" s="1"/>
  <c r="K108" i="30" s="1"/>
  <c r="K109" i="30" s="1"/>
  <c r="K110" i="30" s="1"/>
  <c r="K111" i="30" s="1"/>
  <c r="K112" i="30" s="1"/>
  <c r="K113" i="30" s="1"/>
  <c r="K114" i="30" s="1"/>
  <c r="K115" i="30" s="1"/>
  <c r="K116" i="30" s="1"/>
  <c r="K117" i="30" s="1"/>
  <c r="K118" i="30" s="1"/>
  <c r="K119" i="30" s="1"/>
  <c r="K120" i="30" s="1"/>
  <c r="K121" i="30" s="1"/>
  <c r="K122" i="30" s="1"/>
  <c r="I123" i="30"/>
  <c r="H123" i="30"/>
  <c r="G123" i="30"/>
  <c r="E123" i="30"/>
  <c r="D123" i="30"/>
  <c r="I101" i="30"/>
  <c r="I98" i="30"/>
  <c r="H98" i="30"/>
  <c r="G98" i="30"/>
  <c r="F98" i="30"/>
  <c r="E98" i="30"/>
  <c r="D98" i="30"/>
  <c r="F101" i="30"/>
  <c r="I52" i="30"/>
  <c r="F52" i="30"/>
  <c r="H49" i="30"/>
  <c r="G49" i="30"/>
  <c r="E49" i="30"/>
  <c r="D49" i="30"/>
  <c r="F49" i="30" l="1"/>
  <c r="I49" i="30"/>
  <c r="F123" i="30" l="1"/>
  <c r="K5" i="29" l="1"/>
  <c r="K6" i="29" s="1"/>
  <c r="K7" i="29" s="1"/>
  <c r="K8" i="29" s="1"/>
  <c r="K9" i="29" s="1"/>
  <c r="K10" i="29" s="1"/>
  <c r="K11" i="29" s="1"/>
  <c r="K12" i="29" s="1"/>
  <c r="K13" i="29" s="1"/>
  <c r="K14" i="29" s="1"/>
  <c r="K15" i="29" s="1"/>
  <c r="K16" i="29" s="1"/>
  <c r="K17" i="29" s="1"/>
  <c r="K18" i="29" s="1"/>
  <c r="K19" i="29" s="1"/>
  <c r="K20" i="29" s="1"/>
  <c r="K21" i="29" s="1"/>
  <c r="K22" i="29" s="1"/>
  <c r="K23" i="29" s="1"/>
  <c r="K24" i="29" s="1"/>
  <c r="K25" i="29" s="1"/>
  <c r="K26" i="29" s="1"/>
  <c r="K27" i="29" s="1"/>
  <c r="K28" i="29" s="1"/>
  <c r="K29" i="29" s="1"/>
  <c r="K30" i="29" s="1"/>
  <c r="K31" i="29" s="1"/>
  <c r="K32" i="29" s="1"/>
  <c r="K33" i="29" s="1"/>
  <c r="K34" i="29" s="1"/>
  <c r="K35" i="29" s="1"/>
  <c r="K36" i="29" s="1"/>
  <c r="K37" i="29" s="1"/>
  <c r="K38" i="29" s="1"/>
  <c r="K39" i="29" s="1"/>
  <c r="K40" i="29" s="1"/>
  <c r="K41" i="29" s="1"/>
  <c r="K42" i="29" s="1"/>
  <c r="K43" i="29" s="1"/>
  <c r="K44" i="29" s="1"/>
  <c r="K45" i="29" s="1"/>
  <c r="K46" i="29" s="1"/>
  <c r="K47" i="29" s="1"/>
  <c r="K48" i="29" s="1"/>
  <c r="K49" i="29" s="1"/>
  <c r="K50" i="29" s="1"/>
  <c r="K56" i="29"/>
  <c r="K57" i="29" s="1"/>
  <c r="K58" i="29" s="1"/>
  <c r="K59" i="29" s="1"/>
  <c r="K60" i="29" s="1"/>
  <c r="K61" i="29" s="1"/>
  <c r="K62" i="29" s="1"/>
  <c r="K63" i="29" s="1"/>
  <c r="K64" i="29" s="1"/>
  <c r="K65" i="29" s="1"/>
  <c r="K66" i="29" s="1"/>
  <c r="K67" i="29" s="1"/>
  <c r="K68" i="29" s="1"/>
  <c r="K69" i="29" s="1"/>
  <c r="K70" i="29" s="1"/>
  <c r="K71" i="29" s="1"/>
  <c r="K72" i="29" s="1"/>
  <c r="K73" i="29" s="1"/>
  <c r="K74" i="29" s="1"/>
  <c r="K75" i="29" s="1"/>
  <c r="K76" i="29" s="1"/>
  <c r="K77" i="29" s="1"/>
  <c r="K78" i="29" s="1"/>
  <c r="K79" i="29" s="1"/>
  <c r="K80" i="29" s="1"/>
  <c r="K81" i="29" s="1"/>
  <c r="K82" i="29" s="1"/>
  <c r="K83" i="29" s="1"/>
  <c r="K84" i="29" s="1"/>
  <c r="K85" i="29" s="1"/>
  <c r="K86" i="29" s="1"/>
  <c r="K87" i="29" s="1"/>
  <c r="K88" i="29" s="1"/>
  <c r="K89" i="29" s="1"/>
  <c r="K90" i="29" s="1"/>
  <c r="K91" i="29" s="1"/>
  <c r="K92" i="29" s="1"/>
  <c r="K93" i="29" s="1"/>
  <c r="K94" i="29" s="1"/>
  <c r="K95" i="29" s="1"/>
  <c r="K96" i="29" s="1"/>
  <c r="K97" i="29" s="1"/>
  <c r="K98" i="29" s="1"/>
  <c r="K99" i="29" s="1"/>
  <c r="K100" i="29" s="1"/>
  <c r="K101" i="29" s="1"/>
  <c r="K102" i="29" s="1"/>
  <c r="J56" i="29"/>
  <c r="J57" i="29" s="1"/>
  <c r="J58" i="29" s="1"/>
  <c r="J59" i="29" s="1"/>
  <c r="J60" i="29" s="1"/>
  <c r="J61" i="29" s="1"/>
  <c r="J62" i="29" s="1"/>
  <c r="J63" i="29" s="1"/>
  <c r="J64" i="29" s="1"/>
  <c r="J65" i="29" s="1"/>
  <c r="J66" i="29" s="1"/>
  <c r="J67" i="29" s="1"/>
  <c r="J68" i="29" s="1"/>
  <c r="J69" i="29" s="1"/>
  <c r="J70" i="29" s="1"/>
  <c r="J71" i="29" s="1"/>
  <c r="J72" i="29" s="1"/>
  <c r="J73" i="29" s="1"/>
  <c r="J74" i="29" s="1"/>
  <c r="J75" i="29" s="1"/>
  <c r="J76" i="29" s="1"/>
  <c r="J77" i="29" s="1"/>
  <c r="J78" i="29" s="1"/>
  <c r="J79" i="29" s="1"/>
  <c r="J80" i="29" s="1"/>
  <c r="J81" i="29" s="1"/>
  <c r="J82" i="29" s="1"/>
  <c r="J83" i="29" s="1"/>
  <c r="J84" i="29" s="1"/>
  <c r="J85" i="29" s="1"/>
  <c r="J86" i="29" s="1"/>
  <c r="J87" i="29" s="1"/>
  <c r="J88" i="29" s="1"/>
  <c r="J89" i="29" s="1"/>
  <c r="J90" i="29" s="1"/>
  <c r="J91" i="29" s="1"/>
  <c r="J92" i="29" s="1"/>
  <c r="J93" i="29" s="1"/>
  <c r="J94" i="29" s="1"/>
  <c r="J95" i="29" s="1"/>
  <c r="J96" i="29" s="1"/>
  <c r="J97" i="29" s="1"/>
  <c r="J98" i="29" s="1"/>
  <c r="J99" i="29" s="1"/>
  <c r="J100" i="29" s="1"/>
  <c r="J101" i="29" s="1"/>
  <c r="J102" i="29" s="1"/>
  <c r="E103" i="29"/>
  <c r="D103" i="29"/>
  <c r="F103" i="29" s="1"/>
  <c r="D51" i="29"/>
  <c r="H103" i="29"/>
  <c r="H119" i="29" l="1"/>
  <c r="G119" i="29"/>
  <c r="E119" i="29"/>
  <c r="D119" i="29"/>
  <c r="F119" i="29" s="1"/>
  <c r="G103" i="29"/>
  <c r="H51" i="29"/>
  <c r="G51" i="29"/>
  <c r="I51" i="29" s="1"/>
  <c r="E51" i="29"/>
  <c r="I107" i="29"/>
  <c r="F107" i="29"/>
  <c r="I55" i="29"/>
  <c r="F55" i="29"/>
  <c r="H52" i="13"/>
  <c r="H105" i="13"/>
  <c r="I119" i="29" l="1"/>
  <c r="I103" i="29"/>
  <c r="F51" i="29"/>
  <c r="J5" i="29" l="1"/>
  <c r="J6" i="29" s="1"/>
  <c r="J7" i="29" s="1"/>
  <c r="J8" i="29" s="1"/>
  <c r="J9" i="29" s="1"/>
  <c r="J10" i="29" s="1"/>
  <c r="J11" i="29" s="1"/>
  <c r="J12" i="29" s="1"/>
  <c r="J13" i="29" s="1"/>
  <c r="J14" i="29" s="1"/>
  <c r="J15" i="29" s="1"/>
  <c r="J16" i="29" s="1"/>
  <c r="J17" i="29" s="1"/>
  <c r="J18" i="29" s="1"/>
  <c r="J19" i="29" s="1"/>
  <c r="J20" i="29" s="1"/>
  <c r="J21" i="29" s="1"/>
  <c r="J22" i="29" s="1"/>
  <c r="J23" i="29" s="1"/>
  <c r="J24" i="29" s="1"/>
  <c r="J25" i="29" s="1"/>
  <c r="J26" i="29" s="1"/>
  <c r="J27" i="29" s="1"/>
  <c r="J28" i="29" s="1"/>
  <c r="J29" i="29" s="1"/>
  <c r="J30" i="29" s="1"/>
  <c r="J31" i="29" s="1"/>
  <c r="J32" i="29" s="1"/>
  <c r="J33" i="29" s="1"/>
  <c r="J34" i="29" s="1"/>
  <c r="J35" i="29" s="1"/>
  <c r="J36" i="29" s="1"/>
  <c r="J37" i="29" s="1"/>
  <c r="J38" i="29" s="1"/>
  <c r="J39" i="29" s="1"/>
  <c r="J40" i="29" s="1"/>
  <c r="J41" i="29" s="1"/>
  <c r="J42" i="29" s="1"/>
  <c r="J43" i="29" s="1"/>
  <c r="J44" i="29" s="1"/>
  <c r="J45" i="29" s="1"/>
  <c r="J46" i="29" s="1"/>
  <c r="J47" i="29" s="1"/>
  <c r="J48" i="29" s="1"/>
  <c r="J49" i="29" s="1"/>
  <c r="J50" i="29" s="1"/>
  <c r="D128" i="29"/>
  <c r="E128" i="29"/>
  <c r="F128" i="29" l="1"/>
  <c r="K108" i="13" l="1"/>
  <c r="G105" i="13"/>
  <c r="E105" i="13"/>
  <c r="D105" i="13"/>
  <c r="I55" i="13"/>
  <c r="F55" i="13"/>
  <c r="G52" i="13"/>
  <c r="E52" i="13"/>
  <c r="D52" i="13"/>
  <c r="D113" i="13"/>
  <c r="E113" i="13"/>
  <c r="K108" i="29" l="1"/>
  <c r="K109" i="29" s="1"/>
  <c r="K110" i="29" s="1"/>
  <c r="K111" i="29" s="1"/>
  <c r="K112" i="29" s="1"/>
  <c r="K113" i="29" s="1"/>
  <c r="K114" i="29" s="1"/>
  <c r="K115" i="29" s="1"/>
  <c r="K116" i="29" s="1"/>
  <c r="K117" i="29" s="1"/>
  <c r="K118" i="29" s="1"/>
  <c r="F52" i="13"/>
  <c r="I52" i="13"/>
  <c r="F105" i="13"/>
  <c r="F113" i="13"/>
  <c r="I105" i="13"/>
  <c r="J108" i="29" l="1"/>
  <c r="J109" i="29" s="1"/>
  <c r="J110" i="29" s="1"/>
  <c r="J111" i="29" s="1"/>
  <c r="J112" i="29" s="1"/>
  <c r="J113" i="29" s="1"/>
  <c r="J114" i="29" s="1"/>
  <c r="J115" i="29" s="1"/>
  <c r="J116" i="29" s="1"/>
  <c r="J117" i="29" s="1"/>
  <c r="J118" i="29" s="1"/>
  <c r="H133" i="12"/>
  <c r="H108" i="12"/>
  <c r="H54" i="12"/>
  <c r="K5" i="12"/>
  <c r="K6" i="12" s="1"/>
  <c r="K7" i="12" s="1"/>
  <c r="K8" i="12" s="1"/>
  <c r="K9" i="12" s="1"/>
  <c r="K10" i="12" s="1"/>
  <c r="K11" i="12" s="1"/>
  <c r="K12" i="12" s="1"/>
  <c r="K13" i="12" s="1"/>
  <c r="K14" i="12" s="1"/>
  <c r="K15" i="12" s="1"/>
  <c r="K16" i="12" s="1"/>
  <c r="K17" i="12" s="1"/>
  <c r="K18" i="12" s="1"/>
  <c r="K19" i="12" s="1"/>
  <c r="K20" i="12" s="1"/>
  <c r="K21" i="12" s="1"/>
  <c r="K22" i="12" s="1"/>
  <c r="K23" i="12" s="1"/>
  <c r="K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35" i="12" s="1"/>
  <c r="K36" i="12" s="1"/>
  <c r="K37" i="12" s="1"/>
  <c r="K38" i="12" s="1"/>
  <c r="K39" i="12" s="1"/>
  <c r="K40" i="12" s="1"/>
  <c r="K41" i="12" s="1"/>
  <c r="K42" i="12" s="1"/>
  <c r="K43" i="12" s="1"/>
  <c r="K44" i="12" s="1"/>
  <c r="K45" i="12" s="1"/>
  <c r="K46" i="12" s="1"/>
  <c r="K47" i="12" s="1"/>
  <c r="K48" i="12" s="1"/>
  <c r="K49" i="12" s="1"/>
  <c r="K50" i="12" s="1"/>
  <c r="K51" i="12" s="1"/>
  <c r="K52" i="12" s="1"/>
  <c r="K53" i="12" s="1"/>
  <c r="K58" i="12" s="1"/>
  <c r="K59" i="12" s="1"/>
  <c r="K60" i="12" s="1"/>
  <c r="K61" i="12" s="1"/>
  <c r="K62" i="12" s="1"/>
  <c r="K63" i="12" s="1"/>
  <c r="K64" i="12" s="1"/>
  <c r="K65" i="12" s="1"/>
  <c r="K66" i="12" s="1"/>
  <c r="K67" i="12" s="1"/>
  <c r="K68" i="12" s="1"/>
  <c r="K69" i="12" s="1"/>
  <c r="K70" i="12" s="1"/>
  <c r="K71" i="12" s="1"/>
  <c r="K72" i="12" s="1"/>
  <c r="K73" i="12" s="1"/>
  <c r="K74" i="12" s="1"/>
  <c r="K75" i="12" s="1"/>
  <c r="K76" i="12" s="1"/>
  <c r="K77" i="12" s="1"/>
  <c r="K78" i="12" s="1"/>
  <c r="K79" i="12" s="1"/>
  <c r="K80" i="12" s="1"/>
  <c r="K81" i="12" s="1"/>
  <c r="K82" i="12" s="1"/>
  <c r="K83" i="12" s="1"/>
  <c r="K84" i="12" s="1"/>
  <c r="K85" i="12" s="1"/>
  <c r="K86" i="12" s="1"/>
  <c r="K87" i="12" s="1"/>
  <c r="K88" i="12" s="1"/>
  <c r="K89" i="12" s="1"/>
  <c r="K90" i="12" s="1"/>
  <c r="K91" i="12" s="1"/>
  <c r="K92" i="12" s="1"/>
  <c r="K93" i="12" s="1"/>
  <c r="K94" i="12" s="1"/>
  <c r="K95" i="12" s="1"/>
  <c r="K96" i="12" s="1"/>
  <c r="K97" i="12" s="1"/>
  <c r="K98" i="12" s="1"/>
  <c r="K99" i="12" s="1"/>
  <c r="K100" i="12" s="1"/>
  <c r="K101" i="12" s="1"/>
  <c r="K102" i="12" s="1"/>
  <c r="K103" i="12" s="1"/>
  <c r="K104" i="12" s="1"/>
  <c r="K105" i="12" s="1"/>
  <c r="K106" i="12" s="1"/>
  <c r="K107" i="12" s="1"/>
  <c r="K112" i="12" s="1"/>
  <c r="K113" i="12" s="1"/>
  <c r="K114" i="12" s="1"/>
  <c r="K115" i="12" s="1"/>
  <c r="K116" i="12" s="1"/>
  <c r="K117" i="12" s="1"/>
  <c r="K118" i="12" s="1"/>
  <c r="K119" i="12" s="1"/>
  <c r="K120" i="12" s="1"/>
  <c r="K121" i="12" s="1"/>
  <c r="K122" i="12" s="1"/>
  <c r="K123" i="12" s="1"/>
  <c r="K124" i="12" s="1"/>
  <c r="K125" i="12" s="1"/>
  <c r="K126" i="12" s="1"/>
  <c r="K127" i="12" s="1"/>
  <c r="K128" i="12" s="1"/>
  <c r="K129" i="12" s="1"/>
  <c r="K130" i="12" s="1"/>
  <c r="K131" i="12" s="1"/>
  <c r="K132" i="12" s="1"/>
  <c r="D133" i="12"/>
  <c r="G133" i="12"/>
  <c r="I133" i="12" l="1"/>
  <c r="G108" i="12"/>
  <c r="E108" i="12"/>
  <c r="D108" i="12"/>
  <c r="F108" i="12" l="1"/>
  <c r="D115" i="11"/>
  <c r="E115" i="11"/>
  <c r="H115" i="11"/>
  <c r="H61" i="11"/>
  <c r="G115" i="11"/>
  <c r="I115" i="11" l="1"/>
  <c r="H104" i="10"/>
  <c r="G104" i="10"/>
  <c r="I104" i="10" s="1"/>
  <c r="E104" i="10"/>
  <c r="D104" i="10"/>
  <c r="D54" i="10"/>
  <c r="F104" i="10" l="1"/>
  <c r="F57" i="10"/>
  <c r="H122" i="9" l="1"/>
  <c r="G122" i="9"/>
  <c r="E122" i="9"/>
  <c r="D122" i="9"/>
  <c r="H106" i="9"/>
  <c r="G106" i="9"/>
  <c r="E106" i="9"/>
  <c r="D106" i="9"/>
  <c r="H53" i="9"/>
  <c r="G53" i="9"/>
  <c r="D53" i="9"/>
  <c r="K110" i="9"/>
  <c r="J110" i="9"/>
  <c r="F106" i="9" l="1"/>
  <c r="I53" i="9"/>
  <c r="I122" i="9"/>
  <c r="I106" i="9"/>
  <c r="F122" i="9"/>
  <c r="H60" i="26"/>
  <c r="H113" i="26"/>
  <c r="K115" i="26" l="1"/>
  <c r="I63" i="26" l="1"/>
  <c r="H115" i="21" l="1"/>
  <c r="G115" i="21"/>
  <c r="E115" i="21"/>
  <c r="D115" i="21"/>
  <c r="I113" i="21"/>
  <c r="F113" i="21"/>
  <c r="I115" i="21" l="1"/>
  <c r="H110" i="21"/>
  <c r="G110" i="21"/>
  <c r="E110" i="21"/>
  <c r="D110" i="21"/>
  <c r="F110" i="21" l="1"/>
  <c r="I110" i="21"/>
  <c r="I58" i="21"/>
  <c r="D121" i="18" l="1"/>
  <c r="E121" i="18"/>
  <c r="G121" i="18"/>
  <c r="H121" i="18"/>
  <c r="I121" i="18" s="1"/>
  <c r="D110" i="18"/>
  <c r="F121" i="18" l="1"/>
  <c r="K114" i="18"/>
  <c r="J114" i="18"/>
  <c r="I113" i="18"/>
  <c r="F113" i="18"/>
  <c r="H110" i="18" l="1"/>
  <c r="I113" i="28" l="1"/>
  <c r="F113" i="28"/>
  <c r="H110" i="28"/>
  <c r="G110" i="28"/>
  <c r="I110" i="28" s="1"/>
  <c r="E110" i="28"/>
  <c r="D110" i="28"/>
  <c r="F110" i="28" s="1"/>
  <c r="K124" i="28"/>
  <c r="K52" i="28"/>
  <c r="K53" i="28" s="1"/>
  <c r="K54" i="28" s="1"/>
  <c r="D55" i="28"/>
  <c r="E55" i="28"/>
  <c r="G55" i="28"/>
  <c r="H55" i="28"/>
  <c r="J5" i="28"/>
  <c r="J6" i="28" s="1"/>
  <c r="J7" i="28" s="1"/>
  <c r="J8" i="28" s="1"/>
  <c r="J9" i="28" s="1"/>
  <c r="J10" i="28" s="1"/>
  <c r="J11" i="28" s="1"/>
  <c r="J12" i="28" s="1"/>
  <c r="J13" i="28" s="1"/>
  <c r="J14" i="28" s="1"/>
  <c r="J15" i="28" s="1"/>
  <c r="J16" i="28" s="1"/>
  <c r="J17" i="28" s="1"/>
  <c r="J18" i="28" s="1"/>
  <c r="J19" i="28" s="1"/>
  <c r="J20" i="28" s="1"/>
  <c r="J21" i="28" s="1"/>
  <c r="J22" i="28" s="1"/>
  <c r="J23" i="28" s="1"/>
  <c r="J24" i="28" s="1"/>
  <c r="J25" i="28" s="1"/>
  <c r="J26" i="28" s="1"/>
  <c r="J27" i="28" s="1"/>
  <c r="J28" i="28" s="1"/>
  <c r="J29" i="28" s="1"/>
  <c r="J30" i="28" s="1"/>
  <c r="J31" i="28" s="1"/>
  <c r="J32" i="28" s="1"/>
  <c r="J33" i="28" s="1"/>
  <c r="J34" i="28" s="1"/>
  <c r="J35" i="28" s="1"/>
  <c r="J36" i="28" s="1"/>
  <c r="J37" i="28" s="1"/>
  <c r="J38" i="28" s="1"/>
  <c r="J39" i="28" s="1"/>
  <c r="J40" i="28" s="1"/>
  <c r="J41" i="28" s="1"/>
  <c r="J42" i="28" s="1"/>
  <c r="J43" i="28" s="1"/>
  <c r="J44" i="28" s="1"/>
  <c r="J45" i="28" s="1"/>
  <c r="J46" i="28" s="1"/>
  <c r="J47" i="28" s="1"/>
  <c r="J48" i="28" s="1"/>
  <c r="J49" i="28" s="1"/>
  <c r="J50" i="28" s="1"/>
  <c r="J51" i="28" s="1"/>
  <c r="J52" i="28" s="1"/>
  <c r="J53" i="28" s="1"/>
  <c r="J54" i="28" s="1"/>
  <c r="K5" i="28"/>
  <c r="K6" i="28" s="1"/>
  <c r="K7" i="28" s="1"/>
  <c r="K8" i="28" s="1"/>
  <c r="K9" i="28" s="1"/>
  <c r="K10" i="28" s="1"/>
  <c r="K11" i="28" s="1"/>
  <c r="K12" i="28" s="1"/>
  <c r="K13" i="28" s="1"/>
  <c r="K14" i="28" s="1"/>
  <c r="K15" i="28" s="1"/>
  <c r="K16" i="28" s="1"/>
  <c r="K17" i="28" s="1"/>
  <c r="K18" i="28" s="1"/>
  <c r="K19" i="28" s="1"/>
  <c r="K20" i="28" s="1"/>
  <c r="K21" i="28" s="1"/>
  <c r="K22" i="28" s="1"/>
  <c r="K23" i="28" s="1"/>
  <c r="K24" i="28" s="1"/>
  <c r="K25" i="28" s="1"/>
  <c r="K26" i="28" s="1"/>
  <c r="K27" i="28" s="1"/>
  <c r="K28" i="28" s="1"/>
  <c r="K29" i="28" s="1"/>
  <c r="K30" i="28" s="1"/>
  <c r="K31" i="28" s="1"/>
  <c r="K32" i="28" s="1"/>
  <c r="K33" i="28" s="1"/>
  <c r="K34" i="28" s="1"/>
  <c r="K35" i="28" s="1"/>
  <c r="K36" i="28" s="1"/>
  <c r="K37" i="28" s="1"/>
  <c r="K38" i="28" s="1"/>
  <c r="K39" i="28" s="1"/>
  <c r="K40" i="28" s="1"/>
  <c r="K41" i="28" s="1"/>
  <c r="K42" i="28" s="1"/>
  <c r="K43" i="28" s="1"/>
  <c r="K44" i="28" s="1"/>
  <c r="K45" i="28" s="1"/>
  <c r="K46" i="28" s="1"/>
  <c r="K47" i="28" s="1"/>
  <c r="K48" i="28" s="1"/>
  <c r="K49" i="28" s="1"/>
  <c r="K50" i="28" s="1"/>
  <c r="F55" i="28" l="1"/>
  <c r="K110" i="15"/>
  <c r="K111" i="15" s="1"/>
  <c r="K112" i="15" s="1"/>
  <c r="K113" i="15" s="1"/>
  <c r="K114" i="15" s="1"/>
  <c r="K115" i="15" s="1"/>
  <c r="K116" i="15" s="1"/>
  <c r="K117" i="15" s="1"/>
  <c r="K118" i="15" s="1"/>
  <c r="K119" i="15" s="1"/>
  <c r="K120" i="15" s="1"/>
  <c r="K121" i="15" s="1"/>
  <c r="K122" i="15" s="1"/>
  <c r="K123" i="15" s="1"/>
  <c r="K124" i="15" s="1"/>
  <c r="K125" i="15" s="1"/>
  <c r="K126" i="15" s="1"/>
  <c r="K127" i="15" s="1"/>
  <c r="K128" i="15" s="1"/>
  <c r="K129" i="15" s="1"/>
  <c r="K130" i="15" s="1"/>
  <c r="K131" i="15" s="1"/>
  <c r="K132" i="15" s="1"/>
  <c r="K133" i="15" s="1"/>
  <c r="K134" i="15" s="1"/>
  <c r="K135" i="15" s="1"/>
  <c r="K136" i="15" s="1"/>
  <c r="K137" i="15" s="1"/>
  <c r="K138" i="15" s="1"/>
  <c r="K139" i="15" s="1"/>
  <c r="K140" i="15" s="1"/>
  <c r="K141" i="15" s="1"/>
  <c r="K142" i="15" s="1"/>
  <c r="K143" i="15" s="1"/>
  <c r="K144" i="15" s="1"/>
  <c r="K145" i="15" s="1"/>
  <c r="J110" i="15"/>
  <c r="J111" i="15" s="1"/>
  <c r="J112" i="15" s="1"/>
  <c r="J113" i="15" s="1"/>
  <c r="J114" i="15" s="1"/>
  <c r="J115" i="15" s="1"/>
  <c r="J116" i="15" s="1"/>
  <c r="J117" i="15" s="1"/>
  <c r="J118" i="15" s="1"/>
  <c r="J119" i="15" s="1"/>
  <c r="J120" i="15" s="1"/>
  <c r="J121" i="15" s="1"/>
  <c r="J122" i="15" s="1"/>
  <c r="J123" i="15" s="1"/>
  <c r="J124" i="15" s="1"/>
  <c r="J125" i="15" s="1"/>
  <c r="J126" i="15" s="1"/>
  <c r="J127" i="15" s="1"/>
  <c r="J128" i="15" s="1"/>
  <c r="J129" i="15" s="1"/>
  <c r="J130" i="15" s="1"/>
  <c r="J131" i="15" s="1"/>
  <c r="J132" i="15" s="1"/>
  <c r="J133" i="15" s="1"/>
  <c r="J134" i="15" s="1"/>
  <c r="J135" i="15" s="1"/>
  <c r="J136" i="15" s="1"/>
  <c r="J137" i="15" s="1"/>
  <c r="J138" i="15" s="1"/>
  <c r="J139" i="15" s="1"/>
  <c r="J140" i="15" s="1"/>
  <c r="J141" i="15" s="1"/>
  <c r="J142" i="15" s="1"/>
  <c r="J143" i="15" s="1"/>
  <c r="J144" i="15" s="1"/>
  <c r="J145" i="15" s="1"/>
  <c r="H146" i="15"/>
  <c r="I146" i="15" s="1"/>
  <c r="G146" i="15"/>
  <c r="E146" i="15"/>
  <c r="D146" i="15"/>
  <c r="F146" i="15" s="1"/>
  <c r="J5" i="15"/>
  <c r="J6" i="15" s="1"/>
  <c r="J7" i="15" s="1"/>
  <c r="J8" i="15" s="1"/>
  <c r="J9" i="15" s="1"/>
  <c r="J10" i="15" s="1"/>
  <c r="J11" i="15" s="1"/>
  <c r="J12" i="15" s="1"/>
  <c r="J13" i="15" s="1"/>
  <c r="J14" i="15" s="1"/>
  <c r="J15" i="15" s="1"/>
  <c r="J16" i="15" s="1"/>
  <c r="J17" i="15" s="1"/>
  <c r="J18" i="15" s="1"/>
  <c r="J19" i="15" s="1"/>
  <c r="J20" i="15" s="1"/>
  <c r="J21" i="15" s="1"/>
  <c r="J22" i="15" s="1"/>
  <c r="J23" i="15" s="1"/>
  <c r="J24" i="15" s="1"/>
  <c r="J25" i="15" s="1"/>
  <c r="J26" i="15" s="1"/>
  <c r="J27" i="15" s="1"/>
  <c r="J28" i="15" s="1"/>
  <c r="J29" i="15" s="1"/>
  <c r="J30" i="15" s="1"/>
  <c r="J31" i="15" s="1"/>
  <c r="J32" i="15" s="1"/>
  <c r="J33" i="15" s="1"/>
  <c r="J34" i="15" s="1"/>
  <c r="J35" i="15" s="1"/>
  <c r="J36" i="15" s="1"/>
  <c r="J37" i="15" s="1"/>
  <c r="J38" i="15" s="1"/>
  <c r="J39" i="15" s="1"/>
  <c r="J40" i="15" s="1"/>
  <c r="J41" i="15" s="1"/>
  <c r="J42" i="15" s="1"/>
  <c r="J43" i="15" s="1"/>
  <c r="J44" i="15" s="1"/>
  <c r="J45" i="15" s="1"/>
  <c r="J46" i="15" s="1"/>
  <c r="J47" i="15" s="1"/>
  <c r="J48" i="15" s="1"/>
  <c r="J49" i="15" s="1"/>
  <c r="J50" i="15" s="1"/>
  <c r="J51" i="15" s="1"/>
  <c r="J52" i="15" s="1"/>
  <c r="K5" i="15"/>
  <c r="K6" i="15" s="1"/>
  <c r="K7" i="15" s="1"/>
  <c r="K8" i="15" s="1"/>
  <c r="K9" i="15" s="1"/>
  <c r="K10" i="15" s="1"/>
  <c r="K11" i="15" s="1"/>
  <c r="K12" i="15" s="1"/>
  <c r="K13" i="15" s="1"/>
  <c r="K14" i="15" s="1"/>
  <c r="K15" i="15" s="1"/>
  <c r="K16" i="15" s="1"/>
  <c r="K17" i="15" s="1"/>
  <c r="K18" i="15" s="1"/>
  <c r="K19" i="15" s="1"/>
  <c r="K20" i="15" s="1"/>
  <c r="K21" i="15" s="1"/>
  <c r="K22" i="15" s="1"/>
  <c r="K23" i="15" s="1"/>
  <c r="K24" i="15" s="1"/>
  <c r="K25" i="15" s="1"/>
  <c r="K26" i="15" s="1"/>
  <c r="K27" i="15" s="1"/>
  <c r="K28" i="15" s="1"/>
  <c r="K29" i="15" s="1"/>
  <c r="K30" i="15" s="1"/>
  <c r="K31" i="15" s="1"/>
  <c r="K32" i="15" s="1"/>
  <c r="K33" i="15" s="1"/>
  <c r="K34" i="15" s="1"/>
  <c r="K35" i="15" s="1"/>
  <c r="K36" i="15" s="1"/>
  <c r="K37" i="15" s="1"/>
  <c r="K38" i="15" s="1"/>
  <c r="K39" i="15" s="1"/>
  <c r="K40" i="15" s="1"/>
  <c r="K41" i="15" s="1"/>
  <c r="K42" i="15" s="1"/>
  <c r="K43" i="15" s="1"/>
  <c r="K44" i="15" s="1"/>
  <c r="K45" i="15" s="1"/>
  <c r="K46" i="15" s="1"/>
  <c r="K47" i="15" s="1"/>
  <c r="K48" i="15" s="1"/>
  <c r="K49" i="15" s="1"/>
  <c r="K50" i="15" s="1"/>
  <c r="K51" i="15" s="1"/>
  <c r="K52" i="15" s="1"/>
  <c r="K57" i="15"/>
  <c r="K58" i="15" s="1"/>
  <c r="K59" i="15" s="1"/>
  <c r="K60" i="15" s="1"/>
  <c r="K61" i="15" s="1"/>
  <c r="K62" i="15" s="1"/>
  <c r="K63" i="15" s="1"/>
  <c r="K64" i="15" s="1"/>
  <c r="K65" i="15" s="1"/>
  <c r="K66" i="15" s="1"/>
  <c r="K67" i="15" s="1"/>
  <c r="K68" i="15" s="1"/>
  <c r="K69" i="15" s="1"/>
  <c r="K70" i="15" s="1"/>
  <c r="K71" i="15" s="1"/>
  <c r="K72" i="15" s="1"/>
  <c r="K73" i="15" s="1"/>
  <c r="K74" i="15" s="1"/>
  <c r="K75" i="15" s="1"/>
  <c r="K76" i="15" s="1"/>
  <c r="K77" i="15" s="1"/>
  <c r="K78" i="15" s="1"/>
  <c r="K79" i="15" s="1"/>
  <c r="K80" i="15" s="1"/>
  <c r="K81" i="15" s="1"/>
  <c r="K82" i="15" s="1"/>
  <c r="K83" i="15" s="1"/>
  <c r="K84" i="15" s="1"/>
  <c r="K85" i="15" s="1"/>
  <c r="K86" i="15" s="1"/>
  <c r="K87" i="15" s="1"/>
  <c r="K88" i="15" s="1"/>
  <c r="K89" i="15" s="1"/>
  <c r="K90" i="15" s="1"/>
  <c r="K91" i="15" s="1"/>
  <c r="K92" i="15" s="1"/>
  <c r="K93" i="15" s="1"/>
  <c r="K94" i="15" s="1"/>
  <c r="K95" i="15" s="1"/>
  <c r="K96" i="15" s="1"/>
  <c r="K97" i="15" s="1"/>
  <c r="K98" i="15" s="1"/>
  <c r="K99" i="15" s="1"/>
  <c r="K100" i="15" s="1"/>
  <c r="K101" i="15" s="1"/>
  <c r="K102" i="15" s="1"/>
  <c r="K103" i="15" s="1"/>
  <c r="K104" i="15" s="1"/>
  <c r="K105" i="15" s="1"/>
  <c r="J57" i="15"/>
  <c r="J58" i="15" s="1"/>
  <c r="J59" i="15" s="1"/>
  <c r="J60" i="15" s="1"/>
  <c r="J61" i="15" s="1"/>
  <c r="J62" i="15" s="1"/>
  <c r="J63" i="15" s="1"/>
  <c r="J64" i="15" s="1"/>
  <c r="J65" i="15" s="1"/>
  <c r="J66" i="15" s="1"/>
  <c r="J67" i="15" s="1"/>
  <c r="J68" i="15" s="1"/>
  <c r="J69" i="15" s="1"/>
  <c r="J70" i="15" s="1"/>
  <c r="J71" i="15" s="1"/>
  <c r="J72" i="15" s="1"/>
  <c r="J73" i="15" s="1"/>
  <c r="J74" i="15" s="1"/>
  <c r="J75" i="15" s="1"/>
  <c r="J76" i="15" s="1"/>
  <c r="J77" i="15" s="1"/>
  <c r="J78" i="15" s="1"/>
  <c r="J79" i="15" s="1"/>
  <c r="J80" i="15" s="1"/>
  <c r="J81" i="15" s="1"/>
  <c r="J82" i="15" s="1"/>
  <c r="J83" i="15" s="1"/>
  <c r="J84" i="15" s="1"/>
  <c r="J85" i="15" s="1"/>
  <c r="J86" i="15" s="1"/>
  <c r="J87" i="15" s="1"/>
  <c r="J88" i="15" s="1"/>
  <c r="J89" i="15" s="1"/>
  <c r="J90" i="15" s="1"/>
  <c r="J91" i="15" s="1"/>
  <c r="J92" i="15" s="1"/>
  <c r="J93" i="15" s="1"/>
  <c r="J94" i="15" s="1"/>
  <c r="J95" i="15" s="1"/>
  <c r="J96" i="15" s="1"/>
  <c r="J97" i="15" s="1"/>
  <c r="J98" i="15" s="1"/>
  <c r="J99" i="15" s="1"/>
  <c r="J100" i="15" s="1"/>
  <c r="J101" i="15" s="1"/>
  <c r="J102" i="15" s="1"/>
  <c r="J103" i="15" s="1"/>
  <c r="J104" i="15" s="1"/>
  <c r="J105" i="15" s="1"/>
  <c r="D53" i="15"/>
  <c r="D106" i="15" s="1"/>
  <c r="H53" i="15"/>
  <c r="H106" i="15" s="1"/>
  <c r="G53" i="15"/>
  <c r="G106" i="15" s="1"/>
  <c r="E53" i="15"/>
  <c r="E106" i="15" s="1"/>
  <c r="I53" i="15" l="1"/>
  <c r="F106" i="15"/>
  <c r="F53" i="15"/>
  <c r="E133" i="12"/>
  <c r="F133" i="12" s="1"/>
  <c r="I111" i="12"/>
  <c r="F111" i="12"/>
  <c r="I57" i="12"/>
  <c r="F57" i="12"/>
  <c r="G54" i="12"/>
  <c r="E54" i="12"/>
  <c r="D54" i="12"/>
  <c r="I108" i="12" l="1"/>
  <c r="F54" i="12"/>
  <c r="I54" i="12"/>
  <c r="E53" i="9" l="1"/>
  <c r="F53" i="9" s="1"/>
  <c r="K111" i="9" l="1"/>
  <c r="K112" i="9" s="1"/>
  <c r="K113" i="9" s="1"/>
  <c r="K114" i="9" s="1"/>
  <c r="K115" i="9" s="1"/>
  <c r="K116" i="9" s="1"/>
  <c r="K117" i="9" s="1"/>
  <c r="K118" i="9" s="1"/>
  <c r="K119" i="9" s="1"/>
  <c r="K120" i="9" s="1"/>
  <c r="K121" i="9" s="1"/>
  <c r="J111" i="9"/>
  <c r="J112" i="9" s="1"/>
  <c r="J113" i="9" s="1"/>
  <c r="J114" i="9" s="1"/>
  <c r="J115" i="9" s="1"/>
  <c r="J116" i="9" s="1"/>
  <c r="J117" i="9" s="1"/>
  <c r="J118" i="9" s="1"/>
  <c r="J119" i="9" s="1"/>
  <c r="J120" i="9" s="1"/>
  <c r="J121" i="9" s="1"/>
  <c r="J57" i="9" l="1"/>
  <c r="K57" i="9"/>
  <c r="D113" i="26" l="1"/>
  <c r="G113" i="26"/>
  <c r="I113" i="26" l="1"/>
  <c r="E110" i="18" l="1"/>
  <c r="F110" i="18"/>
  <c r="H55" i="18"/>
  <c r="K6" i="18"/>
  <c r="K7" i="18" s="1"/>
  <c r="K8" i="18" s="1"/>
  <c r="K9" i="18" s="1"/>
  <c r="K10" i="18" s="1"/>
  <c r="K11" i="18" s="1"/>
  <c r="K12" i="18" s="1"/>
  <c r="K13" i="18" s="1"/>
  <c r="K14" i="18" s="1"/>
  <c r="K15" i="18" s="1"/>
  <c r="K16" i="18" s="1"/>
  <c r="K17" i="18" s="1"/>
  <c r="K18" i="18" s="1"/>
  <c r="K19" i="18" s="1"/>
  <c r="K20" i="18" s="1"/>
  <c r="K21" i="18" s="1"/>
  <c r="K22" i="18" s="1"/>
  <c r="K23" i="18" s="1"/>
  <c r="K24" i="18" s="1"/>
  <c r="K25" i="18" s="1"/>
  <c r="K26" i="18" s="1"/>
  <c r="K27" i="18" s="1"/>
  <c r="K28" i="18" s="1"/>
  <c r="K29" i="18" s="1"/>
  <c r="K30" i="18" s="1"/>
  <c r="K31" i="18" s="1"/>
  <c r="K32" i="18" s="1"/>
  <c r="K33" i="18" s="1"/>
  <c r="K34" i="18" s="1"/>
  <c r="K35" i="18" s="1"/>
  <c r="K36" i="18" s="1"/>
  <c r="K37" i="18" s="1"/>
  <c r="K38" i="18" s="1"/>
  <c r="K39" i="18" s="1"/>
  <c r="K40" i="18" s="1"/>
  <c r="K41" i="18" s="1"/>
  <c r="K42" i="18" s="1"/>
  <c r="K43" i="18" s="1"/>
  <c r="K44" i="18" s="1"/>
  <c r="K45" i="18" s="1"/>
  <c r="K46" i="18" s="1"/>
  <c r="K47" i="18" s="1"/>
  <c r="K48" i="18" s="1"/>
  <c r="K49" i="18" s="1"/>
  <c r="K50" i="18" s="1"/>
  <c r="K51" i="18" s="1"/>
  <c r="K52" i="18" s="1"/>
  <c r="K53" i="18" s="1"/>
  <c r="K54" i="18" s="1"/>
  <c r="J6" i="18"/>
  <c r="J7" i="18" s="1"/>
  <c r="J8" i="18" s="1"/>
  <c r="J9" i="18" s="1"/>
  <c r="J10" i="18" s="1"/>
  <c r="J11" i="18" s="1"/>
  <c r="J12" i="18" s="1"/>
  <c r="J13" i="18" s="1"/>
  <c r="J14" i="18" s="1"/>
  <c r="J15" i="18" s="1"/>
  <c r="J16" i="18" s="1"/>
  <c r="J17" i="18" s="1"/>
  <c r="J18" i="18" s="1"/>
  <c r="J19" i="18" s="1"/>
  <c r="J20" i="18" s="1"/>
  <c r="J21" i="18" s="1"/>
  <c r="J22" i="18" s="1"/>
  <c r="J23" i="18" s="1"/>
  <c r="J24" i="18" s="1"/>
  <c r="J25" i="18" s="1"/>
  <c r="J26" i="18" s="1"/>
  <c r="J27" i="18" s="1"/>
  <c r="J28" i="18" s="1"/>
  <c r="J29" i="18" s="1"/>
  <c r="J30" i="18" s="1"/>
  <c r="J31" i="18" s="1"/>
  <c r="J32" i="18" s="1"/>
  <c r="J33" i="18" s="1"/>
  <c r="J34" i="18" s="1"/>
  <c r="J35" i="18" s="1"/>
  <c r="J36" i="18" s="1"/>
  <c r="J37" i="18" s="1"/>
  <c r="J38" i="18" s="1"/>
  <c r="J39" i="18" s="1"/>
  <c r="J40" i="18" s="1"/>
  <c r="J41" i="18" s="1"/>
  <c r="J42" i="18" s="1"/>
  <c r="J43" i="18" s="1"/>
  <c r="J44" i="18" s="1"/>
  <c r="J45" i="18" s="1"/>
  <c r="J46" i="18" s="1"/>
  <c r="J47" i="18" s="1"/>
  <c r="J48" i="18" s="1"/>
  <c r="J49" i="18" s="1"/>
  <c r="J50" i="18" s="1"/>
  <c r="J51" i="18" s="1"/>
  <c r="J52" i="18" s="1"/>
  <c r="J53" i="18" s="1"/>
  <c r="J54" i="18" s="1"/>
  <c r="K59" i="18"/>
  <c r="K60" i="18" s="1"/>
  <c r="K61" i="18" s="1"/>
  <c r="K62" i="18" s="1"/>
  <c r="K63" i="18" s="1"/>
  <c r="K64" i="18" s="1"/>
  <c r="K65" i="18" s="1"/>
  <c r="K66" i="18" s="1"/>
  <c r="K67" i="18" s="1"/>
  <c r="K68" i="18" s="1"/>
  <c r="K69" i="18" s="1"/>
  <c r="K70" i="18" s="1"/>
  <c r="K71" i="18" s="1"/>
  <c r="K72" i="18" s="1"/>
  <c r="K73" i="18" s="1"/>
  <c r="J59" i="18"/>
  <c r="J60" i="18" s="1"/>
  <c r="J61" i="18" s="1"/>
  <c r="J62" i="18" s="1"/>
  <c r="J63" i="18" s="1"/>
  <c r="J64" i="18" s="1"/>
  <c r="J65" i="18" s="1"/>
  <c r="J66" i="18" s="1"/>
  <c r="J67" i="18" s="1"/>
  <c r="J68" i="18" s="1"/>
  <c r="J69" i="18" s="1"/>
  <c r="J70" i="18" s="1"/>
  <c r="J71" i="18" s="1"/>
  <c r="J72" i="18" s="1"/>
  <c r="J73" i="18" s="1"/>
  <c r="J74" i="18" l="1"/>
  <c r="J75" i="18" s="1"/>
  <c r="J76" i="18" s="1"/>
  <c r="J77" i="18" s="1"/>
  <c r="J78" i="18" s="1"/>
  <c r="J79" i="18" s="1"/>
  <c r="J80" i="18" s="1"/>
  <c r="J81" i="18" s="1"/>
  <c r="J82" i="18" s="1"/>
  <c r="J83" i="18" s="1"/>
  <c r="J84" i="18" s="1"/>
  <c r="J85" i="18" s="1"/>
  <c r="J86" i="18" s="1"/>
  <c r="J87" i="18" s="1"/>
  <c r="J88" i="18" s="1"/>
  <c r="J89" i="18" s="1"/>
  <c r="J90" i="18" s="1"/>
  <c r="J91" i="18" s="1"/>
  <c r="J92" i="18" s="1"/>
  <c r="J93" i="18" s="1"/>
  <c r="J94" i="18" s="1"/>
  <c r="J95" i="18" s="1"/>
  <c r="J96" i="18" s="1"/>
  <c r="J97" i="18" s="1"/>
  <c r="J98" i="18" s="1"/>
  <c r="J99" i="18" s="1"/>
  <c r="J100" i="18" s="1"/>
  <c r="J101" i="18" s="1"/>
  <c r="J102" i="18" s="1"/>
  <c r="J103" i="18" s="1"/>
  <c r="J104" i="18" s="1"/>
  <c r="J105" i="18" s="1"/>
  <c r="J106" i="18" s="1"/>
  <c r="J107" i="18" s="1"/>
  <c r="J108" i="18" s="1"/>
  <c r="J109" i="18" s="1"/>
  <c r="J115" i="18" s="1"/>
  <c r="J116" i="18" s="1"/>
  <c r="J117" i="18" s="1"/>
  <c r="J118" i="18" s="1"/>
  <c r="J119" i="18" s="1"/>
  <c r="J120" i="18" s="1"/>
  <c r="K74" i="18"/>
  <c r="K75" i="18" s="1"/>
  <c r="K76" i="18" s="1"/>
  <c r="K77" i="18" s="1"/>
  <c r="K78" i="18" s="1"/>
  <c r="K79" i="18" s="1"/>
  <c r="K80" i="18" s="1"/>
  <c r="K81" i="18" s="1"/>
  <c r="K82" i="18" s="1"/>
  <c r="K83" i="18" s="1"/>
  <c r="K84" i="18" s="1"/>
  <c r="K85" i="18" s="1"/>
  <c r="K86" i="18" s="1"/>
  <c r="K87" i="18" s="1"/>
  <c r="K88" i="18" s="1"/>
  <c r="K89" i="18" s="1"/>
  <c r="K90" i="18" s="1"/>
  <c r="K91" i="18" s="1"/>
  <c r="K92" i="18" s="1"/>
  <c r="K93" i="18" s="1"/>
  <c r="K94" i="18" s="1"/>
  <c r="K95" i="18" s="1"/>
  <c r="K96" i="18" s="1"/>
  <c r="K97" i="18" s="1"/>
  <c r="K98" i="18" s="1"/>
  <c r="K99" i="18" s="1"/>
  <c r="K100" i="18" s="1"/>
  <c r="K101" i="18" s="1"/>
  <c r="K102" i="18" s="1"/>
  <c r="K103" i="18" s="1"/>
  <c r="K104" i="18" s="1"/>
  <c r="K105" i="18" s="1"/>
  <c r="K106" i="18" s="1"/>
  <c r="K107" i="18" s="1"/>
  <c r="K108" i="18" s="1"/>
  <c r="K109" i="18" s="1"/>
  <c r="K115" i="18" s="1"/>
  <c r="K116" i="18" s="1"/>
  <c r="K117" i="18" s="1"/>
  <c r="K118" i="18" s="1"/>
  <c r="K119" i="18" s="1"/>
  <c r="K120" i="18" s="1"/>
  <c r="D121" i="28" l="1"/>
  <c r="F58" i="28" l="1"/>
  <c r="L115" i="15" l="1"/>
  <c r="I56" i="15"/>
  <c r="L119" i="15" l="1"/>
  <c r="I109" i="15"/>
  <c r="F56" i="9" l="1"/>
  <c r="F109" i="15"/>
  <c r="F56" i="15"/>
  <c r="J65" i="11" l="1"/>
  <c r="J66" i="11" s="1"/>
  <c r="J67" i="11" s="1"/>
  <c r="J68" i="11" s="1"/>
  <c r="J69" i="11" s="1"/>
  <c r="J70" i="11" s="1"/>
  <c r="J71" i="11" s="1"/>
  <c r="J72" i="11" s="1"/>
  <c r="J73" i="11" s="1"/>
  <c r="J74" i="11" s="1"/>
  <c r="J75" i="11" s="1"/>
  <c r="J76" i="11" s="1"/>
  <c r="J77" i="11" s="1"/>
  <c r="J78" i="11" s="1"/>
  <c r="J79" i="11" s="1"/>
  <c r="J80" i="11" s="1"/>
  <c r="J81" i="11" s="1"/>
  <c r="J82" i="11" s="1"/>
  <c r="J83" i="11" s="1"/>
  <c r="J84" i="11" s="1"/>
  <c r="J85" i="11" s="1"/>
  <c r="J86" i="11" s="1"/>
  <c r="J87" i="11" s="1"/>
  <c r="J88" i="11" s="1"/>
  <c r="J89" i="11" s="1"/>
  <c r="J90" i="11" s="1"/>
  <c r="J91" i="11" s="1"/>
  <c r="J92" i="11" s="1"/>
  <c r="J93" i="11" s="1"/>
  <c r="J94" i="11" s="1"/>
  <c r="J95" i="11" s="1"/>
  <c r="J96" i="11" s="1"/>
  <c r="J97" i="11" s="1"/>
  <c r="J98" i="11" s="1"/>
  <c r="J99" i="11" s="1"/>
  <c r="J100" i="11" s="1"/>
  <c r="J101" i="11" s="1"/>
  <c r="J102" i="11" s="1"/>
  <c r="J103" i="11" s="1"/>
  <c r="J104" i="11" s="1"/>
  <c r="J105" i="11" s="1"/>
  <c r="J106" i="11" s="1"/>
  <c r="J107" i="11" s="1"/>
  <c r="J108" i="11" s="1"/>
  <c r="J109" i="11" s="1"/>
  <c r="J110" i="11" s="1"/>
  <c r="J111" i="11" s="1"/>
  <c r="J112" i="11" s="1"/>
  <c r="J113" i="11" s="1"/>
  <c r="J114" i="11" s="1"/>
  <c r="K65" i="11"/>
  <c r="K66" i="11" s="1"/>
  <c r="K67" i="11" s="1"/>
  <c r="K68" i="11" s="1"/>
  <c r="K69" i="11" s="1"/>
  <c r="K70" i="11" s="1"/>
  <c r="K71" i="11" s="1"/>
  <c r="K72" i="11" s="1"/>
  <c r="K73" i="11" s="1"/>
  <c r="K74" i="11" s="1"/>
  <c r="K75" i="11" s="1"/>
  <c r="K76" i="11" s="1"/>
  <c r="K77" i="11" s="1"/>
  <c r="K78" i="11" s="1"/>
  <c r="K79" i="11" s="1"/>
  <c r="K80" i="11" s="1"/>
  <c r="K81" i="11" s="1"/>
  <c r="K82" i="11" s="1"/>
  <c r="K83" i="11" s="1"/>
  <c r="K84" i="11" s="1"/>
  <c r="K85" i="11" s="1"/>
  <c r="K86" i="11" s="1"/>
  <c r="K87" i="11" s="1"/>
  <c r="K88" i="11" s="1"/>
  <c r="K89" i="11" s="1"/>
  <c r="K90" i="11" s="1"/>
  <c r="K91" i="11" s="1"/>
  <c r="K92" i="11" s="1"/>
  <c r="K93" i="11" s="1"/>
  <c r="K94" i="11" s="1"/>
  <c r="K95" i="11" s="1"/>
  <c r="K96" i="11" s="1"/>
  <c r="K97" i="11" s="1"/>
  <c r="K98" i="11" s="1"/>
  <c r="K99" i="11" s="1"/>
  <c r="K100" i="11" s="1"/>
  <c r="K101" i="11" s="1"/>
  <c r="K102" i="11" s="1"/>
  <c r="K103" i="11" s="1"/>
  <c r="K104" i="11" s="1"/>
  <c r="K105" i="11" s="1"/>
  <c r="K106" i="11" s="1"/>
  <c r="K107" i="11" s="1"/>
  <c r="K108" i="11" s="1"/>
  <c r="K109" i="11" s="1"/>
  <c r="K110" i="11" s="1"/>
  <c r="K111" i="11" s="1"/>
  <c r="K112" i="11" s="1"/>
  <c r="K113" i="11" s="1"/>
  <c r="K114" i="11" s="1"/>
  <c r="L91" i="11" l="1"/>
  <c r="D61" i="11" l="1"/>
  <c r="F115" i="11" l="1"/>
  <c r="G61" i="11"/>
  <c r="E61" i="11"/>
  <c r="I61" i="11" l="1"/>
  <c r="F61" i="11"/>
  <c r="K5" i="11"/>
  <c r="G54" i="10" l="1"/>
  <c r="H54" i="10"/>
  <c r="I54" i="10" l="1"/>
  <c r="I109" i="9" l="1"/>
  <c r="F109" i="9"/>
  <c r="K58" i="9"/>
  <c r="K59" i="9" s="1"/>
  <c r="K60" i="9" s="1"/>
  <c r="K61" i="9" s="1"/>
  <c r="K62" i="9" s="1"/>
  <c r="K63" i="9" s="1"/>
  <c r="K64" i="9" s="1"/>
  <c r="K65" i="9" s="1"/>
  <c r="K66" i="9" s="1"/>
  <c r="K67" i="9" s="1"/>
  <c r="K68" i="9" s="1"/>
  <c r="K69" i="9" s="1"/>
  <c r="K70" i="9" s="1"/>
  <c r="K71" i="9" s="1"/>
  <c r="K72" i="9" s="1"/>
  <c r="K73" i="9" s="1"/>
  <c r="K74" i="9" s="1"/>
  <c r="K75" i="9" s="1"/>
  <c r="K76" i="9" s="1"/>
  <c r="K77" i="9" s="1"/>
  <c r="K78" i="9" s="1"/>
  <c r="K79" i="9" s="1"/>
  <c r="J58" i="9"/>
  <c r="J59" i="9" s="1"/>
  <c r="J60" i="9" s="1"/>
  <c r="J61" i="9" s="1"/>
  <c r="J62" i="9" s="1"/>
  <c r="J63" i="9" s="1"/>
  <c r="J64" i="9" s="1"/>
  <c r="J65" i="9" s="1"/>
  <c r="J66" i="9" s="1"/>
  <c r="J67" i="9" s="1"/>
  <c r="J68" i="9" s="1"/>
  <c r="J69" i="9" s="1"/>
  <c r="J70" i="9" s="1"/>
  <c r="J71" i="9" s="1"/>
  <c r="J72" i="9" s="1"/>
  <c r="J73" i="9" s="1"/>
  <c r="J74" i="9" s="1"/>
  <c r="J75" i="9" s="1"/>
  <c r="J76" i="9" s="1"/>
  <c r="J77" i="9" s="1"/>
  <c r="J78" i="9" s="1"/>
  <c r="J79" i="9" s="1"/>
  <c r="J80" i="9" s="1"/>
  <c r="J81" i="9" s="1"/>
  <c r="J82" i="9" s="1"/>
  <c r="J83" i="9" s="1"/>
  <c r="J84" i="9" s="1"/>
  <c r="J85" i="9" s="1"/>
  <c r="J86" i="9" s="1"/>
  <c r="J87" i="9" s="1"/>
  <c r="J88" i="9" s="1"/>
  <c r="J89" i="9" s="1"/>
  <c r="J90" i="9" s="1"/>
  <c r="J91" i="9" s="1"/>
  <c r="J92" i="9" s="1"/>
  <c r="J93" i="9" s="1"/>
  <c r="J94" i="9" s="1"/>
  <c r="J95" i="9" s="1"/>
  <c r="J96" i="9" s="1"/>
  <c r="J97" i="9" s="1"/>
  <c r="K80" i="9" l="1"/>
  <c r="K81" i="9" s="1"/>
  <c r="K82" i="9" s="1"/>
  <c r="K83" i="9" s="1"/>
  <c r="K84" i="9" s="1"/>
  <c r="K85" i="9" s="1"/>
  <c r="K86" i="9" s="1"/>
  <c r="K87" i="9" s="1"/>
  <c r="K88" i="9" s="1"/>
  <c r="K89" i="9" s="1"/>
  <c r="K90" i="9" s="1"/>
  <c r="K91" i="9" s="1"/>
  <c r="K92" i="9" s="1"/>
  <c r="K93" i="9" s="1"/>
  <c r="K94" i="9" s="1"/>
  <c r="K95" i="9" s="1"/>
  <c r="K96" i="9" s="1"/>
  <c r="K97" i="9" s="1"/>
  <c r="K98" i="9" s="1"/>
  <c r="L79" i="9"/>
  <c r="J98" i="9"/>
  <c r="J99" i="9" l="1"/>
  <c r="K99" i="9"/>
  <c r="K5" i="9"/>
  <c r="K6" i="9" s="1"/>
  <c r="K7" i="9" s="1"/>
  <c r="K8" i="9" s="1"/>
  <c r="K9" i="9" s="1"/>
  <c r="K10" i="9" s="1"/>
  <c r="K11" i="9" s="1"/>
  <c r="K12" i="9" s="1"/>
  <c r="K13" i="9" s="1"/>
  <c r="K14" i="9" s="1"/>
  <c r="K15" i="9" s="1"/>
  <c r="K16" i="9" s="1"/>
  <c r="K17" i="9" s="1"/>
  <c r="K18" i="9" s="1"/>
  <c r="K19" i="9" s="1"/>
  <c r="K20" i="9" s="1"/>
  <c r="K21" i="9" s="1"/>
  <c r="K22" i="9" s="1"/>
  <c r="K23" i="9" s="1"/>
  <c r="K24" i="9" s="1"/>
  <c r="K25" i="9" s="1"/>
  <c r="K26" i="9" s="1"/>
  <c r="K27" i="9" s="1"/>
  <c r="K28" i="9" s="1"/>
  <c r="K29" i="9" s="1"/>
  <c r="K30" i="9" s="1"/>
  <c r="K31" i="9" s="1"/>
  <c r="K32" i="9" s="1"/>
  <c r="K33" i="9" s="1"/>
  <c r="K34" i="9" s="1"/>
  <c r="K35" i="9" s="1"/>
  <c r="K36" i="9" s="1"/>
  <c r="K37" i="9" s="1"/>
  <c r="K38" i="9" s="1"/>
  <c r="K39" i="9" s="1"/>
  <c r="K40" i="9" s="1"/>
  <c r="K41" i="9" s="1"/>
  <c r="K42" i="9" s="1"/>
  <c r="K43" i="9" s="1"/>
  <c r="K44" i="9" s="1"/>
  <c r="K45" i="9" s="1"/>
  <c r="K46" i="9" s="1"/>
  <c r="K47" i="9" s="1"/>
  <c r="K48" i="9" s="1"/>
  <c r="K49" i="9" s="1"/>
  <c r="K50" i="9" s="1"/>
  <c r="K51" i="9" s="1"/>
  <c r="K52" i="9" s="1"/>
  <c r="K100" i="9" l="1"/>
  <c r="J100" i="9"/>
  <c r="G60" i="26"/>
  <c r="E60" i="26"/>
  <c r="D60" i="26"/>
  <c r="J64" i="26"/>
  <c r="J65" i="26" s="1"/>
  <c r="J66" i="26" s="1"/>
  <c r="J67" i="26" s="1"/>
  <c r="J68" i="26" s="1"/>
  <c r="J69" i="26" s="1"/>
  <c r="J70" i="26" s="1"/>
  <c r="J71" i="26" s="1"/>
  <c r="J72" i="26" s="1"/>
  <c r="J73" i="26" s="1"/>
  <c r="J74" i="26" s="1"/>
  <c r="J75" i="26" s="1"/>
  <c r="J76" i="26" s="1"/>
  <c r="J77" i="26" s="1"/>
  <c r="J78" i="26" s="1"/>
  <c r="J79" i="26" s="1"/>
  <c r="J80" i="26" s="1"/>
  <c r="J81" i="26" s="1"/>
  <c r="J82" i="26" s="1"/>
  <c r="J83" i="26" s="1"/>
  <c r="J84" i="26" s="1"/>
  <c r="J85" i="26" s="1"/>
  <c r="J86" i="26" s="1"/>
  <c r="J87" i="26" s="1"/>
  <c r="J88" i="26" s="1"/>
  <c r="J89" i="26" s="1"/>
  <c r="J90" i="26" s="1"/>
  <c r="J91" i="26" s="1"/>
  <c r="J92" i="26" s="1"/>
  <c r="J93" i="26" s="1"/>
  <c r="J94" i="26" s="1"/>
  <c r="J95" i="26" s="1"/>
  <c r="J96" i="26" s="1"/>
  <c r="J97" i="26" s="1"/>
  <c r="J98" i="26" s="1"/>
  <c r="J99" i="26" s="1"/>
  <c r="J100" i="26" s="1"/>
  <c r="J101" i="26" s="1"/>
  <c r="J102" i="26" s="1"/>
  <c r="J103" i="26" s="1"/>
  <c r="J104" i="26" s="1"/>
  <c r="J105" i="26" s="1"/>
  <c r="J106" i="26" s="1"/>
  <c r="J107" i="26" s="1"/>
  <c r="J108" i="26" s="1"/>
  <c r="J109" i="26" s="1"/>
  <c r="J110" i="26" s="1"/>
  <c r="J111" i="26" s="1"/>
  <c r="J112" i="26" s="1"/>
  <c r="K64" i="26"/>
  <c r="K65" i="26" s="1"/>
  <c r="K66" i="26" s="1"/>
  <c r="K67" i="26" s="1"/>
  <c r="K68" i="26" s="1"/>
  <c r="K69" i="26" s="1"/>
  <c r="K70" i="26" s="1"/>
  <c r="K71" i="26" s="1"/>
  <c r="K72" i="26" s="1"/>
  <c r="K73" i="26" s="1"/>
  <c r="K74" i="26" s="1"/>
  <c r="K75" i="26" s="1"/>
  <c r="K76" i="26" s="1"/>
  <c r="K77" i="26" s="1"/>
  <c r="K78" i="26" s="1"/>
  <c r="K79" i="26" s="1"/>
  <c r="K80" i="26" s="1"/>
  <c r="K81" i="26" s="1"/>
  <c r="K82" i="26" s="1"/>
  <c r="K83" i="26" s="1"/>
  <c r="K84" i="26" s="1"/>
  <c r="K85" i="26" s="1"/>
  <c r="K86" i="26" s="1"/>
  <c r="K87" i="26" s="1"/>
  <c r="K88" i="26" s="1"/>
  <c r="K89" i="26" s="1"/>
  <c r="K90" i="26" s="1"/>
  <c r="K91" i="26" s="1"/>
  <c r="K92" i="26" s="1"/>
  <c r="K93" i="26" s="1"/>
  <c r="K94" i="26" s="1"/>
  <c r="K95" i="26" s="1"/>
  <c r="K96" i="26" s="1"/>
  <c r="K97" i="26" s="1"/>
  <c r="K98" i="26" s="1"/>
  <c r="K99" i="26" s="1"/>
  <c r="K100" i="26" s="1"/>
  <c r="K101" i="26" s="1"/>
  <c r="K102" i="26" s="1"/>
  <c r="K103" i="26" s="1"/>
  <c r="K104" i="26" s="1"/>
  <c r="K105" i="26" s="1"/>
  <c r="K106" i="26" s="1"/>
  <c r="K107" i="26" s="1"/>
  <c r="K108" i="26" s="1"/>
  <c r="K109" i="26" s="1"/>
  <c r="K110" i="26" s="1"/>
  <c r="K111" i="26" s="1"/>
  <c r="K112" i="26" s="1"/>
  <c r="J101" i="9" l="1"/>
  <c r="K101" i="9"/>
  <c r="F60" i="26"/>
  <c r="K102" i="9" l="1"/>
  <c r="J102" i="9"/>
  <c r="K59" i="21"/>
  <c r="K60" i="21" s="1"/>
  <c r="K61" i="21" s="1"/>
  <c r="K62" i="21" s="1"/>
  <c r="K63" i="21" s="1"/>
  <c r="K64" i="21" s="1"/>
  <c r="K65" i="21" s="1"/>
  <c r="K66" i="21" s="1"/>
  <c r="K67" i="21" s="1"/>
  <c r="K68" i="21" s="1"/>
  <c r="K69" i="21" s="1"/>
  <c r="K70" i="21" s="1"/>
  <c r="K71" i="21" s="1"/>
  <c r="K72" i="21" s="1"/>
  <c r="K73" i="21" s="1"/>
  <c r="K74" i="21" s="1"/>
  <c r="K75" i="21" s="1"/>
  <c r="K76" i="21" s="1"/>
  <c r="J59" i="21"/>
  <c r="J60" i="21" s="1"/>
  <c r="J61" i="21" s="1"/>
  <c r="J62" i="21" s="1"/>
  <c r="J63" i="21" s="1"/>
  <c r="J64" i="21" s="1"/>
  <c r="J65" i="21" s="1"/>
  <c r="J66" i="21" s="1"/>
  <c r="J67" i="21" s="1"/>
  <c r="J68" i="21" s="1"/>
  <c r="J69" i="21" s="1"/>
  <c r="J70" i="21" s="1"/>
  <c r="J71" i="21" s="1"/>
  <c r="J72" i="21" s="1"/>
  <c r="J73" i="21" s="1"/>
  <c r="J74" i="21" s="1"/>
  <c r="J75" i="21" s="1"/>
  <c r="J76" i="21" s="1"/>
  <c r="H55" i="21"/>
  <c r="G55" i="21"/>
  <c r="D55" i="21"/>
  <c r="E55" i="21"/>
  <c r="J77" i="21" l="1"/>
  <c r="J78" i="21" s="1"/>
  <c r="J79" i="21" s="1"/>
  <c r="J80" i="21" s="1"/>
  <c r="J81" i="21" s="1"/>
  <c r="J82" i="21" s="1"/>
  <c r="J83" i="21" s="1"/>
  <c r="J84" i="21" s="1"/>
  <c r="J85" i="21" s="1"/>
  <c r="J86" i="21" s="1"/>
  <c r="J87" i="21" s="1"/>
  <c r="J88" i="21" s="1"/>
  <c r="J89" i="21" s="1"/>
  <c r="J90" i="21" s="1"/>
  <c r="J91" i="21" s="1"/>
  <c r="J92" i="21" s="1"/>
  <c r="J93" i="21" s="1"/>
  <c r="J94" i="21" s="1"/>
  <c r="J95" i="21" s="1"/>
  <c r="J96" i="21" s="1"/>
  <c r="J97" i="21" s="1"/>
  <c r="J98" i="21" s="1"/>
  <c r="J99" i="21" s="1"/>
  <c r="J100" i="21" s="1"/>
  <c r="J101" i="21" s="1"/>
  <c r="J102" i="21" s="1"/>
  <c r="J103" i="21" s="1"/>
  <c r="J104" i="21" s="1"/>
  <c r="J105" i="21" s="1"/>
  <c r="J106" i="21" s="1"/>
  <c r="J107" i="21" s="1"/>
  <c r="J108" i="21" s="1"/>
  <c r="J109" i="21" s="1"/>
  <c r="J114" i="21" s="1"/>
  <c r="K77" i="21"/>
  <c r="K78" i="21" s="1"/>
  <c r="K79" i="21" s="1"/>
  <c r="K80" i="21" s="1"/>
  <c r="K81" i="21" s="1"/>
  <c r="K82" i="21" s="1"/>
  <c r="K83" i="21" s="1"/>
  <c r="K84" i="21" s="1"/>
  <c r="K85" i="21" s="1"/>
  <c r="K86" i="21" s="1"/>
  <c r="K87" i="21" s="1"/>
  <c r="K88" i="21" s="1"/>
  <c r="K89" i="21" s="1"/>
  <c r="K90" i="21" s="1"/>
  <c r="K91" i="21" s="1"/>
  <c r="K92" i="21" s="1"/>
  <c r="K93" i="21" s="1"/>
  <c r="K94" i="21" s="1"/>
  <c r="K95" i="21" s="1"/>
  <c r="K96" i="21" s="1"/>
  <c r="K97" i="21" s="1"/>
  <c r="K98" i="21" s="1"/>
  <c r="K99" i="21" s="1"/>
  <c r="K100" i="21" s="1"/>
  <c r="K101" i="21" s="1"/>
  <c r="K102" i="21" s="1"/>
  <c r="K103" i="21" s="1"/>
  <c r="K104" i="21" s="1"/>
  <c r="K105" i="21" s="1"/>
  <c r="K106" i="21" s="1"/>
  <c r="K107" i="21" s="1"/>
  <c r="K108" i="21" s="1"/>
  <c r="K109" i="21" s="1"/>
  <c r="K114" i="21" s="1"/>
  <c r="J103" i="9"/>
  <c r="J104" i="9" s="1"/>
  <c r="J105" i="9" s="1"/>
  <c r="K103" i="9"/>
  <c r="K104" i="9" s="1"/>
  <c r="K105" i="9" s="1"/>
  <c r="I55" i="21"/>
  <c r="F115" i="21"/>
  <c r="F55" i="21"/>
  <c r="K6" i="21"/>
  <c r="K7" i="21" s="1"/>
  <c r="K8" i="21" s="1"/>
  <c r="K9" i="21" s="1"/>
  <c r="K10" i="21" s="1"/>
  <c r="K11" i="21" s="1"/>
  <c r="K12" i="21" s="1"/>
  <c r="K13" i="21" s="1"/>
  <c r="K14" i="21" s="1"/>
  <c r="K15" i="21" s="1"/>
  <c r="K16" i="21" s="1"/>
  <c r="K17" i="21" s="1"/>
  <c r="K18" i="21" s="1"/>
  <c r="K19" i="21" s="1"/>
  <c r="K20" i="21" s="1"/>
  <c r="K21" i="21" s="1"/>
  <c r="K22" i="21" s="1"/>
  <c r="K23" i="21" s="1"/>
  <c r="K24" i="21" s="1"/>
  <c r="K25" i="21" s="1"/>
  <c r="K26" i="21" s="1"/>
  <c r="K27" i="21" s="1"/>
  <c r="K28" i="21" s="1"/>
  <c r="K29" i="21" s="1"/>
  <c r="K30" i="21" s="1"/>
  <c r="K31" i="21" s="1"/>
  <c r="K32" i="21" s="1"/>
  <c r="K33" i="21" s="1"/>
  <c r="K34" i="21" s="1"/>
  <c r="K35" i="21" s="1"/>
  <c r="K36" i="21" s="1"/>
  <c r="K37" i="21" s="1"/>
  <c r="K38" i="21" s="1"/>
  <c r="K39" i="21" s="1"/>
  <c r="K40" i="21" s="1"/>
  <c r="K41" i="21" s="1"/>
  <c r="K42" i="21" s="1"/>
  <c r="K43" i="21" s="1"/>
  <c r="K44" i="21" s="1"/>
  <c r="K45" i="21" s="1"/>
  <c r="K46" i="21" s="1"/>
  <c r="K47" i="21" s="1"/>
  <c r="K48" i="21" s="1"/>
  <c r="K49" i="21" s="1"/>
  <c r="K50" i="21" s="1"/>
  <c r="K51" i="21" s="1"/>
  <c r="K52" i="21" s="1"/>
  <c r="K53" i="21" s="1"/>
  <c r="K54" i="21" s="1"/>
  <c r="K117" i="21" l="1"/>
  <c r="G55" i="18" l="1"/>
  <c r="E55" i="18"/>
  <c r="D55" i="18"/>
  <c r="I55" i="18" l="1"/>
  <c r="G110" i="18"/>
  <c r="F55" i="18"/>
  <c r="I110" i="18" l="1"/>
  <c r="F58" i="18"/>
  <c r="H121" i="28" l="1"/>
  <c r="K59" i="28" l="1"/>
  <c r="J59" i="28"/>
  <c r="I55" i="28" l="1"/>
  <c r="K60" i="28" l="1"/>
  <c r="K61" i="28" s="1"/>
  <c r="K62" i="28" s="1"/>
  <c r="K63" i="28" s="1"/>
  <c r="K64" i="28" s="1"/>
  <c r="K65" i="28" s="1"/>
  <c r="K66" i="28" s="1"/>
  <c r="K67" i="28" s="1"/>
  <c r="K68" i="28" s="1"/>
  <c r="K69" i="28" s="1"/>
  <c r="K70" i="28" s="1"/>
  <c r="K71" i="28" s="1"/>
  <c r="K72" i="28" s="1"/>
  <c r="K73" i="28" s="1"/>
  <c r="K74" i="28" s="1"/>
  <c r="K75" i="28" s="1"/>
  <c r="K76" i="28" s="1"/>
  <c r="K77" i="28" s="1"/>
  <c r="K78" i="28" s="1"/>
  <c r="K79" i="28" s="1"/>
  <c r="K80" i="28" s="1"/>
  <c r="K81" i="28" s="1"/>
  <c r="K82" i="28" s="1"/>
  <c r="K83" i="28" s="1"/>
  <c r="K84" i="28" s="1"/>
  <c r="K85" i="28" s="1"/>
  <c r="K86" i="28" s="1"/>
  <c r="K87" i="28" s="1"/>
  <c r="K88" i="28" s="1"/>
  <c r="K89" i="28" s="1"/>
  <c r="K90" i="28" s="1"/>
  <c r="K91" i="28" s="1"/>
  <c r="K92" i="28" s="1"/>
  <c r="K93" i="28" s="1"/>
  <c r="K94" i="28" s="1"/>
  <c r="K95" i="28" s="1"/>
  <c r="K96" i="28" s="1"/>
  <c r="K97" i="28" s="1"/>
  <c r="K98" i="28" s="1"/>
  <c r="K99" i="28" s="1"/>
  <c r="K100" i="28" s="1"/>
  <c r="K101" i="28" s="1"/>
  <c r="K102" i="28" s="1"/>
  <c r="K103" i="28" s="1"/>
  <c r="K104" i="28" s="1"/>
  <c r="K105" i="28" s="1"/>
  <c r="K106" i="28" s="1"/>
  <c r="K107" i="28" s="1"/>
  <c r="K108" i="28" s="1"/>
  <c r="K109" i="28" s="1"/>
  <c r="K114" i="28" s="1"/>
  <c r="K115" i="28" s="1"/>
  <c r="K116" i="28" s="1"/>
  <c r="K117" i="28" s="1"/>
  <c r="K118" i="28" s="1"/>
  <c r="K119" i="28" s="1"/>
  <c r="K120" i="28" s="1"/>
  <c r="J60" i="28"/>
  <c r="J61" i="28" s="1"/>
  <c r="J62" i="28" s="1"/>
  <c r="J63" i="28" s="1"/>
  <c r="J64" i="28" s="1"/>
  <c r="J65" i="28" s="1"/>
  <c r="J66" i="28" s="1"/>
  <c r="J67" i="28" s="1"/>
  <c r="J68" i="28" s="1"/>
  <c r="J69" i="28" s="1"/>
  <c r="J70" i="28" s="1"/>
  <c r="J71" i="28" s="1"/>
  <c r="J72" i="28" s="1"/>
  <c r="J73" i="28" s="1"/>
  <c r="J74" i="28" s="1"/>
  <c r="J75" i="28" s="1"/>
  <c r="J76" i="28" s="1"/>
  <c r="J77" i="28" s="1"/>
  <c r="J78" i="28" s="1"/>
  <c r="J79" i="28" s="1"/>
  <c r="J80" i="28" s="1"/>
  <c r="J81" i="28" s="1"/>
  <c r="J82" i="28" s="1"/>
  <c r="J83" i="28" s="1"/>
  <c r="J84" i="28" s="1"/>
  <c r="J85" i="28" s="1"/>
  <c r="J86" i="28" s="1"/>
  <c r="J87" i="28" s="1"/>
  <c r="J88" i="28" s="1"/>
  <c r="J89" i="28" s="1"/>
  <c r="J90" i="28" s="1"/>
  <c r="J91" i="28" s="1"/>
  <c r="J92" i="28" s="1"/>
  <c r="J93" i="28" s="1"/>
  <c r="J94" i="28" s="1"/>
  <c r="J95" i="28" s="1"/>
  <c r="J96" i="28" s="1"/>
  <c r="J97" i="28" s="1"/>
  <c r="J98" i="28" s="1"/>
  <c r="J99" i="28" s="1"/>
  <c r="J100" i="28" s="1"/>
  <c r="J101" i="28" s="1"/>
  <c r="J102" i="28" s="1"/>
  <c r="J103" i="28" s="1"/>
  <c r="J104" i="28" s="1"/>
  <c r="J105" i="28" s="1"/>
  <c r="J106" i="28" s="1"/>
  <c r="J107" i="28" s="1"/>
  <c r="J108" i="28" s="1"/>
  <c r="J109" i="28" s="1"/>
  <c r="K149" i="15"/>
  <c r="J114" i="28" l="1"/>
  <c r="J115" i="28" s="1"/>
  <c r="J116" i="28" s="1"/>
  <c r="J117" i="28" s="1"/>
  <c r="J118" i="28" s="1"/>
  <c r="J119" i="28" s="1"/>
  <c r="J120" i="28" s="1"/>
  <c r="I106" i="15"/>
  <c r="K127" i="30" l="1"/>
  <c r="K5" i="30"/>
  <c r="J5" i="30"/>
  <c r="J6" i="30" s="1"/>
  <c r="J7" i="30" s="1"/>
  <c r="J8" i="30" s="1"/>
  <c r="J9" i="30" s="1"/>
  <c r="J10" i="30" s="1"/>
  <c r="J11" i="30" s="1"/>
  <c r="J12" i="30" s="1"/>
  <c r="J13" i="30" s="1"/>
  <c r="J14" i="30" s="1"/>
  <c r="J15" i="30" s="1"/>
  <c r="J16" i="30" s="1"/>
  <c r="J17" i="30" s="1"/>
  <c r="J18" i="30" s="1"/>
  <c r="J19" i="30" s="1"/>
  <c r="J20" i="30" s="1"/>
  <c r="J21" i="30" s="1"/>
  <c r="J22" i="30" s="1"/>
  <c r="J23" i="30" s="1"/>
  <c r="J24" i="30" s="1"/>
  <c r="J25" i="30" s="1"/>
  <c r="J26" i="30" s="1"/>
  <c r="J27" i="30" s="1"/>
  <c r="J28" i="30" s="1"/>
  <c r="J29" i="30" s="1"/>
  <c r="J30" i="30" s="1"/>
  <c r="J31" i="30" s="1"/>
  <c r="J32" i="30" s="1"/>
  <c r="J33" i="30" s="1"/>
  <c r="J34" i="30" s="1"/>
  <c r="J35" i="30" s="1"/>
  <c r="J36" i="30" s="1"/>
  <c r="J37" i="30" s="1"/>
  <c r="J38" i="30" s="1"/>
  <c r="J39" i="30" s="1"/>
  <c r="J40" i="30" s="1"/>
  <c r="J41" i="30" s="1"/>
  <c r="J42" i="30" s="1"/>
  <c r="J43" i="30" s="1"/>
  <c r="J44" i="30" s="1"/>
  <c r="J45" i="30" s="1"/>
  <c r="J46" i="30" s="1"/>
  <c r="J47" i="30" s="1"/>
  <c r="J48" i="30" s="1"/>
  <c r="K122" i="29"/>
  <c r="J53" i="30" l="1"/>
  <c r="J54" i="30" s="1"/>
  <c r="J55" i="30" s="1"/>
  <c r="J56" i="30" s="1"/>
  <c r="J57" i="30" s="1"/>
  <c r="J58" i="30" s="1"/>
  <c r="J59" i="30" s="1"/>
  <c r="J60" i="30" s="1"/>
  <c r="J61" i="30" s="1"/>
  <c r="J62" i="30" s="1"/>
  <c r="J63" i="30" s="1"/>
  <c r="J64" i="30" s="1"/>
  <c r="J65" i="30" s="1"/>
  <c r="J66" i="30" s="1"/>
  <c r="J67" i="30" s="1"/>
  <c r="J68" i="30" s="1"/>
  <c r="J69" i="30" s="1"/>
  <c r="J70" i="30" s="1"/>
  <c r="J71" i="30" s="1"/>
  <c r="J72" i="30" s="1"/>
  <c r="J73" i="30" s="1"/>
  <c r="J74" i="30" s="1"/>
  <c r="J75" i="30" s="1"/>
  <c r="J76" i="30" s="1"/>
  <c r="J77" i="30" s="1"/>
  <c r="J78" i="30" s="1"/>
  <c r="J79" i="30" s="1"/>
  <c r="J80" i="30" s="1"/>
  <c r="J81" i="30" s="1"/>
  <c r="J82" i="30" s="1"/>
  <c r="J83" i="30" s="1"/>
  <c r="J84" i="30" s="1"/>
  <c r="J85" i="30" s="1"/>
  <c r="J86" i="30" s="1"/>
  <c r="J87" i="30" s="1"/>
  <c r="J88" i="30" s="1"/>
  <c r="J89" i="30" s="1"/>
  <c r="J90" i="30" s="1"/>
  <c r="J91" i="30" s="1"/>
  <c r="J92" i="30" s="1"/>
  <c r="J93" i="30" s="1"/>
  <c r="J94" i="30" s="1"/>
  <c r="J95" i="30" s="1"/>
  <c r="J96" i="30" s="1"/>
  <c r="J97" i="30" s="1"/>
  <c r="J102" i="30" s="1"/>
  <c r="J103" i="30" s="1"/>
  <c r="J104" i="30" s="1"/>
  <c r="K6" i="30"/>
  <c r="K7" i="30" s="1"/>
  <c r="K8" i="30" s="1"/>
  <c r="K9" i="30" s="1"/>
  <c r="K10" i="30" s="1"/>
  <c r="K11" i="30" s="1"/>
  <c r="K12" i="30" s="1"/>
  <c r="K13" i="30" s="1"/>
  <c r="K14" i="30" s="1"/>
  <c r="K15" i="30" s="1"/>
  <c r="K16" i="30" s="1"/>
  <c r="K17" i="30" s="1"/>
  <c r="K18" i="30" s="1"/>
  <c r="K19" i="30" s="1"/>
  <c r="K20" i="30" s="1"/>
  <c r="K21" i="30" s="1"/>
  <c r="K22" i="30" s="1"/>
  <c r="K23" i="30" s="1"/>
  <c r="K24" i="30" s="1"/>
  <c r="K25" i="30" s="1"/>
  <c r="K26" i="30" s="1"/>
  <c r="K27" i="30" s="1"/>
  <c r="K28" i="30" s="1"/>
  <c r="K29" i="30" s="1"/>
  <c r="K30" i="30" s="1"/>
  <c r="K31" i="30" s="1"/>
  <c r="K32" i="30" s="1"/>
  <c r="K33" i="30" s="1"/>
  <c r="K34" i="30" s="1"/>
  <c r="K35" i="30" s="1"/>
  <c r="K36" i="30" s="1"/>
  <c r="K37" i="30" s="1"/>
  <c r="K38" i="30" s="1"/>
  <c r="K39" i="30" s="1"/>
  <c r="K40" i="30" s="1"/>
  <c r="K41" i="30" s="1"/>
  <c r="K42" i="30" s="1"/>
  <c r="K43" i="30" s="1"/>
  <c r="K44" i="30" s="1"/>
  <c r="K45" i="30" s="1"/>
  <c r="K46" i="30" s="1"/>
  <c r="K47" i="30" s="1"/>
  <c r="K48" i="30" s="1"/>
  <c r="K53" i="30" s="1"/>
  <c r="K54" i="30" s="1"/>
  <c r="K55" i="30" s="1"/>
  <c r="K56" i="30" s="1"/>
  <c r="K57" i="30" s="1"/>
  <c r="K58" i="30" s="1"/>
  <c r="K59" i="30" s="1"/>
  <c r="K60" i="30" s="1"/>
  <c r="K61" i="30" s="1"/>
  <c r="K62" i="30" s="1"/>
  <c r="K63" i="30" s="1"/>
  <c r="K64" i="30" s="1"/>
  <c r="K65" i="30" s="1"/>
  <c r="K66" i="30" s="1"/>
  <c r="K67" i="30" s="1"/>
  <c r="K68" i="30" s="1"/>
  <c r="K69" i="30" s="1"/>
  <c r="K70" i="30" s="1"/>
  <c r="K71" i="30" s="1"/>
  <c r="K72" i="30" s="1"/>
  <c r="K73" i="30" s="1"/>
  <c r="K74" i="30" s="1"/>
  <c r="K75" i="30" s="1"/>
  <c r="K76" i="30" s="1"/>
  <c r="K77" i="30" s="1"/>
  <c r="K78" i="30" s="1"/>
  <c r="K79" i="30" s="1"/>
  <c r="K80" i="30" s="1"/>
  <c r="K81" i="30" s="1"/>
  <c r="K82" i="30" s="1"/>
  <c r="K83" i="30" s="1"/>
  <c r="K84" i="30" s="1"/>
  <c r="K85" i="30" s="1"/>
  <c r="K86" i="30" s="1"/>
  <c r="K87" i="30" s="1"/>
  <c r="K88" i="30" s="1"/>
  <c r="K89" i="30" s="1"/>
  <c r="K90" i="30" s="1"/>
  <c r="K91" i="30" s="1"/>
  <c r="K92" i="30" s="1"/>
  <c r="K93" i="30" s="1"/>
  <c r="K94" i="30" s="1"/>
  <c r="K95" i="30" s="1"/>
  <c r="K96" i="30" s="1"/>
  <c r="K97" i="30" s="1"/>
  <c r="K102" i="30" s="1"/>
  <c r="K103" i="30" s="1"/>
  <c r="K104" i="30" s="1"/>
  <c r="F58" i="21" l="1"/>
  <c r="K123" i="18" l="1"/>
  <c r="I58" i="18" l="1"/>
  <c r="E121" i="28" l="1"/>
  <c r="G121" i="28" l="1"/>
  <c r="I58" i="28"/>
  <c r="F121" i="28" l="1"/>
  <c r="I121" i="28"/>
  <c r="K5" i="13" l="1"/>
  <c r="K6" i="13" s="1"/>
  <c r="K7" i="13" s="1"/>
  <c r="K8" i="13" s="1"/>
  <c r="K9" i="13" s="1"/>
  <c r="K10" i="13" s="1"/>
  <c r="K11" i="13" s="1"/>
  <c r="K12" i="13" s="1"/>
  <c r="K13" i="13" s="1"/>
  <c r="K14" i="13" s="1"/>
  <c r="K15" i="13" s="1"/>
  <c r="K16" i="13" s="1"/>
  <c r="K17" i="13" s="1"/>
  <c r="K18" i="13" s="1"/>
  <c r="K19" i="13" s="1"/>
  <c r="K20" i="13" s="1"/>
  <c r="K21" i="13" s="1"/>
  <c r="K22" i="13" s="1"/>
  <c r="K23" i="13" s="1"/>
  <c r="K24" i="13" s="1"/>
  <c r="K25" i="13" s="1"/>
  <c r="K26" i="13" s="1"/>
  <c r="K27" i="13" s="1"/>
  <c r="K28" i="13" s="1"/>
  <c r="K29" i="13" s="1"/>
  <c r="K30" i="13" s="1"/>
  <c r="K31" i="13" s="1"/>
  <c r="K32" i="13" s="1"/>
  <c r="K33" i="13" s="1"/>
  <c r="K34" i="13" s="1"/>
  <c r="K35" i="13" s="1"/>
  <c r="K36" i="13" s="1"/>
  <c r="K37" i="13" s="1"/>
  <c r="K38" i="13" s="1"/>
  <c r="K39" i="13" s="1"/>
  <c r="K40" i="13" s="1"/>
  <c r="K41" i="13" s="1"/>
  <c r="K42" i="13" s="1"/>
  <c r="K43" i="13" s="1"/>
  <c r="K44" i="13" s="1"/>
  <c r="K45" i="13" s="1"/>
  <c r="K46" i="13" s="1"/>
  <c r="K47" i="13" s="1"/>
  <c r="K48" i="13" s="1"/>
  <c r="K49" i="13" s="1"/>
  <c r="K50" i="13" s="1"/>
  <c r="K51" i="13" s="1"/>
  <c r="K56" i="13" s="1"/>
  <c r="K57" i="13" s="1"/>
  <c r="K58" i="13" s="1"/>
  <c r="K59" i="13" s="1"/>
  <c r="K60" i="13" s="1"/>
  <c r="K61" i="13" s="1"/>
  <c r="K62" i="13" s="1"/>
  <c r="K63" i="13" s="1"/>
  <c r="K64" i="13" s="1"/>
  <c r="K65" i="13" s="1"/>
  <c r="K66" i="13" s="1"/>
  <c r="K67" i="13" s="1"/>
  <c r="K68" i="13" s="1"/>
  <c r="K69" i="13" s="1"/>
  <c r="K70" i="13" s="1"/>
  <c r="K71" i="13" s="1"/>
  <c r="K72" i="13" s="1"/>
  <c r="K73" i="13" s="1"/>
  <c r="K74" i="13" s="1"/>
  <c r="K75" i="13" s="1"/>
  <c r="K76" i="13" s="1"/>
  <c r="K77" i="13" s="1"/>
  <c r="K78" i="13" s="1"/>
  <c r="K79" i="13" s="1"/>
  <c r="K80" i="13" s="1"/>
  <c r="K81" i="13" s="1"/>
  <c r="K82" i="13" s="1"/>
  <c r="K83" i="13" s="1"/>
  <c r="K84" i="13" s="1"/>
  <c r="K85" i="13" s="1"/>
  <c r="K86" i="13" s="1"/>
  <c r="K87" i="13" s="1"/>
  <c r="K88" i="13" s="1"/>
  <c r="K89" i="13" s="1"/>
  <c r="K90" i="13" s="1"/>
  <c r="K91" i="13" s="1"/>
  <c r="K92" i="13" s="1"/>
  <c r="K93" i="13" s="1"/>
  <c r="K94" i="13" s="1"/>
  <c r="K95" i="13" s="1"/>
  <c r="K96" i="13" s="1"/>
  <c r="K97" i="13" s="1"/>
  <c r="K98" i="13" s="1"/>
  <c r="K99" i="13" s="1"/>
  <c r="K100" i="13" s="1"/>
  <c r="K101" i="13" s="1"/>
  <c r="K102" i="13" s="1"/>
  <c r="K103" i="13" s="1"/>
  <c r="K104" i="13" s="1"/>
  <c r="J5" i="13"/>
  <c r="J6" i="13" s="1"/>
  <c r="J7" i="13" s="1"/>
  <c r="J8" i="13" s="1"/>
  <c r="J9" i="13" s="1"/>
  <c r="J10" i="13" s="1"/>
  <c r="J11" i="13" s="1"/>
  <c r="J12" i="13" s="1"/>
  <c r="J13" i="13" s="1"/>
  <c r="J14" i="13" s="1"/>
  <c r="J15" i="13" s="1"/>
  <c r="J16" i="13" s="1"/>
  <c r="J17" i="13" s="1"/>
  <c r="J18" i="13" s="1"/>
  <c r="J19" i="13" s="1"/>
  <c r="J20" i="13" s="1"/>
  <c r="J21" i="13" s="1"/>
  <c r="J22" i="13" s="1"/>
  <c r="J23" i="13" s="1"/>
  <c r="J24" i="13" s="1"/>
  <c r="J25" i="13" s="1"/>
  <c r="J26" i="13" s="1"/>
  <c r="J27" i="13" s="1"/>
  <c r="J28" i="13" s="1"/>
  <c r="J29" i="13" s="1"/>
  <c r="J30" i="13" s="1"/>
  <c r="J31" i="13" s="1"/>
  <c r="J32" i="13" s="1"/>
  <c r="J33" i="13" s="1"/>
  <c r="J34" i="13" s="1"/>
  <c r="J35" i="13" s="1"/>
  <c r="J36" i="13" s="1"/>
  <c r="J37" i="13" s="1"/>
  <c r="J38" i="13" s="1"/>
  <c r="J39" i="13" s="1"/>
  <c r="J40" i="13" s="1"/>
  <c r="J41" i="13" s="1"/>
  <c r="J42" i="13" s="1"/>
  <c r="J43" i="13" s="1"/>
  <c r="J44" i="13" s="1"/>
  <c r="J45" i="13" s="1"/>
  <c r="J46" i="13" s="1"/>
  <c r="J47" i="13" s="1"/>
  <c r="J48" i="13" s="1"/>
  <c r="J49" i="13" s="1"/>
  <c r="J50" i="13" s="1"/>
  <c r="J51" i="13" s="1"/>
  <c r="J56" i="13" s="1"/>
  <c r="J57" i="13" s="1"/>
  <c r="J58" i="13" s="1"/>
  <c r="J59" i="13" s="1"/>
  <c r="J60" i="13" s="1"/>
  <c r="J61" i="13" s="1"/>
  <c r="J62" i="13" s="1"/>
  <c r="J63" i="13" s="1"/>
  <c r="J64" i="13" s="1"/>
  <c r="J65" i="13" s="1"/>
  <c r="J66" i="13" s="1"/>
  <c r="J67" i="13" s="1"/>
  <c r="J68" i="13" s="1"/>
  <c r="J69" i="13" s="1"/>
  <c r="J70" i="13" s="1"/>
  <c r="J71" i="13" s="1"/>
  <c r="J72" i="13" s="1"/>
  <c r="J73" i="13" s="1"/>
  <c r="J74" i="13" s="1"/>
  <c r="J75" i="13" s="1"/>
  <c r="J76" i="13" s="1"/>
  <c r="J77" i="13" s="1"/>
  <c r="J78" i="13" s="1"/>
  <c r="J79" i="13" s="1"/>
  <c r="J80" i="13" s="1"/>
  <c r="J81" i="13" s="1"/>
  <c r="J82" i="13" s="1"/>
  <c r="J83" i="13" s="1"/>
  <c r="J84" i="13" s="1"/>
  <c r="J85" i="13" s="1"/>
  <c r="J86" i="13" s="1"/>
  <c r="J87" i="13" s="1"/>
  <c r="J88" i="13" s="1"/>
  <c r="J89" i="13" s="1"/>
  <c r="J90" i="13" s="1"/>
  <c r="J91" i="13" s="1"/>
  <c r="J92" i="13" s="1"/>
  <c r="J93" i="13" s="1"/>
  <c r="J94" i="13" s="1"/>
  <c r="J95" i="13" s="1"/>
  <c r="J96" i="13" s="1"/>
  <c r="J97" i="13" s="1"/>
  <c r="J98" i="13" s="1"/>
  <c r="J99" i="13" s="1"/>
  <c r="J100" i="13" s="1"/>
  <c r="J101" i="13" s="1"/>
  <c r="J102" i="13" s="1"/>
  <c r="J103" i="13" s="1"/>
  <c r="J104" i="13" s="1"/>
  <c r="K136" i="12" l="1"/>
  <c r="J5" i="12"/>
  <c r="J6" i="12" s="1"/>
  <c r="J7" i="12" s="1"/>
  <c r="J8" i="12" s="1"/>
  <c r="J9" i="12" s="1"/>
  <c r="J10" i="12" s="1"/>
  <c r="J11" i="12" s="1"/>
  <c r="J12" i="12" s="1"/>
  <c r="J13" i="12" s="1"/>
  <c r="J14" i="12" s="1"/>
  <c r="J15" i="12" s="1"/>
  <c r="J16" i="12" s="1"/>
  <c r="J17" i="12" s="1"/>
  <c r="J18" i="12" s="1"/>
  <c r="J19" i="12" s="1"/>
  <c r="J20" i="12" s="1"/>
  <c r="J21" i="12" s="1"/>
  <c r="J22" i="12" s="1"/>
  <c r="J23" i="12" s="1"/>
  <c r="J24" i="12" s="1"/>
  <c r="J25" i="12" s="1"/>
  <c r="J26" i="12" s="1"/>
  <c r="J27" i="12" s="1"/>
  <c r="J28" i="12" s="1"/>
  <c r="J29" i="12" s="1"/>
  <c r="J30" i="12" s="1"/>
  <c r="J31" i="12" s="1"/>
  <c r="J32" i="12" s="1"/>
  <c r="J33" i="12" s="1"/>
  <c r="J34" i="12" s="1"/>
  <c r="J35" i="12" s="1"/>
  <c r="J36" i="12" s="1"/>
  <c r="J37" i="12" s="1"/>
  <c r="J38" i="12" s="1"/>
  <c r="J39" i="12" s="1"/>
  <c r="J40" i="12" s="1"/>
  <c r="J41" i="12" s="1"/>
  <c r="J42" i="12" s="1"/>
  <c r="J43" i="12" s="1"/>
  <c r="J44" i="12" s="1"/>
  <c r="J45" i="12" s="1"/>
  <c r="J46" i="12" s="1"/>
  <c r="J47" i="12" s="1"/>
  <c r="J48" i="12" s="1"/>
  <c r="J49" i="12" s="1"/>
  <c r="J50" i="12" s="1"/>
  <c r="J51" i="12" s="1"/>
  <c r="J52" i="12" s="1"/>
  <c r="J53" i="12" s="1"/>
  <c r="J58" i="12" s="1"/>
  <c r="J59" i="12" s="1"/>
  <c r="J60" i="12" s="1"/>
  <c r="J61" i="12" s="1"/>
  <c r="J62" i="12" s="1"/>
  <c r="J63" i="12" s="1"/>
  <c r="J64" i="12" s="1"/>
  <c r="J65" i="12" s="1"/>
  <c r="J66" i="12" s="1"/>
  <c r="J67" i="12" s="1"/>
  <c r="J68" i="12" s="1"/>
  <c r="J69" i="12" s="1"/>
  <c r="J70" i="12" s="1"/>
  <c r="J71" i="12" s="1"/>
  <c r="J72" i="12" s="1"/>
  <c r="J73" i="12" s="1"/>
  <c r="J74" i="12" s="1"/>
  <c r="J75" i="12" s="1"/>
  <c r="J76" i="12" s="1"/>
  <c r="J77" i="12" s="1"/>
  <c r="J78" i="12" s="1"/>
  <c r="J79" i="12" s="1"/>
  <c r="J80" i="12" s="1"/>
  <c r="J81" i="12" s="1"/>
  <c r="J82" i="12" s="1"/>
  <c r="J83" i="12" s="1"/>
  <c r="J84" i="12" s="1"/>
  <c r="J85" i="12" s="1"/>
  <c r="J86" i="12" s="1"/>
  <c r="J87" i="12" s="1"/>
  <c r="J88" i="12" s="1"/>
  <c r="J89" i="12" s="1"/>
  <c r="J90" i="12" s="1"/>
  <c r="J91" i="12" s="1"/>
  <c r="J92" i="12" s="1"/>
  <c r="J93" i="12" s="1"/>
  <c r="J94" i="12" s="1"/>
  <c r="J95" i="12" s="1"/>
  <c r="J96" i="12" s="1"/>
  <c r="J97" i="12" s="1"/>
  <c r="J98" i="12" s="1"/>
  <c r="J99" i="12" s="1"/>
  <c r="J100" i="12" s="1"/>
  <c r="J101" i="12" s="1"/>
  <c r="J102" i="12" s="1"/>
  <c r="J103" i="12" s="1"/>
  <c r="J104" i="12" s="1"/>
  <c r="J105" i="12" s="1"/>
  <c r="J106" i="12" s="1"/>
  <c r="J107" i="12" s="1"/>
  <c r="J112" i="12" s="1"/>
  <c r="J113" i="12" s="1"/>
  <c r="J114" i="12" s="1"/>
  <c r="J115" i="12" s="1"/>
  <c r="J116" i="12" s="1"/>
  <c r="J117" i="12" s="1"/>
  <c r="J118" i="12" s="1"/>
  <c r="J119" i="12" s="1"/>
  <c r="J120" i="12" s="1"/>
  <c r="J121" i="12" s="1"/>
  <c r="J122" i="12" s="1"/>
  <c r="J123" i="12" s="1"/>
  <c r="J124" i="12" s="1"/>
  <c r="J125" i="12" s="1"/>
  <c r="J126" i="12" s="1"/>
  <c r="J127" i="12" s="1"/>
  <c r="J128" i="12" s="1"/>
  <c r="J129" i="12" s="1"/>
  <c r="J130" i="12" s="1"/>
  <c r="J131" i="12" s="1"/>
  <c r="J132" i="12" s="1"/>
  <c r="K118" i="11" l="1"/>
  <c r="J58" i="10" l="1"/>
  <c r="J59" i="10" s="1"/>
  <c r="J60" i="10" s="1"/>
  <c r="J61" i="10" s="1"/>
  <c r="J62" i="10" s="1"/>
  <c r="J63" i="10" s="1"/>
  <c r="J64" i="10" s="1"/>
  <c r="J65" i="10" s="1"/>
  <c r="J66" i="10" s="1"/>
  <c r="J67" i="10" s="1"/>
  <c r="J68" i="10" s="1"/>
  <c r="J69" i="10" s="1"/>
  <c r="J70" i="10" s="1"/>
  <c r="J71" i="10" s="1"/>
  <c r="J72" i="10" s="1"/>
  <c r="J73" i="10" s="1"/>
  <c r="J74" i="10" s="1"/>
  <c r="J75" i="10" s="1"/>
  <c r="J76" i="10" s="1"/>
  <c r="J77" i="10" s="1"/>
  <c r="J78" i="10" s="1"/>
  <c r="J79" i="10" s="1"/>
  <c r="J80" i="10" s="1"/>
  <c r="J81" i="10" s="1"/>
  <c r="J82" i="10" s="1"/>
  <c r="J83" i="10" s="1"/>
  <c r="J84" i="10" s="1"/>
  <c r="J85" i="10" s="1"/>
  <c r="J86" i="10" s="1"/>
  <c r="J87" i="10" s="1"/>
  <c r="J88" i="10" s="1"/>
  <c r="J89" i="10" s="1"/>
  <c r="J90" i="10" s="1"/>
  <c r="J91" i="10" s="1"/>
  <c r="J92" i="10" s="1"/>
  <c r="J93" i="10" s="1"/>
  <c r="J94" i="10" s="1"/>
  <c r="J95" i="10" s="1"/>
  <c r="J96" i="10" s="1"/>
  <c r="J97" i="10" s="1"/>
  <c r="J98" i="10" s="1"/>
  <c r="J99" i="10" s="1"/>
  <c r="J100" i="10" s="1"/>
  <c r="J101" i="10" s="1"/>
  <c r="J102" i="10" s="1"/>
  <c r="J103" i="10" s="1"/>
  <c r="K58" i="10"/>
  <c r="K59" i="10" s="1"/>
  <c r="K60" i="10" s="1"/>
  <c r="K61" i="10" s="1"/>
  <c r="K62" i="10" s="1"/>
  <c r="K63" i="10" s="1"/>
  <c r="K64" i="10" s="1"/>
  <c r="K65" i="10" s="1"/>
  <c r="K66" i="10" s="1"/>
  <c r="K67" i="10" s="1"/>
  <c r="K68" i="10" s="1"/>
  <c r="K69" i="10" s="1"/>
  <c r="K70" i="10" s="1"/>
  <c r="K71" i="10" s="1"/>
  <c r="K72" i="10" s="1"/>
  <c r="K73" i="10" s="1"/>
  <c r="K74" i="10" s="1"/>
  <c r="K75" i="10" s="1"/>
  <c r="K76" i="10" s="1"/>
  <c r="K77" i="10" s="1"/>
  <c r="K78" i="10" s="1"/>
  <c r="K79" i="10" s="1"/>
  <c r="K80" i="10" s="1"/>
  <c r="K81" i="10" s="1"/>
  <c r="K82" i="10" s="1"/>
  <c r="K83" i="10" s="1"/>
  <c r="K84" i="10" s="1"/>
  <c r="K85" i="10" s="1"/>
  <c r="K86" i="10" s="1"/>
  <c r="K87" i="10" s="1"/>
  <c r="K88" i="10" s="1"/>
  <c r="K89" i="10" s="1"/>
  <c r="K90" i="10" s="1"/>
  <c r="K91" i="10" s="1"/>
  <c r="K92" i="10" s="1"/>
  <c r="K93" i="10" s="1"/>
  <c r="K94" i="10" s="1"/>
  <c r="K95" i="10" s="1"/>
  <c r="K96" i="10" s="1"/>
  <c r="K97" i="10" s="1"/>
  <c r="K98" i="10" s="1"/>
  <c r="K99" i="10" s="1"/>
  <c r="K100" i="10" s="1"/>
  <c r="K101" i="10" s="1"/>
  <c r="K102" i="10" s="1"/>
  <c r="K103" i="10" s="1"/>
  <c r="J5" i="10"/>
  <c r="J6" i="10" s="1"/>
  <c r="K125" i="9" l="1"/>
  <c r="K107" i="10"/>
  <c r="I64" i="11" l="1"/>
  <c r="F64" i="11"/>
  <c r="K6" i="11"/>
  <c r="K7" i="11" s="1"/>
  <c r="K8" i="11" s="1"/>
  <c r="K9" i="11" s="1"/>
  <c r="K10" i="11" s="1"/>
  <c r="K11" i="11" s="1"/>
  <c r="K12" i="11" s="1"/>
  <c r="K13" i="11" s="1"/>
  <c r="K14" i="11" s="1"/>
  <c r="K15" i="11" s="1"/>
  <c r="K16" i="11" s="1"/>
  <c r="K17" i="11" s="1"/>
  <c r="K18" i="11" s="1"/>
  <c r="K19" i="11" s="1"/>
  <c r="K20" i="11" s="1"/>
  <c r="K21" i="11" s="1"/>
  <c r="K22" i="11" s="1"/>
  <c r="K23" i="11" s="1"/>
  <c r="K24" i="11" s="1"/>
  <c r="K25" i="11" s="1"/>
  <c r="K26" i="11" s="1"/>
  <c r="K27" i="11" s="1"/>
  <c r="K28" i="11" s="1"/>
  <c r="K29" i="11" s="1"/>
  <c r="K30" i="11" s="1"/>
  <c r="K31" i="11" s="1"/>
  <c r="K32" i="11" s="1"/>
  <c r="K33" i="11" s="1"/>
  <c r="K34" i="11" s="1"/>
  <c r="K35" i="11" s="1"/>
  <c r="K36" i="11" s="1"/>
  <c r="K37" i="11" s="1"/>
  <c r="K38" i="11" s="1"/>
  <c r="K39" i="11" s="1"/>
  <c r="K40" i="11" s="1"/>
  <c r="K41" i="11" s="1"/>
  <c r="K42" i="11" s="1"/>
  <c r="K43" i="11" s="1"/>
  <c r="K44" i="11" s="1"/>
  <c r="K45" i="11" s="1"/>
  <c r="K46" i="11" s="1"/>
  <c r="K47" i="11" s="1"/>
  <c r="J5" i="11"/>
  <c r="J6" i="11" s="1"/>
  <c r="J7" i="11" s="1"/>
  <c r="J8" i="11" s="1"/>
  <c r="J9" i="11" s="1"/>
  <c r="J10" i="11" s="1"/>
  <c r="J11" i="11" s="1"/>
  <c r="J12" i="11" s="1"/>
  <c r="J13" i="11" s="1"/>
  <c r="J14" i="11" s="1"/>
  <c r="J15" i="11" s="1"/>
  <c r="J16" i="11" s="1"/>
  <c r="J17" i="11" s="1"/>
  <c r="J18" i="11" s="1"/>
  <c r="J19" i="11" s="1"/>
  <c r="J20" i="11" s="1"/>
  <c r="J21" i="11" s="1"/>
  <c r="J22" i="11" s="1"/>
  <c r="J23" i="11" s="1"/>
  <c r="J24" i="11" s="1"/>
  <c r="J25" i="11" s="1"/>
  <c r="J26" i="11" s="1"/>
  <c r="J27" i="11" s="1"/>
  <c r="J28" i="11" s="1"/>
  <c r="J29" i="11" s="1"/>
  <c r="J30" i="11" s="1"/>
  <c r="J31" i="11" s="1"/>
  <c r="J32" i="11" s="1"/>
  <c r="J33" i="11" s="1"/>
  <c r="J34" i="11" s="1"/>
  <c r="J35" i="11" s="1"/>
  <c r="J36" i="11" s="1"/>
  <c r="J37" i="11" s="1"/>
  <c r="J38" i="11" s="1"/>
  <c r="J39" i="11" s="1"/>
  <c r="J40" i="11" s="1"/>
  <c r="J41" i="11" s="1"/>
  <c r="J42" i="11" s="1"/>
  <c r="J43" i="11" s="1"/>
  <c r="J44" i="11" s="1"/>
  <c r="J45" i="11" s="1"/>
  <c r="J46" i="11" s="1"/>
  <c r="J47" i="11" s="1"/>
  <c r="J48" i="11" l="1"/>
  <c r="J49" i="11" s="1"/>
  <c r="J50" i="11" s="1"/>
  <c r="J51" i="11" s="1"/>
  <c r="J52" i="11" s="1"/>
  <c r="J53" i="11" s="1"/>
  <c r="J54" i="11" s="1"/>
  <c r="J55" i="11" s="1"/>
  <c r="J56" i="11" s="1"/>
  <c r="J57" i="11" s="1"/>
  <c r="J58" i="11" s="1"/>
  <c r="J59" i="11" s="1"/>
  <c r="J60" i="11" s="1"/>
  <c r="K48" i="11"/>
  <c r="K49" i="11" s="1"/>
  <c r="K50" i="11" s="1"/>
  <c r="K51" i="11" s="1"/>
  <c r="K52" i="11" s="1"/>
  <c r="K53" i="11" s="1"/>
  <c r="K54" i="11" s="1"/>
  <c r="K55" i="11" s="1"/>
  <c r="K56" i="11" s="1"/>
  <c r="K57" i="11" s="1"/>
  <c r="K58" i="11" s="1"/>
  <c r="K59" i="11" s="1"/>
  <c r="K60" i="11" s="1"/>
  <c r="L9" i="16"/>
  <c r="M9" i="16"/>
  <c r="L10" i="16"/>
  <c r="M10" i="16"/>
  <c r="L11" i="16"/>
  <c r="M11" i="16"/>
  <c r="M8" i="16"/>
  <c r="L8" i="16"/>
  <c r="N8" i="16" s="1"/>
  <c r="J8" i="16"/>
  <c r="J9" i="16" s="1"/>
  <c r="J10" i="16" s="1"/>
  <c r="J11" i="16" s="1"/>
  <c r="F6" i="16"/>
  <c r="F7" i="16" s="1"/>
  <c r="F8" i="16" s="1"/>
  <c r="N10" i="16" l="1"/>
  <c r="N11" i="16"/>
  <c r="N9" i="16"/>
  <c r="F9" i="16"/>
  <c r="F10" i="16" l="1"/>
  <c r="F11" i="16" s="1"/>
  <c r="I57" i="10"/>
  <c r="E54" i="10" l="1"/>
  <c r="K5" i="10"/>
  <c r="K6" i="10" s="1"/>
  <c r="K7" i="10" s="1"/>
  <c r="K8" i="10" s="1"/>
  <c r="K9" i="10" s="1"/>
  <c r="K10" i="10" s="1"/>
  <c r="K11" i="10" s="1"/>
  <c r="K12" i="10" s="1"/>
  <c r="K13" i="10" s="1"/>
  <c r="K14" i="10" s="1"/>
  <c r="K15" i="10" s="1"/>
  <c r="K16" i="10" s="1"/>
  <c r="K17" i="10" s="1"/>
  <c r="K18" i="10" s="1"/>
  <c r="K19" i="10" s="1"/>
  <c r="K20" i="10" s="1"/>
  <c r="K21" i="10" s="1"/>
  <c r="K22" i="10" s="1"/>
  <c r="K23" i="10" s="1"/>
  <c r="K24" i="10" s="1"/>
  <c r="K25" i="10" s="1"/>
  <c r="K26" i="10" s="1"/>
  <c r="K27" i="10" s="1"/>
  <c r="K28" i="10" s="1"/>
  <c r="K29" i="10" s="1"/>
  <c r="K30" i="10" s="1"/>
  <c r="K31" i="10" s="1"/>
  <c r="K32" i="10" s="1"/>
  <c r="K33" i="10" s="1"/>
  <c r="K34" i="10" s="1"/>
  <c r="K35" i="10" s="1"/>
  <c r="K36" i="10" s="1"/>
  <c r="K37" i="10" s="1"/>
  <c r="K38" i="10" s="1"/>
  <c r="K39" i="10" s="1"/>
  <c r="K40" i="10" s="1"/>
  <c r="K41" i="10" s="1"/>
  <c r="K42" i="10" s="1"/>
  <c r="K43" i="10" s="1"/>
  <c r="K44" i="10" s="1"/>
  <c r="K45" i="10" s="1"/>
  <c r="K46" i="10" s="1"/>
  <c r="K47" i="10" s="1"/>
  <c r="K48" i="10" s="1"/>
  <c r="K49" i="10" s="1"/>
  <c r="K50" i="10" s="1"/>
  <c r="K51" i="10" s="1"/>
  <c r="K52" i="10" s="1"/>
  <c r="K53" i="10" s="1"/>
  <c r="J7" i="10"/>
  <c r="J8" i="10" s="1"/>
  <c r="J9" i="10" s="1"/>
  <c r="J10" i="10" s="1"/>
  <c r="J11" i="10" s="1"/>
  <c r="J12" i="10" s="1"/>
  <c r="J13" i="10" s="1"/>
  <c r="J14" i="10" s="1"/>
  <c r="J15" i="10" s="1"/>
  <c r="J16" i="10" s="1"/>
  <c r="J17" i="10" s="1"/>
  <c r="J18" i="10" s="1"/>
  <c r="J19" i="10" s="1"/>
  <c r="J20" i="10" s="1"/>
  <c r="J21" i="10" s="1"/>
  <c r="J22" i="10" s="1"/>
  <c r="J23" i="10" s="1"/>
  <c r="J24" i="10" s="1"/>
  <c r="J25" i="10" s="1"/>
  <c r="J26" i="10" s="1"/>
  <c r="J27" i="10" s="1"/>
  <c r="J28" i="10" s="1"/>
  <c r="J29" i="10" s="1"/>
  <c r="J30" i="10" s="1"/>
  <c r="J31" i="10" s="1"/>
  <c r="J32" i="10" s="1"/>
  <c r="J33" i="10" s="1"/>
  <c r="J34" i="10" s="1"/>
  <c r="J35" i="10" s="1"/>
  <c r="J36" i="10" s="1"/>
  <c r="J37" i="10" s="1"/>
  <c r="J38" i="10" s="1"/>
  <c r="J39" i="10" s="1"/>
  <c r="J40" i="10" s="1"/>
  <c r="J41" i="10" s="1"/>
  <c r="J42" i="10" s="1"/>
  <c r="J43" i="10" s="1"/>
  <c r="J44" i="10" s="1"/>
  <c r="J45" i="10" s="1"/>
  <c r="J46" i="10" s="1"/>
  <c r="J47" i="10" s="1"/>
  <c r="J48" i="10" s="1"/>
  <c r="J49" i="10" s="1"/>
  <c r="J50" i="10" s="1"/>
  <c r="J51" i="10" s="1"/>
  <c r="J52" i="10" s="1"/>
  <c r="J53" i="10" s="1"/>
  <c r="F54" i="10" l="1"/>
  <c r="I56" i="9"/>
  <c r="J5" i="9" l="1"/>
  <c r="J6" i="9" s="1"/>
  <c r="J7" i="9" s="1"/>
  <c r="J8" i="9" s="1"/>
  <c r="J9" i="9" s="1"/>
  <c r="J10" i="9" s="1"/>
  <c r="J11" i="9" s="1"/>
  <c r="J12" i="9" s="1"/>
  <c r="J13" i="9" s="1"/>
  <c r="J14" i="9" s="1"/>
  <c r="J15" i="9" s="1"/>
  <c r="J16" i="9" s="1"/>
  <c r="J17" i="9" s="1"/>
  <c r="J18" i="9" s="1"/>
  <c r="J19" i="9" s="1"/>
  <c r="J20" i="9" s="1"/>
  <c r="J21" i="9" s="1"/>
  <c r="J22" i="9" s="1"/>
  <c r="J23" i="9" s="1"/>
  <c r="J24" i="9" s="1"/>
  <c r="J25" i="9" s="1"/>
  <c r="J26" i="9" s="1"/>
  <c r="J27" i="9" s="1"/>
  <c r="J28" i="9" s="1"/>
  <c r="J29" i="9" s="1"/>
  <c r="J30" i="9" s="1"/>
  <c r="J31" i="9" s="1"/>
  <c r="J32" i="9" s="1"/>
  <c r="J33" i="9" s="1"/>
  <c r="J34" i="9" s="1"/>
  <c r="J35" i="9" s="1"/>
  <c r="J36" i="9" s="1"/>
  <c r="J37" i="9" s="1"/>
  <c r="J38" i="9" s="1"/>
  <c r="J39" i="9" s="1"/>
  <c r="J40" i="9" s="1"/>
  <c r="J41" i="9" s="1"/>
  <c r="J42" i="9" s="1"/>
  <c r="J43" i="9" s="1"/>
  <c r="J44" i="9" s="1"/>
  <c r="J45" i="9" s="1"/>
  <c r="J46" i="9" s="1"/>
  <c r="J47" i="9" s="1"/>
  <c r="J48" i="9" s="1"/>
  <c r="J49" i="9" s="1"/>
  <c r="J50" i="9" s="1"/>
  <c r="J51" i="9" s="1"/>
  <c r="J52" i="9" s="1"/>
  <c r="E63" i="26" l="1"/>
  <c r="E113" i="26" s="1"/>
  <c r="F113" i="26" s="1"/>
  <c r="F63" i="26" l="1"/>
  <c r="I60" i="26"/>
  <c r="K7" i="26" l="1"/>
  <c r="K8" i="26" s="1"/>
  <c r="K9" i="26" s="1"/>
  <c r="K10" i="26" s="1"/>
  <c r="K11" i="26" s="1"/>
  <c r="K12" i="26" s="1"/>
  <c r="K13" i="26" s="1"/>
  <c r="K14" i="26" s="1"/>
  <c r="K15" i="26" s="1"/>
  <c r="K16" i="26" s="1"/>
  <c r="K17" i="26" s="1"/>
  <c r="K18" i="26" s="1"/>
  <c r="K19" i="26" s="1"/>
  <c r="K20" i="26" s="1"/>
  <c r="K21" i="26" s="1"/>
  <c r="K22" i="26" s="1"/>
  <c r="K23" i="26" s="1"/>
  <c r="K24" i="26" s="1"/>
  <c r="K25" i="26" s="1"/>
  <c r="K26" i="26" s="1"/>
  <c r="K27" i="26" s="1"/>
  <c r="K28" i="26" s="1"/>
  <c r="K29" i="26" s="1"/>
  <c r="K30" i="26" s="1"/>
  <c r="K31" i="26" s="1"/>
  <c r="K32" i="26" s="1"/>
  <c r="K33" i="26" s="1"/>
  <c r="K34" i="26" s="1"/>
  <c r="K35" i="26" s="1"/>
  <c r="K36" i="26" s="1"/>
  <c r="K37" i="26" s="1"/>
  <c r="K38" i="26" s="1"/>
  <c r="K39" i="26" s="1"/>
  <c r="K40" i="26" s="1"/>
  <c r="K41" i="26" s="1"/>
  <c r="K42" i="26" s="1"/>
  <c r="K43" i="26" s="1"/>
  <c r="K44" i="26" s="1"/>
  <c r="K45" i="26" s="1"/>
  <c r="K46" i="26" s="1"/>
  <c r="K47" i="26" s="1"/>
  <c r="K48" i="26" s="1"/>
  <c r="K49" i="26" s="1"/>
  <c r="K50" i="26" s="1"/>
  <c r="K51" i="26" s="1"/>
  <c r="K52" i="26" s="1"/>
  <c r="K53" i="26" s="1"/>
  <c r="K54" i="26" s="1"/>
  <c r="K55" i="26" s="1"/>
  <c r="K56" i="26" s="1"/>
  <c r="K57" i="26" s="1"/>
  <c r="K58" i="26" s="1"/>
  <c r="K59" i="26" s="1"/>
  <c r="J7" i="26"/>
  <c r="J8" i="26" s="1"/>
  <c r="J9" i="26" s="1"/>
  <c r="J10" i="26" s="1"/>
  <c r="J11" i="26" s="1"/>
  <c r="J12" i="26" s="1"/>
  <c r="J13" i="26" s="1"/>
  <c r="J14" i="26" s="1"/>
  <c r="J15" i="26" s="1"/>
  <c r="J16" i="26" s="1"/>
  <c r="J17" i="26" s="1"/>
  <c r="J18" i="26" s="1"/>
  <c r="J19" i="26" s="1"/>
  <c r="J20" i="26" s="1"/>
  <c r="J21" i="26" s="1"/>
  <c r="J22" i="26" s="1"/>
  <c r="J23" i="26" s="1"/>
  <c r="J24" i="26" s="1"/>
  <c r="J25" i="26" s="1"/>
  <c r="J26" i="26" s="1"/>
  <c r="J27" i="26" s="1"/>
  <c r="J28" i="26" s="1"/>
  <c r="J29" i="26" s="1"/>
  <c r="J30" i="26" s="1"/>
  <c r="J31" i="26" s="1"/>
  <c r="J32" i="26" s="1"/>
  <c r="J33" i="26" s="1"/>
  <c r="J34" i="26" l="1"/>
  <c r="J35" i="26" s="1"/>
  <c r="J36" i="26" s="1"/>
  <c r="J37" i="26" s="1"/>
  <c r="J38" i="26" s="1"/>
  <c r="J39" i="26" s="1"/>
  <c r="J40" i="26" s="1"/>
  <c r="J41" i="26" s="1"/>
  <c r="J42" i="26" s="1"/>
  <c r="J43" i="26" s="1"/>
  <c r="J44" i="26" s="1"/>
  <c r="J45" i="26" s="1"/>
  <c r="J46" i="26" s="1"/>
  <c r="J47" i="26" s="1"/>
  <c r="J48" i="26" s="1"/>
  <c r="J49" i="26" s="1"/>
  <c r="J50" i="26" s="1"/>
  <c r="J51" i="26" s="1"/>
  <c r="J52" i="26" s="1"/>
  <c r="J53" i="26" s="1"/>
  <c r="J54" i="26" s="1"/>
  <c r="J55" i="26" s="1"/>
  <c r="J56" i="26" s="1"/>
  <c r="J57" i="26" s="1"/>
  <c r="J58" i="26" s="1"/>
  <c r="J59" i="26" s="1"/>
  <c r="J6" i="21" l="1"/>
  <c r="J7" i="21" s="1"/>
  <c r="J8" i="21" s="1"/>
  <c r="J9" i="21" s="1"/>
  <c r="J10" i="21" s="1"/>
  <c r="J11" i="21" s="1"/>
  <c r="J12" i="21" s="1"/>
  <c r="J13" i="21" s="1"/>
  <c r="J14" i="21" s="1"/>
  <c r="J15" i="21" s="1"/>
  <c r="J16" i="21" s="1"/>
  <c r="J17" i="21" s="1"/>
  <c r="J18" i="21" s="1"/>
  <c r="J19" i="21" s="1"/>
  <c r="J20" i="21" s="1"/>
  <c r="J21" i="21" s="1"/>
  <c r="J22" i="21" s="1"/>
  <c r="J23" i="21" s="1"/>
  <c r="J24" i="21" s="1"/>
  <c r="J25" i="21" s="1"/>
  <c r="J26" i="21" s="1"/>
  <c r="J27" i="21" s="1"/>
  <c r="J28" i="21" s="1"/>
  <c r="J29" i="21" s="1"/>
  <c r="J30" i="21" s="1"/>
  <c r="J31" i="21" s="1"/>
  <c r="J32" i="21" s="1"/>
  <c r="J33" i="21" s="1"/>
  <c r="J34" i="21" s="1"/>
  <c r="J35" i="21" s="1"/>
  <c r="J36" i="21" s="1"/>
  <c r="J37" i="21" s="1"/>
  <c r="J38" i="21" s="1"/>
  <c r="J39" i="21" s="1"/>
  <c r="J40" i="21" s="1"/>
  <c r="J41" i="21" s="1"/>
  <c r="J42" i="21" s="1"/>
  <c r="J43" i="21" s="1"/>
  <c r="J44" i="21" s="1"/>
  <c r="J45" i="21" s="1"/>
  <c r="J46" i="21" s="1"/>
  <c r="J47" i="21" s="1"/>
  <c r="J48" i="21" s="1"/>
  <c r="J49" i="21" s="1"/>
  <c r="J50" i="21" s="1"/>
  <c r="J51" i="21" s="1"/>
  <c r="J52" i="21" s="1"/>
  <c r="J53" i="21" s="1"/>
  <c r="J54" i="21" s="1"/>
  <c r="L90" i="21"/>
  <c r="E19" i="16" l="1"/>
  <c r="D19" i="16"/>
  <c r="I6" i="16"/>
</calcChain>
</file>

<file path=xl/sharedStrings.xml><?xml version="1.0" encoding="utf-8"?>
<sst xmlns="http://schemas.openxmlformats.org/spreadsheetml/2006/main" count="1939" uniqueCount="1104">
  <si>
    <t>TOTAL</t>
  </si>
  <si>
    <t>FECHA</t>
  </si>
  <si>
    <t>CONCEPTO</t>
  </si>
  <si>
    <t>INGRESOS</t>
  </si>
  <si>
    <t>EGRESOS</t>
  </si>
  <si>
    <t>EFECTIVO</t>
  </si>
  <si>
    <t>INGRESOS Y EGRESOS DEL MES DE ABRIL/16</t>
  </si>
  <si>
    <t>CAJA</t>
  </si>
  <si>
    <t>BANCO</t>
  </si>
  <si>
    <t>INICIO DE AÑO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</si>
  <si>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</si>
  <si>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</si>
  <si>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</si>
  <si>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</si>
  <si>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</si>
  <si>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</si>
  <si>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</si>
  <si>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</si>
  <si>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</si>
  <si>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</si>
  <si>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</si>
  <si>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</si>
  <si>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SUMA</t>
  </si>
  <si>
    <t>EGRESO</t>
  </si>
  <si>
    <t>CHEQUE</t>
  </si>
  <si>
    <t>HOJA   1</t>
  </si>
  <si>
    <t>ING. CHEQ.</t>
  </si>
  <si>
    <t>EGRE CHEQ.</t>
  </si>
  <si>
    <t>SUMA ING</t>
  </si>
  <si>
    <t>SUMA EGRE</t>
  </si>
  <si>
    <t>DEFICIT/</t>
  </si>
  <si>
    <t>SUPERAVIT</t>
  </si>
  <si>
    <t>EN ESTE MES NO SE REFLEJA DEFICIT EN VIRTUD DE</t>
  </si>
  <si>
    <t xml:space="preserve">QUE SE TUVIERON INGRESOS EXTRAORDINARIOS </t>
  </si>
  <si>
    <t>CON LA VENTA DE TARJETONES.       DE NO HABER</t>
  </si>
  <si>
    <t>TENIDO ESTA VENTA EL DEFICIT HUBIERA SIDO DE</t>
  </si>
  <si>
    <t xml:space="preserve">                            ANALISIS COMPARATIVO ENTRE LOS INGRESOS Y LOS EGRESOS EN EL PRESENTE AÑO </t>
  </si>
  <si>
    <t>Saldo del mes de junio/18</t>
  </si>
  <si>
    <t>Saldo del mes de Diciembre/17</t>
  </si>
  <si>
    <t>ENERO  2019</t>
  </si>
  <si>
    <t>FEBRERO    2019</t>
  </si>
  <si>
    <t>Saldo del mes de Enero/19</t>
  </si>
  <si>
    <t>INGRESOS Y EGRESOS DEL MES DE MARZO/19</t>
  </si>
  <si>
    <t>Saldo del mes de febrero/19</t>
  </si>
  <si>
    <t>Saldo del mes de Marzo/19</t>
  </si>
  <si>
    <t>Saldo del mes de Abril/19</t>
  </si>
  <si>
    <t>JUNIO    2019</t>
  </si>
  <si>
    <t>Saldo del mes de Mayo/19</t>
  </si>
  <si>
    <t>INGRESOS Y EGRESOS DEL MES DE MAYO/19</t>
  </si>
  <si>
    <t>JULIO    2019</t>
  </si>
  <si>
    <t>AGOSTO    2019</t>
  </si>
  <si>
    <t>Saldo del mes de julio/19</t>
  </si>
  <si>
    <t>SEPTIEMBRE    2019</t>
  </si>
  <si>
    <t>Saldo del mes de agosto/19</t>
  </si>
  <si>
    <t>OCTUBRE    2019</t>
  </si>
  <si>
    <t>NOVIEMBRE    2019</t>
  </si>
  <si>
    <t>DICIEMBRE    2019</t>
  </si>
  <si>
    <t>Saldo del mes de noviembre/19</t>
  </si>
  <si>
    <t>Pedro Bazzan, pago por reecolección de basura en fin de semana en todo el fraccionamiento</t>
  </si>
  <si>
    <t>Cuadrilla Delegación, compensación por cambio de luminarias de Romeral, Upacuaro y Cuchill</t>
  </si>
  <si>
    <t>Patrulla 033, compensación por rondines en toda la semana del fraccionamiento</t>
  </si>
  <si>
    <t>Papelería Omega, pago de 400 copias y Diurex, informe a todo el fraccionamiento</t>
  </si>
  <si>
    <t>Distribuidora El Bollo Cafetales, S.A. de C.V. compra de rosca de Reyes para vigilancia</t>
  </si>
  <si>
    <t>Antelmo Chávez, pago poda pasto fraccionamiento y compra gasolina desbrozadora</t>
  </si>
  <si>
    <t>Víctor Pérez, compensación por barrer el kiosco, ejercitadores y banquetas del parque fracc.</t>
  </si>
  <si>
    <t>Gloria Mazzón Soto, pago de honorarios contables del 31/Dic. Al 04 de Enero/19</t>
  </si>
  <si>
    <t>Nueva Walmart de México, S. de R.L. de C.V., compra de leche y desechables para vigilancia</t>
  </si>
  <si>
    <t>Panerías La Espenranza, S.A. de C.V. compra de Rosca para vigilancia</t>
  </si>
  <si>
    <t>Bee Bike Club, compra de camara para bicicleta del fraccionamiento</t>
  </si>
  <si>
    <t>Comisión cheque expedido</t>
  </si>
  <si>
    <t>I.V.A. por comisión cheque expedido</t>
  </si>
  <si>
    <t>Entrega a Dolores Mijangos Portugal del 28 al 31 de Enero/19</t>
  </si>
  <si>
    <t>Cadena Comercial Oxxo, S.A. de C.V. compra de refrescos para Mesa de Cobranza Domingo</t>
  </si>
  <si>
    <t>Entrega a Dolores Mijangos Peralta, entrea del cobranza 1er Domingo de Enro/19</t>
  </si>
  <si>
    <t>Tranferencia Bancaria de Fam. Fuentes Upacuaro # 46</t>
  </si>
  <si>
    <t>Israel Galan Quintin, compra de 30 llaves para puertas del fraccionamiento</t>
  </si>
  <si>
    <t>Electropura, S. de R.L. de C.V. compra de 3 garrafones de agua para casetas del fraccionamiento</t>
  </si>
  <si>
    <t>Víctor Pérez, Compensación por repartir circulaes a todo el fraccionamiento</t>
  </si>
  <si>
    <t>Tienda Las Americas, compra de leche y chocolate para Mesa Directiva partir rosca de reyes</t>
  </si>
  <si>
    <t>Tradición en Pastelerías, S.A. de C.V. compra de rosca de reyes para Mesa Directiva</t>
  </si>
  <si>
    <t>Cadena Comercial Oxxo, S.A. de C.V. compra de refrescos para vigilancia del fraccionamiento</t>
  </si>
  <si>
    <t>Copyfaz Digital, compra de 4 paquetes de blocks de recibos comprobante de gastos</t>
  </si>
  <si>
    <t>Comercializadora Caspin, S.A. de C.V. compra de pintura y brochas para señalizacines caseta ZB</t>
  </si>
  <si>
    <t>Comercializadora Caspin, S.A. de C.V. compra de estopa  para pintar caseta Zinampa</t>
  </si>
  <si>
    <t>Servicio el Hueso, S.A. de C.V. pago de gasolina Pesidenta para varias diligencias del fracciona</t>
  </si>
  <si>
    <t>Servicio El Hueso, S.A. de C.V. pago de gasolina para desbrozadora poda del fraccionamiento</t>
  </si>
  <si>
    <t>Tlapalería Pedro, compra de aditivo para desbrozadora poda del fraccionamiento</t>
  </si>
  <si>
    <t>Nueva Walmart de México, S. de R.L. de C.V., compra de materiales de limpieza para vigilancia</t>
  </si>
  <si>
    <t>Bodega Lupita, compra de materiales de limpieza para casetas del fraccionamiento</t>
  </si>
  <si>
    <t>Cadena Comercial Oxxo, S.A. de C.V. compra de refrescos para ingeniero de camaras</t>
  </si>
  <si>
    <t>Lenix Security Alarm, pago de mano de obra por pintar señalizaciones de caseeta Zinampa</t>
  </si>
  <si>
    <t>Materiales y Tlapalería La Palma, compra de materiales de limpieza para casetas</t>
  </si>
  <si>
    <t>Tienda Las Americas, compra de refrescos para vigilancia del fraccionamiento</t>
  </si>
  <si>
    <t>Pizzas Plaza, compra de pizza para Mesa Directiva para Ingeniero de camaras y trabajadores</t>
  </si>
  <si>
    <t>Carnitas Chela, compra de tortas para Ingeniero de camaras trabajos de cambio de plumas</t>
  </si>
  <si>
    <t>Antelmo Chávez, pago poda y recolección de pasto de entrada caseta RM y árboles mejor visibil</t>
  </si>
  <si>
    <t>Víctor Pérez, compensación por barrer banquetas y calle de Estanzuela y recolección de la mism</t>
  </si>
  <si>
    <t>Gloria Mazzón Soto, pago de honorarios contables del 07 al 11 de Enero/19</t>
  </si>
  <si>
    <t>Tiendas Chedraui, S.A. de C.V. compra materiales de limpieza a casetas del fraccionamiento</t>
  </si>
  <si>
    <t>Distribuidora El Bollo Cafetales, S.A. de C.V. compra de pan para personal de vigilancia</t>
  </si>
  <si>
    <t>Pedro Romero, compensación por hcer base Soporte pluma de acceso caseta Romeral</t>
  </si>
  <si>
    <t>Visión Cycling Group, S. de R.L. de C.V. reparación y compra de refacciones para bicicleta del fra</t>
  </si>
  <si>
    <t>Pedro Bazzan, pago por recolección de pasto podado entre semana del parque fraccionamiento</t>
  </si>
  <si>
    <t>Visión Cycling Group, S. de R.L. de C.V. compra de refacciones para bicicleta del fracionamiento</t>
  </si>
  <si>
    <t>Entrega a Dolores Mijangos Portugal de la 2da. Semana de cobranza Enero/19</t>
  </si>
  <si>
    <t>Tiendas Chedraui, S.A. de C.V. compra de presente para empleada del Banco Banorte por atenion</t>
  </si>
  <si>
    <t>Materiales y Tlapalería La Palma, compra de cemento para base pluma acceso caseta Romeral</t>
  </si>
  <si>
    <t>Electropura S. de R.L. de C.V. compra de 4 garrafones de agua para casetas del fraccionamiento</t>
  </si>
  <si>
    <t>Inka Yani, compra de café para vigilantes del fraccionamiento</t>
  </si>
  <si>
    <t>Lenix Security Alarm, Pago liq de Pluma salida de caseta Zinampa</t>
  </si>
  <si>
    <t>Lenix Security Alarm, pago de mano de obra por colocar pluma salida de caseta Zinampa</t>
  </si>
  <si>
    <t>Telefonos de México, S.A.B. de C.V. pago de telefono de diciembre/18 caseta del fraccionamiento</t>
  </si>
  <si>
    <t>Sistema de Cómputo, pago por reconfiguración de Tarjetas electrónicas y activación de vecinos</t>
  </si>
  <si>
    <t>Comercializadora Caspin, S.A. de C.V. compra de pintura para pintar barreras caseta Zinampa</t>
  </si>
  <si>
    <t>Comercializadora Caspin, S.A. de C.V. compra de pintura, thinner, brocha para caseta ZB</t>
  </si>
  <si>
    <t>Home Depot México, S. de R.L. de C.V. compra de cortinas baño para las dos casetas del fracc</t>
  </si>
  <si>
    <t>Fabián Aguilar, compensación por pintar caseta de vigilancia acceso Romeral</t>
  </si>
  <si>
    <t>Pedro Bazzan, pago por recolección de basura en todo el fracc de lunes a viernes 1er quincena</t>
  </si>
  <si>
    <t>Roberto Miranda, pago por barrer todo el fracc de lunes a viernes 1er quincena enero/19</t>
  </si>
  <si>
    <t>Dolores Mijangos Peralta, pago 1er.  quincena por trabajos de precidencia en el fraccionamien</t>
  </si>
  <si>
    <t>Maria De Lourdes Osorio, por varios trabajos realiados en la 1er quincena de Enero/19</t>
  </si>
  <si>
    <t>Grupo Alguacil Dorado en Seguridad Privada, S.A. de C.V.  1er Quincena Ene/19 por  vigilancia</t>
  </si>
  <si>
    <t>Felipe Terreros, pago por soldar barrera de caseta Romeral</t>
  </si>
  <si>
    <t>Distribuidora El Bollo Cafetales, S.A. de C.V. compra de pan para vigilancia del fraccionamiento</t>
  </si>
  <si>
    <t>Víctor Pérez, compensación por barrer y desyerbar calle del parque y entrada caseta RV</t>
  </si>
  <si>
    <t>Víctor Pérez, compensación por barrer perimetral de parque del fraccionamiento</t>
  </si>
  <si>
    <t>Copyfaz, pago de 4 impresiones a color Carta</t>
  </si>
  <si>
    <t>Icaro Design, S.A. de C.V. pago de 4 lonas para información en el fraccionamiento</t>
  </si>
  <si>
    <t>Tienda Lupita, compra de refrescos para guardias del fraccionamiento</t>
  </si>
  <si>
    <t>Gloria Mazzón Soto, pago de honorarios de contabilidad del 14 al 18 de Enero/19</t>
  </si>
  <si>
    <t>Deposito de cheque #8272 Colegio Carmel, pago mantenimiento del mes de Enero/19</t>
  </si>
  <si>
    <t>Pedro Bazzan, pago por recolección de basura en fin de semana en todo el fraccionamiento</t>
  </si>
  <si>
    <t>Pedro Bazzan, pago por recolección de pasto podo del parque del fracc. Entre semana</t>
  </si>
  <si>
    <t>Tradición en Pasteleróias, S.A. de C.V. compra de café para Mesa de Cobranza Domingo.</t>
  </si>
  <si>
    <t>Cadena Comercial Oxxo, S.A. de C.V. compra de refrescos para Mesa Directiv y vigilancia Domin</t>
  </si>
  <si>
    <t>Entrega a Dolores Mijangos Portugal de la 3er. Semana de cobranza Enero/19</t>
  </si>
  <si>
    <t>Siegrist Contadores Publicos, Pago de honorarios profesionales  Enero/19</t>
  </si>
  <si>
    <t>SAT Servicio de Administración Tributaria, Pago de reteción de IVA Colegio Enero/19</t>
  </si>
  <si>
    <t>Antelmo Chávez, pago por poda de pasto del parque del fraccionamiento</t>
  </si>
  <si>
    <t>Electropura S. de R.L. de C.V. compra de 3 garrafones de agua para casetas del fraccionamiento</t>
  </si>
  <si>
    <t>Materiales y Tlapalería La Palma, compra de nudo de acero para cable bloqueo entrada Landero</t>
  </si>
  <si>
    <t>Patrulla 054, compensación por rondines en toda la semana del fraccionamiento</t>
  </si>
  <si>
    <t>Raúl ornejo Pérez, pago de 1,230 copias de informe cierre del año para todo el fraccionamiento</t>
  </si>
  <si>
    <t>Víctor Pérez, compensación por recoger pasto podado del parque del fraccionamiento</t>
  </si>
  <si>
    <t>Vista Hermosa #825, compra de veneno para ratas para caseta Romeral</t>
  </si>
  <si>
    <t>Víctor Pérez, compensación por repartir circular informe trimestral a todo el fraccionamiento</t>
  </si>
  <si>
    <t>Comercializadora Caspin, S.A. de C.V. compra de pintura para señalamiento y topees acceso RM</t>
  </si>
  <si>
    <t>Visión Cycling Group, S. de R.L. de C.V. compra de rin trasero y ajuste de cadena</t>
  </si>
  <si>
    <t>Materiales y Tlapalería La Palma, compra junta para baño caseta Zinampa</t>
  </si>
  <si>
    <t>Materiales y Tlapalería La Palma, compra pija para baño caseta Zinampa</t>
  </si>
  <si>
    <t>Restaurante Toks, S.A. de C.V. pago desayuno de Mesa Directiva y Vigilancia asunto fraccionam</t>
  </si>
  <si>
    <t>Electrovidal, pago de cambio de generador de ondas para horno microondas caseta del fracc.</t>
  </si>
  <si>
    <t>Gloria Mazzón Soto, pago en apoyo de cobranza domingo 20 de Enero/19</t>
  </si>
  <si>
    <t>Comercializadora Caspin, S.A. de C.V. compra de thinner para pintura señalamientos Romeral</t>
  </si>
  <si>
    <t>Cadena Comercial Oxxo, S.A. de C.V. compra de refrescos para vigilancia</t>
  </si>
  <si>
    <t>Gustavo Gil, pago por cambio de 10 luminarias de ZB,EZ,RM,LD y UP del fraccionamiento</t>
  </si>
  <si>
    <t>Rodrigo Hernández, compensación en apoyo a Presidenta en cambio de luminarias del fracc</t>
  </si>
  <si>
    <t>Lenix Security Alarm, compra de 8 metros de tira leds para plumas de caseta Zinampa</t>
  </si>
  <si>
    <t>Lenix Security Alarm, pago de mano de obra en colocación de leds en plumas de Zinampa</t>
  </si>
  <si>
    <t>Gloria Mazzon Soto, pago de honorarios contables del 21 al 25 de Enero/19</t>
  </si>
  <si>
    <t>Víctor Pérez, compensación por pintar placas de chapas de todas las puertas de acceso del frac</t>
  </si>
  <si>
    <t>Sistema de Cómputo, pago desbloqueo y reprogramación de tarjetas eléctronicas de vecinos mo</t>
  </si>
  <si>
    <t>Pedro Bazzan, pago por recolección de basura en fin de semana de todo el fraccionamiento</t>
  </si>
  <si>
    <t>Pedro Bazzan, pago por recolección de pasto podado entre semana del parque del fraccionam</t>
  </si>
  <si>
    <t>Tamales San Judas, compra de tamales para vigilancia del fraccionamiento</t>
  </si>
  <si>
    <t>Cadena Comercial Oxxo, S.A. de C.V. compra de refrescos para Mesa Cobraza Domingo</t>
  </si>
  <si>
    <t>Tradición En Pastelerías, S.A. de C.V. compra de café para Mesa de Cobranza Domingo</t>
  </si>
  <si>
    <t>Entrega a Dolores Mijangos Portugal del 4to Domingo de cobranza de Enero/19</t>
  </si>
  <si>
    <t>Antelmo Chávez, pago por poda de pasto del parque del fraccionamiento y recolección del mism</t>
  </si>
  <si>
    <t>Cadena Comercial Oxxo, S.A. de C.V. compra de refrescos para cuadrilla delegación fuga de agua</t>
  </si>
  <si>
    <t>Papelería Omega, compra de tinta para sello de Pesidencia</t>
  </si>
  <si>
    <t>SAT Servicio de Administración Tributaria, Pago de reteción de IVA Colegio Febrero/19</t>
  </si>
  <si>
    <t>Siegrist Contadores Publicos, Pago de honorarios profesionales  Febrero/19</t>
  </si>
  <si>
    <t>Gloria Mazzòn Soto, pago de honorarios contabls del 28 de Enero al 01 de Febrero/19</t>
  </si>
  <si>
    <t>Materiales y Tlapalerìa La Palma, compra de 50 gramos de clavos para caja de tarjetas RM</t>
  </si>
  <si>
    <t>Lenix Security Alarm, pago de materiales para instalaciòn de barreras vehiculares ZB</t>
  </si>
  <si>
    <t>Lenix Security Alarm, pago mano de obra de colocaciòn de barreras vhiculares ZB</t>
  </si>
  <si>
    <t>Sistema de Còmputo, pago por video par presidenta evidencia para Colegio Carmel</t>
  </si>
  <si>
    <t>Antelmo Chàvez pago poda y recolecciòn de paso podado del parque del fraccionamiento</t>
  </si>
  <si>
    <t>Patrulla 033, compensaciòn por rondines toda la seman en el fraccionamiento</t>
  </si>
  <si>
    <t>Gustavo Gil, pago de colocaciòn de caja de fusibles para apagado y encendido parque fraccio</t>
  </si>
  <si>
    <t>Pedro Bazzan, pago por recolecciòn de basura fin de semana en todo el fraccionamiento</t>
  </si>
  <si>
    <t>Pedro Bazzan, pago por recolecciòn de pasto podado entre semana del parque fraccionamiento</t>
  </si>
  <si>
    <t>Cadena Comercial Oxxo, S.A. de C.V. compra de refrescos para personal de cobranza domingo</t>
  </si>
  <si>
    <t>Las Teresitas del Sur, compra de tamales para personal de cobranza domingo</t>
  </si>
  <si>
    <t>Carnitas Chela, compra de canitas para personal de Vigilancia del fraccionamiento</t>
  </si>
  <si>
    <t>Entrega a Dolores Mijganos Peralta, cobranza 1er Domingo de febrero/19</t>
  </si>
  <si>
    <t xml:space="preserve">Antelmo Chávez pago por poda de pasto del fracccionamiento y compra de gasolina </t>
  </si>
  <si>
    <t>Víctor Pérez, pago por recolecció de pasto podado parque del fraccionamiento</t>
  </si>
  <si>
    <t>Electropura, S. de R.L. de C.V. compra de 4 garrafones de agua para casetas del fraccionamiento</t>
  </si>
  <si>
    <t>Sistema de Cómputo, pago de reprogramación de tarjetas eléctronicas de vecinos morosos</t>
  </si>
  <si>
    <t>Trans Visión Bike, compra 2 llantas 26 montaña para bicileta de rondines del fraccionamieto</t>
  </si>
  <si>
    <t>Lenix Security Alarm, pago de cableado de red senores barreras vehiculares caseta Ziampa</t>
  </si>
  <si>
    <t>Lenix Security Alarm, pago de mano de obra de cableado de red sensores barreras vehiculares</t>
  </si>
  <si>
    <t>Cadena Comercial Oxxo, S.A. de C.V. compra de agua para ingeniero de camaras y plumas</t>
  </si>
  <si>
    <t>Tortas, compra de tortas parra ing de camaras y ayudante</t>
  </si>
  <si>
    <t xml:space="preserve">La Casa de Rá, compa de café para personl de Mesa Directiva entrega de protocolización </t>
  </si>
  <si>
    <t>VíctoR Pérez, pago por barrer banquetas y calles del parque del fraccionamiento</t>
  </si>
  <si>
    <t>Pedro Bazzan, pago por recolección de pasto podado entre semana parque del fraccionamieno</t>
  </si>
  <si>
    <t>Cadena Comercial Oxxo, S.A. de C.V. compra de refrescos para personal Alcaldía poda pasto</t>
  </si>
  <si>
    <t>Entrega a Dolores Mijangos Peralta, cobranza 2do Domingo de Febrero/19</t>
  </si>
  <si>
    <t>Electropura, S. de R.L. de C.V. compra de 5 garrafones de agua para casetas del fraccionamiento</t>
  </si>
  <si>
    <t>Antelmo Chávez pago por poda de pasto parque del fraccionamiento y recolección del mismo</t>
  </si>
  <si>
    <t>Sistema de Cómputo, pago de activación de tarjetas de vecinos morosos</t>
  </si>
  <si>
    <t>Visión Cycling Grooup, S. de R.L. de C.V. compra de 1 camara para bicicleta del fraccioinamiento</t>
  </si>
  <si>
    <t>Tamales San Judas Tadeo, compra de tamales para personal de Alcaldía poda pasto del fraccio</t>
  </si>
  <si>
    <t>Panadería La Esperanza, compra de bolillo para personal de Alcaldía poda pasto del fraccionam</t>
  </si>
  <si>
    <t>Nueva Walmart de México, S. de R.L. de C.V. compra de platos y vasos para personal delegación</t>
  </si>
  <si>
    <t>Miscelanea Lupita, compra de refescos para personal Alcaldía poda pasto del fraccionamiento</t>
  </si>
  <si>
    <t>Miscelanea Lupita, compra de refrescos y café para personal de vigilancia</t>
  </si>
  <si>
    <t xml:space="preserve"> </t>
  </si>
  <si>
    <t>Cadena Comercial Oxxo, S.A. de C.V. compra de tiempo aire para Pesidenta del fraccionamiento</t>
  </si>
  <si>
    <t>Telefonos de México, S.A.B. de C.V. pago de telefonia para casetas del fraccionamiento enero/19</t>
  </si>
  <si>
    <t>Víctor Pérez, compensación por quitar propaganda de rejas del fraccionamiento</t>
  </si>
  <si>
    <t>Gloria Mazzón Soto, pago de honorarios Contables del 11 al 15 de febrero/19</t>
  </si>
  <si>
    <t>Gloria Mazzón Soto, pago de honorarios Contables del 04 qal 08 de Febrero/19</t>
  </si>
  <si>
    <t>Los Tarasquitos, compra de 15 quesadillas para personal de Alcaldía poda pasto parque fracc</t>
  </si>
  <si>
    <t>Roberto Miranda, pago por barrer todo el fracc de lunes a viernes 1er quincena Febrero/19</t>
  </si>
  <si>
    <t>Maria De Lourdes Osorio, por varios trabajos realiados en la 1er quincena de Febrero/19</t>
  </si>
  <si>
    <t>Grupo Alguacil Dorado en Seguridad Privada, S.A. de C.V.  1er Quincena Feb/19 por  vigilancia</t>
  </si>
  <si>
    <t>Deposito de cheque #8272 Colegio Carmel, pago mantenimiento del mes de Febrero/19</t>
  </si>
  <si>
    <t>Pedro Bazzan, pago por recolección de basura en todo el fracc de lunes a viernes 2da quincena</t>
  </si>
  <si>
    <t>Roberto Miranda, pago por barrer todo el fracc de lunes a viernes 2da quincena Febrero/19</t>
  </si>
  <si>
    <t>Maria De Lourdes Osorio, por varios trabajos realiados en la 2da quincena de Febrero/19</t>
  </si>
  <si>
    <t>Dolores Mijangos Peralta, pago 2da  quincena por trabajos de precidencia en el fraccionamien</t>
  </si>
  <si>
    <t>Grupo Alguacil Dorado en Seguridad Privada, S.A. de C.V.  2da Quincena Feb/19 por  vigilancia</t>
  </si>
  <si>
    <t>Lenix Security Alarm, pago de mano de obra mantenimiento correctivo y preventivo camaras</t>
  </si>
  <si>
    <t>Lenix Security Alarm, pago mantenimiento correctivo y preventivo camaras de Zinmpa</t>
  </si>
  <si>
    <t>Pedro Bazzan, pago por recolección de basura en todo el fraccionamiento fin de semana</t>
  </si>
  <si>
    <t>Cadena Comercial Oxxo, S.A. de C.V. compra de agua y refresco pesonal Mesa de Cobranza</t>
  </si>
  <si>
    <t>Cadena Comercial Oxxo, S.A. de C.V. compra de refrescos para personal delgación poda pasto</t>
  </si>
  <si>
    <t>Gloria Mazzón Soto, pago en apoyo de cobranza Domingo 17 de Febrero/19</t>
  </si>
  <si>
    <t>Entrega a Dolores Mijangos Peralta, cobranza 3er Domingo de Febrero/19</t>
  </si>
  <si>
    <t>Office Depot de México, S.A de C.V. compra de papelería para Presidencia y Tesoreria fracciona</t>
  </si>
  <si>
    <t>Nueva Walmart de México, S. de R.L. de C.V. compra de café para Mesa Directiva</t>
  </si>
  <si>
    <t>Nueva Walmart de México, S. de R.L. de C.V. compra de refrescos para personal de Alcaldía poda</t>
  </si>
  <si>
    <t>Lenix Security Alarm, copra de Bullet MD, monitor y transformador para camaras de ZB</t>
  </si>
  <si>
    <t>Nueva Walmart de México, S. de R.L. de C.V. compra de varios alimentos para cuadrilla delegac</t>
  </si>
  <si>
    <t>Israel Galan Quintin, compra de 40 llaves para puertas de acceso peatonal del fraccionamieno</t>
  </si>
  <si>
    <t>Cuadrilla Delegación, compra de gorditas para personal delegación poda de pasto del fraccion</t>
  </si>
  <si>
    <t>Cuadrilla Delegación, compra de refrescos para personal delegación poda de pasto del fraccion</t>
  </si>
  <si>
    <t>Cuadrilla Delegación, compra de carnitas para personal delegación poda de pasto del fraccion</t>
  </si>
  <si>
    <t>Gloria Mazzón Soto, pago de honorarios contables del 18 al 22 de Febrero/19</t>
  </si>
  <si>
    <t>Comercial City Fresko, S. de R.L. de C.V. compra de vasos, platos para personal delegación poda</t>
  </si>
  <si>
    <t>Cadena Comercial Oxxo, S.A. de C.V. compra de refrescos para personal de Mesa de Cobraza</t>
  </si>
  <si>
    <t>Entrega a Dolores Mijangos Peralta, cobranza 4to Domingo de Febrero/19</t>
  </si>
  <si>
    <t>Cuadrilla Delegación, compra de quesadillas para personal Alcaldía poda pasto parque frac</t>
  </si>
  <si>
    <t>Servicio El Hueso, S.A. de C.V. compra de gasolina para desbrozadora poda pasto parque fracc</t>
  </si>
  <si>
    <t>Papelería Omega, pago de 200 copias para informe al fraccionaiento de kermes en escuela</t>
  </si>
  <si>
    <t>Víctor Pérez, compensación por repartir volante información de kermes en Colegio</t>
  </si>
  <si>
    <t>Cuadrilla Delegación, compra de tacos para personal Alcaldía poda pasto parque del fraccion</t>
  </si>
  <si>
    <t>Miscelanea Lupita, compra de agua para personal de Mesa Directiva, cobranza casa por casa</t>
  </si>
  <si>
    <t>Abarrotes Pepes, compra de refrescos para personal de vigilancia del fraccionamiento</t>
  </si>
  <si>
    <t>Sistema de Cómputo, pago de video a solicitud de vecino de Estanzuela choque de su automovil</t>
  </si>
  <si>
    <t>Transferencia Bancaria de Fam. Fuentes Upacuaro # 46</t>
  </si>
  <si>
    <t>Transferencia Bancaria de Fam. Gonzalez</t>
  </si>
  <si>
    <t>Transferencia Bancaria UP_15 Fam. Aguirre</t>
  </si>
  <si>
    <t>Transferencia Bancaria UP_23 Fam. Gutierrez Muños</t>
  </si>
  <si>
    <t>Entrega a Dolores Mijangos Portugal del 25 al 28 de Febrero/19</t>
  </si>
  <si>
    <t>Gloria Mazzón Soto, pago de honorarios, or trabajos de contabilidad del 25/feb al 01/03/19</t>
  </si>
  <si>
    <t>Mateeriales y Tlapalería La Palma, compra de clavos para caja de tarjetas caseta Zinampa</t>
  </si>
  <si>
    <t>Cuadrilla Alcaldía, compra de carnitas para personal de poda pasto parque del fraccionamiento</t>
  </si>
  <si>
    <t>Distribuodra El Bollo Cafetales S.A. de C.V. compra de pan para personal de vigilancia ambos tur</t>
  </si>
  <si>
    <t>Sistema de Cómputo, pago de video para ver insidente en la colonia de peronas con arma</t>
  </si>
  <si>
    <t>Home Depot México, S. de R.L. de C.V. compra de varioss articulo y reflector para caseta Zinampa</t>
  </si>
  <si>
    <t>Home Depot México, S. de R.L. de C.V. compra de cable para reflector para caseta de Zianampa</t>
  </si>
  <si>
    <t>Cadena Comercial Oxxo, S.A. de C.V. compra de café para personal de mesa de cobranza doming</t>
  </si>
  <si>
    <t>Cadena Comercial Oxxo, S.A. de C.V. compra de refresco para mesa de cobranza domingo</t>
  </si>
  <si>
    <t>Entrega a Dolores Mijangos, cobranza del 1er Domingo Marzo/19</t>
  </si>
  <si>
    <t>Electropura, S. de R.L. de C.V., compra de 5 garrafones para casetas del fraccionamiento</t>
  </si>
  <si>
    <t>Home Depot México, S. de R.L. de C.V. compra de varios cables para colocación reflector caseta</t>
  </si>
  <si>
    <t>Patrulla 033, compensación por rondines en fraccionamiento de toda la semana</t>
  </si>
  <si>
    <t>Cadena Comercial Oxxo, S.A. de C.V. compra de refrescos para personal de vigilancia</t>
  </si>
  <si>
    <t>Lenix Security Alarm, compra de cable CAT 5 para cableado de camaras fraccionamiento</t>
  </si>
  <si>
    <t>Lenix Security Alarm, compra de juego de balon para camara de Estanzuela</t>
  </si>
  <si>
    <t>Lenix Security Alarm, pago de mano de obra por colocación de cable y balon para camaras</t>
  </si>
  <si>
    <t>Cuadrilla Alcaldía, compesación de desasolve coladeras del fraccionamiento</t>
  </si>
  <si>
    <t>Abarrotes Lupita, compra de refrescos personal de vigilancia del fraccionamiento</t>
  </si>
  <si>
    <t>Gloria Mazzón Soto, pago de honorarios conrables del 04 al 08 de Marzo/19</t>
  </si>
  <si>
    <t>Víctor Pérez, compensación por barrer banquetas área perimetral del parque fraccionamiento</t>
  </si>
  <si>
    <t>Comercializadora Caspin, S.A. de C.V. compra de espatula para trabajos de casetas</t>
  </si>
  <si>
    <t>Tradicional en Pastelerías, S.A. de C.V. compra de café para personal mesa de cobranza domingo</t>
  </si>
  <si>
    <t>Cadena Comercial Oxxo, S.A. de C.V. compra de refrescos para mesa de cobranza y vigilancia do</t>
  </si>
  <si>
    <t>Entrega a Dolores Mijangos, cobranza del 2do.  Domingo Marzo/19</t>
  </si>
  <si>
    <t>Lenix Security Alarm, compra de tarjeta relay para barreras de acceso caseta Zinampa</t>
  </si>
  <si>
    <t>Lenix Security Alarm, pago de mano de obra por colocación de tarjeta relay en caseta de Zinamp</t>
  </si>
  <si>
    <t>Cadena Comercial Oxxo, S.A. de C.V. compra de refrescos para personal de Mesa Directiva</t>
  </si>
  <si>
    <t>Telefonos de México, S.A.B. de C.V. pago de telefono de casetas el fraccionamieno mes de feb/19</t>
  </si>
  <si>
    <t>Home Depot México, S. de R.L. de C.V. compra tubos y soldadura aglo lavabo baño caseta ZB</t>
  </si>
  <si>
    <t>Víctor Pérez, compensación por quitar propaganda, barrer área de juegos y ejercitadores parqu</t>
  </si>
  <si>
    <t>Pedro Bazzan, pago por recolección de basura 1er quincena de todo el fraccionamiento</t>
  </si>
  <si>
    <t>Gloria Mazzón Soto, pago en apoyo cobranza domingo 10 de Marzo/19</t>
  </si>
  <si>
    <t>Gloria Mazzón Soto, pago de honoraios contable del 11 al 15 de Marzo/19</t>
  </si>
  <si>
    <t>Roberto Miranda pago por barrer todo el fraccionamiento entre semana 1er quincena Mar/19</t>
  </si>
  <si>
    <t>Maria De Lourdes Osorio, por varios trabajos realiados en la 1er quincena de Mar/19</t>
  </si>
  <si>
    <t>Grupo Alguacil Dorado en Seguridad Privada, S.A. de C.V.  1er Quincena Mar/19 por  vigilancia</t>
  </si>
  <si>
    <t>Maria De Lourdes Osorio, por varios trabajos realiados en la 2da quincena de Marzo/19</t>
  </si>
  <si>
    <t>Grupo Alguacil Dorado en Seguridad Privada, S.A. de C.V. LIQ. 2da. Quin. Mar/19 por vigilancia</t>
  </si>
  <si>
    <t>Grupo Alguacil Dorado en Seguridad Privada, S.A. de C.V.  A/C 2da Quin.  Mar/19 por vigilancia</t>
  </si>
  <si>
    <t>Comercializadora Caspin, S.A. de C.V. compra rodillo para pintar caseta Romeral</t>
  </si>
  <si>
    <t>Sistema de Cómputo, pago por activación de tarjetas electrónicas de vecinos morosos fraccion</t>
  </si>
  <si>
    <t xml:space="preserve">Distribuidora El Bollo Cafetales, S.A. de C.V. compra de pan para personal de vigilancia </t>
  </si>
  <si>
    <t>Fabian Aguilar, compensación por instalar reflector en caseta de Zinampa y Romeral</t>
  </si>
  <si>
    <t>Villafaña Pérez Judith, compra de café para mesa de cobranza Domingo</t>
  </si>
  <si>
    <t>Cadena Comecial Oxxo, S.A. de C..V. compra de agua y refescos para mesa de Cobranza Domingo</t>
  </si>
  <si>
    <t>Entrega a Dolores Mijangos, cobranza del 3er Domingo Marzo/19</t>
  </si>
  <si>
    <t>Lenix Security Alarm, compra de tarjeta relay barrera entrada, ancla de barrera manual y balon</t>
  </si>
  <si>
    <t>Lenix Security Alarm, pago de mano de obra en colocación de tarjea, ancla y balon caseta Zinam</t>
  </si>
  <si>
    <t>SAT Servicio de Administración Tributaria, Pago de reteción de IVA Colegio Marzo/19</t>
  </si>
  <si>
    <t>Siegrist Contadores Publicos, Pago de honorarios profesionales  Marzo/19</t>
  </si>
  <si>
    <t>Deposito de cheque #8272 Colegio Carmel, pago mantenimiento del mes de Marzo/19</t>
  </si>
  <si>
    <t>Visión Cycling Goup, S. de R.L. de C.V. compra de tornillos para bicicleta del fraccionamiento</t>
  </si>
  <si>
    <t xml:space="preserve">Nueva Walmart de México, S. de R.L. de C.V. compra de materiales de limpieza para casetas </t>
  </si>
  <si>
    <t>Fosar Iluminación, S.A. de C.V. compra de reflector y focos para caseta de Romeral</t>
  </si>
  <si>
    <t>Gloria Mazzón Soto, pago de honorarios contables del 18 al 22 de Marzo/19</t>
  </si>
  <si>
    <t>Home Depot México, S. de R.L. de C.V. compra de aceite y conector para caseta Romeral</t>
  </si>
  <si>
    <t>Patrulla 024, compensación por rondines en todo el faccionamiento entre semana</t>
  </si>
  <si>
    <t>Inka Yani, compra de café para Mesa Directiva junta.</t>
  </si>
  <si>
    <t>Impressión Point, compra de 1000 recibos de cobranza para el fraccionamiento</t>
  </si>
  <si>
    <t>Materiales y Tlapalería La Palma, compra de remaches para chapas acceso del fraccionamiento</t>
  </si>
  <si>
    <t>Gustavo Gil, pago por cambio de luminarias en calle Cuchilla y Landero del fraccionamiento</t>
  </si>
  <si>
    <t>Cadena Comercial Oxxo, S.A. de C.V. compra de pan para personal de vigilania</t>
  </si>
  <si>
    <t>Cadena Comercial Oxxo, S.A. de C.v. compra de agua para Mesa de cobranza Domingo</t>
  </si>
  <si>
    <t>Krispi Kreme México, S. de R.L. de C.V. compra de café para Mesa de Cobranza Domingo</t>
  </si>
  <si>
    <t>Entrega a Dolores Mijangos, cobranza 4to. Domingo de Marzo/19</t>
  </si>
  <si>
    <t>Israel Galan Quintin, pago reparación de 3 cerraduras, puerta Cuchilla, Estanzuela y Landero</t>
  </si>
  <si>
    <t xml:space="preserve">Lenix Security Alarm, pago de mantenimiento de modulo de caseta Ziampa </t>
  </si>
  <si>
    <t>Cadena Comercial Oxxo, S.A. de C.V. compra de refrescos para Ing. De Camaras</t>
  </si>
  <si>
    <t>Gloria Mazzón Soto, pago de honorarios contables del 25 al 29 de Marzo/19</t>
  </si>
  <si>
    <t>Iván Roa, compensación en apoyo de vigilar el cambio de luminarias y arreglo de chapas fracc</t>
  </si>
  <si>
    <t>Víctor Pérez, pafo po barrer banquetas y área perimetral calle del parque fraccionamiento</t>
  </si>
  <si>
    <t>Distribuidora de Bicicletas Benotto S.A. de C.V. compra de aciento para bicicleta del fraccionam</t>
  </si>
  <si>
    <t>Roberto Miranda, pago por barrer todo el fracc de lunes a viernes 2da quincena Marzo/19</t>
  </si>
  <si>
    <t>Cadena Comercial Oxxo, S.A. de C.V. compra de galletas para Mesa de Cobranza Domingo</t>
  </si>
  <si>
    <t>Tradicional en Pastelerías, S.A. de C.V. compra de pan para personal mesa de cobranza domingo</t>
  </si>
  <si>
    <t>Pedro Bazzan, pago por recolección de pasto podado del parque del fraccionamietno</t>
  </si>
  <si>
    <t>Entrega a Dolores Mijangos, cobranza 5to Domingo del mes de Marzo/19</t>
  </si>
  <si>
    <t>Distribuidora El Bollo Cafetales S.A. de C.V. compra de pan para personal de vigilancia 2 turnos</t>
  </si>
  <si>
    <t>Transferencia Bancaria Fam Fuentes UP_46 paga marzo/19</t>
  </si>
  <si>
    <t>Transferencia Bancaria Fam Montes De Oca UP_10 paga oct/nov/dic/18 y ene/19</t>
  </si>
  <si>
    <t>Transferencia Bancaria Fam Vega Sanchéz CL_29 paga oct/nov/dic/18 y ene/feb/mar/19</t>
  </si>
  <si>
    <t>Transferencia Bancaría Fam Gutiérrez Muñoz UP_23 paga marzo/19</t>
  </si>
  <si>
    <t xml:space="preserve">Nueva Walmart de México, S. de R.L. de C.V. compra de bolsas de basura para pasto podado </t>
  </si>
  <si>
    <t>SS</t>
  </si>
  <si>
    <t>Sistema de Cómputo, pao por reprogramación de tarjetas de vecinos morosos</t>
  </si>
  <si>
    <t>Ferreteria, compra de cemento y arena para tapar bache en el fraccionamiento</t>
  </si>
  <si>
    <t>Víctor Pérez compensación por reparación de baches en calle de Upácuaro y Hueso</t>
  </si>
  <si>
    <t>Lenix Security Alarm, pago mantenimiento Modulo de Estopila</t>
  </si>
  <si>
    <t>Tlapalería Jaimes, ompra de 2 litros de thinner para pintar caseta</t>
  </si>
  <si>
    <t>Home Depot México, S. de R.L. de C.V. compra de varios articulos para mantenimento caseta EP</t>
  </si>
  <si>
    <t>Patrulla 024, compensación por rondines en todo el fraccionamiento entre semana</t>
  </si>
  <si>
    <t>Cadena Comercial Oxxo, S.A. de C.V. compra de agua y refrescos Mesa de Cobranza Domingo</t>
  </si>
  <si>
    <t>Entrega a Dolores Mijangos  1er Domingo cobranza de Abril/19</t>
  </si>
  <si>
    <t>ProAcero del Sur, compra de articulo varios para reparación de caseta Romeral</t>
  </si>
  <si>
    <t>ProAcero del Sur, compra de flexometro de 5 m para casetas Romeral</t>
  </si>
  <si>
    <t>Materiales y Tlapalería La Palma, compra de adaptador base pluma caseta Romeral</t>
  </si>
  <si>
    <t>Cuadrilla Alcaldía, compensación por reparación de Alumbrado Público en UP, EZ y EP</t>
  </si>
  <si>
    <t>Pablo López compensación en apoyo  de estar al pendiente reparación luminarías</t>
  </si>
  <si>
    <t>Gloria Mazzón Soto,  pago de honorarios contables del 01 al 05 de Abril/19</t>
  </si>
  <si>
    <t>SAT Servicio de Administración Tributaria, Pago de reteción de IVA Colegio Abril/19</t>
  </si>
  <si>
    <t>Siegrist Contadores Publicos, Pago de honorarios profesionales  Abril/19</t>
  </si>
  <si>
    <t>Lenix Security Alarm, pago mantenimiento CCTV de Caseta Recoveco</t>
  </si>
  <si>
    <t xml:space="preserve">Inka Yani, compra de café para Mesa Directiva junta con Vigilancia </t>
  </si>
  <si>
    <t>Gloria Mazzón Soto, pago de honorarios contables del 08 al 12 de Abril/19</t>
  </si>
  <si>
    <t>Telefonos de México, S.A.B. de C.V. pago telefono del mes Marzo/19</t>
  </si>
  <si>
    <t>Entrega a Dolores Mijangos  2do Domingo cobranza de Abril/19</t>
  </si>
  <si>
    <t>Israel Galán Quintin, pago reparación de cerradura y compra de cerradura seguridad LD,ZB y CL</t>
  </si>
  <si>
    <t>Pedro Bazzan, pago de recoleccoón basura de lunes a viernes 1er quincena abril/19</t>
  </si>
  <si>
    <t xml:space="preserve">Roberto Miranda, pago por barrer todo el fraccionamiento de lunes a viernes 1er quincena </t>
  </si>
  <si>
    <t>Maria De Lourdes Osorio, por varios trabajos realiados en la 1er quincena de Abril/19</t>
  </si>
  <si>
    <t>Grupo Alguacil Dorado en Seguridad Privada, S.A. de C.V. 1er liq. Por vigilancia Abril/19</t>
  </si>
  <si>
    <t xml:space="preserve">Grupo Alguacil Dorado en Seguridad Privada, S.A. de C.V.  1er a/c por vigilancia  Abril/19 </t>
  </si>
  <si>
    <t>Electropura, S. de R.L. de C.V. compra de 6 garrafones de agua para casetas del fraccionamiento</t>
  </si>
  <si>
    <t>Copyfaz Digital, pago de 205 copias para informe al fraccionamiento</t>
  </si>
  <si>
    <t>Víctor Pérez compensación por reparti volantes a colonos aviso de cierre de acceso vehicular</t>
  </si>
  <si>
    <t>Cadena Comercial Oxxo, S.A. de C.V. compra de café y azúcar para personal de vigilancia fracc</t>
  </si>
  <si>
    <t>Lenix Security Alarm, compra de camara bullet HD para caseta Recoveco del fraccionameinto</t>
  </si>
  <si>
    <t>Lenix Security Alarm, pago de mano de obra en colocación de camara bullet HD caseta RV</t>
  </si>
  <si>
    <t>Nueva Walmart de México, S. de R.L. de C.V. compra de materiales de limpieza para casetas fracc</t>
  </si>
  <si>
    <t>Víctor Pérez, compensación por barrer y limpiar área de ejercitadores y juegos el parque fracc</t>
  </si>
  <si>
    <t>Home Depot México, S. de R.L. de C.V. compra de cinta aislante para barrera de caseta Zinampa</t>
  </si>
  <si>
    <t>Kiosko Snacks, S.A. de C.V. compra de refrescos para vigilancia del fraccionamiento</t>
  </si>
  <si>
    <t>Distribuidora El Bollo Cafetales, S.A. de C.V. compra de pan para persoanal de vigilancia del frac</t>
  </si>
  <si>
    <t>Deposito de cheque #8272 Colegio Carmel, pago mantenimiento del mes de Abril/19</t>
  </si>
  <si>
    <t>Víctor Pérez, compensación por barrer y levantar ojarasca del parque del fraccionamiento</t>
  </si>
  <si>
    <t>Gloria Mazzón Soto, pago de honorarios contables del 15 al 19 de Abril/19</t>
  </si>
  <si>
    <t>Pedro Bazzan, recolección de basura en fin de semana en todo el fraccionamiento</t>
  </si>
  <si>
    <t>Pedro Bazzan, recolección de ojarasca de árboles del parque fraccionamiento</t>
  </si>
  <si>
    <t>Abarrotes Lupita, compra de refrescos para personal de vigilancia</t>
  </si>
  <si>
    <t>Tradición En Pastelería, S.A. de C.V. compra de café para Mesa de Cobranza Domingo</t>
  </si>
  <si>
    <t>Entrega a Dolores Mijangos el 3er Domingo de Cobranza Abril/19</t>
  </si>
  <si>
    <t>Gloria Mazzón Soto, pago en apoyo cobranza del 21 de Abril/19</t>
  </si>
  <si>
    <t xml:space="preserve">Copyfaz Digital, pago de 800 copias para informe al fraccionamiento </t>
  </si>
  <si>
    <t>CopyFaz Digital, pago de 400 copias para informe al fraccionamiento</t>
  </si>
  <si>
    <t>Víctor Pérez, compensación por repartir informe trimestral a colonos del fraccionamiento</t>
  </si>
  <si>
    <t>Electropura S. de R.L. de C.V. compra de 5 garrafones para casetas del fraccionamiento</t>
  </si>
  <si>
    <t>Home Depot México, S. de R.L. de C.V. compra de panel acrilico y ruedas para puerta caseta ZB</t>
  </si>
  <si>
    <t>Plaza Comercial Chedraui Coapa, pago de estacionamiento compra de artículos para puerta ZB</t>
  </si>
  <si>
    <t>La Palma, compra de 1 kilo de Crest para reparación de caseta Romeral</t>
  </si>
  <si>
    <t>Enrique Cifuentes Herrero, pago por cambiar y soldar llantas a puerta de acceso vehicular de EP</t>
  </si>
  <si>
    <t>Iván Roa, compensación en apoyo al herrero cambio de llanas de puerta acceso vehicular EP</t>
  </si>
  <si>
    <t>Gloria Mazzón Soto, pago de honorarios contables del 21 al 26 de Abril/19</t>
  </si>
  <si>
    <t>Cobro Token Bep</t>
  </si>
  <si>
    <t>I.V.A. por Token Bep</t>
  </si>
  <si>
    <t>Mercado Campesinos, compra jugos  para pesonal de Mesa Directiva</t>
  </si>
  <si>
    <t>Miselanea Lupita, coomprra ded refrescos para personal de vigiilancia del fraccionamiento</t>
  </si>
  <si>
    <t>Cadena Coomercial Oxxo, S.A. de C.V. compra de agua  para personal de  cobranza Domingo</t>
  </si>
  <si>
    <t>Gloria Mazzón Soto, pago en apoyo cobranza del 28 de Abril/19</t>
  </si>
  <si>
    <t>Pedro Bazzan pago o recoleccióon de basura en todo el fraccionamiento en fin de semana</t>
  </si>
  <si>
    <t>Pedro Bazzan pago por recolección de pasto podado entre semana del parque del fraccionami</t>
  </si>
  <si>
    <t>Entrega a Dolores Peralta cobranza del 4to Domingo de Abril//19</t>
  </si>
  <si>
    <t>Visión Cycling Group, S. DE R.L. DE C.V. compra de 1 camara para bicicleta del frraccionamient</t>
  </si>
  <si>
    <t>Víctor Pérez, compensación por barrer área perimetral y banquetas del parque del fraccioonam</t>
  </si>
  <si>
    <t xml:space="preserve">Grupo Alguacil Dorado en Seguridad Privada, S.A. de C.V.  2da a/c por vigilancia  Abril/19 </t>
  </si>
  <si>
    <t>Grupo Alguacil Dorado en Seguridad Privada, S.A. de C.V. 2da liq. Por vigilancia Abril/19</t>
  </si>
  <si>
    <t>Pedro Bazzan, pago de recoleccoón basura de lunes a viernes 2da quincena abril/19</t>
  </si>
  <si>
    <t xml:space="preserve">Roberto Miranda, pago por barrer todo el fraccionamiento de lunes a viernes 2d quincena </t>
  </si>
  <si>
    <t>Maria De Lourdes Osorio, por varios trabajos realiados en la 2da quincena de Abril/19</t>
  </si>
  <si>
    <t>Transferencia Bancaria Fam Fuentes UP_46 paga Abril/19</t>
  </si>
  <si>
    <t>Transferencia Bancaria Fam Castañeda UP_14 pago Abril</t>
  </si>
  <si>
    <t>Transferencia Bancaria Fam Aguirre EZ_15_A pago mes de Marzo/19</t>
  </si>
  <si>
    <t>Transferencia Bancaría Fam Sanchéz cl_14_2pago $300 Dic/18 $300 Ene/19 y a/c  $ 200 Feb/19</t>
  </si>
  <si>
    <t>Transferencia Bancaría Fam Vega Sánchez  CL_29 pago abril/19</t>
  </si>
  <si>
    <t>Cadena Comercial Oxxo, S.A. de C.V. compra de refrescos para personal de vigilancia fraccionam</t>
  </si>
  <si>
    <t>Sistema de Cómputo, pago por instalación a C.P.V. programa de activación de tarjetas eletrónica</t>
  </si>
  <si>
    <t>Cadena Comercial Oxxo, S.A. de C.V. compra de café y ázucar para personal de vigilancia fraccio</t>
  </si>
  <si>
    <t>Lenix Security Alarm, compra de Camara Bullet HD para caseta de Recoveco</t>
  </si>
  <si>
    <t>Lenix Security Alarm, pago de mano de obra en colocación de camara para caseta Recoveco</t>
  </si>
  <si>
    <t>Enrique Cifuentes, pago herrero caja para proteger grabadores de Caseta Romeral</t>
  </si>
  <si>
    <t>Sistema de Cómputo, pago de video de vecino Rancho Upacuaro 134 por incedente de su propie</t>
  </si>
  <si>
    <t>Gloria Mazzón Soto, pago de honorarios contables del 29 de Abil al 03 de Mayo/19</t>
  </si>
  <si>
    <t>Abarrotes Lupita, compra de refrescos para personal de vigilancia del fraccionamieto</t>
  </si>
  <si>
    <t>Patrulla 033, compensación por rondines en todo el fraccionamiento entre semana</t>
  </si>
  <si>
    <t>Krispy Kreme, Compra de café para persoal de la Mesa de Cobranza Domingo</t>
  </si>
  <si>
    <t>Cadena Comercial Oxxo, S.A. de C.V. compra de agua y refrescos para personal Mesa de Cobranz</t>
  </si>
  <si>
    <t>Pedro Bazzan, Compensación por recolección de basura en fin de semana en todo el fraccionam</t>
  </si>
  <si>
    <t>Entrega a Dolores Mijangos, 1er Domingo de Mayo/19</t>
  </si>
  <si>
    <t>Lenix Security Alarm, pago de mano de obra en colocación de Regulador Nobreck p/caseta ZB</t>
  </si>
  <si>
    <t>Lenix Security Alarm, compra de Regulador No Breck Sarbitt NB750 para caseta Zinampa</t>
  </si>
  <si>
    <t>Víctor Pérez, compensación por barrer banquetas y área perimetral del parque fraccionaiento</t>
  </si>
  <si>
    <t>Materiales y Tlapalería La Palma, compra de varios artículos para reparación de lavabo RM</t>
  </si>
  <si>
    <t>Víctor Pérez, compensación por barrer y desyerbar calles y banquetas de pueta de EP y RV</t>
  </si>
  <si>
    <t>Sistemas de Cómputo, pago video presidencia para evidencia choque de pluma manual ZB</t>
  </si>
  <si>
    <t>Pedro Bazzan, pago de recoleccoón basura de lunes a viernes 1er quincena Mayo/19</t>
  </si>
  <si>
    <t>Maria De Lourdes Osorio, por varios trabajos realiados en la 1er quincena de Mayo/19</t>
  </si>
  <si>
    <t>Dolores Mijangos Peralta, pago 1er.  quincena por trabajos de presidencia en el fraccionamien</t>
  </si>
  <si>
    <t xml:space="preserve">Grupo Alguacil Dorado en Seguridad Privada, S.A. de C.V.  1er a/c por vigilancia  Mayo/19 </t>
  </si>
  <si>
    <t>Grupo Alguacil Dorado en Seguridad Privada, S.A. de C.V. 1er liq. Por vigilancia Mayo/19</t>
  </si>
  <si>
    <t>Lenix Security Alarm, compra de Sensor de Masa plumas electrónicas caseta Zinamapa</t>
  </si>
  <si>
    <t>Lenix Security Alarm, pago de mano de obra en colocación de Sensor de Masa plumas ZB</t>
  </si>
  <si>
    <t>Cadena Comercial Oxxo, S.A. de C.V. compra de materiales de limpieza para casetas del fracc</t>
  </si>
  <si>
    <t>Gloria Mazzón Soto, pago de honorarios contables del 06 al 10 de Mayo/19</t>
  </si>
  <si>
    <t>Cadena Comercial Oxxo, S.A. de C.V. compra de refrescos para personal Mesa de Cobranza</t>
  </si>
  <si>
    <t>Starbucks Coffe Coapa, compra de café para personal de Mesa de Cobraza Domingo</t>
  </si>
  <si>
    <t>Pedro Bazzan, pago por recolección de basura en todo el fraccionamieto en fin de semana</t>
  </si>
  <si>
    <t>Entrega a Dolores Mijangos, 2do.Domingo de Mayo/19</t>
  </si>
  <si>
    <t>Enrique Cifuentes, pago arreglo chapa de puerta de acceso peatonal Estanzuela</t>
  </si>
  <si>
    <t>Home Depot México, S. de R.L. de C.V. compra de varíos artículos para reparacion pluma Romera</t>
  </si>
  <si>
    <t>Plaza Comercial Chedrahui Coapa, pago estacionamiento compra varios articulos reparación</t>
  </si>
  <si>
    <t>SAT Servicio de Administración Tributaria, Pago de reteción de IVA Colegio Mayo/19  Ch. # 253</t>
  </si>
  <si>
    <t>Siegrist Contadores Publicos, Pago de honorarios profesionales  Mayo/19 Che. # 253</t>
  </si>
  <si>
    <t>Deposito de cheque #8857 Colegio Carmel, pago mantenimiento del mes de Mayol/19</t>
  </si>
  <si>
    <t xml:space="preserve">Cadena Comercial Oxxo, S.A. de C.V. compra de refrescos para Ing. De camaras </t>
  </si>
  <si>
    <t>Lenix Security Alarm, pago de mano de obra en reparación de camara del fraccionamiento</t>
  </si>
  <si>
    <t>Cuerpo de Bomberos, compensación en apoyo en árbol caído en parque del fraccionamiento</t>
  </si>
  <si>
    <t>Patrulla 033, compensación en apoyo a Cuerpo de Bomberos asunto del árbol caído del parque</t>
  </si>
  <si>
    <t>Iván Roa, compensación en apoyo asistencia a Cuerpo de Bomberos tala de árbol en el fraccion</t>
  </si>
  <si>
    <t>Telefonos de México, S.A.B. de C.V. pago de telefono de casetas del fraccionamiento Abril/19</t>
  </si>
  <si>
    <t>Enrique Cifuentes, pago arreglo de pluma de caseta Recoveco acceso a padres escuela Carmel</t>
  </si>
  <si>
    <t>Gloria Mazzón Soto, pago de honorarios Contables del 13 al 17 de Mayo/19</t>
  </si>
  <si>
    <t>Nueva Walmart de Mèxico, S. de R.L. de C.V. compra de materiales de limpieza para casetas fracc</t>
  </si>
  <si>
    <t>Patrulla 033, compensaciòn por rondines entre semana en todo el fraccionamiento</t>
  </si>
  <si>
    <t>Entrega a Dolores Mijangos, cobranza del 3er Domingo del mes de Mayo/19</t>
  </si>
  <si>
    <t>Visiòn Cycling Group, S. de R.L. de C.V. pago de servicio a rines de bicicleta del fracc para rondine</t>
  </si>
  <si>
    <t>Vìctor Pèrez, compensaciòn por limpiar el parque del fracc. Y recoger ramas caidas por viento</t>
  </si>
  <si>
    <t>Visiòn Cycling Group, S. de R.L. de C.V. compra de 1 llanta y parches para bicicleta del fracc.</t>
  </si>
  <si>
    <t>Distribudora El Bollo Cafetalas, S.A. de C.V. compra de pan para personal de vigilacia fracciona</t>
  </si>
  <si>
    <t>Lenix Security Alarm, compra de Camara Ballon Video para caseta de Estopila</t>
  </si>
  <si>
    <t>Lenix Security Alarm, pago de mano de obra en colocaciòn de cama Ballon caseta Estopila</t>
  </si>
  <si>
    <t>Gloria Mazzòn Soto, pago de honorarios contables del 20 al 24 de Mayo/19</t>
  </si>
  <si>
    <t>Luis Daniel Chavarrìa, compensaciòn por arreglar bicicletas del fracionamiento para rondines</t>
  </si>
  <si>
    <t>Pedro Bazzan, pago de recoleccoón basura de lunes a viernes 2da quincena Mayo/19</t>
  </si>
  <si>
    <t>Maria De Lourdes Osorio, por varios trabajos realiados en la 2da quincena de Mayo/19</t>
  </si>
  <si>
    <t xml:space="preserve">Grupo Alguacil Dorado en Seguridad Privada, S.A. de C.V.  2da a/c por vigilancia  Mayo/19 </t>
  </si>
  <si>
    <t>Grupo Alguacil Dorado en Seguridad Privada, S.A. de C.V. 2da liq. Por vigilancia Mayo/19</t>
  </si>
  <si>
    <t>Entrega a Dolores Mijangos, cobranza de la ùltima semana de Mayo/19</t>
  </si>
  <si>
    <t>Entrega a Dolores Mijangos, cobranza 4to Domingo de Mayo/19</t>
  </si>
  <si>
    <t>Home Depot México, S. de R.L. de C.V. compra de varíos artículos para casetas del fraccionamien</t>
  </si>
  <si>
    <t>Office Depot de Mèxico, S.A. de C.V. compra de papelerìa para Tesoreria y Presidencia del fraccio</t>
  </si>
  <si>
    <t>Visiòn ycling Group, S. de R.L. de C.V. pago mantenimiento a bicicletla del fraccionamiento</t>
  </si>
  <si>
    <t>Gloria Mazzòn Soto, pago de honorarios contables del 27 al 31 de Mayo/19</t>
  </si>
  <si>
    <t>Deposito Fam. Fuentes UP_46 pago mes de Mayo/19</t>
  </si>
  <si>
    <t>Deposito en efectivo de EZ_9_A fam Castañeda pago mes de Mayo/19</t>
  </si>
  <si>
    <t>Depostio Fam. Gonzales EZ_15_A pago mes de Marzo/19</t>
  </si>
  <si>
    <t>Deposito Fam. Vega Sànchez, CL_29 pago mes de Abril/19</t>
  </si>
  <si>
    <t>Deposito Fam. Montes De Oca, UP_10_ pago Feb/Mar/Abr/May/19 $ 300 por mes y Jun a/c $200</t>
  </si>
  <si>
    <t>Cobro rentaToken Bep</t>
  </si>
  <si>
    <t>I.V.A. por rentaToken Bep</t>
  </si>
  <si>
    <t>Víctor Pérez, compensación por limpiar y desyerbar acceso por Estopila y quitar propaganda</t>
  </si>
  <si>
    <t>Cadena Comercial Oxxo, S.A. de C.V. compra de refrescos para persoal de vigilancia del fracciona</t>
  </si>
  <si>
    <t>Cadena Comercial Oxxo, S.A. de C.V. compra de agua y refrescos para persoal de Mesa Cobranza</t>
  </si>
  <si>
    <t>Lenix Security Alarm, compra de DVR Epcom caseta Estopila y 1 camara para caseta Romeral</t>
  </si>
  <si>
    <t>Entrega a Dolores Mijangos primer Domingo cobranza de Junio/19</t>
  </si>
  <si>
    <t>Lenix Security Alarm, pago de mano de obra en colocación de DVR y Camara caseta Romerla</t>
  </si>
  <si>
    <t>Patrulla 033, compensación por rondines en toda la semana en todo el fraccionamiento</t>
  </si>
  <si>
    <t>Electrpura, S. de R.L. de C.V. compraa de 5 garrafones de agua para casetas del fraccionamiento</t>
  </si>
  <si>
    <t>Materiales y Tlapalería La Plama, compra de candado para caja de herramientas de caseta RM</t>
  </si>
  <si>
    <t>Lenix Security Alarm, compra de 3 Ballon cámaras de Estanzuela y caseta Zimpa</t>
  </si>
  <si>
    <t>Lenix Security Alarm, pago de mano de obra cableado de camaras de Estanzuela acceso peatonal</t>
  </si>
  <si>
    <t>Gloria Mazzón Soto, pago de honorarios contables del 03 al 07 de Junio/19</t>
  </si>
  <si>
    <t>Lenix Security Alarm, compra de Bullet HD, Ballon Video y Tranformador para caseta de Romeral</t>
  </si>
  <si>
    <t>Lenix Security Alarm, pago de mano de obra en colocación de Bullet, Ballon video y Tranforador</t>
  </si>
  <si>
    <t>Patrulla 033 Compensación por rondines en todo el fraccionamiento entre semana</t>
  </si>
  <si>
    <t>Antelmo Chavez, pago por poda pasto de árboles de caseta Zinampa</t>
  </si>
  <si>
    <t>Pedro Bazzan, pago por recolección de pasto podado entre semana</t>
  </si>
  <si>
    <t>Tradición en Pastelerías, S.A. de C.V. compra de café para mesa de cobranza Domingo</t>
  </si>
  <si>
    <t>Entrega a Dolores Mijangos segundo Domingo cobranza de Junio/19</t>
  </si>
  <si>
    <t>Gloria Mazzón Soto, pago en apoyo de cobranza del 09 de Junio/19</t>
  </si>
  <si>
    <t xml:space="preserve">Grupo D &amp; K, recarga de extintor a base de polvo químico seco </t>
  </si>
  <si>
    <t>Servicio Robeldo, S.A. de C.V. compra de gasolina para desbrozadora poda pasto del fraccionamie</t>
  </si>
  <si>
    <t>Antelmo Chavez, pago poda de pasto del parque del fraccionamiento</t>
  </si>
  <si>
    <t>Home Depot Mexico, S. e R.L. de C.V. compra de aceite de tres tiempos para desbrozadora del fracc</t>
  </si>
  <si>
    <t>Plaza Comercial Chedaui Coapa, pago de estacionamientto de aceite para desbrozadora</t>
  </si>
  <si>
    <t>Costco de México, S.A. de C.V. compra de bolsas de plasticos para recolección de pasto podado</t>
  </si>
  <si>
    <t>Distribuidora El Bollo Cafetales S.A. de C.V. compra de pan para personal de vigilancia del fracc</t>
  </si>
  <si>
    <t>Personal de vigilancia, compra de quesadillas para personal de vigilancia del fraccionamiento</t>
  </si>
  <si>
    <t>Lenix Security Alarm, compra 2 Ballon, 2 Cámaras para caseta Estanzuela y Zinampa</t>
  </si>
  <si>
    <t>Lenix Security Alarm, pago de mano de obra en colocación de 2 Ballón y 2 Camaras caseta EZ Y ZB</t>
  </si>
  <si>
    <t>Deposito de cheque #8857 Colegio Carmel, pago mantenimiento del mes de Juniol/19</t>
  </si>
  <si>
    <t>Telefonos de México, S.A.B. de C.V. pago de telefono de casetas del fraccionamiento mes mayo/19</t>
  </si>
  <si>
    <t>Cadena Comercial Oxxo, S.A. de C.V. compra de tiempo aíre para celular de presidenta fracciona</t>
  </si>
  <si>
    <t>Cadena Comercial Oxxo, S.A. de C.V. compra de refrescos para personal de vigilancia del fracc</t>
  </si>
  <si>
    <t>Carnicería Xotepingo, S.A. de C.V. compra de chicharrón para personal de vigilancia del fraccio</t>
  </si>
  <si>
    <t>Gloria Mazzón Soto, pago de honorarios contables del 10 al 14 de Junio/19</t>
  </si>
  <si>
    <t>Carnicería Xotepingo, S.A. de C.V. compra de queso para personal de vigilancia del fraccionamien</t>
  </si>
  <si>
    <t>Cadena Comercial Oxxo, S.A. de C.V. compra de comida para personal de vigilancia del fraccion</t>
  </si>
  <si>
    <t>Cadena Comercial Oxxo, S.A. de C.V. compra de azúcar y leche para personal de vigilancia del frac</t>
  </si>
  <si>
    <t>Pedro Bazzan, pago por recolección de basura de lunes a viernes 1er quinceena Junio/19</t>
  </si>
  <si>
    <t>Roberto Miranda, pago por barrer todo el fracc de lunes a viernes 1er quincena junio/19</t>
  </si>
  <si>
    <t>Maria De Lourdes Osorio, por varios trabajos realiados en la 1er quincena de Junio/19</t>
  </si>
  <si>
    <t xml:space="preserve">Grupo Alguacil Dorado en Seguridad Privada, S.A. de C.V.  1er a/c por vigilancia  Junio/19 </t>
  </si>
  <si>
    <t>Grupo Alguacil Dorado en Seguridad Privada, S.A. de C.V. 1er liq. Por vigilancia Junio/19</t>
  </si>
  <si>
    <t>Villafaña Pérez Judith, compra de café para personal de Mesa de Cobranza Domingo</t>
  </si>
  <si>
    <t>Bisquet México, compra de pan para perrsonal de Mesa de Cobranza Domingo</t>
  </si>
  <si>
    <t>Entrega a Dolores Mijango, 3er Domingo de Cobranza Junio/19</t>
  </si>
  <si>
    <t>Carnicería Xotepingo, S.A. de C.V. compra de chicharrón para vigilancia festejo día del padre</t>
  </si>
  <si>
    <t>Nuva Walmart de México, S de R.L. de C.V. compra de productos de limpieza para casetas vigilanc</t>
  </si>
  <si>
    <t>Cuemanco, pago estacionaiento compra de productos de limpieza para casetas vigilancia</t>
  </si>
  <si>
    <t>Víctor Pérez, compensación por barrer banqueta y área perimetral del parque del fraccionamiento</t>
  </si>
  <si>
    <t>Excelencia Coreana, S.A. de C.V. Hyudai Tepepan, compostura de autóvil Landero #24 daño pluma</t>
  </si>
  <si>
    <t>Cadena Comercial Oxxo, S.A. de C.V. compra de refrescos para personal de camaras de vigilancia</t>
  </si>
  <si>
    <t>Enrique Cifuentes Herrero pago por retiro de poste de caseta Zinampa</t>
  </si>
  <si>
    <t>Antemol Chávez pago poda de pasto del parque del fraccionamiento</t>
  </si>
  <si>
    <t>Víctor Pérez, pago por recolección de pasto podado del parque del fraccionamiento</t>
  </si>
  <si>
    <t>Gloria Mazzón Soto, pago de honorarios contqables del 17 al 21 de Junio/19</t>
  </si>
  <si>
    <t>Sistema de Cómputo, pago por activación y bloqueo de tarjetas eléctronicas de vecinos moroso</t>
  </si>
  <si>
    <t>Gustavo Gil, pago por cambio de 3 luminarióas en Recoveco y Zinampa</t>
  </si>
  <si>
    <t>Luis Daiel Chavarría, compensación en apoyo de cabio de luminarías del fraccionamiento</t>
  </si>
  <si>
    <t>Entrega a Dolores Mijangos 4to Domingo cobranza Junio/19</t>
  </si>
  <si>
    <t>Antelmo Chávez, pago por poda de pasto del parque y compra de gasolina para desbrozadora</t>
  </si>
  <si>
    <t>Autopartes Jorge's, reparación de toldo Jeep Wagoner de vecino que pluma causo daño</t>
  </si>
  <si>
    <t xml:space="preserve">Víctor Pérez, Compensacíón por recolección de pasto podado del parque fraccionamiento </t>
  </si>
  <si>
    <t>Gloria Mazzón Soto, pago en apoyo de cobranza del 23 de Junio/19</t>
  </si>
  <si>
    <t>Pedro Bazzan, pago de recoleccoón basura de lunes a viernes 2da quincena Junio/19</t>
  </si>
  <si>
    <t xml:space="preserve">Roberto Miranda, pago por barrer todo el fraccionamiento de lunes a viernes 2da quincena </t>
  </si>
  <si>
    <t>Maria De Lourdes Osorio, por varios trabajos realiados en la 2da quincena de Junio/19</t>
  </si>
  <si>
    <t>Dolores Mijangos Peralta, pago 2da..  quincena por trabajos de presidencia en el fraccionamien</t>
  </si>
  <si>
    <t xml:space="preserve">Grupo Alguacil Dorado en Seguridad Privada, S.A. de C.V.  2da quincena a/c por vigilancia  Jul/19 </t>
  </si>
  <si>
    <t>Grupo Alguacil Dorado en Seguridad Privada, S.A. de C.V. 2da quincena liq. Por vigilancia Jul/19</t>
  </si>
  <si>
    <t>Entrega a Dolores Mijangos del 5to Domingo Cobranza del fraccionamiento</t>
  </si>
  <si>
    <t>Gloria Mazzón Soto, pago de honorarios contables del 24 al 28 de Junio/19</t>
  </si>
  <si>
    <t>Cadena Comercial Oxxo, S.A. de C.V. compra de sopas para personal de vigilancia del fraccionam</t>
  </si>
  <si>
    <t>Cadena Comercial Oxxo S.A. de C.V. compra agua y refrescos para personal de vigilancia fracc</t>
  </si>
  <si>
    <t>Deposito Fam. Fuentes UP_46 pago mes de Junio/19</t>
  </si>
  <si>
    <t>Antelmo Chávez, pago por poda pasto y recolección del mismo del parque del fraccionamiento</t>
  </si>
  <si>
    <t>Víctor Pérez, compensación por recolección de pasto podado del parque fraccionaminto</t>
  </si>
  <si>
    <t>Servicio Robledo, S.A. de C.V. compra de gasolina para desbrozadora del fraccionamiento poda</t>
  </si>
  <si>
    <t>Mercado Granaditas, compra de paraguas para Mesa de Cobranza Domingos</t>
  </si>
  <si>
    <t>Lenix Security Alarm, compra de Camara Bullet HD para caseta ZB y monitor PC caseta Zinampa</t>
  </si>
  <si>
    <t>Lenix Security Alarm, pago de mano de obra en colocaciòn Bullet y Monitors para casetas EP y ZB</t>
  </si>
  <si>
    <t>Electropura, S. de R.L. de C.V. compra de 5  garrafones de agua para casetas del fraccionamiento</t>
  </si>
  <si>
    <t>Gustavo Gil, pago por cambio de luminarìas de Zinampa, Upàcuaro y Recoveco del fraccionamien</t>
  </si>
  <si>
    <t>SAT Servicio de Administración Tributaria, Pago de reteción de IVA Colegio Junio/19  Ch. # 253</t>
  </si>
  <si>
    <t>Siegrist Contadores Publicos, Pago de honorarios profesionales  Junio/19 Che. # 253</t>
  </si>
  <si>
    <t>Pedro Bazzan, pago por recolección de basura de lunes a viernes 1er quinceena Julio/19</t>
  </si>
  <si>
    <t>Roberto Miranda, pago por barrer todo el fracc de lunes a viernes 1er quincena julio/19</t>
  </si>
  <si>
    <t>Maria De Lourdes Osorio, por varios trabajos realiados en la 1er quincena de Julio/19</t>
  </si>
  <si>
    <t>Lenix Security Alarm, compra de Sensor Infrarrojo para plumas electrònicas caseta Zinamapa</t>
  </si>
  <si>
    <t>Lenix Security Alarm, pago de mano de obra en colocaciòn de Sensor Infrarrojo para caeta ZB</t>
  </si>
  <si>
    <t>Luis Daniel Chavarrìa, pago por desyerbar acceso entrada Romeral</t>
  </si>
  <si>
    <t>Federico Siegrist Hernández, compra de certificado de folios para facturaciòn</t>
  </si>
  <si>
    <t>Gloria Mazzòn Soto, pago de honorarios del 01 al 05 de Julio/19</t>
  </si>
  <si>
    <t>Vìctor Pèrez, compensaciòn por desyerbar acceso entrada Rancho Estopila y Recoveco</t>
  </si>
  <si>
    <t>Lenix Security Alarm, compra de Ballòn HD video y tranformador para caseta Zinampa</t>
  </si>
  <si>
    <t>Lenix Secutity Alarm, pago de mano de obra en colocaciòn de Ballòn HD y tranformador ZB</t>
  </si>
  <si>
    <t>Patrulla 033, compensaciòn por rondines en toda la semana del fraccionamiento</t>
  </si>
  <si>
    <t>Cadena Comercial Oxxo, S.A. de C.V. compra de agua para vigilancia del fraccionamiento</t>
  </si>
  <si>
    <t>Cadena Comercial Oxxo, S.A. de C.V. compra de agua y refrescos para personal Mesa Cobranza</t>
  </si>
  <si>
    <t>Pedro Bazzan, pago por recolecciòn de basura en fin de semana de todo el fraccionamiento</t>
  </si>
  <si>
    <t>Pedro Bazzan, pago por recolecciòn de pasto podado entre semana de todo el fraccionamiento</t>
  </si>
  <si>
    <t>Entrega a Dolores Mijangos del 1er Domingo de Cobranza de Julio/19</t>
  </si>
  <si>
    <t>Miselanea Lupita, compra de refrescos para trabajadores de Alcaldìa trabajadores de banquetas</t>
  </si>
  <si>
    <t>Vìctor Pèrez, compensaciòn por limpieza de kiosko y ejeritadores del parque del fraccionamiento</t>
  </si>
  <si>
    <t>Ivàn Roa, compensaciòn en apoyo a superviciòn y aviso a colonos de reparaciòn de banquetas</t>
  </si>
  <si>
    <t>Materiales y Tlapalerìa La Palma, compra de manguera y teflòn para arreglo lavabo caseta RM</t>
  </si>
  <si>
    <t>Gloria Mazzòn Soto pago de honorarios contables del 08 al 12 de Julio/19</t>
  </si>
  <si>
    <t>Distribuidora El Bollo Cafetales, S.A. de C.V. compra de pan para primer turno de vigilancia fracc</t>
  </si>
  <si>
    <t>Distribuidora El Bollo Cafetales, S.A. de C.V. compra de pan para segundo turno de vigilancia fra</t>
  </si>
  <si>
    <t>Cadena Comercial Oxxo, S.A. de C.V. compra de cafè y refrescos para Mesa de Cobranza Domingo</t>
  </si>
  <si>
    <t>Entrega a Dolores Mijangos del 2do. Domingo de Julio/19</t>
  </si>
  <si>
    <t>Telefonos de Mèxico, S.A.B. de C.V. pago de telefono del mes de Junio de casetas del fraccionamie</t>
  </si>
  <si>
    <t xml:space="preserve">Grupo Alguacil Dorado en Seguridad Privada, S.A. de C.V.  Pago de la 1er quin   vigilancia  Jul/19 </t>
  </si>
  <si>
    <t>Servicio Robledo, S.A. de C.V. compra de gasolina para presidencia varias diligencias</t>
  </si>
  <si>
    <t>Vìctor Pèreaz, compensaciòn por desyerbar y limpiar coladeras de acceso vehicular de Zinampa</t>
  </si>
  <si>
    <t>Mercado San Judas, compra de gorditas para personal Alcaldìa reparaciòn banquetas</t>
  </si>
  <si>
    <t>Antelmo Chávez, pago de oda de pasto del parque del fraccionamiento</t>
  </si>
  <si>
    <t>Visión Cycling Group, S. de R.L. de C.V. compra de llanta y camara para bicicleta del fraccionamie</t>
  </si>
  <si>
    <t>Luis Daniel Chavarría, comensación en apoyo a supervisión de banquetas y retiro de escombros</t>
  </si>
  <si>
    <t>Gloria Mazzón Soto, pago de honoraros contables del 15 al 19 de Julio/19</t>
  </si>
  <si>
    <t>Cadena Comercial Oxxo, S.A. de C.V. compra de agua y jugos para personal de cobranza Domingo</t>
  </si>
  <si>
    <t>Cadena Comercial Oxxo, S.A. de C.V. compra de refrescos para personal de vigilancia del fraccion</t>
  </si>
  <si>
    <t>Carnicería Xotepingo, S.A. de C.V. compra de carne para personal de vigilancia del fraccionamien</t>
  </si>
  <si>
    <t>Pedro Bazzan, pago por recolección de pasto podado entre semana del fraccionamiento</t>
  </si>
  <si>
    <t>Entrega a Dolores Mijangos, cobranza del 3er Domingo de Julio/19</t>
  </si>
  <si>
    <t>La Casa de Rá, pago de desayuno Mesa Directiva visita Notaría asuntos de protocolización</t>
  </si>
  <si>
    <t>La Casa de Rá, pago propiana Mesero desayuno Mesa Directiva</t>
  </si>
  <si>
    <t>Nueva Walmart de México, S de R.L. de C.V. compra de material de limpieza casetas del fracciona</t>
  </si>
  <si>
    <t xml:space="preserve">Nueva Walmart de México, S de R.L. de C.V. compra de refrescos para personal de vigilancia </t>
  </si>
  <si>
    <t>Mercado Sonora, compra de de 2 jergas y 2 paraguas para vigilancia del fraccionamiento</t>
  </si>
  <si>
    <t>Maria De Lourdes Osorio, por varios trabajos realiados en la 2da quincena de Julio/19</t>
  </si>
  <si>
    <t>Entrega a Dolores Mijangos ultima semana de Julio/19  Cobranza del fraccionamiento</t>
  </si>
  <si>
    <t>Gloria Mazzón Soto, pago de honorarios contables del 22 al 26 de Julio/19</t>
  </si>
  <si>
    <t>Cafetería Del Hueso, compra de cáfe para vigilantes del fraccionamiento</t>
  </si>
  <si>
    <t>Tradición en Pastelerías, S.A. de C.V.  Compra de café para Mesa de Cobranza Domingo</t>
  </si>
  <si>
    <t>Pedro Bazzan, pago por recoleccioón de basura en fin de semana en todo el fraccionamiento</t>
  </si>
  <si>
    <t>Gloria Mazzón Soto, pago en apoyo de Domingo Cobranza 28 de Julio/19</t>
  </si>
  <si>
    <t>Entrega a Dolores Mijangos 4to. Domingo de Julio/19</t>
  </si>
  <si>
    <t>Sistema de Cómputo, pago por bloqueo y activación de tarjetas electrónicas de vecinos morosos</t>
  </si>
  <si>
    <t>Deposito de cheque #8887 Colegio Carmel, pago mantenimiento del mes de Juliol/19</t>
  </si>
  <si>
    <t>Víctor Pérez, compensación por poda de árboles caseta Romeral y Zianpa, desyerbar acceso peat</t>
  </si>
  <si>
    <t>Tradición en Pastelerías, S.A. de C.V. Compra de café para Mesa Directiva junta</t>
  </si>
  <si>
    <t>Transferencia Bancaria Fam Aguirre EZ_15_A pago mes de Mayo y Junio/19</t>
  </si>
  <si>
    <t>Transferencia Bancaría Fam. Castañeda EZ_9_A pago mes de Junio y Julio/19</t>
  </si>
  <si>
    <t>Transferencia Bancaría Fam. Fuentes Up_46 pago mes de Julio/19</t>
  </si>
  <si>
    <t>Transferencia Bancaría Fam. Gutierrez Muños pago mes de Abril/Mayo/Junio/Julio/19</t>
  </si>
  <si>
    <t>SAT Servicio de Administración Tributaria, Pago de reteción de IVA Colegio Julio/19  Ch. # 259</t>
  </si>
  <si>
    <t>Siegrist Contadores Publicos, Pago de honorarios profesionales  Julio/19 Che. # 259</t>
  </si>
  <si>
    <t>Lenix Security Alarm, compra de juego fotoeléctrico plumas eletrónicas caseta Zinampa</t>
  </si>
  <si>
    <t>Lenix Security Alarm, pago de mano de obra en colocación de fotoeléctrico en plumas ZB</t>
  </si>
  <si>
    <t xml:space="preserve">Gustavo Gil, pago cambio de lámparas a 3 luminarias </t>
  </si>
  <si>
    <t>Luis Daniel Chavarría, compensación en apoyo a supervición de cambio de luminarias</t>
  </si>
  <si>
    <t>Cafetería Hueso, compra de café para Mesa Directiva</t>
  </si>
  <si>
    <t>Lenix Security Alarm, compra de transformador para lector y Balum HD camara Estopila</t>
  </si>
  <si>
    <t>Lenix Security Alarm, pago de mano de obra de transformador para lector de camara EP</t>
  </si>
  <si>
    <t xml:space="preserve">Grupo Alguacil Dorado en Seguridad Privada, S.A. de C.V.  1er a/c por vigilancia  Agosto/19 </t>
  </si>
  <si>
    <t>Grupo Alguacil Dorado en Seguridad Privada, S.A. de C.V. 1er liq. Por vigilancia Agosto/19</t>
  </si>
  <si>
    <t>Deposito de cheque #8887 Colegio Carmel, pago mantenimiento del mes de Agosto/19</t>
  </si>
  <si>
    <t>Gloria Mazzón Soto, pago de honorarios contables del 29 de Julio al 02 de Agosto/19</t>
  </si>
  <si>
    <t>Office Depot de México, S.A. de C.V. compra de papelería para presidencia y tesorerira</t>
  </si>
  <si>
    <t>Israel Galan Quintín, compra de 30 llaves para puertas de acceso peatonal del fraccionamiento</t>
  </si>
  <si>
    <t>Carlos Hernández, pago por pintar reja de Ranho Recoveco del fraccionamiento</t>
  </si>
  <si>
    <t>Iván Roa, compensación en apoyo para supervisar trabajo de pintura reja Recoveco</t>
  </si>
  <si>
    <t>Pedro Bazzan, pago por recolección de basura en fin de semana</t>
  </si>
  <si>
    <t>Villafaña Pérez Judith, compra de café para Mesa de Cobrana Domingo</t>
  </si>
  <si>
    <t>Bisquet México, compra de an para Mesa de Cobranza Domingo</t>
  </si>
  <si>
    <t>Señora Aguado, pago de Stiker para corbatines del fracionamiento</t>
  </si>
  <si>
    <t>Cadena Comercial Oxxo, S.A. de C.V. compra de refrescos para personal de vigilancia del fracc.</t>
  </si>
  <si>
    <t>Entrega a Dolores Mijngos Cobranza del 1er Domingo de Agosto/19</t>
  </si>
  <si>
    <t>Visión Ccyling Group,, S. de R.L. de C.V. pago de camara para bicicleta del fraccionamiento</t>
  </si>
  <si>
    <t>Patrulla 037, compensación por rondines en todo el fraccionamiento entre semana</t>
  </si>
  <si>
    <t>Electropura, S. de R.L. de C.V. compra de garrafones de 7 garrafones de agua para casetas</t>
  </si>
  <si>
    <t>Antelmo Chávez, pago por poda de pasto entrada de caseta Romerla</t>
  </si>
  <si>
    <t>Copyfaz, pago de 800 copias para informe al todo el fraccionamiento</t>
  </si>
  <si>
    <t>Carnitas Chela, comppra de carnitas y refrescos para personal de poda pasto parque fracciona</t>
  </si>
  <si>
    <t>Carlos Hernández, pago por pintar reja de Ranho Estopila del fraccionamiento</t>
  </si>
  <si>
    <t>Luis Daniel Chavarría, compensación en apoyo  de supervisión de pintado de reja en EP</t>
  </si>
  <si>
    <t>Gloria Mazzón Soto, pago de honorarios contables del 05 al 09 de Agosto/19</t>
  </si>
  <si>
    <t>Víctor Pérez, pago por repartir el informe trimetral a colonos del fraccionamiento</t>
  </si>
  <si>
    <t>Tradición en Pastelerías, S.A. de C.V. compra de café para Mesa de Cobranza Domingo</t>
  </si>
  <si>
    <t>Personal de Alcaldía, compra de gorditas para trabajadores poda pasto del parque fraccionami</t>
  </si>
  <si>
    <t>Entrega a Dolores Mijngos Cobranza del 2 do. Domingo de Agosto/19</t>
  </si>
  <si>
    <t>Nueva Walmart de México, S.A. de C.V. compra de agua para personal Alcaldía poda pasto</t>
  </si>
  <si>
    <t>Nueva Walmart de México, S.A. de C.V. compra de refrescos para personal Alcaldía poda pasto</t>
  </si>
  <si>
    <t>Electropura, S. de R.L. de C.V. compra de garrafones de 6 garrafones de agua para casetas</t>
  </si>
  <si>
    <t>Materiales y Tlapalería La Palma, compra de rollos galbanizados y fibra para caseta Romeral</t>
  </si>
  <si>
    <t>Telefonos de México, S.A.B. de C.V. pago de telefono casetas del fraccionamiento</t>
  </si>
  <si>
    <t>SAT Servicio de Administración Tributaria, Pago de reteción de IVA Colegio Agosto/19  Ch. # 260</t>
  </si>
  <si>
    <t>Siegrist Contadores Publicos, Pago de honorarios profesionales  Agosto/19 Che. # 260</t>
  </si>
  <si>
    <t>Pedro Bazzan, pago por recolección de basura de lunes a viernes 1er quinceena Agosto/19</t>
  </si>
  <si>
    <t>Roberto Miranda, pago por barrer todo el fracc de lunes a viernes 1er quincena Agosto/19</t>
  </si>
  <si>
    <t>Maria De Lourdes Osorio, por varios trabajos realiados en la 1er quincena de Agosto/19</t>
  </si>
  <si>
    <t>Nueva Walmart de México, S. de R.L. de C.V. compra de articulos de limpieza para casetas fraccio</t>
  </si>
  <si>
    <t>Gloria Mazzón Soto, pago de Honorarios Contables del 12 al 16 de Agosto/19</t>
  </si>
  <si>
    <t>Víctor Pérez, pago por realizar varios trabajos en fraccionamiento, limpieza y quitar propaganda</t>
  </si>
  <si>
    <t>Nueva Walmart de México, S. de R.L. de C.V. compra de agua y refrescos para personal poda pasto</t>
  </si>
  <si>
    <t>Nueva Walmart de México, S. de R.L. de C.V. compra de Gatorade para personal de vigilancia frac</t>
  </si>
  <si>
    <t>Distribuidora El Bollo Cafetales, S.A. de C.V. compra de pan para vigilancia ambos turnos</t>
  </si>
  <si>
    <t>Sistema de Cómputo, pago de video vecino Romeral #30 golpe a su camionta el camión de basura</t>
  </si>
  <si>
    <t>Tortillería, compra de torillas para personal de vigilancia del fraccionamiento</t>
  </si>
  <si>
    <t>Pedro Bazzán, pago por recolección de basur en fin de semana</t>
  </si>
  <si>
    <t>Gloria Mazzón Soto, pago en apoyo de cobranza del 18 de Agosto/19</t>
  </si>
  <si>
    <t>Electropura, S. de R.L. de C.V. compra 9 garrafones de agua para casetas del fraccionamiento</t>
  </si>
  <si>
    <t>Pedro Bazzan, pago de recoleccoón basura de lunes a viernes 2da quincena Agosto/19</t>
  </si>
  <si>
    <t>Maria De Lourdes Osorio, por varios trabajos realiados en la 2da quincena de Agosto/19</t>
  </si>
  <si>
    <t xml:space="preserve">Grupo Alguacil Dorado en Seguridad Privada, S.A. de C.V.  2da quincena a/c por vigilancia  Ago/19 </t>
  </si>
  <si>
    <t>Grupo Alguacil Dorado en Seguridad Privada, S.A. de C.V. 2da quincena liq. Por vigilancia Ago/19</t>
  </si>
  <si>
    <t>Entrega a Dolores Mijangos, cobranza del 3er Domingo de Agosto/19</t>
  </si>
  <si>
    <t>Entrega a Dolores Mijangos, cobranza del 4to. Domingo de Agosto/19</t>
  </si>
  <si>
    <t>Entrega a Dolores Mijangos, entrega en de la última semana de Agosto/19</t>
  </si>
  <si>
    <t>Inka Yani, compra de café para pesonal de Mesa Diectiva del fraccionamiento</t>
  </si>
  <si>
    <t>Lenix Security Alarm, pago de mano de obra en mantenimiento de casetas del fraccionamiento</t>
  </si>
  <si>
    <t>Cadena Comercial Oxxo, S.A. de C.V. compra de jamón para personal de vigilancia del fracciona</t>
  </si>
  <si>
    <t>Cadena Comercial Oxxo, S.A. de C.V. compra de café para personal de vigilancia del fraccionami</t>
  </si>
  <si>
    <t>Distribuidora El Bollo Cafetales, S.A. de C.V. compra de pan bolillo para tortas pesonal de vigilan</t>
  </si>
  <si>
    <t>Tienda La Lupita, compra de 2 coca cola para personal de vigilancia del fraccionamiento</t>
  </si>
  <si>
    <t>Gloria Mazzón Soto, pago de Honorarios Contables del 19 al 23 de Agosto/19</t>
  </si>
  <si>
    <t>Materiales y Tlapalería La Palma, compra de broca para mentenimiento caseta Recoveco del fracc</t>
  </si>
  <si>
    <t>Materiales y Tlapalería La Palma, ompra de 2 candados y broca para mantenimiento casera RV</t>
  </si>
  <si>
    <t>Luis Daniel, pago de colocación de malla y letrero caseta de acceso Recoveco</t>
  </si>
  <si>
    <t>Roberto Alvárez, pago por colocación de malla y letrero en caseta de acceso Recoveco</t>
  </si>
  <si>
    <t>Pedro Bazzan, pago por recolección de basura en todo el fraccionamiento en fin de semana</t>
  </si>
  <si>
    <t>Panerías La Esperanza, S.A. de C.V. compra de pollos roztizados para personal de vigilancia frac</t>
  </si>
  <si>
    <t>Sistema de Cómputo, pago de varios videos para vecinos y dar de alta y baja tarjertas electrónica</t>
  </si>
  <si>
    <t>Gloria Mazzón Soto, pago de Honorarios Contables del 22 al 26 de Agosto/19</t>
  </si>
  <si>
    <t>Electropura S. de R.L. de C.V. compra de 6 garrafones de agua para casetas de vigilancia</t>
  </si>
  <si>
    <t>Víctor Pérez, ccompensación por limpieza de jugos, quiar propaganda de rejas y barrer kiosko</t>
  </si>
  <si>
    <t>Sistema de Cómputo, pago por bloqueo de y Activación de Tarjetas Electrónicas de vecinos moros</t>
  </si>
  <si>
    <t>Nueva Walmart de México, S de R.L. de C.V. compra e refrescos para pesonal de Alcaldía Coyoacan</t>
  </si>
  <si>
    <t>Gustavo Gil, pago de cambio de 2 luminarías en Rancho Upácuaro</t>
  </si>
  <si>
    <t>7 Eleven México, S.A. de C.V. compra de vasos desechables para personal Alcaldía Coyoacan</t>
  </si>
  <si>
    <t>Transferencia Bancaría Fam. Fuentes UP_46 pago es de Agosto/19</t>
  </si>
  <si>
    <t>Transferencia Bancaría Fam. Vega Sanchez CL_29 pago de Jun/Jul/Ago/19</t>
  </si>
  <si>
    <t>Cadena Comercial Oxxo, S.A. de C.V. compra refrescos para Mesa de Cobranza Domingos</t>
  </si>
  <si>
    <t>Villafaña Peréz Judth, compra de café para Mesa de Cobranza Domingo</t>
  </si>
  <si>
    <t>Bisquets México, compra para Mesa de Cobranza Domingo</t>
  </si>
  <si>
    <t>Carnicería Xotepingo, S.A. de C.V. compra de comida para personal de vigilancia del fraccionamie</t>
  </si>
  <si>
    <t>Sistema de Computo, pago por video de robo a casa Landero #75 del fraccionamiento</t>
  </si>
  <si>
    <t>Iván Roa, compensación en apoyo de varios trabajos por visita de Alcalde al fraccionamiento</t>
  </si>
  <si>
    <t>Entrega a Dolores Miganjos, 1er Domingo de cobranza del mes de Septiembre</t>
  </si>
  <si>
    <t>Electropura S.de R.L. de C.V. compra de 5 garrafones de agua para casetas del fraccionamiento</t>
  </si>
  <si>
    <t>Patrulla 037, compensación por rondines en todo el fraccionamiento en toda la semana</t>
  </si>
  <si>
    <t>Copyfaz Digital, pago de copias para presidencia</t>
  </si>
  <si>
    <t>Víctor Pérez, pago por desyerbar entrada Recoveco, poda de árbol caseta RM y barrer banqueta</t>
  </si>
  <si>
    <t>Cafetería Del Hueso, compra de café, reunion Mesa Directiva para trato de la nueva presidenta</t>
  </si>
  <si>
    <t>Estacionamiento Cuemanco, compa de café para reunión de Mesa Directiva para junta</t>
  </si>
  <si>
    <t>Mercado de Cuemanco, compra de vara para hcer escobas para barrer banquetas parque fraccio</t>
  </si>
  <si>
    <t>Office Depot de México, S.A. de C.V. pago de enmicado de lista de gastos fijos de cada mes</t>
  </si>
  <si>
    <t>Enrique Cifuentes, pago por soldar y copostura de chapa peatonal de Rancho Estanzuela</t>
  </si>
  <si>
    <t>Tiendas Chedraui, S.A. de C.V. compra de pintura para chapa puerta Rancho Estanzuela</t>
  </si>
  <si>
    <t>Luis Daniel Chavarría, compensación en apoyo servicio arreglo de chapa puerta de Estanzuela</t>
  </si>
  <si>
    <t>Tradición En Pastelerías, S.A. de C.V. compra de café y pan para personal de Mesa de Cobranza</t>
  </si>
  <si>
    <t>Carnitas Tarasquito, compra e Carnitas para personal de vigilancia del fraccionamiento</t>
  </si>
  <si>
    <t>Entrega a Dolores Miganjos, 2do. Domingo de cobranza de Septiembre/19</t>
  </si>
  <si>
    <t>Sistema de Computo, pago por bloqueo y  activación de tarjetas electrónicas a vecinos morosos</t>
  </si>
  <si>
    <t>Gloria Mazzón, pago en apoyo de cobranza Domingo 08 de Septiembre/19</t>
  </si>
  <si>
    <t>Electro Vidal, pago del 50% del costo de reparaciòn del horno de microondas de caseta Romeral</t>
  </si>
  <si>
    <t>Sistema de Còmputo, pago de vedeo del robo a casa de Estanzuela #21 a solicitud del vecino</t>
  </si>
  <si>
    <t xml:space="preserve">Gloria Mazzòn Soto, pago de honorarios Contables  del 02 al 06 de Septiembre </t>
  </si>
  <si>
    <t>Víctor Pérez, compensación por limpieza dde juegos infantiles del parque del fraccionamiento</t>
  </si>
  <si>
    <t>Icaro Design, S.A. de C.V. pago de 1 millar de recibos de cobranza para el fraccionamiento</t>
  </si>
  <si>
    <t>Icaro Design, S.A. de C.V. pago de 1 talon de recibos de cobranza para el fraccionaminto</t>
  </si>
  <si>
    <t xml:space="preserve">Sistema de Cómputo, pago de video a solicitud de vecinos Rancho Estanzuela #21 por robo </t>
  </si>
  <si>
    <t>LeniX Security Alarm, pago de mano de obra en colocación de 1 Ballon HD video para Zinamppa</t>
  </si>
  <si>
    <t>Lenix Security Alarm, compra de 1 Ballon HD Video para caseta de Zinampa</t>
  </si>
  <si>
    <t>Luis Daniel Chavarría, compensación en apoyo de reunión de Seguridad Pública en el fraccionam</t>
  </si>
  <si>
    <t>Víctor Pérez, compensación por barrer banquetas y áreas de juegos, kioscos del parque fracciona</t>
  </si>
  <si>
    <t>Estacionamiento Corsa,S.A. de C.V. pago de estacionamiento compra de café para Mesa Directiva</t>
  </si>
  <si>
    <t>Estacionamiento Cuemanco, pago de estacionamiento de junta de Mesa Directiva</t>
  </si>
  <si>
    <t>Office Depot de México, S.A. de C.V. compra de papelería para presidencia y tesoreria</t>
  </si>
  <si>
    <t>Gloria Mazzón Soto, pago de Honorarios Contables del 09 al 13 de Septiembre/19</t>
  </si>
  <si>
    <t>Estacionamiento Corsa, S.A. de C.V. compra de recibos de cobranza del fraccionamiento</t>
  </si>
  <si>
    <t>La Casita Del Pozole, compra de pozole para personal de vigilacia días festivos patrios</t>
  </si>
  <si>
    <t xml:space="preserve">Grupo Alguacil Dorado en Seguridad Privada, S.A. de C.V. Pago 1er  dequincena vigilancia  Sep/19 </t>
  </si>
  <si>
    <t xml:space="preserve">Carnicería Xotepingo, S.A. de C.V. compra de crema y tostadas para personal de vigilancia </t>
  </si>
  <si>
    <t>Pedro Bazzan, recolección de basura en todo el fraccionamiento en fin de semana</t>
  </si>
  <si>
    <t>Transferencia Bancaría 01/09/19 Fam. Montes de Oca pago liq. Ju $ 100 y Jul y Ago $ 300 por mes</t>
  </si>
  <si>
    <t>Transferencia Bancaría 03/09/19 Fam. Fuentes UP_46 pago mes de Septiembre/19</t>
  </si>
  <si>
    <t>Transferencia Bancaría 06/09/19 Fam. Gonzalez EZ_15_A pago Jul/Ago/19</t>
  </si>
  <si>
    <t>Transferencia Bancaría 22/09/19 Fam. Aredondo UP_23 pago Ago/Sep/19</t>
  </si>
  <si>
    <t>Deposito de cheque #8912 Colegio Carmel, pago mantenimiento del mes de Septiebre/19</t>
  </si>
  <si>
    <t>Sistema de Cómputo, pago de video robo a casa habitación a solicitud de vecino Landero #69</t>
  </si>
  <si>
    <t>Sistema de Cómputo, pago de video robo a casa habitación a solicitud de vecino Zinampa #76</t>
  </si>
  <si>
    <t>Sistema de Cómputo, pago de activación y bloqueó de tarjetas electrónicas de vecinos morosos</t>
  </si>
  <si>
    <t>Lenix Secutity Alarm, pago de mano de obra en colocación de cable y camara Bullet casetas</t>
  </si>
  <si>
    <t>Lenix Security Alarm, compra de cable UTP y Camara Bullet HD para caset de Estopila y Zinampa</t>
  </si>
  <si>
    <t>Nueva Walmart de México, S. de R.L. de C.V. compra de materiales de limpieza para casetas</t>
  </si>
  <si>
    <t>Copyfaz Digital, pago de Scaneo de fotografia tomada a ladron del fraccionamiento</t>
  </si>
  <si>
    <t>Gloria Mazzón Soto, pago de Honorarios Contables del 16 al 20 de Septiembre/19</t>
  </si>
  <si>
    <t>Víctor Pérez, compensación por desyerbraccesos de entrada Romeral, Estopila y Recoveco</t>
  </si>
  <si>
    <t>Gustavo Gil, pago por cambio de luminarías que se descompusieron a consecuencia de tormenta</t>
  </si>
  <si>
    <t xml:space="preserve">Gustavo Gil, pago por cambio de luminarias en Rancho Upácuaro y Rancho la Cuichila </t>
  </si>
  <si>
    <t>Tortas, compra de tortas para Ingeniero de camaras por arduo trabajo de cambio de camaras</t>
  </si>
  <si>
    <t>Cadena Comercial Oxxo, S.A. de C.V. compra de refrescos para Igeniero de camaras</t>
  </si>
  <si>
    <t>Lenix Securtity Alarm, compra de 3 camaras y 6 Ballon para camaras dañadas por deescargas</t>
  </si>
  <si>
    <t xml:space="preserve">Lenix Securtity Alarm, pago de mano de obra en colocación de camaras y ballon para camaras </t>
  </si>
  <si>
    <t xml:space="preserve">Panerías La Esperanza, S.A. de C.V. compra de pollos rostizados para personal de vigilanciia </t>
  </si>
  <si>
    <t>Entrega a Coral Mijangos del 3er Domingo de Cobranza del mes de Septiembre/19</t>
  </si>
  <si>
    <t>Entrega a Dolores Mijangos del 4to Domingo de Cobranza de Septiembre/19</t>
  </si>
  <si>
    <t>Gloria Mazzón Soto, pago en apoyo en cobranza de Domingo 22/Sep/19</t>
  </si>
  <si>
    <t>Copyfaz Digital, pago de copias para informe de asamblea para cambio de presidencia</t>
  </si>
  <si>
    <t>Sistema de Cómputo, pago por activación y bloqueo de tarjetas electrónicas vecinos morosos</t>
  </si>
  <si>
    <t>Patrulla 037, compensación por rondines en toda la semana del fraccionamiento</t>
  </si>
  <si>
    <t>Sistemas de Cómputo, pago por activación y bloqueo de tarjetas de vecinos morosos del fraccio</t>
  </si>
  <si>
    <t>Las Teresitas del Sur, Compra de tamales y atole para peronal de Cobranza y guardias del fraccio</t>
  </si>
  <si>
    <t>Cadena Oxxo, S.A. de C.V. compra de agua y refresco para persnal de vigilancia del fraccionamien</t>
  </si>
  <si>
    <t>Gloria Mazzón Soto, pago de Honorarios Contables del 23 al 27 de Septiembre/19</t>
  </si>
  <si>
    <t>Entrega a Dolores Mijangos del 5to Domingo Cobranza de Septiembre/19</t>
  </si>
  <si>
    <t>Patrulla 037, compensación por rondines toda la semana en todo el fraccionamiento</t>
  </si>
  <si>
    <t>Gustavo Gil, pago por cambio de lumiinarías de 2 luminarías de Rancho Cuchlla y Zinampa</t>
  </si>
  <si>
    <t>Lenix Security Alarm, pago de mano de obra de reconección de camaras de Rancho La Cuchilla</t>
  </si>
  <si>
    <t>Visión Cycling Grouop, S. de R.L. de C.V. compra de frenos y mantenimiento de bicicleta del fracc</t>
  </si>
  <si>
    <t>Carnicería Xotepingo, S.A. de C.V. compra de queso para ersonal de vigilancia del fraccionamient</t>
  </si>
  <si>
    <t>Cadena Comercial Oxxo, S.A. de C.V. compra de agua y refrescos para personal de Mesa de Cobra</t>
  </si>
  <si>
    <t>Operadora Vips, S.A. de C.V. pago de café junta de Mesa Directiva con la nueva presidenta del fra</t>
  </si>
  <si>
    <t>Visión Cycling Grouop, S. de R.L. de C.V. compra de frenos y mantenimiento de bicicleta del fracci</t>
  </si>
  <si>
    <t>Telefonos de México, S.A.B. de C.V. pago del mes de Agosto de telefono casetas del fraccionamie</t>
  </si>
  <si>
    <t>Entrega a Dolores Mijangos, del día 30 de Septiembre/19</t>
  </si>
  <si>
    <t>Cobro renta Token Bep</t>
  </si>
  <si>
    <t>Siegrist Contadores Publicos, Pago de honorarios profesionales  Octubre/19 Che. # 266</t>
  </si>
  <si>
    <t>SAT Servicio de Administración Tributaria, Pago de reteción de IVA Colegio Octubre/19  Ch. # 266</t>
  </si>
  <si>
    <t>Compensación por rondines en todo el fraccionamiento entre semana, Patrulla 037</t>
  </si>
  <si>
    <t>Pago de revisión de chapas peatonales y reparación de puerta Estopila y Estanzuela, Luis Hernandez</t>
  </si>
  <si>
    <t>Enmicado de 160 volantes de visitantes para el fraccionamiento, Raúl Cornejo Pérez</t>
  </si>
  <si>
    <t>Pago por activación y baja de tarjetas electrónicas de vecinos morosos del fracc. Diego Ruiz</t>
  </si>
  <si>
    <t>Pago de honorarios contables de la primer quincena de Octubre/19, Gloria Mazzón Soto</t>
  </si>
  <si>
    <t>Compensación por rondines en todo el fraccionamiento entre semana, Lazaro López</t>
  </si>
  <si>
    <t xml:space="preserve">Compra de material para arreglo de lavabo de caseta Romeral </t>
  </si>
  <si>
    <t xml:space="preserve">Pago de vigilancia liq. 2da. Quincena de Sep/19 Grupo Alguacil Dorado en Seguridad Privada </t>
  </si>
  <si>
    <t>Compra de USB papelería, Office Depot de México, S.A. de C.V.</t>
  </si>
  <si>
    <t>Pago del mes de Septiembre/19 Telefonos de México, S.A.B. de C.V</t>
  </si>
  <si>
    <t>Pago de 200 copias para informe, Raúl Cornejo Pérez</t>
  </si>
  <si>
    <t>Pago por recolección de basura en fin de semana, Pedro Bazzan</t>
  </si>
  <si>
    <t>Recaudación de cuotas de vigilancia 1er Domingo de Octubre/19</t>
  </si>
  <si>
    <t xml:space="preserve">Aceite de dos tiempos para podadora poda pasto. Comercializadora GU-SO S.A. de C.V. </t>
  </si>
  <si>
    <t>Compra de comida para personal de vigilancia</t>
  </si>
  <si>
    <t>Pago recolección de basura en fin de semana, Pedro Bazzan</t>
  </si>
  <si>
    <t>Recaudación de cuotas de vigilancia 2do. Domingo de Octubre/19</t>
  </si>
  <si>
    <t>Pago de mantenimiento a bicicletas. Visión Cycling GRS de R.L. de C.V.</t>
  </si>
  <si>
    <t>Compra de garrafones de agua. Electropura, S. de R.L. de C.V.</t>
  </si>
  <si>
    <t xml:space="preserve">Compra  de garrafones de agua. Electropura, S. de R.L. de C.V. </t>
  </si>
  <si>
    <t>Aceite de dos tiempos para podadora. Comercializadora GU-SO, S.A. de C.V.</t>
  </si>
  <si>
    <t>Pago a/c vigilancia 1er quincena de Octubre/19 Grupo Alguacil Dorado en Seguridad Privada</t>
  </si>
  <si>
    <t>Pago liq. Vigilancia 1er quinena  che. # 267 Octubre/19 Grupo Alguacil Dorado en Seguridad Privada</t>
  </si>
  <si>
    <t xml:space="preserve">Complemento pago de vigilancia de 2 días Grupo Bengala Seguridad Privada </t>
  </si>
  <si>
    <t>Junta Mesa Directva, El Globo Tradición en Pastelerias, S.A. de C.V.</t>
  </si>
  <si>
    <t>Recaudación de cuotas de vigilancia 3er. Domingo de Octubre/19</t>
  </si>
  <si>
    <t>Pago de alimentos vigilancia.</t>
  </si>
  <si>
    <t xml:space="preserve">Compensación en arreglo de luminarías. Sr. Israel </t>
  </si>
  <si>
    <t>Compensación por repartir volante a todo el fraccionamiento , Loth Guzmán Miran</t>
  </si>
  <si>
    <t>Plomero, arreglo de lavabo de caseta de Romeral</t>
  </si>
  <si>
    <t>Compra de una Bicicleta a vigilante para rondines.</t>
  </si>
  <si>
    <t>Dos mil tarjetones, Diseño de marbete</t>
  </si>
  <si>
    <t>Video de incidente, activación y bloqueo de tarjetas electrónicas, Diego Ruiz</t>
  </si>
  <si>
    <t>Copia de dos llaves para kiosko.</t>
  </si>
  <si>
    <t>Gratificación por repartir volantes primer informe, Sr. Enrique Alvarez</t>
  </si>
  <si>
    <t>Deposito en efectivo de caja chica a cuenta del fraccionamiento.</t>
  </si>
  <si>
    <t>Deposito de Sr. Moreno Landeo # 68</t>
  </si>
  <si>
    <t>Deposito de Siegrist, Upacuaro # 118</t>
  </si>
  <si>
    <t>Deposito de cheque #8928 Colegio Carmel, pago mantenimiento del mes de Octubre /19</t>
  </si>
  <si>
    <t>400 copias y 1 impresión, papelería Ruis Cornejo Pérez</t>
  </si>
  <si>
    <t>Marcadores y 1 caja de clips, papelería. Raúl Cornejo Pérez</t>
  </si>
  <si>
    <t>Gratificación a patrulla por rondines. Sr. Lázaro Mario</t>
  </si>
  <si>
    <t>Compra de Telefono para caseta de Zinampa, Telefonos de México, S.A.B. de C.V.</t>
  </si>
  <si>
    <t>Transferencia Bancaría Upacuaro # 46 paga mes de Octubre</t>
  </si>
  <si>
    <t xml:space="preserve">Transferencia Bancaría Cuchilla # 29 pago de Sep/Oct/19 $ 400 por mes </t>
  </si>
  <si>
    <t>Compra de pan para personal de vigilancia.</t>
  </si>
  <si>
    <t>Recaudación de cuotas de vigilancia 4 to.. Domingo de Octubre/19</t>
  </si>
  <si>
    <t>Mesa de Cobranza, Cadena Comercial Oxxo, S.A. de C.V.</t>
  </si>
  <si>
    <t>Compra de Podadora motor a gasolina para parque del fracc. Comercializadora GU-SO S.A. de C.V.</t>
  </si>
  <si>
    <t>Gasolina varias diligencias, Pemex Cualli</t>
  </si>
  <si>
    <t>Antención médica</t>
  </si>
  <si>
    <t>Compra papelería, Office Depot de México, S..A. de C.V.</t>
  </si>
  <si>
    <t>Escritorio para Oficina de presidencia Mesa Directiva, Office Depot de México, S.A. de C.V.</t>
  </si>
  <si>
    <t>Toner HP, papelería, Office Depot de México, S.A. de C.V.</t>
  </si>
  <si>
    <t>Gratificación en apoyo poda del pasto, Enrique Alvarez</t>
  </si>
  <si>
    <t>Gratificación por repartir circulares en colonia evento "Día de muertos"</t>
  </si>
  <si>
    <t>Comida para vigilancia del 21 al 25 de Octubre, Sabina Pérez González</t>
  </si>
  <si>
    <t>161 Copias papelería, Raúl Cornejo Pérez</t>
  </si>
  <si>
    <t xml:space="preserve">Reparación de luminaría  del kiosko, Fosa ilumanación S.A. de C.V. </t>
  </si>
  <si>
    <t>Pago mano de obra por reparación alumbrado kiosko, Enrique Alvarez.</t>
  </si>
  <si>
    <t>Reposición de Vidrio para caseta de Zinampa.</t>
  </si>
  <si>
    <t>Articulos de limpieza, casetas.</t>
  </si>
  <si>
    <t>Tela para ofrenda, Grupo Pariina S.A. de C.V.</t>
  </si>
  <si>
    <t>Gratificación en apoyo de arreglos de la ofrenda del kiosko, Cristían Alvarez.</t>
  </si>
  <si>
    <t>Articulos varios para ofenda del Muertos en el kiosko del parque.</t>
  </si>
  <si>
    <t>Pan para Altar de Muertos kiosko, Distribuidora el Bollo Cafetales, S.A. de C.V.</t>
  </si>
  <si>
    <t>Dulces para evento del Día de Muertos, Marisol Martínes Guevara.</t>
  </si>
  <si>
    <t>Comida para vigilancia del 29 al 21 de Octubre, Sabina Pérez González.</t>
  </si>
  <si>
    <t>Pago por barrer todo el fracc de lunes a viernes 2da. quincena Octubre/19, Roberto Miranda</t>
  </si>
  <si>
    <t>Pago por barrer todo el fracc de lunes a viernes 1er quincena Octubre/19, Roberto Miranda</t>
  </si>
  <si>
    <t>Pago por recolección de basura de lunes a viernes 1er quincena Octubre/19, Pedro Bazzan</t>
  </si>
  <si>
    <t>Pago por recolección de basura de lunes a viernes 2da. quincena Octubre/19, Pedro Bazzan</t>
  </si>
  <si>
    <t>Pago de honorarios contables de la segunda quincena de Octubre/19, Gloria Mazzón Soto</t>
  </si>
  <si>
    <t>Gasolina poda pasto parque, Pemex Cualli</t>
  </si>
  <si>
    <t>3er Pago Complemento  poda pasto parque, Loth Guzmán Mirnada</t>
  </si>
  <si>
    <t>2da. Pago a/c poda pasto parque, Loth Guzmán Mirnada</t>
  </si>
  <si>
    <t>1er Pago a/c  de poda pasto parque, Loth Guzmán Miranda</t>
  </si>
  <si>
    <t>Poda de pasto parque, Pemex Cualli</t>
  </si>
  <si>
    <t xml:space="preserve">Pago de vigilancia segunda quincena de Octubre. Grupo Bengala Seguridad Privada </t>
  </si>
  <si>
    <t>REMANENTE SEPIEMBRE 2019</t>
  </si>
  <si>
    <t xml:space="preserve">EGRESO DE EFECTIVO Y CHEQUE </t>
  </si>
  <si>
    <t xml:space="preserve">INGRESO DE EFECTIVO Y CHEQUE </t>
  </si>
  <si>
    <t xml:space="preserve">SUMA </t>
  </si>
  <si>
    <r>
      <t xml:space="preserve">Saldo del mes de septiembre/19 </t>
    </r>
    <r>
      <rPr>
        <b/>
        <sz val="11"/>
        <rFont val="Calibri"/>
        <family val="2"/>
        <scheme val="minor"/>
      </rPr>
      <t>( REMANENTE )</t>
    </r>
  </si>
  <si>
    <t>Presidencia, pago segunda quincena de Octuble/19</t>
  </si>
  <si>
    <t>Saldo del mes de octubre/19 (Remanente)</t>
  </si>
  <si>
    <t>Papelería, Operadora OMX, S.A. de C.V.</t>
  </si>
  <si>
    <t>Agua para personal de Mesa de Cobranza, Cadena Comercial Oxxo, S.A. de C.V.</t>
  </si>
  <si>
    <t>Atención Medica</t>
  </si>
  <si>
    <t>Compra de candados, Home Depot Mexico, S. de R.L. de C.V.</t>
  </si>
  <si>
    <t>Papelería, Abastecedora Lumen, S.A. de C.V.</t>
  </si>
  <si>
    <t>2 Sillas para casetas, Home Depot México, S. de R.L. de C.V.</t>
  </si>
  <si>
    <t xml:space="preserve">Protector de Gabinetes para casetas,  Home Depot  México, S. de R.L. de C.V. </t>
  </si>
  <si>
    <t xml:space="preserve">Café para vigilancia, Tiendas Chedraui, S.A. de C.V. </t>
  </si>
  <si>
    <t>Reparación de puerta vehicular Romeral, Luis Hernández</t>
  </si>
  <si>
    <t>Gratificación por recoleción de basura fin de semana, Pedro Bazzan</t>
  </si>
  <si>
    <t>Compensación por rondines en todo el fraccionamiento entre semana, Morales patrulla</t>
  </si>
  <si>
    <t>Compra de cinturones, Tlapalería el Angel</t>
  </si>
  <si>
    <t>Compra de garrafones de agua para casetas, Electropura, S. de R.L. de C.V.</t>
  </si>
  <si>
    <t>10 bolsas negras para basura de casetas, Materiales y Tlapalería La Palma</t>
  </si>
  <si>
    <t>Activación y bloqueo de tarjetas electrónicas, Diego Ruiz</t>
  </si>
  <si>
    <t>Pago telefono casetas mes de Octubre. Telefonos de México, S.A.B. de C.V.</t>
  </si>
  <si>
    <t>Comida vigilancia 1er semana de Noviembre, Sabina Pérez</t>
  </si>
  <si>
    <t>10 Duplicados de llaves puertas de acceso peatonal, Israel Galan Quintin</t>
  </si>
  <si>
    <t>Gratificación por lavar juegos del parque, Cristían Alvaréz</t>
  </si>
  <si>
    <t>Recaudación de cuotas de vigilancia 1er Domingo de Noviembre/19</t>
  </si>
  <si>
    <t>Comida vigilancia 2da. Semana de Noviembre, Sabina Pérez</t>
  </si>
  <si>
    <t>Llave de naríz para jardín y cinta teflón, Comercializadora GU-SO S.A. de C.V.</t>
  </si>
  <si>
    <t>Aceite para podadora, Comercializadora GU-SO, S.A. de C.V.</t>
  </si>
  <si>
    <t>Gasolina para podadora, Cualli Pemex</t>
  </si>
  <si>
    <t>Recaudación de cuotas de vigilancia 2do Domingo de Noviembre/19</t>
  </si>
  <si>
    <t>Transferencia Bancaría Fam. Fuentes UP_64 pago mes de Noviembre/19</t>
  </si>
  <si>
    <t>Transferencia Bancaría Fam. Gutierrez Muños UP_23 pago mes de Noviembre/19</t>
  </si>
  <si>
    <t>Transferencia Bancaría Fam. Gonzalez EZ_15_A pago mes de Sept/Oct/19</t>
  </si>
  <si>
    <t>Pago Cheque Fam. Moreno LD_68 pago mes de Oct/Nov/Dic/19</t>
  </si>
  <si>
    <t xml:space="preserve">Pago Cheque Fam. Fierro Villaneda pago mes de Nov/Dic/19 </t>
  </si>
  <si>
    <t>Siegrist Contadores Publicos, Pago de honorarios profesionales  Nov/19 Che. # 266</t>
  </si>
  <si>
    <t>Recaudación de cuotas de vigilancia 3er Domingo de Noviembre/19</t>
  </si>
  <si>
    <t>Compra de escalera tijera aluminio, Home Depot México, S. de R.L. de C.V.</t>
  </si>
  <si>
    <t>Pago por barrer todo el fraccionamiento 1a. Quincena Noviembre/19, Roberto Miranda</t>
  </si>
  <si>
    <t>Pago por recolección de basura en todo el fracc. 1a. Quincena Noviembre/19, Pedro Bazzan</t>
  </si>
  <si>
    <t>Pago  vigilancia 1er quincena de Noviembre/19  Grupo Bengala Seguridad Privada</t>
  </si>
  <si>
    <t>Pago por barrer todo el fraccionamiento 2da. Quincena Noviembre/19, Roberto Miranda</t>
  </si>
  <si>
    <t>Pago por recolección de basura en todo el fracc. 2da. Quincena Noviembre/19, Pedro Bazzan</t>
  </si>
  <si>
    <t>350 copias para 2do informes al fraccionamiento, Copiyfax</t>
  </si>
  <si>
    <t>Comida para vigilantes Domingo de cobranza.</t>
  </si>
  <si>
    <t>3 Garrafones de agua para casetas de vigilancia, Electropura, S. de R.L. de C.V.</t>
  </si>
  <si>
    <t>A/C de compra Control de Acceso para barreras vehiculares, Lenix Security Alarm</t>
  </si>
  <si>
    <t>Compensación por cambio de varias luminarias del fracc. Sr. Israel García</t>
  </si>
  <si>
    <t>Gasolina para varias diligencias del fraccionamiento, Pemex Cualli</t>
  </si>
  <si>
    <t>Comida vigilancia 3er  semana de Noviembre, Sabina Pérez</t>
  </si>
  <si>
    <t>Liq de compra Control de Acceso para barreras vehiculares, Lenix Security Alarm</t>
  </si>
  <si>
    <t>Pago de lavado de 5 cobijas de casetas, Tintorería Nagyl</t>
  </si>
  <si>
    <t>Compensación por trabajos diversos en casetas, Santos Arellano</t>
  </si>
  <si>
    <t xml:space="preserve">Pago poda de pasto parque Haciendas de Coyoacan, Loth Guzman Miranda </t>
  </si>
  <si>
    <t>Pago arreglo puerta vehicular de EP,RM,ZB y base de nuevos lectores, Luis Hernández</t>
  </si>
  <si>
    <t>Compra plumones, cojin y sello, Papelería</t>
  </si>
  <si>
    <t>250 tarjetas electrónicas para plumas caseta Zinampa, Lenix Security Alarm</t>
  </si>
  <si>
    <t>Compensación por lavar juegos del parque y repartir circulares, Enrique Alvarez</t>
  </si>
  <si>
    <t>Recaudación de cuotas de vigilancia 4to Domingo de Noviembre/19</t>
  </si>
  <si>
    <t>2 garrafones de agua para casetas del fracc. Electropura, S. de R.L. de C.V.</t>
  </si>
  <si>
    <t>Compra de arnes, Aladana Electrónica, S.A. de C.V.</t>
  </si>
  <si>
    <t>Compra de 1 cerradura de seguridad para puerta de Landero, Israel Galan Quintín</t>
  </si>
  <si>
    <t>Pago de café junta Mesa Directiva, Tradición en Pastelerías, S.A. de C.V.</t>
  </si>
  <si>
    <t>Compra de pan para vigilancia, Distribuidora El Bollo Cafetales, S.A. de C.V.</t>
  </si>
  <si>
    <t>Pago por activación de tarjetas electrónicas de todo el fraccionamiento</t>
  </si>
  <si>
    <t>Compra de café para Mesa Dirctiva, Tradición en Pastelerías, S.A. de C.V.</t>
  </si>
  <si>
    <t>Compensación en trabajo de presidenta del fraccionamiento 2da quincena, Olivia Villaneda</t>
  </si>
  <si>
    <t>Comida vigilancia 5ta. Semana de Noviembre, Sabina Pérez</t>
  </si>
  <si>
    <t>Transferencia Bancaría Fam. Vega Sanchez CL_29 pago de Nov/Dic/19</t>
  </si>
  <si>
    <t xml:space="preserve">INGRESO </t>
  </si>
  <si>
    <t xml:space="preserve">EGRESO </t>
  </si>
  <si>
    <t>Material de limpieza casetas, Tiendas Chedraui, S.A. de C.V.</t>
  </si>
  <si>
    <t>Compra de Carretilla, Pala redonda y Barreta de punta. Comercializadora GU-SO, S.A. de C.V.</t>
  </si>
  <si>
    <t>Mantenimiento puertas, aceite aflojatodo, Comercializadora GU-SO S.A. de C.V.</t>
  </si>
  <si>
    <t>SAT Servicio de Administración Tributaria, Pago de reteción de IVA Colegio Nov/19  Ch. # 266</t>
  </si>
  <si>
    <t>Comida vigilancia 3ra. Semana de Noviembre, Sabina Pérez</t>
  </si>
  <si>
    <t>Reparación de puerta vehicular, colocación de chapa LD e intalación de porta lector, HerrerÍa</t>
  </si>
  <si>
    <t>Gasolina para poda de pasto, Pemex Cualli</t>
  </si>
  <si>
    <t>Pago de honorarios contables de la 2da. quincena de Noviembre/19, Gloria Mazzón Soto</t>
  </si>
  <si>
    <t xml:space="preserve">Pago de trabajos Administrativos presidencia, Olivia Villaneda </t>
  </si>
  <si>
    <t>Pago de honorarios contables de la 1er quincena de Noviembre/19, Gloria Mazzón Soto</t>
  </si>
  <si>
    <t>Compra de material limpieza casetas, Tlapalería Jaimes</t>
  </si>
  <si>
    <t>Compra de papelería, Carmela González</t>
  </si>
  <si>
    <t xml:space="preserve">Ruedas para puertas de acceso vehicular y fusibles para luminarías , The Home Depot, S.A. </t>
  </si>
  <si>
    <t>Papelería, Operadora OMX S.A. de C.V.</t>
  </si>
  <si>
    <t>Compra de 1000 tarjetones laminados mate, Diseño Marbete</t>
  </si>
  <si>
    <t>Compra de 150 tarjetas electrónicas para plumas caseta Zinampa, Lexic Security Alarm</t>
  </si>
  <si>
    <t>Compra de café y jugos para Mesa Cobranza Cadena Comercial Oxxo, S.A. de C.V.</t>
  </si>
  <si>
    <t>Pago de trabajos diversos de herrería en casetas del fracc., Herrería en General Janiel</t>
  </si>
  <si>
    <t>Compra de 250 tarjetas electrónicas para plumas caseta Zinampa, Lenix Security Alarm</t>
  </si>
  <si>
    <t>Deposito de cheque #8928 Colegio Carmel, pago mantenimiento del mes de Noviembre/19</t>
  </si>
  <si>
    <t>Gastos de antención médica del Sr. Miguel Angel Montaño Esquivel, incidente en el fracc.</t>
  </si>
  <si>
    <t>Compra de papelería, Office Depot de México, S.A. de C.V.</t>
  </si>
  <si>
    <t>Pago  vigilancia 2da. quincena de Noviembre/19  Grupo Leopardo Seguridad Privada</t>
  </si>
  <si>
    <t>Compensación mensual como jefe de turno de vigilancia, Sr. Oscar Gutierrez</t>
  </si>
  <si>
    <t>Gratificación por puntualidad y asistencia en la vigilancia del fracc. Santos Arellano</t>
  </si>
  <si>
    <t>Gratificación por puntualidad y asistencia en la vigilancia del fracc. Abraham Pérez España</t>
  </si>
  <si>
    <t>Compensación de cobranza de 2 Domingos y trabajos diversos, Gloria Mazzón Soto</t>
  </si>
  <si>
    <t xml:space="preserve">Compensación en asignación de tarjetas electrónicas del fracc. Olivia Villaneda </t>
  </si>
  <si>
    <t>Pago por servicio como vigilante  de la segunda quincena de Noviembre Enrique Alvarez</t>
  </si>
  <si>
    <t>Gratificación de la 2da. 3ra y 4ta semana de Noviembre por rondines en todo el fracc, Patrulla</t>
  </si>
  <si>
    <t>Recaudación de cuotas del primer Domingo Diciembre/19</t>
  </si>
  <si>
    <t>3 garrafones de agua para casetas, Electropura, S. de R.L. de C.V.</t>
  </si>
  <si>
    <t>Atención Médica, Dra. Lourdes López Ramos</t>
  </si>
  <si>
    <t>Papelería, Office Depot de México, S.A. de C.V.</t>
  </si>
  <si>
    <t>Pago de la 1ra. Semana Diciembre, Patrulla Morales</t>
  </si>
  <si>
    <t xml:space="preserve">Junta con autoridades Alcaldía y Gobierno central, compra de varios </t>
  </si>
  <si>
    <t>Compra de mesa, sillas y diversos materiales, Home Depot México, S. de R.L.</t>
  </si>
  <si>
    <t>Comida Vigilantes de la 1er Semana de Diciembre, Sabina Pérez</t>
  </si>
  <si>
    <t>Transferencia Bancaría Fam. Fuentes UP_46 pago Diciembre/19</t>
  </si>
  <si>
    <t>Recaudación de cuotas del Segundo Domingo Diciembre/19</t>
  </si>
  <si>
    <t>Transferencia Bancaría Fam. Sala EZ_149 pago anualidad 2020</t>
  </si>
  <si>
    <t>Transferencia Bancaría Fam. Aparicio CL_80 pagi anualidad 2020</t>
  </si>
  <si>
    <t>Pago Cheque Fam Cabello EZ_37 pago Julio/Agosto/Septiembre/19</t>
  </si>
  <si>
    <t>Pago Cheque Fam Cabello EZ_37 pago 1 tarjeta electrónica nueva</t>
  </si>
  <si>
    <t>SAT Servicio de Administración Tributaria, Pago reteción IVA Colegio Ch #272</t>
  </si>
  <si>
    <t>Colocación de llantas a puertas de Rv y Ep, Herreria en General Janiel</t>
  </si>
  <si>
    <t>Pemex Cualli, compra de gasolina para poda de pasto del parque fraccionami</t>
  </si>
  <si>
    <t>Pemex Cualli, gasolina varias diligencias del fraccionamiento</t>
  </si>
  <si>
    <t>Gratificación por recolección de basura 2do Domingo, Pedro Bazzan,</t>
  </si>
  <si>
    <t>Compra de comida para vigilancia Domingo</t>
  </si>
  <si>
    <t>Compra de 2 garrafones de agua para casetas, Electropura, S. de R.L. de C.V.</t>
  </si>
  <si>
    <t>Compra de 1 DVR y 2 Camaras, para casetas, Lenix Security Alarm</t>
  </si>
  <si>
    <t>Pago por poda de pasto parque fracc., Diego Vazquez Neblina</t>
  </si>
  <si>
    <t>Compra de 5 llaves de puertas de acceso peatonal, Sra. Morales</t>
  </si>
  <si>
    <t>Pago de 440 copias de informe al fraccionamiento, Papelería</t>
  </si>
  <si>
    <t>Gratificación por rondines en todo el fraccionamiento entre semana, Patrulla</t>
  </si>
  <si>
    <t>Compra de varios materiales para arreglo de casetas, Comercializadora Caspin</t>
  </si>
  <si>
    <t>Comprra de taquetes para arreglo de casetas, Centro Tornillero Neza</t>
  </si>
  <si>
    <t>Compra de pintura amarilla, para arreglo plumas, Comercializadora Caspin,</t>
  </si>
  <si>
    <t>Compra de Tira Led y adaptador, para plumas,Hules y Accesorios Santa Cru</t>
  </si>
  <si>
    <t>Compra de hiperleds, para arreglo de plumas, Hules y Accesorios Santa Cru</t>
  </si>
  <si>
    <t>Compra de materiales para arreglo casetas, Ferre 2000 Oriente</t>
  </si>
  <si>
    <t>Compra de cinchos, tlapaleria</t>
  </si>
  <si>
    <t>Compra de escoba de metal, Home Center Casa Blanca</t>
  </si>
  <si>
    <t>Pago estacionamiento compras varias, Galerías Coapa</t>
  </si>
  <si>
    <t>Compra de extensión para frigobar, Home Center Casa Blanca</t>
  </si>
  <si>
    <t>Pago de honorarios de captura de datos de la 1er quincena. Gloria Mazzón, S.</t>
  </si>
  <si>
    <t>Pago a/c vigilancia del fracc. 1er quincena, Grupo Leopardo Seguridad Privada</t>
  </si>
  <si>
    <t>Deposito de cheque #8928 Colegio Carmel, pago mant. mes Diciembre/19</t>
  </si>
  <si>
    <t>Pago por varios trabajos de supervisión en distintas áreas del frac. Loth Miran</t>
  </si>
  <si>
    <t>Gratificación  de varios trabajos en casetas, Santos Arellano Morales</t>
  </si>
  <si>
    <t>Recaudación de cuotas del Tercer Domingo Diciembre/19</t>
  </si>
  <si>
    <t>Compra de Laptop, Best Buy Stores, S. de R.L. de C.V.</t>
  </si>
  <si>
    <t>Siegrist Contadores Públicos, Pago de honorarios profesionales  Ch. # 272</t>
  </si>
  <si>
    <t>Pago por poda de pasto parque fracc. Loth Guzmán Miranda</t>
  </si>
  <si>
    <t>Pago de comida vigilancia 2da. Semana de Diciembre. Sabina Pérez</t>
  </si>
  <si>
    <t>Pago de comida vigilancia 3era. Semana de Diciembre. Sabina Pérez</t>
  </si>
  <si>
    <t xml:space="preserve">Pemex Cualli, gasolina para varias diligencias del fraccionamiento </t>
  </si>
  <si>
    <t>Pago de aguinaldos de vigilancia del 2019. Grupo Leopardo,Seguridad Privada</t>
  </si>
  <si>
    <t>Gratificación especial por fin de año. Grupo Leopardo Seguridad Privada</t>
  </si>
  <si>
    <t>Gratificación especial por fin de año. Gloria Mazzón Soto.</t>
  </si>
  <si>
    <t>Pago Liq. Vigilancia del fracc. 1er quincena, Grupo Leopardo Seguridad Privada</t>
  </si>
  <si>
    <t>Pago liquidación por poda de pasto parque fracc., Diego Vázquez Neblina</t>
  </si>
  <si>
    <t>Pago de 1,000 recibos de cobranza, Directo a Placa</t>
  </si>
  <si>
    <t>Reparación de chapa P.P y reparación pluma RV, Herrería en General Janiel</t>
  </si>
  <si>
    <t>Compra de 3 garrafones para casetas, Electropura S. de R.L. de C.V.</t>
  </si>
  <si>
    <t>Compra de licencia Office 365 personal, Best Buy Stores, S. de R.L. de C.V.</t>
  </si>
  <si>
    <t>Gratificación por recolección de basura 1er quincena Diciembre, Pedro Bazzan</t>
  </si>
  <si>
    <t xml:space="preserve">Compra de tira de multicontacto, Aldan Electronica, S.A. de C.V. </t>
  </si>
  <si>
    <t>Compra de Microondas para caseta del fracc. Best Buy Stores S. de R.L. de C.V.</t>
  </si>
  <si>
    <t xml:space="preserve">Comida Vigilantes 3er Domingo </t>
  </si>
  <si>
    <t>Compensación por recolección de basura en fin de semana, Pedro Bazzan</t>
  </si>
  <si>
    <t>Compra de refacciones para bicicleta del fraccionamiento, Bicicletas Willmor</t>
  </si>
  <si>
    <t>Compra de 2 garrafones de agua para casetas, Micelanea</t>
  </si>
  <si>
    <t>Recaudación de cuotas del Cuarto Domingo Diciembre/19</t>
  </si>
  <si>
    <t>Transferencia bancaría de 1 Tarjeta electrónica Fam. Arauz</t>
  </si>
  <si>
    <t>Transferencia Bancaría Fam. Gonzalez EZ_15A pago de Nov/Dic/19</t>
  </si>
  <si>
    <t>Pago telefono de Noviembre/19, Telefonos de México, S.A.B. de C.V.</t>
  </si>
  <si>
    <t>Compra de café para vigilancia, Soriana</t>
  </si>
  <si>
    <t xml:space="preserve">Compra de 4 radios portatiles y linterna para casetas, Aldan Electrónica, S.A. </t>
  </si>
  <si>
    <t>Gasolina para varias diligencias, Cualli Pemex</t>
  </si>
  <si>
    <t>Compra 1 garrafon de agua para casetas, Electropura, S. de R.L. de C.V.</t>
  </si>
  <si>
    <t>Compra de pan para cena navideña vigilancia, Distribuidora El Bollo, Cafetales</t>
  </si>
  <si>
    <t>Compra de cena navideña para vigilancia.</t>
  </si>
  <si>
    <t>Compra de materiales de limpieza para casetas, Tienda Chedraui, S.A. de C.V.</t>
  </si>
  <si>
    <t>Materiales de limpieza para casetas, Home Depot México S. de R.L. de C.V.</t>
  </si>
  <si>
    <t>Compra de 200 tarjetas electrónicas, Lenix Security Alarm</t>
  </si>
  <si>
    <t>Compra de 1 monior para camaras nuevas, caseta Romeral, Amazon</t>
  </si>
  <si>
    <t>Compra de 2 reguladores, maouse y pilas. Aldan Elecrónica, S.A. de C.V.</t>
  </si>
  <si>
    <t>Insumos para junta Mesa Directiva, Comercializadora 8 Hermanos</t>
  </si>
  <si>
    <t>Compra de juguetes p/ hijos de vigilantes, Distribuidora Juguetron, S.A. de C.V.</t>
  </si>
  <si>
    <t>Compra de café para junta Mesa Directiva,  Tradición en Pastelerías, S.A. de C.</t>
  </si>
  <si>
    <t>Compra de bolsas de basura para casetas, Bolsas y Desechables del Sur.</t>
  </si>
  <si>
    <t>Recaudación de cuotas del Quinto  Domingo Diciembre/19</t>
  </si>
  <si>
    <t>Compra de café para Mesa de Cobranza 5to Domingo de Diciembre/19</t>
  </si>
  <si>
    <t>Compra comida para vigilancia 5to Domingo de Diciembre Oscar Gutiérrez</t>
  </si>
  <si>
    <t>Gratificación por recolección de basura en Domingo del fracc. Pedro Bazzan</t>
  </si>
  <si>
    <t>Pago de 200 copias, y papelería, Centro de Copiado y Papelería Omega</t>
  </si>
  <si>
    <t>Compra de 4 garrafones de agua para casetas, Electropura, S. de R.L. de C.V.</t>
  </si>
  <si>
    <t>Compra de comida de fin de año para vigilancia, Gustavo Gutiérrez</t>
  </si>
  <si>
    <t>Gratificación por barrer todo el fraccionamiento 2da. Quincena, Roberto Miran</t>
  </si>
  <si>
    <t>Pago de honorarios de captura de datos de la 2da quincena. Gloria Mazzón, S.</t>
  </si>
  <si>
    <t>Compensación en trabajo de presidenta del fracc. 2da quincena, Olivia Villaneda</t>
  </si>
  <si>
    <t>Pago Vigilancia del fracc. 2da.  Quincena, Grupo Leopardo Seguridad Privada</t>
  </si>
  <si>
    <t>Primer Anticipo para Techo de acceso Zinamapa, Rafael Bautizta</t>
  </si>
  <si>
    <t>Reparación de luminarías de Cuchilla, Parque, Zinampa y Upacuaro, Israel García</t>
  </si>
  <si>
    <t>Gratificación especial por fin de año, Lic Olivia Villaneda</t>
  </si>
  <si>
    <t>Compra de cortina para baño caseta Romeral, Lic. Olivia Villaneda</t>
  </si>
  <si>
    <t>Pago por configuración de Tarjetas Electrónicas.</t>
  </si>
  <si>
    <t>Gratificación por gastos de organización del fracc., Lic. Olivia Villaneda González</t>
  </si>
  <si>
    <t>Pago por supervisión de cobranza Domingo del mes, Lic. Olivia Villaneda Glez.</t>
  </si>
  <si>
    <t>Gratificación por recolección de basura en todo el fracc 2da. Quincena, Pedro 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</si>
</sst>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;[Red]\-&quot;$&quot;#,##0.00"/>
    <numFmt numFmtId="44" formatCode="_-&quot;$&quot;* #,##0.00_-;\-&quot;$&quot;* #,##0.00_-;_-&quot;$&quot;* &quot;-&quot;??_-;_-@_-"/>
    <numFmt numFmtId="164" formatCode="#,##0.00;[Red]#,##0.00"/>
    <numFmt numFmtId="165" formatCode="#,##0.00;[Red]\(#,##0.00\)"/>
    <numFmt numFmtId="166" formatCode="d/m/yy;@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0"/>
      <color theme="1"/>
      <name val="Tahoma"/>
      <family val="2"/>
    </font>
    <font>
      <b/>
      <sz val="1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sto MT"/>
      <family val="1"/>
    </font>
    <font>
      <b/>
      <sz val="14"/>
      <color theme="5" tint="-0.499984740745262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0" fontId="10" fillId="0" borderId="0"/>
    <xf numFmtId="44" fontId="10" fillId="0" borderId="0" applyFont="0" applyFill="0" applyBorder="0" applyAlignment="0" applyProtection="0"/>
  </cellStyleXfs>
  <cellXfs count="216">
    <xf numFmtId="0" fontId="0" fillId="0" borderId="0" xfId="0"/>
    <xf numFmtId="4" fontId="0" fillId="0" borderId="0" xfId="0" applyNumberFormat="1"/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4" fontId="1" fillId="0" borderId="6" xfId="0" applyNumberFormat="1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4" fontId="0" fillId="0" borderId="9" xfId="0" applyNumberFormat="1" applyBorder="1" applyAlignment="1">
      <alignment horizontal="right"/>
    </xf>
    <xf numFmtId="0" fontId="0" fillId="0" borderId="10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4" fontId="0" fillId="0" borderId="10" xfId="0" applyNumberFormat="1" applyBorder="1" applyAlignment="1">
      <alignment horizontal="right"/>
    </xf>
    <xf numFmtId="4" fontId="0" fillId="0" borderId="10" xfId="0" applyNumberFormat="1" applyBorder="1"/>
    <xf numFmtId="0" fontId="0" fillId="0" borderId="10" xfId="0" applyBorder="1"/>
    <xf numFmtId="0" fontId="0" fillId="0" borderId="10" xfId="0" applyFill="1" applyBorder="1"/>
    <xf numFmtId="4" fontId="0" fillId="0" borderId="12" xfId="0" applyNumberFormat="1" applyBorder="1" applyAlignment="1">
      <alignment horizontal="right"/>
    </xf>
    <xf numFmtId="4" fontId="0" fillId="0" borderId="10" xfId="0" applyNumberFormat="1" applyFont="1" applyBorder="1" applyAlignment="1">
      <alignment horizontal="right"/>
    </xf>
    <xf numFmtId="4" fontId="0" fillId="0" borderId="11" xfId="0" applyNumberFormat="1" applyBorder="1" applyAlignment="1">
      <alignment horizontal="right"/>
    </xf>
    <xf numFmtId="14" fontId="0" fillId="0" borderId="10" xfId="0" applyNumberFormat="1" applyFont="1" applyBorder="1" applyAlignment="1">
      <alignment horizontal="center"/>
    </xf>
    <xf numFmtId="4" fontId="0" fillId="0" borderId="14" xfId="0" applyNumberFormat="1" applyBorder="1"/>
    <xf numFmtId="4" fontId="1" fillId="0" borderId="14" xfId="0" applyNumberFormat="1" applyFont="1" applyBorder="1"/>
    <xf numFmtId="0" fontId="0" fillId="0" borderId="10" xfId="0" applyFont="1" applyFill="1" applyBorder="1" applyAlignment="1">
      <alignment horizontal="left"/>
    </xf>
    <xf numFmtId="14" fontId="0" fillId="0" borderId="7" xfId="0" applyNumberFormat="1" applyFont="1" applyBorder="1" applyAlignment="1">
      <alignment horizontal="center"/>
    </xf>
    <xf numFmtId="14" fontId="0" fillId="0" borderId="11" xfId="0" applyNumberFormat="1" applyFont="1" applyBorder="1" applyAlignment="1">
      <alignment horizontal="center"/>
    </xf>
    <xf numFmtId="0" fontId="0" fillId="0" borderId="12" xfId="0" applyBorder="1"/>
    <xf numFmtId="14" fontId="0" fillId="0" borderId="10" xfId="0" applyNumberFormat="1" applyFont="1" applyFill="1" applyBorder="1" applyAlignment="1">
      <alignment horizontal="center"/>
    </xf>
    <xf numFmtId="4" fontId="1" fillId="0" borderId="10" xfId="0" applyNumberFormat="1" applyFont="1" applyBorder="1"/>
    <xf numFmtId="14" fontId="0" fillId="0" borderId="13" xfId="0" applyNumberFormat="1" applyFont="1" applyBorder="1" applyAlignment="1">
      <alignment horizontal="center"/>
    </xf>
    <xf numFmtId="14" fontId="1" fillId="0" borderId="0" xfId="0" applyNumberFormat="1" applyFont="1"/>
    <xf numFmtId="0" fontId="0" fillId="0" borderId="10" xfId="0" applyFont="1" applyBorder="1"/>
    <xf numFmtId="14" fontId="0" fillId="0" borderId="14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4" fontId="0" fillId="0" borderId="0" xfId="0" applyNumberFormat="1" applyBorder="1"/>
    <xf numFmtId="4" fontId="1" fillId="0" borderId="10" xfId="0" applyNumberFormat="1" applyFont="1" applyBorder="1" applyAlignment="1">
      <alignment horizontal="center"/>
    </xf>
    <xf numFmtId="15" fontId="0" fillId="0" borderId="15" xfId="0" applyNumberFormat="1" applyFill="1" applyBorder="1" applyAlignment="1">
      <alignment vertical="center"/>
    </xf>
    <xf numFmtId="15" fontId="0" fillId="0" borderId="10" xfId="0" applyNumberFormat="1" applyFill="1" applyBorder="1" applyAlignment="1">
      <alignment vertical="center"/>
    </xf>
    <xf numFmtId="15" fontId="0" fillId="0" borderId="11" xfId="0" applyNumberFormat="1" applyFill="1" applyBorder="1" applyAlignment="1">
      <alignment vertical="center"/>
    </xf>
    <xf numFmtId="14" fontId="0" fillId="0" borderId="16" xfId="0" applyNumberFormat="1" applyFill="1" applyBorder="1" applyAlignment="1">
      <alignment horizontal="center" vertical="center"/>
    </xf>
    <xf numFmtId="14" fontId="0" fillId="0" borderId="10" xfId="0" applyNumberFormat="1" applyFill="1" applyBorder="1" applyAlignment="1">
      <alignment horizontal="center" vertical="center"/>
    </xf>
    <xf numFmtId="14" fontId="0" fillId="0" borderId="17" xfId="0" applyNumberFormat="1" applyFill="1" applyBorder="1" applyAlignment="1">
      <alignment horizontal="center" vertical="center"/>
    </xf>
    <xf numFmtId="14" fontId="0" fillId="0" borderId="11" xfId="0" applyNumberFormat="1" applyFill="1" applyBorder="1" applyAlignment="1">
      <alignment horizontal="center" vertical="center"/>
    </xf>
    <xf numFmtId="4" fontId="0" fillId="0" borderId="10" xfId="0" applyNumberFormat="1" applyFont="1" applyBorder="1" applyAlignment="1">
      <alignment horizontal="center"/>
    </xf>
    <xf numFmtId="14" fontId="0" fillId="0" borderId="16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1" fillId="0" borderId="6" xfId="0" applyFont="1" applyFill="1" applyBorder="1" applyAlignment="1">
      <alignment horizontal="center"/>
    </xf>
    <xf numFmtId="0" fontId="1" fillId="0" borderId="18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4" fontId="0" fillId="0" borderId="7" xfId="0" applyNumberFormat="1" applyFont="1" applyBorder="1" applyAlignment="1">
      <alignment horizontal="center"/>
    </xf>
    <xf numFmtId="4" fontId="0" fillId="0" borderId="19" xfId="0" applyNumberFormat="1" applyBorder="1"/>
    <xf numFmtId="17" fontId="0" fillId="0" borderId="8" xfId="0" applyNumberFormat="1" applyFont="1" applyBorder="1" applyAlignment="1">
      <alignment horizontal="center"/>
    </xf>
    <xf numFmtId="17" fontId="0" fillId="0" borderId="10" xfId="0" applyNumberForma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Font="1" applyFill="1" applyBorder="1" applyAlignment="1">
      <alignment horizontal="center"/>
    </xf>
    <xf numFmtId="0" fontId="1" fillId="0" borderId="0" xfId="0" applyFont="1"/>
    <xf numFmtId="0" fontId="0" fillId="0" borderId="10" xfId="0" applyFill="1" applyBorder="1" applyAlignment="1">
      <alignment horizontal="center"/>
    </xf>
    <xf numFmtId="4" fontId="0" fillId="0" borderId="10" xfId="0" applyNumberFormat="1" applyFill="1" applyBorder="1" applyAlignment="1">
      <alignment horizontal="right"/>
    </xf>
    <xf numFmtId="4" fontId="4" fillId="0" borderId="10" xfId="0" applyNumberFormat="1" applyFont="1" applyBorder="1" applyAlignment="1">
      <alignment horizontal="right"/>
    </xf>
    <xf numFmtId="4" fontId="1" fillId="0" borderId="5" xfId="0" applyNumberFormat="1" applyFont="1" applyBorder="1" applyAlignment="1">
      <alignment horizontal="right"/>
    </xf>
    <xf numFmtId="4" fontId="1" fillId="0" borderId="14" xfId="0" applyNumberFormat="1" applyFont="1" applyBorder="1" applyAlignment="1">
      <alignment horizontal="right"/>
    </xf>
    <xf numFmtId="4" fontId="1" fillId="0" borderId="11" xfId="0" applyNumberFormat="1" applyFont="1" applyBorder="1" applyAlignment="1">
      <alignment horizontal="center"/>
    </xf>
    <xf numFmtId="4" fontId="0" fillId="0" borderId="20" xfId="0" applyNumberFormat="1" applyBorder="1" applyAlignment="1">
      <alignment horizontal="right"/>
    </xf>
    <xf numFmtId="0" fontId="1" fillId="0" borderId="21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4" fontId="0" fillId="0" borderId="11" xfId="0" applyNumberFormat="1" applyBorder="1"/>
    <xf numFmtId="0" fontId="1" fillId="0" borderId="1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3" xfId="0" applyFont="1" applyFill="1" applyBorder="1" applyAlignment="1">
      <alignment horizontal="center"/>
    </xf>
    <xf numFmtId="4" fontId="5" fillId="0" borderId="14" xfId="0" applyNumberFormat="1" applyFont="1" applyBorder="1" applyAlignment="1">
      <alignment horizontal="right"/>
    </xf>
    <xf numFmtId="0" fontId="3" fillId="0" borderId="0" xfId="0" applyFont="1" applyAlignment="1">
      <alignment horizontal="center"/>
    </xf>
    <xf numFmtId="4" fontId="1" fillId="0" borderId="11" xfId="0" applyNumberFormat="1" applyFont="1" applyBorder="1" applyAlignment="1">
      <alignment horizontal="right"/>
    </xf>
    <xf numFmtId="0" fontId="1" fillId="0" borderId="14" xfId="0" applyFont="1" applyBorder="1" applyAlignment="1">
      <alignment horizontal="center"/>
    </xf>
    <xf numFmtId="0" fontId="0" fillId="0" borderId="11" xfId="0" applyFont="1" applyBorder="1" applyAlignment="1">
      <alignment horizontal="left"/>
    </xf>
    <xf numFmtId="0" fontId="1" fillId="0" borderId="14" xfId="0" applyFont="1" applyBorder="1" applyAlignment="1">
      <alignment horizontal="right"/>
    </xf>
    <xf numFmtId="4" fontId="1" fillId="0" borderId="14" xfId="0" applyNumberFormat="1" applyFont="1" applyBorder="1" applyAlignment="1">
      <alignment horizontal="center"/>
    </xf>
    <xf numFmtId="4" fontId="1" fillId="0" borderId="18" xfId="0" applyNumberFormat="1" applyFont="1" applyBorder="1"/>
    <xf numFmtId="17" fontId="1" fillId="0" borderId="0" xfId="0" applyNumberFormat="1" applyFont="1" applyAlignment="1">
      <alignment horizontal="center"/>
    </xf>
    <xf numFmtId="4" fontId="6" fillId="0" borderId="14" xfId="0" applyNumberFormat="1" applyFont="1" applyBorder="1" applyAlignment="1">
      <alignment horizontal="right"/>
    </xf>
    <xf numFmtId="49" fontId="3" fillId="0" borderId="10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4" fontId="0" fillId="0" borderId="19" xfId="0" applyNumberFormat="1" applyBorder="1" applyAlignment="1">
      <alignment horizontal="right"/>
    </xf>
    <xf numFmtId="0" fontId="1" fillId="0" borderId="24" xfId="0" applyFont="1" applyFill="1" applyBorder="1" applyAlignment="1">
      <alignment horizontal="center"/>
    </xf>
    <xf numFmtId="4" fontId="7" fillId="0" borderId="10" xfId="0" applyNumberFormat="1" applyFont="1" applyBorder="1"/>
    <xf numFmtId="4" fontId="0" fillId="2" borderId="10" xfId="0" applyNumberFormat="1" applyFill="1" applyBorder="1"/>
    <xf numFmtId="0" fontId="1" fillId="0" borderId="25" xfId="0" applyFont="1" applyFill="1" applyBorder="1" applyAlignment="1">
      <alignment horizontal="center"/>
    </xf>
    <xf numFmtId="0" fontId="0" fillId="0" borderId="11" xfId="0" applyBorder="1"/>
    <xf numFmtId="0" fontId="0" fillId="0" borderId="0" xfId="0" applyFill="1" applyBorder="1" applyAlignment="1">
      <alignment horizontal="center"/>
    </xf>
    <xf numFmtId="0" fontId="0" fillId="3" borderId="0" xfId="0" applyFill="1"/>
    <xf numFmtId="0" fontId="0" fillId="2" borderId="14" xfId="0" applyFill="1" applyBorder="1"/>
    <xf numFmtId="0" fontId="1" fillId="0" borderId="0" xfId="0" applyFont="1" applyFill="1" applyBorder="1"/>
    <xf numFmtId="8" fontId="8" fillId="0" borderId="0" xfId="0" applyNumberFormat="1" applyFont="1" applyAlignment="1">
      <alignment horizontal="left"/>
    </xf>
    <xf numFmtId="0" fontId="9" fillId="0" borderId="0" xfId="0" applyFont="1"/>
    <xf numFmtId="0" fontId="1" fillId="0" borderId="26" xfId="0" applyFont="1" applyBorder="1" applyAlignment="1">
      <alignment horizontal="center"/>
    </xf>
    <xf numFmtId="17" fontId="1" fillId="0" borderId="23" xfId="0" applyNumberFormat="1" applyFont="1" applyBorder="1" applyAlignment="1">
      <alignment horizontal="center"/>
    </xf>
    <xf numFmtId="4" fontId="1" fillId="0" borderId="11" xfId="0" applyNumberFormat="1" applyFont="1" applyBorder="1"/>
    <xf numFmtId="4" fontId="0" fillId="0" borderId="14" xfId="0" applyNumberFormat="1" applyFont="1" applyBorder="1" applyAlignment="1">
      <alignment horizontal="right"/>
    </xf>
    <xf numFmtId="49" fontId="1" fillId="0" borderId="10" xfId="0" applyNumberFormat="1" applyFont="1" applyBorder="1" applyAlignment="1">
      <alignment horizontal="center"/>
    </xf>
    <xf numFmtId="0" fontId="0" fillId="0" borderId="21" xfId="0" applyFont="1" applyBorder="1" applyAlignment="1">
      <alignment horizontal="left"/>
    </xf>
    <xf numFmtId="4" fontId="0" fillId="3" borderId="10" xfId="0" applyNumberFormat="1" applyFont="1" applyFill="1" applyBorder="1" applyAlignment="1">
      <alignment horizontal="center"/>
    </xf>
    <xf numFmtId="4" fontId="0" fillId="0" borderId="10" xfId="0" applyNumberFormat="1" applyFont="1" applyBorder="1" applyAlignment="1"/>
    <xf numFmtId="14" fontId="1" fillId="3" borderId="0" xfId="0" applyNumberFormat="1" applyFont="1" applyFill="1"/>
    <xf numFmtId="0" fontId="1" fillId="3" borderId="18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14" fontId="0" fillId="3" borderId="11" xfId="0" applyNumberFormat="1" applyFont="1" applyFill="1" applyBorder="1" applyAlignment="1">
      <alignment horizontal="center"/>
    </xf>
    <xf numFmtId="14" fontId="0" fillId="3" borderId="10" xfId="0" applyNumberFormat="1" applyFont="1" applyFill="1" applyBorder="1" applyAlignment="1">
      <alignment horizontal="center"/>
    </xf>
    <xf numFmtId="14" fontId="0" fillId="3" borderId="1" xfId="0" applyNumberFormat="1" applyFont="1" applyFill="1" applyBorder="1" applyAlignment="1">
      <alignment horizontal="center"/>
    </xf>
    <xf numFmtId="14" fontId="0" fillId="3" borderId="14" xfId="0" applyNumberFormat="1" applyFont="1" applyFill="1" applyBorder="1" applyAlignment="1">
      <alignment horizontal="center"/>
    </xf>
    <xf numFmtId="4" fontId="0" fillId="3" borderId="10" xfId="0" applyNumberFormat="1" applyFill="1" applyBorder="1" applyAlignment="1">
      <alignment horizontal="right"/>
    </xf>
    <xf numFmtId="4" fontId="1" fillId="0" borderId="5" xfId="0" applyNumberFormat="1" applyFont="1" applyBorder="1" applyAlignment="1">
      <alignment horizontal="center"/>
    </xf>
    <xf numFmtId="4" fontId="5" fillId="0" borderId="14" xfId="0" applyNumberFormat="1" applyFont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14" fontId="0" fillId="0" borderId="10" xfId="0" applyNumberFormat="1" applyFont="1" applyBorder="1" applyAlignment="1">
      <alignment horizontal="left"/>
    </xf>
    <xf numFmtId="14" fontId="0" fillId="0" borderId="10" xfId="0" applyNumberFormat="1" applyBorder="1"/>
    <xf numFmtId="164" fontId="0" fillId="0" borderId="0" xfId="0" applyNumberFormat="1"/>
    <xf numFmtId="4" fontId="0" fillId="0" borderId="12" xfId="0" applyNumberFormat="1" applyFill="1" applyBorder="1" applyAlignment="1">
      <alignment horizontal="right"/>
    </xf>
    <xf numFmtId="49" fontId="1" fillId="0" borderId="10" xfId="0" applyNumberFormat="1" applyFont="1" applyFill="1" applyBorder="1" applyAlignment="1">
      <alignment horizontal="center"/>
    </xf>
    <xf numFmtId="0" fontId="1" fillId="0" borderId="21" xfId="0" applyFont="1" applyFill="1" applyBorder="1" applyAlignment="1">
      <alignment horizontal="left"/>
    </xf>
    <xf numFmtId="0" fontId="1" fillId="0" borderId="5" xfId="0" applyFont="1" applyFill="1" applyBorder="1" applyAlignment="1">
      <alignment horizontal="right"/>
    </xf>
    <xf numFmtId="0" fontId="0" fillId="0" borderId="0" xfId="0" applyFill="1"/>
    <xf numFmtId="0" fontId="0" fillId="0" borderId="28" xfId="0" applyBorder="1" applyAlignment="1"/>
    <xf numFmtId="0" fontId="0" fillId="0" borderId="10" xfId="0" applyBorder="1" applyAlignment="1"/>
    <xf numFmtId="0" fontId="0" fillId="0" borderId="3" xfId="0" applyFill="1" applyBorder="1"/>
    <xf numFmtId="0" fontId="10" fillId="0" borderId="28" xfId="1" applyBorder="1" applyAlignment="1"/>
    <xf numFmtId="0" fontId="10" fillId="0" borderId="10" xfId="1" applyBorder="1" applyAlignment="1">
      <alignment horizontal="left" indent="1"/>
    </xf>
    <xf numFmtId="0" fontId="0" fillId="0" borderId="3" xfId="0" applyFont="1" applyFill="1" applyBorder="1" applyAlignment="1">
      <alignment horizontal="left"/>
    </xf>
    <xf numFmtId="4" fontId="0" fillId="0" borderId="0" xfId="0" applyNumberFormat="1" applyFill="1" applyBorder="1" applyAlignment="1">
      <alignment horizontal="right"/>
    </xf>
    <xf numFmtId="4" fontId="0" fillId="0" borderId="0" xfId="0" applyNumberFormat="1" applyBorder="1" applyAlignment="1">
      <alignment horizontal="right"/>
    </xf>
    <xf numFmtId="0" fontId="0" fillId="0" borderId="0" xfId="0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0" xfId="0" applyFont="1" applyFill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10" xfId="0" applyFill="1" applyBorder="1" applyAlignment="1"/>
    <xf numFmtId="165" fontId="0" fillId="0" borderId="28" xfId="0" applyNumberFormat="1" applyBorder="1"/>
    <xf numFmtId="0" fontId="0" fillId="0" borderId="10" xfId="0" applyBorder="1" applyAlignment="1">
      <alignment horizontal="left" indent="1"/>
    </xf>
    <xf numFmtId="165" fontId="0" fillId="0" borderId="10" xfId="0" applyNumberFormat="1" applyBorder="1"/>
    <xf numFmtId="0" fontId="1" fillId="0" borderId="0" xfId="0" applyFont="1" applyAlignment="1">
      <alignment horizontal="center"/>
    </xf>
    <xf numFmtId="0" fontId="1" fillId="0" borderId="14" xfId="0" applyFont="1" applyFill="1" applyBorder="1" applyAlignment="1">
      <alignment horizontal="center"/>
    </xf>
    <xf numFmtId="4" fontId="0" fillId="0" borderId="0" xfId="0" applyNumberFormat="1" applyFill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4" fontId="1" fillId="0" borderId="14" xfId="0" applyNumberFormat="1" applyFont="1" applyFill="1" applyBorder="1" applyAlignment="1">
      <alignment horizontal="center"/>
    </xf>
    <xf numFmtId="4" fontId="1" fillId="0" borderId="0" xfId="0" applyNumberFormat="1" applyFont="1" applyBorder="1"/>
    <xf numFmtId="0" fontId="1" fillId="0" borderId="0" xfId="0" applyFont="1" applyFill="1" applyBorder="1" applyAlignment="1">
      <alignment horizontal="center"/>
    </xf>
    <xf numFmtId="4" fontId="1" fillId="0" borderId="0" xfId="0" applyNumberFormat="1" applyFont="1" applyBorder="1" applyAlignment="1">
      <alignment horizontal="center"/>
    </xf>
    <xf numFmtId="0" fontId="12" fillId="0" borderId="0" xfId="0" applyFont="1"/>
    <xf numFmtId="0" fontId="13" fillId="0" borderId="0" xfId="0" applyFont="1"/>
    <xf numFmtId="17" fontId="14" fillId="0" borderId="0" xfId="0" applyNumberFormat="1" applyFont="1" applyAlignment="1">
      <alignment horizontal="center"/>
    </xf>
    <xf numFmtId="49" fontId="11" fillId="0" borderId="10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18" xfId="0" applyFont="1" applyFill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14" fontId="13" fillId="0" borderId="11" xfId="0" applyNumberFormat="1" applyFont="1" applyBorder="1" applyAlignment="1">
      <alignment horizontal="center"/>
    </xf>
    <xf numFmtId="0" fontId="11" fillId="0" borderId="21" xfId="0" applyFont="1" applyBorder="1" applyAlignment="1">
      <alignment horizontal="left"/>
    </xf>
    <xf numFmtId="0" fontId="11" fillId="0" borderId="22" xfId="0" applyFont="1" applyBorder="1" applyAlignment="1">
      <alignment horizontal="center"/>
    </xf>
    <xf numFmtId="4" fontId="11" fillId="0" borderId="11" xfId="0" applyNumberFormat="1" applyFont="1" applyBorder="1" applyAlignment="1">
      <alignment horizontal="center"/>
    </xf>
    <xf numFmtId="4" fontId="13" fillId="0" borderId="11" xfId="0" applyNumberFormat="1" applyFont="1" applyBorder="1" applyAlignment="1">
      <alignment horizontal="right"/>
    </xf>
    <xf numFmtId="4" fontId="13" fillId="0" borderId="20" xfId="0" applyNumberFormat="1" applyFont="1" applyBorder="1" applyAlignment="1">
      <alignment horizontal="right"/>
    </xf>
    <xf numFmtId="4" fontId="11" fillId="0" borderId="11" xfId="0" applyNumberFormat="1" applyFont="1" applyBorder="1" applyAlignment="1">
      <alignment horizontal="right"/>
    </xf>
    <xf numFmtId="4" fontId="11" fillId="0" borderId="22" xfId="0" applyNumberFormat="1" applyFont="1" applyBorder="1"/>
    <xf numFmtId="0" fontId="11" fillId="0" borderId="0" xfId="0" applyFont="1" applyAlignment="1">
      <alignment horizontal="center"/>
    </xf>
    <xf numFmtId="0" fontId="13" fillId="0" borderId="10" xfId="0" applyFont="1" applyBorder="1" applyAlignment="1">
      <alignment horizontal="left"/>
    </xf>
    <xf numFmtId="4" fontId="13" fillId="0" borderId="10" xfId="0" applyNumberFormat="1" applyFont="1" applyBorder="1" applyAlignment="1">
      <alignment horizontal="right"/>
    </xf>
    <xf numFmtId="4" fontId="13" fillId="0" borderId="12" xfId="0" applyNumberFormat="1" applyFont="1" applyBorder="1" applyAlignment="1">
      <alignment horizontal="right"/>
    </xf>
    <xf numFmtId="4" fontId="13" fillId="0" borderId="10" xfId="0" applyNumberFormat="1" applyFont="1" applyBorder="1"/>
    <xf numFmtId="0" fontId="13" fillId="0" borderId="10" xfId="0" applyFont="1" applyBorder="1"/>
    <xf numFmtId="14" fontId="13" fillId="0" borderId="10" xfId="0" applyNumberFormat="1" applyFont="1" applyBorder="1" applyAlignment="1">
      <alignment horizontal="center"/>
    </xf>
    <xf numFmtId="4" fontId="13" fillId="0" borderId="10" xfId="0" applyNumberFormat="1" applyFont="1" applyFill="1" applyBorder="1" applyAlignment="1">
      <alignment horizontal="right"/>
    </xf>
    <xf numFmtId="0" fontId="13" fillId="0" borderId="10" xfId="0" applyFont="1" applyFill="1" applyBorder="1" applyAlignment="1">
      <alignment horizontal="left"/>
    </xf>
    <xf numFmtId="14" fontId="13" fillId="0" borderId="10" xfId="0" applyNumberFormat="1" applyFont="1" applyBorder="1" applyAlignment="1">
      <alignment horizontal="left"/>
    </xf>
    <xf numFmtId="14" fontId="13" fillId="0" borderId="10" xfId="0" applyNumberFormat="1" applyFont="1" applyFill="1" applyBorder="1" applyAlignment="1">
      <alignment horizontal="center"/>
    </xf>
    <xf numFmtId="0" fontId="13" fillId="0" borderId="10" xfId="0" applyFont="1" applyFill="1" applyBorder="1" applyAlignment="1"/>
    <xf numFmtId="14" fontId="13" fillId="0" borderId="1" xfId="0" applyNumberFormat="1" applyFont="1" applyBorder="1" applyAlignment="1">
      <alignment horizontal="center"/>
    </xf>
    <xf numFmtId="0" fontId="11" fillId="0" borderId="5" xfId="0" applyFont="1" applyBorder="1" applyAlignment="1">
      <alignment horizontal="right"/>
    </xf>
    <xf numFmtId="4" fontId="11" fillId="0" borderId="14" xfId="0" applyNumberFormat="1" applyFont="1" applyBorder="1" applyAlignment="1">
      <alignment horizontal="right"/>
    </xf>
    <xf numFmtId="4" fontId="11" fillId="0" borderId="5" xfId="0" applyNumberFormat="1" applyFont="1" applyBorder="1" applyAlignment="1">
      <alignment horizontal="right"/>
    </xf>
    <xf numFmtId="4" fontId="15" fillId="0" borderId="14" xfId="0" applyNumberFormat="1" applyFont="1" applyBorder="1" applyAlignment="1">
      <alignment horizontal="right"/>
    </xf>
    <xf numFmtId="4" fontId="16" fillId="0" borderId="14" xfId="0" applyNumberFormat="1" applyFont="1" applyBorder="1" applyAlignment="1">
      <alignment horizontal="right"/>
    </xf>
    <xf numFmtId="4" fontId="11" fillId="0" borderId="14" xfId="0" applyNumberFormat="1" applyFont="1" applyBorder="1"/>
    <xf numFmtId="0" fontId="11" fillId="0" borderId="10" xfId="0" applyFont="1" applyFill="1" applyBorder="1" applyAlignment="1">
      <alignment horizontal="left"/>
    </xf>
    <xf numFmtId="15" fontId="13" fillId="0" borderId="15" xfId="0" applyNumberFormat="1" applyFont="1" applyFill="1" applyBorder="1" applyAlignment="1">
      <alignment vertical="center"/>
    </xf>
    <xf numFmtId="15" fontId="13" fillId="0" borderId="10" xfId="0" applyNumberFormat="1" applyFont="1" applyFill="1" applyBorder="1" applyAlignment="1">
      <alignment vertical="center"/>
    </xf>
    <xf numFmtId="4" fontId="13" fillId="0" borderId="10" xfId="0" applyNumberFormat="1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4" fontId="11" fillId="0" borderId="14" xfId="0" applyNumberFormat="1" applyFont="1" applyBorder="1" applyAlignment="1">
      <alignment horizontal="center"/>
    </xf>
    <xf numFmtId="0" fontId="13" fillId="0" borderId="0" xfId="0" applyFont="1" applyFill="1"/>
    <xf numFmtId="0" fontId="11" fillId="0" borderId="14" xfId="0" applyFont="1" applyFill="1" applyBorder="1" applyAlignment="1">
      <alignment horizontal="center"/>
    </xf>
    <xf numFmtId="4" fontId="11" fillId="0" borderId="0" xfId="0" applyNumberFormat="1" applyFont="1" applyBorder="1" applyAlignment="1">
      <alignment horizontal="center"/>
    </xf>
    <xf numFmtId="4" fontId="11" fillId="0" borderId="0" xfId="0" applyNumberFormat="1" applyFont="1" applyBorder="1"/>
    <xf numFmtId="4" fontId="11" fillId="0" borderId="0" xfId="0" applyNumberFormat="1" applyFont="1" applyFill="1" applyBorder="1" applyAlignment="1">
      <alignment horizontal="center"/>
    </xf>
    <xf numFmtId="4" fontId="13" fillId="0" borderId="0" xfId="0" applyNumberFormat="1" applyFont="1" applyFill="1"/>
    <xf numFmtId="0" fontId="11" fillId="0" borderId="0" xfId="0" applyFont="1" applyBorder="1" applyAlignment="1">
      <alignment horizontal="center"/>
    </xf>
    <xf numFmtId="14" fontId="13" fillId="0" borderId="0" xfId="0" applyNumberFormat="1" applyFont="1" applyBorder="1" applyAlignment="1">
      <alignment horizontal="center"/>
    </xf>
    <xf numFmtId="0" fontId="11" fillId="0" borderId="0" xfId="0" applyFont="1" applyBorder="1" applyAlignment="1">
      <alignment horizontal="right"/>
    </xf>
    <xf numFmtId="4" fontId="11" fillId="0" borderId="0" xfId="0" applyNumberFormat="1" applyFont="1" applyBorder="1" applyAlignment="1">
      <alignment horizontal="right"/>
    </xf>
    <xf numFmtId="4" fontId="15" fillId="0" borderId="0" xfId="0" applyNumberFormat="1" applyFont="1" applyBorder="1" applyAlignment="1">
      <alignment horizontal="right"/>
    </xf>
    <xf numFmtId="4" fontId="16" fillId="0" borderId="0" xfId="0" applyNumberFormat="1" applyFont="1" applyBorder="1" applyAlignment="1">
      <alignment horizontal="right"/>
    </xf>
    <xf numFmtId="14" fontId="13" fillId="0" borderId="14" xfId="0" applyNumberFormat="1" applyFont="1" applyBorder="1" applyAlignment="1">
      <alignment horizontal="center"/>
    </xf>
    <xf numFmtId="0" fontId="11" fillId="0" borderId="14" xfId="0" applyFont="1" applyBorder="1" applyAlignment="1">
      <alignment horizontal="right"/>
    </xf>
    <xf numFmtId="4" fontId="13" fillId="0" borderId="14" xfId="0" applyNumberFormat="1" applyFont="1" applyBorder="1"/>
    <xf numFmtId="4" fontId="11" fillId="0" borderId="11" xfId="0" applyNumberFormat="1" applyFont="1" applyBorder="1"/>
    <xf numFmtId="166" fontId="13" fillId="0" borderId="11" xfId="0" applyNumberFormat="1" applyFont="1" applyBorder="1" applyAlignment="1">
      <alignment horizontal="center"/>
    </xf>
    <xf numFmtId="166" fontId="11" fillId="0" borderId="21" xfId="0" applyNumberFormat="1" applyFont="1" applyBorder="1" applyAlignment="1">
      <alignment horizontal="left"/>
    </xf>
    <xf numFmtId="166" fontId="13" fillId="0" borderId="10" xfId="0" applyNumberFormat="1" applyFont="1" applyBorder="1" applyAlignment="1">
      <alignment horizontal="center"/>
    </xf>
    <xf numFmtId="166" fontId="13" fillId="0" borderId="10" xfId="0" applyNumberFormat="1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0" xfId="0" applyFont="1" applyAlignment="1">
      <alignment horizontal="center"/>
    </xf>
    <xf numFmtId="4" fontId="13" fillId="0" borderId="11" xfId="0" applyNumberFormat="1" applyFont="1" applyBorder="1"/>
    <xf numFmtId="0" fontId="11" fillId="0" borderId="26" xfId="0" applyFont="1" applyBorder="1" applyAlignment="1">
      <alignment horizontal="right"/>
    </xf>
  </cellXfs>
  <cellStyles count="3">
    <cellStyle name="Moneda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B1:L149"/>
  <sheetViews>
    <sheetView zoomScale="90" zoomScaleNormal="90" workbookViewId="0">
      <pane ySplit="3" topLeftCell="A136" activePane="bottomLeft" state="frozen"/>
      <selection pane="bottomLeft" activeCell="C142" sqref="C142:C144"/>
    </sheetView>
  </sheetViews>
  <sheetFormatPr baseColWidth="10" defaultRowHeight="15" x14ac:dyDescent="0.25"/>
  <cols>
    <col min="1" max="1" width="10.85546875" customWidth="1"/>
    <col min="2" max="2" width="11.5703125" customWidth="1"/>
    <col min="3" max="3" width="84.5703125" customWidth="1"/>
    <col min="4" max="4" width="11.85546875" customWidth="1"/>
    <col min="5" max="11" width="11.7109375" customWidth="1"/>
  </cols>
  <sheetData>
    <row r="1" spans="2:11" ht="15.75" thickBot="1" x14ac:dyDescent="0.3">
      <c r="B1" s="79"/>
      <c r="C1" s="99" t="s">
        <v>39</v>
      </c>
    </row>
    <row r="2" spans="2:11" x14ac:dyDescent="0.25">
      <c r="B2" s="68" t="s">
        <v>1</v>
      </c>
      <c r="C2" s="68" t="s">
        <v>2</v>
      </c>
      <c r="D2" s="68" t="s">
        <v>3</v>
      </c>
      <c r="E2" s="68" t="s">
        <v>3</v>
      </c>
      <c r="F2" s="68" t="s">
        <v>22</v>
      </c>
      <c r="G2" s="68" t="s">
        <v>23</v>
      </c>
      <c r="H2" s="48" t="s">
        <v>23</v>
      </c>
      <c r="I2" s="48" t="s">
        <v>22</v>
      </c>
      <c r="J2" s="68" t="s">
        <v>8</v>
      </c>
      <c r="K2" s="48" t="s">
        <v>7</v>
      </c>
    </row>
    <row r="3" spans="2:11" ht="15.75" thickBot="1" x14ac:dyDescent="0.3">
      <c r="B3" s="69"/>
      <c r="C3" s="69"/>
      <c r="D3" s="69" t="s">
        <v>5</v>
      </c>
      <c r="E3" s="69" t="s">
        <v>24</v>
      </c>
      <c r="F3" s="69" t="s">
        <v>3</v>
      </c>
      <c r="G3" s="69" t="s">
        <v>24</v>
      </c>
      <c r="H3" s="70" t="s">
        <v>5</v>
      </c>
      <c r="I3" s="70" t="s">
        <v>4</v>
      </c>
      <c r="J3" s="69"/>
      <c r="K3" s="70"/>
    </row>
    <row r="4" spans="2:11" x14ac:dyDescent="0.25">
      <c r="B4" s="23">
        <v>43465</v>
      </c>
      <c r="C4" s="65" t="s">
        <v>38</v>
      </c>
      <c r="D4" s="66"/>
      <c r="E4" s="63"/>
      <c r="F4" s="63"/>
      <c r="G4" s="63"/>
      <c r="H4" s="17"/>
      <c r="I4" s="64"/>
      <c r="J4" s="12">
        <v>23616.77</v>
      </c>
      <c r="K4" s="97">
        <v>43421.46</v>
      </c>
    </row>
    <row r="5" spans="2:11" x14ac:dyDescent="0.25">
      <c r="B5" s="23">
        <v>43466</v>
      </c>
      <c r="C5" s="100" t="s">
        <v>58</v>
      </c>
      <c r="D5" s="66"/>
      <c r="E5" s="63"/>
      <c r="F5" s="63"/>
      <c r="G5" s="63"/>
      <c r="H5" s="17">
        <v>120</v>
      </c>
      <c r="I5" s="64"/>
      <c r="J5" s="12">
        <f>+J4+E5-G5</f>
        <v>23616.77</v>
      </c>
      <c r="K5" s="12">
        <f t="shared" ref="K5:K39" si="0">+K4+D5-H5</f>
        <v>43301.46</v>
      </c>
    </row>
    <row r="6" spans="2:11" x14ac:dyDescent="0.25">
      <c r="B6" s="23">
        <v>43468</v>
      </c>
      <c r="C6" s="9" t="s">
        <v>59</v>
      </c>
      <c r="D6" s="41"/>
      <c r="E6" s="11"/>
      <c r="F6" s="11"/>
      <c r="G6" s="11"/>
      <c r="H6" s="11">
        <v>600</v>
      </c>
      <c r="I6" s="15"/>
      <c r="J6" s="12">
        <f t="shared" ref="J6:J51" si="1">+J5+E6-G6</f>
        <v>23616.77</v>
      </c>
      <c r="K6" s="12">
        <f t="shared" si="0"/>
        <v>42701.46</v>
      </c>
    </row>
    <row r="7" spans="2:11" x14ac:dyDescent="0.25">
      <c r="B7" s="18">
        <v>43468</v>
      </c>
      <c r="C7" s="13" t="s">
        <v>60</v>
      </c>
      <c r="D7" s="41"/>
      <c r="E7" s="11"/>
      <c r="F7" s="11"/>
      <c r="G7" s="11"/>
      <c r="H7" s="11">
        <v>300</v>
      </c>
      <c r="I7" s="15"/>
      <c r="J7" s="12">
        <f t="shared" si="1"/>
        <v>23616.77</v>
      </c>
      <c r="K7" s="12">
        <f t="shared" si="0"/>
        <v>42401.46</v>
      </c>
    </row>
    <row r="8" spans="2:11" x14ac:dyDescent="0.25">
      <c r="B8" s="18">
        <v>43468</v>
      </c>
      <c r="C8" s="14" t="s">
        <v>61</v>
      </c>
      <c r="D8" s="41"/>
      <c r="E8" s="11"/>
      <c r="F8" s="11"/>
      <c r="G8" s="11"/>
      <c r="H8" s="11">
        <v>196</v>
      </c>
      <c r="I8" s="15"/>
      <c r="J8" s="12">
        <f t="shared" si="1"/>
        <v>23616.77</v>
      </c>
      <c r="K8" s="12">
        <f t="shared" si="0"/>
        <v>42205.46</v>
      </c>
    </row>
    <row r="9" spans="2:11" x14ac:dyDescent="0.25">
      <c r="B9" s="18">
        <v>43469</v>
      </c>
      <c r="C9" s="13" t="s">
        <v>62</v>
      </c>
      <c r="D9" s="41"/>
      <c r="E9" s="11"/>
      <c r="F9" s="11"/>
      <c r="G9" s="11"/>
      <c r="H9" s="11">
        <v>90</v>
      </c>
      <c r="I9" s="15"/>
      <c r="J9" s="12">
        <f t="shared" si="1"/>
        <v>23616.77</v>
      </c>
      <c r="K9" s="12">
        <f t="shared" si="0"/>
        <v>42115.46</v>
      </c>
    </row>
    <row r="10" spans="2:11" x14ac:dyDescent="0.25">
      <c r="B10" s="18">
        <v>43469</v>
      </c>
      <c r="C10" s="14" t="s">
        <v>63</v>
      </c>
      <c r="D10" s="41"/>
      <c r="E10" s="11"/>
      <c r="F10" s="11"/>
      <c r="G10" s="11"/>
      <c r="H10" s="11">
        <v>570</v>
      </c>
      <c r="I10" s="15"/>
      <c r="J10" s="12">
        <f t="shared" si="1"/>
        <v>23616.77</v>
      </c>
      <c r="K10" s="12">
        <f t="shared" si="0"/>
        <v>41545.46</v>
      </c>
    </row>
    <row r="11" spans="2:11" x14ac:dyDescent="0.25">
      <c r="B11" s="18">
        <v>43469</v>
      </c>
      <c r="C11" s="21" t="s">
        <v>64</v>
      </c>
      <c r="D11" s="41"/>
      <c r="E11" s="11"/>
      <c r="F11" s="11"/>
      <c r="G11" s="11"/>
      <c r="H11" s="11">
        <v>300</v>
      </c>
      <c r="I11" s="15"/>
      <c r="J11" s="12">
        <f t="shared" si="1"/>
        <v>23616.77</v>
      </c>
      <c r="K11" s="12">
        <f t="shared" si="0"/>
        <v>41245.46</v>
      </c>
    </row>
    <row r="12" spans="2:11" x14ac:dyDescent="0.25">
      <c r="B12" s="18">
        <v>43469</v>
      </c>
      <c r="C12" s="13" t="s">
        <v>65</v>
      </c>
      <c r="D12" s="41"/>
      <c r="E12" s="11"/>
      <c r="F12" s="11"/>
      <c r="G12" s="11"/>
      <c r="H12" s="11">
        <v>1250</v>
      </c>
      <c r="I12" s="15"/>
      <c r="J12" s="12">
        <f t="shared" si="1"/>
        <v>23616.77</v>
      </c>
      <c r="K12" s="12">
        <f t="shared" si="0"/>
        <v>39995.46</v>
      </c>
    </row>
    <row r="13" spans="2:11" x14ac:dyDescent="0.25">
      <c r="B13" s="18">
        <v>43470</v>
      </c>
      <c r="C13" s="13" t="s">
        <v>66</v>
      </c>
      <c r="D13" s="41"/>
      <c r="E13" s="11"/>
      <c r="F13" s="11"/>
      <c r="G13" s="11"/>
      <c r="H13" s="11">
        <v>115.8</v>
      </c>
      <c r="I13" s="15"/>
      <c r="J13" s="12">
        <f t="shared" si="1"/>
        <v>23616.77</v>
      </c>
      <c r="K13" s="12">
        <f t="shared" si="0"/>
        <v>39879.659999999996</v>
      </c>
    </row>
    <row r="14" spans="2:11" x14ac:dyDescent="0.25">
      <c r="B14" s="18">
        <v>43470</v>
      </c>
      <c r="C14" s="13" t="s">
        <v>67</v>
      </c>
      <c r="D14" s="41"/>
      <c r="E14" s="11"/>
      <c r="F14" s="11"/>
      <c r="G14" s="11"/>
      <c r="H14" s="11">
        <v>410</v>
      </c>
      <c r="I14" s="15"/>
      <c r="J14" s="12">
        <f t="shared" si="1"/>
        <v>23616.77</v>
      </c>
      <c r="K14" s="12">
        <f t="shared" si="0"/>
        <v>39469.659999999996</v>
      </c>
    </row>
    <row r="15" spans="2:11" x14ac:dyDescent="0.25">
      <c r="B15" s="18">
        <v>43471</v>
      </c>
      <c r="C15" s="14" t="s">
        <v>68</v>
      </c>
      <c r="D15" s="41"/>
      <c r="E15" s="11"/>
      <c r="F15" s="11"/>
      <c r="G15" s="11"/>
      <c r="H15" s="11">
        <v>70</v>
      </c>
      <c r="I15" s="15"/>
      <c r="J15" s="12">
        <f t="shared" si="1"/>
        <v>23616.77</v>
      </c>
      <c r="K15" s="12">
        <f t="shared" si="0"/>
        <v>39399.659999999996</v>
      </c>
    </row>
    <row r="16" spans="2:11" x14ac:dyDescent="0.25">
      <c r="B16" s="18">
        <v>43471</v>
      </c>
      <c r="C16" s="13" t="s">
        <v>58</v>
      </c>
      <c r="D16" s="41"/>
      <c r="E16" s="11"/>
      <c r="F16" s="11"/>
      <c r="G16" s="11"/>
      <c r="H16" s="11">
        <v>270</v>
      </c>
      <c r="I16" s="15"/>
      <c r="J16" s="12">
        <f t="shared" si="1"/>
        <v>23616.77</v>
      </c>
      <c r="K16" s="12">
        <f t="shared" si="0"/>
        <v>39129.659999999996</v>
      </c>
    </row>
    <row r="17" spans="2:11" x14ac:dyDescent="0.25">
      <c r="B17" s="18">
        <v>43471</v>
      </c>
      <c r="C17" s="13" t="s">
        <v>72</v>
      </c>
      <c r="D17" s="41"/>
      <c r="E17" s="11"/>
      <c r="F17" s="11"/>
      <c r="G17" s="11"/>
      <c r="H17" s="11">
        <v>157.5</v>
      </c>
      <c r="I17" s="15"/>
      <c r="J17" s="12">
        <f t="shared" si="1"/>
        <v>23616.77</v>
      </c>
      <c r="K17" s="12">
        <f t="shared" si="0"/>
        <v>38972.159999999996</v>
      </c>
    </row>
    <row r="18" spans="2:11" x14ac:dyDescent="0.25">
      <c r="B18" s="18">
        <v>43471</v>
      </c>
      <c r="C18" s="13" t="s">
        <v>73</v>
      </c>
      <c r="D18" s="41">
        <v>29270</v>
      </c>
      <c r="E18" s="11"/>
      <c r="F18" s="11"/>
      <c r="G18" s="11"/>
      <c r="H18" s="11"/>
      <c r="I18" s="15"/>
      <c r="J18" s="12">
        <f t="shared" si="1"/>
        <v>23616.77</v>
      </c>
      <c r="K18" s="12">
        <f t="shared" si="0"/>
        <v>68242.16</v>
      </c>
    </row>
    <row r="19" spans="2:11" x14ac:dyDescent="0.25">
      <c r="B19" s="18">
        <v>43472</v>
      </c>
      <c r="C19" s="13" t="s">
        <v>74</v>
      </c>
      <c r="D19" s="41"/>
      <c r="E19" s="113">
        <v>400.46</v>
      </c>
      <c r="F19" s="11"/>
      <c r="G19" s="11"/>
      <c r="H19" s="11"/>
      <c r="I19" s="15"/>
      <c r="J19" s="12">
        <f t="shared" si="1"/>
        <v>24017.23</v>
      </c>
      <c r="K19" s="12">
        <f t="shared" si="0"/>
        <v>68242.16</v>
      </c>
    </row>
    <row r="20" spans="2:11" x14ac:dyDescent="0.25">
      <c r="B20" s="18">
        <v>43472</v>
      </c>
      <c r="C20" s="13" t="s">
        <v>75</v>
      </c>
      <c r="D20" s="41"/>
      <c r="E20" s="11"/>
      <c r="F20" s="11"/>
      <c r="G20" s="11"/>
      <c r="H20" s="11">
        <v>3750</v>
      </c>
      <c r="I20" s="15"/>
      <c r="J20" s="12">
        <f t="shared" si="1"/>
        <v>24017.23</v>
      </c>
      <c r="K20" s="12">
        <f t="shared" si="0"/>
        <v>64492.160000000003</v>
      </c>
    </row>
    <row r="21" spans="2:11" x14ac:dyDescent="0.25">
      <c r="B21" s="18">
        <v>43472</v>
      </c>
      <c r="C21" s="13" t="s">
        <v>76</v>
      </c>
      <c r="D21" s="41"/>
      <c r="E21" s="11"/>
      <c r="F21" s="11"/>
      <c r="G21" s="11"/>
      <c r="H21" s="11">
        <v>114</v>
      </c>
      <c r="I21" s="15"/>
      <c r="J21" s="12">
        <f t="shared" si="1"/>
        <v>24017.23</v>
      </c>
      <c r="K21" s="12">
        <f t="shared" si="0"/>
        <v>64378.16</v>
      </c>
    </row>
    <row r="22" spans="2:11" x14ac:dyDescent="0.25">
      <c r="B22" s="18">
        <v>43472</v>
      </c>
      <c r="C22" s="13" t="s">
        <v>77</v>
      </c>
      <c r="D22" s="41"/>
      <c r="E22" s="11"/>
      <c r="F22" s="11"/>
      <c r="G22" s="11"/>
      <c r="H22" s="11">
        <v>250</v>
      </c>
      <c r="I22" s="15"/>
      <c r="J22" s="12">
        <f t="shared" si="1"/>
        <v>24017.23</v>
      </c>
      <c r="K22" s="12">
        <f t="shared" si="0"/>
        <v>64128.160000000003</v>
      </c>
    </row>
    <row r="23" spans="2:11" x14ac:dyDescent="0.25">
      <c r="B23" s="18">
        <v>43472</v>
      </c>
      <c r="C23" s="13" t="s">
        <v>78</v>
      </c>
      <c r="D23" s="41"/>
      <c r="E23" s="11"/>
      <c r="F23" s="11"/>
      <c r="G23" s="11"/>
      <c r="H23" s="11">
        <v>124</v>
      </c>
      <c r="I23" s="15"/>
      <c r="J23" s="12">
        <f t="shared" si="1"/>
        <v>24017.23</v>
      </c>
      <c r="K23" s="12">
        <f t="shared" si="0"/>
        <v>64004.160000000003</v>
      </c>
    </row>
    <row r="24" spans="2:11" x14ac:dyDescent="0.25">
      <c r="B24" s="18">
        <v>43472</v>
      </c>
      <c r="C24" s="13" t="s">
        <v>79</v>
      </c>
      <c r="D24" s="41"/>
      <c r="E24" s="11"/>
      <c r="F24" s="11"/>
      <c r="G24" s="11"/>
      <c r="H24" s="11">
        <v>348</v>
      </c>
      <c r="I24" s="15"/>
      <c r="J24" s="12">
        <f t="shared" si="1"/>
        <v>24017.23</v>
      </c>
      <c r="K24" s="12">
        <f t="shared" si="0"/>
        <v>63656.160000000003</v>
      </c>
    </row>
    <row r="25" spans="2:11" x14ac:dyDescent="0.25">
      <c r="B25" s="38">
        <v>43472</v>
      </c>
      <c r="C25" s="13" t="s">
        <v>80</v>
      </c>
      <c r="D25" s="41"/>
      <c r="E25" s="11"/>
      <c r="F25" s="11"/>
      <c r="G25" s="11"/>
      <c r="H25" s="11">
        <v>33.5</v>
      </c>
      <c r="I25" s="15"/>
      <c r="J25" s="12">
        <f t="shared" si="1"/>
        <v>24017.23</v>
      </c>
      <c r="K25" s="12">
        <f t="shared" si="0"/>
        <v>63622.66</v>
      </c>
    </row>
    <row r="26" spans="2:11" x14ac:dyDescent="0.25">
      <c r="B26" s="38">
        <v>43473</v>
      </c>
      <c r="C26" s="35" t="s">
        <v>81</v>
      </c>
      <c r="D26" s="41"/>
      <c r="E26" s="11"/>
      <c r="F26" s="11"/>
      <c r="G26" s="11"/>
      <c r="H26" s="11">
        <v>60</v>
      </c>
      <c r="I26" s="15"/>
      <c r="J26" s="12">
        <f t="shared" si="1"/>
        <v>24017.23</v>
      </c>
      <c r="K26" s="12">
        <f t="shared" si="0"/>
        <v>63562.66</v>
      </c>
    </row>
    <row r="27" spans="2:11" x14ac:dyDescent="0.25">
      <c r="B27" s="38">
        <v>43473</v>
      </c>
      <c r="C27" s="35" t="s">
        <v>82</v>
      </c>
      <c r="D27" s="41"/>
      <c r="E27" s="11"/>
      <c r="F27" s="11"/>
      <c r="G27" s="11"/>
      <c r="H27" s="11">
        <v>419</v>
      </c>
      <c r="I27" s="15"/>
      <c r="J27" s="12">
        <f t="shared" si="1"/>
        <v>24017.23</v>
      </c>
      <c r="K27" s="12">
        <f t="shared" si="0"/>
        <v>63143.66</v>
      </c>
    </row>
    <row r="28" spans="2:11" x14ac:dyDescent="0.25">
      <c r="B28" s="38">
        <v>43473</v>
      </c>
      <c r="C28" s="35" t="s">
        <v>83</v>
      </c>
      <c r="D28" s="41"/>
      <c r="E28" s="11"/>
      <c r="F28" s="11"/>
      <c r="G28" s="11"/>
      <c r="H28" s="11">
        <v>62</v>
      </c>
      <c r="I28" s="15"/>
      <c r="J28" s="12">
        <f t="shared" si="1"/>
        <v>24017.23</v>
      </c>
      <c r="K28" s="12">
        <f t="shared" si="0"/>
        <v>63081.66</v>
      </c>
    </row>
    <row r="29" spans="2:11" x14ac:dyDescent="0.25">
      <c r="B29" s="38">
        <v>43473</v>
      </c>
      <c r="C29" s="35" t="s">
        <v>84</v>
      </c>
      <c r="D29" s="41"/>
      <c r="E29" s="11"/>
      <c r="F29" s="11"/>
      <c r="G29" s="11"/>
      <c r="H29" s="11">
        <v>250</v>
      </c>
      <c r="I29" s="15"/>
      <c r="J29" s="12">
        <f t="shared" si="1"/>
        <v>24017.23</v>
      </c>
      <c r="K29" s="12">
        <f t="shared" si="0"/>
        <v>62831.66</v>
      </c>
    </row>
    <row r="30" spans="2:11" x14ac:dyDescent="0.25">
      <c r="B30" s="38">
        <v>43473</v>
      </c>
      <c r="C30" s="35" t="s">
        <v>85</v>
      </c>
      <c r="D30" s="41"/>
      <c r="E30" s="11"/>
      <c r="F30" s="11"/>
      <c r="G30" s="11"/>
      <c r="H30" s="11">
        <v>100</v>
      </c>
      <c r="I30" s="15"/>
      <c r="J30" s="12">
        <f t="shared" si="1"/>
        <v>24017.23</v>
      </c>
      <c r="K30" s="12">
        <f t="shared" si="0"/>
        <v>62731.66</v>
      </c>
    </row>
    <row r="31" spans="2:11" x14ac:dyDescent="0.25">
      <c r="B31" s="38">
        <v>43473</v>
      </c>
      <c r="C31" s="35" t="s">
        <v>86</v>
      </c>
      <c r="D31" s="41"/>
      <c r="E31" s="11"/>
      <c r="F31" s="11"/>
      <c r="G31" s="11"/>
      <c r="H31" s="11">
        <v>35</v>
      </c>
      <c r="I31" s="15"/>
      <c r="J31" s="12">
        <f t="shared" si="1"/>
        <v>24017.23</v>
      </c>
      <c r="K31" s="12">
        <f t="shared" si="0"/>
        <v>62696.66</v>
      </c>
    </row>
    <row r="32" spans="2:11" x14ac:dyDescent="0.25">
      <c r="B32" s="38">
        <v>43474</v>
      </c>
      <c r="C32" s="36" t="s">
        <v>82</v>
      </c>
      <c r="D32" s="41"/>
      <c r="E32" s="11"/>
      <c r="F32" s="11"/>
      <c r="G32" s="11"/>
      <c r="H32" s="11">
        <v>195</v>
      </c>
      <c r="I32" s="15"/>
      <c r="J32" s="12">
        <f t="shared" si="1"/>
        <v>24017.23</v>
      </c>
      <c r="K32" s="12">
        <f t="shared" si="0"/>
        <v>62501.66</v>
      </c>
    </row>
    <row r="33" spans="2:11" x14ac:dyDescent="0.25">
      <c r="B33" s="38">
        <v>43474</v>
      </c>
      <c r="C33" s="35" t="s">
        <v>87</v>
      </c>
      <c r="D33" s="41"/>
      <c r="E33" s="11"/>
      <c r="F33" s="11"/>
      <c r="G33" s="11"/>
      <c r="H33" s="11">
        <v>50.9</v>
      </c>
      <c r="I33" s="15"/>
      <c r="J33" s="12">
        <f t="shared" si="1"/>
        <v>24017.23</v>
      </c>
      <c r="K33" s="12">
        <f t="shared" si="0"/>
        <v>62450.76</v>
      </c>
    </row>
    <row r="34" spans="2:11" x14ac:dyDescent="0.25">
      <c r="B34" s="39">
        <v>43474</v>
      </c>
      <c r="C34" s="35" t="s">
        <v>88</v>
      </c>
      <c r="D34" s="41"/>
      <c r="E34" s="11"/>
      <c r="F34" s="11"/>
      <c r="G34" s="11"/>
      <c r="H34" s="11">
        <v>365</v>
      </c>
      <c r="I34" s="15"/>
      <c r="J34" s="12">
        <f t="shared" si="1"/>
        <v>24017.23</v>
      </c>
      <c r="K34" s="12">
        <f t="shared" si="0"/>
        <v>62085.760000000002</v>
      </c>
    </row>
    <row r="35" spans="2:11" x14ac:dyDescent="0.25">
      <c r="B35" s="38">
        <v>43474</v>
      </c>
      <c r="C35" s="35" t="s">
        <v>89</v>
      </c>
      <c r="D35" s="41"/>
      <c r="E35" s="11"/>
      <c r="F35" s="11"/>
      <c r="G35" s="11"/>
      <c r="H35" s="11">
        <v>94.5</v>
      </c>
      <c r="I35" s="15"/>
      <c r="J35" s="12">
        <f t="shared" si="1"/>
        <v>24017.23</v>
      </c>
      <c r="K35" s="12">
        <f t="shared" si="0"/>
        <v>61991.26</v>
      </c>
    </row>
    <row r="36" spans="2:11" x14ac:dyDescent="0.25">
      <c r="B36" s="42">
        <v>43474</v>
      </c>
      <c r="C36" s="34" t="s">
        <v>90</v>
      </c>
      <c r="D36" s="41"/>
      <c r="E36" s="11"/>
      <c r="F36" s="11"/>
      <c r="G36" s="11"/>
      <c r="H36" s="11">
        <v>500</v>
      </c>
      <c r="I36" s="15"/>
      <c r="J36" s="12">
        <f t="shared" si="1"/>
        <v>24017.23</v>
      </c>
      <c r="K36" s="12">
        <f t="shared" si="0"/>
        <v>61491.26</v>
      </c>
    </row>
    <row r="37" spans="2:11" x14ac:dyDescent="0.25">
      <c r="B37" s="39">
        <v>43474</v>
      </c>
      <c r="C37" s="35" t="s">
        <v>60</v>
      </c>
      <c r="D37" s="41"/>
      <c r="E37" s="11"/>
      <c r="F37" s="11"/>
      <c r="G37" s="11"/>
      <c r="H37" s="11">
        <v>300</v>
      </c>
      <c r="I37" s="15"/>
      <c r="J37" s="12">
        <f t="shared" si="1"/>
        <v>24017.23</v>
      </c>
      <c r="K37" s="12">
        <f t="shared" si="0"/>
        <v>61191.26</v>
      </c>
    </row>
    <row r="38" spans="2:11" x14ac:dyDescent="0.25">
      <c r="B38" s="38">
        <v>43474</v>
      </c>
      <c r="C38" s="35" t="s">
        <v>91</v>
      </c>
      <c r="D38" s="41"/>
      <c r="E38" s="11"/>
      <c r="F38" s="11"/>
      <c r="G38" s="11"/>
      <c r="H38" s="11">
        <v>121</v>
      </c>
      <c r="I38" s="15"/>
      <c r="J38" s="12">
        <f t="shared" si="1"/>
        <v>24017.23</v>
      </c>
      <c r="K38" s="12">
        <f t="shared" si="0"/>
        <v>61070.26</v>
      </c>
    </row>
    <row r="39" spans="2:11" x14ac:dyDescent="0.25">
      <c r="B39" s="37">
        <v>43474</v>
      </c>
      <c r="C39" s="35" t="s">
        <v>92</v>
      </c>
      <c r="D39" s="41"/>
      <c r="E39" s="11"/>
      <c r="F39" s="11"/>
      <c r="G39" s="11"/>
      <c r="H39" s="11">
        <v>100</v>
      </c>
      <c r="I39" s="15"/>
      <c r="J39" s="12">
        <f t="shared" si="1"/>
        <v>24017.23</v>
      </c>
      <c r="K39" s="12">
        <f t="shared" si="0"/>
        <v>60970.26</v>
      </c>
    </row>
    <row r="40" spans="2:11" x14ac:dyDescent="0.25">
      <c r="B40" s="39">
        <v>43474</v>
      </c>
      <c r="C40" s="35" t="s">
        <v>93</v>
      </c>
      <c r="D40" s="41"/>
      <c r="E40" s="11"/>
      <c r="F40" s="11"/>
      <c r="G40" s="11"/>
      <c r="H40" s="11">
        <v>200</v>
      </c>
      <c r="I40" s="15"/>
      <c r="J40" s="12">
        <f t="shared" si="1"/>
        <v>24017.23</v>
      </c>
      <c r="K40" s="12">
        <f t="shared" ref="K40:K51" si="2">+K39+D40-H40</f>
        <v>60770.26</v>
      </c>
    </row>
    <row r="41" spans="2:11" x14ac:dyDescent="0.25">
      <c r="B41" s="38">
        <v>43475</v>
      </c>
      <c r="C41" s="35" t="s">
        <v>94</v>
      </c>
      <c r="D41" s="41"/>
      <c r="E41" s="11"/>
      <c r="F41" s="11"/>
      <c r="G41" s="11"/>
      <c r="H41" s="11">
        <v>120</v>
      </c>
      <c r="I41" s="15"/>
      <c r="J41" s="12">
        <f t="shared" si="1"/>
        <v>24017.23</v>
      </c>
      <c r="K41" s="12">
        <f t="shared" si="2"/>
        <v>60650.26</v>
      </c>
    </row>
    <row r="42" spans="2:11" x14ac:dyDescent="0.25">
      <c r="B42" s="38">
        <v>43475</v>
      </c>
      <c r="C42" s="35" t="s">
        <v>80</v>
      </c>
      <c r="D42" s="41"/>
      <c r="E42" s="11"/>
      <c r="F42" s="11"/>
      <c r="G42" s="11"/>
      <c r="H42" s="11">
        <v>23</v>
      </c>
      <c r="I42" s="15"/>
      <c r="J42" s="12">
        <f t="shared" si="1"/>
        <v>24017.23</v>
      </c>
      <c r="K42" s="12">
        <f t="shared" si="2"/>
        <v>60627.26</v>
      </c>
    </row>
    <row r="43" spans="2:11" x14ac:dyDescent="0.25">
      <c r="B43" s="38">
        <v>43475</v>
      </c>
      <c r="C43" s="35" t="s">
        <v>95</v>
      </c>
      <c r="D43" s="41"/>
      <c r="E43" s="11"/>
      <c r="F43" s="11"/>
      <c r="G43" s="11"/>
      <c r="H43" s="11">
        <v>700</v>
      </c>
      <c r="I43" s="15"/>
      <c r="J43" s="12">
        <f t="shared" si="1"/>
        <v>24017.23</v>
      </c>
      <c r="K43" s="12">
        <f t="shared" si="2"/>
        <v>59927.26</v>
      </c>
    </row>
    <row r="44" spans="2:11" x14ac:dyDescent="0.25">
      <c r="B44" s="38">
        <v>43476</v>
      </c>
      <c r="C44" s="9" t="s">
        <v>96</v>
      </c>
      <c r="D44" s="41"/>
      <c r="E44" s="11"/>
      <c r="F44" s="11"/>
      <c r="G44" s="11"/>
      <c r="H44" s="11">
        <v>250</v>
      </c>
      <c r="I44" s="15"/>
      <c r="J44" s="12">
        <f t="shared" si="1"/>
        <v>24017.23</v>
      </c>
      <c r="K44" s="12">
        <f t="shared" si="2"/>
        <v>59677.26</v>
      </c>
    </row>
    <row r="45" spans="2:11" x14ac:dyDescent="0.25">
      <c r="B45" s="38">
        <v>43476</v>
      </c>
      <c r="C45" s="35" t="s">
        <v>97</v>
      </c>
      <c r="D45" s="41"/>
      <c r="E45" s="11"/>
      <c r="F45" s="11"/>
      <c r="G45" s="11"/>
      <c r="H45" s="11">
        <v>1250</v>
      </c>
      <c r="I45" s="15"/>
      <c r="J45" s="12">
        <f t="shared" si="1"/>
        <v>24017.23</v>
      </c>
      <c r="K45" s="12">
        <f t="shared" si="2"/>
        <v>58427.26</v>
      </c>
    </row>
    <row r="46" spans="2:11" x14ac:dyDescent="0.25">
      <c r="B46" s="40">
        <v>43476</v>
      </c>
      <c r="C46" s="35" t="s">
        <v>98</v>
      </c>
      <c r="D46" s="41"/>
      <c r="E46" s="41"/>
      <c r="F46" s="41"/>
      <c r="G46" s="41"/>
      <c r="H46" s="11">
        <v>342.35</v>
      </c>
      <c r="I46" s="15"/>
      <c r="J46" s="12">
        <f t="shared" si="1"/>
        <v>24017.23</v>
      </c>
      <c r="K46" s="12">
        <f t="shared" si="2"/>
        <v>58084.91</v>
      </c>
    </row>
    <row r="47" spans="2:11" x14ac:dyDescent="0.25">
      <c r="B47" s="37">
        <v>43477</v>
      </c>
      <c r="C47" s="35" t="s">
        <v>101</v>
      </c>
      <c r="D47" s="41"/>
      <c r="E47" s="41"/>
      <c r="F47" s="41"/>
      <c r="G47" s="16"/>
      <c r="H47" s="11">
        <v>559</v>
      </c>
      <c r="I47" s="15"/>
      <c r="J47" s="12">
        <f t="shared" si="1"/>
        <v>24017.23</v>
      </c>
      <c r="K47" s="12">
        <f t="shared" si="2"/>
        <v>57525.91</v>
      </c>
    </row>
    <row r="48" spans="2:11" x14ac:dyDescent="0.25">
      <c r="B48" s="39">
        <v>43477</v>
      </c>
      <c r="C48" s="35" t="s">
        <v>99</v>
      </c>
      <c r="D48" s="41"/>
      <c r="E48" s="41"/>
      <c r="F48" s="41"/>
      <c r="G48" s="41"/>
      <c r="H48" s="11">
        <v>48</v>
      </c>
      <c r="I48" s="15"/>
      <c r="J48" s="12">
        <f t="shared" si="1"/>
        <v>24017.23</v>
      </c>
      <c r="K48" s="12">
        <f t="shared" si="2"/>
        <v>57477.91</v>
      </c>
    </row>
    <row r="49" spans="2:11" x14ac:dyDescent="0.25">
      <c r="B49" s="18">
        <v>43477</v>
      </c>
      <c r="C49" s="13" t="s">
        <v>100</v>
      </c>
      <c r="D49" s="11"/>
      <c r="E49" s="11"/>
      <c r="F49" s="11"/>
      <c r="G49" s="11"/>
      <c r="H49" s="11">
        <v>250</v>
      </c>
      <c r="I49" s="15"/>
      <c r="J49" s="12">
        <f t="shared" si="1"/>
        <v>24017.23</v>
      </c>
      <c r="K49" s="12">
        <f t="shared" si="2"/>
        <v>57227.91</v>
      </c>
    </row>
    <row r="50" spans="2:11" x14ac:dyDescent="0.25">
      <c r="B50" s="18">
        <v>43477</v>
      </c>
      <c r="C50" s="13" t="s">
        <v>101</v>
      </c>
      <c r="D50" s="11"/>
      <c r="E50" s="11"/>
      <c r="F50" s="11"/>
      <c r="G50" s="11"/>
      <c r="H50" s="11">
        <v>565</v>
      </c>
      <c r="I50" s="15"/>
      <c r="J50" s="12">
        <f t="shared" si="1"/>
        <v>24017.23</v>
      </c>
      <c r="K50" s="12">
        <f t="shared" si="2"/>
        <v>56662.91</v>
      </c>
    </row>
    <row r="51" spans="2:11" x14ac:dyDescent="0.25">
      <c r="B51" s="38">
        <v>43478</v>
      </c>
      <c r="C51" s="36" t="s">
        <v>58</v>
      </c>
      <c r="D51" s="11"/>
      <c r="E51" s="11"/>
      <c r="F51" s="11"/>
      <c r="G51" s="11"/>
      <c r="H51" s="59">
        <v>120</v>
      </c>
      <c r="I51" s="15"/>
      <c r="J51" s="12">
        <f t="shared" si="1"/>
        <v>24017.23</v>
      </c>
      <c r="K51" s="12">
        <f t="shared" si="2"/>
        <v>56542.91</v>
      </c>
    </row>
    <row r="52" spans="2:11" ht="15.75" thickBot="1" x14ac:dyDescent="0.3">
      <c r="B52" s="38">
        <v>43478</v>
      </c>
      <c r="C52" s="35" t="s">
        <v>102</v>
      </c>
      <c r="D52" s="11"/>
      <c r="E52" s="11"/>
      <c r="F52" s="11"/>
      <c r="G52" s="11"/>
      <c r="H52" s="11">
        <v>150</v>
      </c>
      <c r="I52" s="15"/>
      <c r="J52" s="12">
        <f>+J51+E52-G52</f>
        <v>24017.23</v>
      </c>
      <c r="K52" s="12">
        <f>+K51+D52-H52</f>
        <v>56392.91</v>
      </c>
    </row>
    <row r="53" spans="2:11" ht="15.75" thickBot="1" x14ac:dyDescent="0.3">
      <c r="B53" s="5"/>
      <c r="C53" s="7" t="s">
        <v>0</v>
      </c>
      <c r="D53" s="62">
        <f>SUM(D4:D52)</f>
        <v>29270</v>
      </c>
      <c r="E53" s="62">
        <f>SUM(E4:E52)</f>
        <v>400.46</v>
      </c>
      <c r="F53" s="71">
        <f>SUM(D53:E53)</f>
        <v>29670.46</v>
      </c>
      <c r="G53" s="80">
        <f>SUM(G4:G52)</f>
        <v>0</v>
      </c>
      <c r="H53" s="62">
        <f>SUM(H4:H52)</f>
        <v>16298.55</v>
      </c>
      <c r="I53" s="71">
        <f>SUM(G53:H53)</f>
        <v>16298.55</v>
      </c>
      <c r="J53" s="20"/>
      <c r="K53" s="20"/>
    </row>
    <row r="54" spans="2:11" x14ac:dyDescent="0.25">
      <c r="B54" s="68" t="s">
        <v>1</v>
      </c>
      <c r="C54" s="68" t="s">
        <v>2</v>
      </c>
      <c r="D54" s="68" t="s">
        <v>3</v>
      </c>
      <c r="E54" s="68" t="s">
        <v>3</v>
      </c>
      <c r="F54" s="68" t="s">
        <v>22</v>
      </c>
      <c r="G54" s="68" t="s">
        <v>23</v>
      </c>
      <c r="H54" s="48" t="s">
        <v>23</v>
      </c>
      <c r="I54" s="48" t="s">
        <v>22</v>
      </c>
      <c r="J54" s="68" t="s">
        <v>8</v>
      </c>
      <c r="K54" s="48" t="s">
        <v>7</v>
      </c>
    </row>
    <row r="55" spans="2:11" ht="15.75" thickBot="1" x14ac:dyDescent="0.3">
      <c r="B55" s="69"/>
      <c r="C55" s="69"/>
      <c r="D55" s="69" t="s">
        <v>5</v>
      </c>
      <c r="E55" s="69" t="s">
        <v>24</v>
      </c>
      <c r="F55" s="69" t="s">
        <v>3</v>
      </c>
      <c r="G55" s="69" t="s">
        <v>24</v>
      </c>
      <c r="H55" s="70" t="s">
        <v>5</v>
      </c>
      <c r="I55" s="70" t="s">
        <v>4</v>
      </c>
      <c r="J55" s="69"/>
      <c r="K55" s="70"/>
    </row>
    <row r="56" spans="2:11" ht="15.75" thickBot="1" x14ac:dyDescent="0.3">
      <c r="B56" s="5"/>
      <c r="C56" s="7"/>
      <c r="D56" s="62">
        <v>29270</v>
      </c>
      <c r="E56" s="61">
        <v>400.46</v>
      </c>
      <c r="F56" s="71">
        <f>SUM(D56:E56)</f>
        <v>29670.46</v>
      </c>
      <c r="G56" s="80">
        <v>0</v>
      </c>
      <c r="H56" s="62">
        <v>16298.55</v>
      </c>
      <c r="I56" s="71">
        <f>SUM(G56:H56)</f>
        <v>16298.55</v>
      </c>
      <c r="J56" s="20">
        <v>24017.23</v>
      </c>
      <c r="K56" s="12">
        <v>56392.91</v>
      </c>
    </row>
    <row r="57" spans="2:11" x14ac:dyDescent="0.25">
      <c r="B57" s="38">
        <v>43478</v>
      </c>
      <c r="C57" s="35" t="s">
        <v>72</v>
      </c>
      <c r="D57" s="11"/>
      <c r="E57" s="11"/>
      <c r="F57" s="11"/>
      <c r="G57" s="11"/>
      <c r="H57" s="11">
        <v>70</v>
      </c>
      <c r="I57" s="15"/>
      <c r="J57" s="12">
        <f>+J56+E57-G57</f>
        <v>24017.23</v>
      </c>
      <c r="K57" s="12">
        <f>+K56+D57-H57</f>
        <v>56322.91</v>
      </c>
    </row>
    <row r="58" spans="2:11" x14ac:dyDescent="0.25">
      <c r="B58" s="38">
        <v>43478</v>
      </c>
      <c r="C58" s="35" t="s">
        <v>104</v>
      </c>
      <c r="D58" s="11">
        <v>41500</v>
      </c>
      <c r="E58" s="11"/>
      <c r="F58" s="11"/>
      <c r="G58" s="11"/>
      <c r="H58" s="11"/>
      <c r="I58" s="15"/>
      <c r="J58" s="12">
        <f t="shared" ref="J58:J105" si="3">+J57+E58-G58</f>
        <v>24017.23</v>
      </c>
      <c r="K58" s="12">
        <f t="shared" ref="K58:K105" si="4">+K57+D58-H58</f>
        <v>97822.91</v>
      </c>
    </row>
    <row r="59" spans="2:11" x14ac:dyDescent="0.25">
      <c r="B59" s="38">
        <v>43479</v>
      </c>
      <c r="C59" s="36" t="s">
        <v>103</v>
      </c>
      <c r="D59" s="11"/>
      <c r="E59" s="11"/>
      <c r="F59" s="11"/>
      <c r="G59" s="11"/>
      <c r="H59" s="11">
        <v>130</v>
      </c>
      <c r="I59" s="15"/>
      <c r="J59" s="12">
        <f t="shared" si="3"/>
        <v>24017.23</v>
      </c>
      <c r="K59" s="12">
        <f t="shared" si="4"/>
        <v>97692.91</v>
      </c>
    </row>
    <row r="60" spans="2:11" x14ac:dyDescent="0.25">
      <c r="B60" s="38">
        <v>43479</v>
      </c>
      <c r="C60" s="36" t="s">
        <v>105</v>
      </c>
      <c r="D60" s="11"/>
      <c r="E60" s="11"/>
      <c r="F60" s="11"/>
      <c r="G60" s="11"/>
      <c r="H60" s="11">
        <v>163.5</v>
      </c>
      <c r="I60" s="15"/>
      <c r="J60" s="12">
        <f t="shared" si="3"/>
        <v>24017.23</v>
      </c>
      <c r="K60" s="12">
        <f t="shared" si="4"/>
        <v>97529.41</v>
      </c>
    </row>
    <row r="61" spans="2:11" x14ac:dyDescent="0.25">
      <c r="B61" s="38">
        <v>43479</v>
      </c>
      <c r="C61" s="36" t="s">
        <v>106</v>
      </c>
      <c r="D61" s="11"/>
      <c r="E61" s="11"/>
      <c r="F61" s="11"/>
      <c r="G61" s="11"/>
      <c r="H61" s="11">
        <v>40</v>
      </c>
      <c r="I61" s="15"/>
      <c r="J61" s="12">
        <f t="shared" si="3"/>
        <v>24017.23</v>
      </c>
      <c r="K61" s="12">
        <f t="shared" si="4"/>
        <v>97489.41</v>
      </c>
    </row>
    <row r="62" spans="2:11" x14ac:dyDescent="0.25">
      <c r="B62" s="38">
        <v>43479</v>
      </c>
      <c r="C62" s="36" t="s">
        <v>107</v>
      </c>
      <c r="D62" s="11"/>
      <c r="E62" s="11"/>
      <c r="F62" s="11"/>
      <c r="G62" s="11"/>
      <c r="H62" s="11">
        <v>152</v>
      </c>
      <c r="I62" s="15"/>
      <c r="J62" s="12">
        <f t="shared" si="3"/>
        <v>24017.23</v>
      </c>
      <c r="K62" s="12">
        <f t="shared" si="4"/>
        <v>97337.41</v>
      </c>
    </row>
    <row r="63" spans="2:11" x14ac:dyDescent="0.25">
      <c r="B63" s="38">
        <v>43479</v>
      </c>
      <c r="C63" s="35" t="s">
        <v>60</v>
      </c>
      <c r="D63" s="11"/>
      <c r="E63" s="11"/>
      <c r="F63" s="11"/>
      <c r="G63" s="11"/>
      <c r="H63" s="11">
        <v>300</v>
      </c>
      <c r="I63" s="15"/>
      <c r="J63" s="12">
        <f t="shared" si="3"/>
        <v>24017.23</v>
      </c>
      <c r="K63" s="12">
        <f t="shared" si="4"/>
        <v>97037.41</v>
      </c>
    </row>
    <row r="64" spans="2:11" x14ac:dyDescent="0.25">
      <c r="B64" s="38">
        <v>43479</v>
      </c>
      <c r="C64" s="36" t="s">
        <v>108</v>
      </c>
      <c r="D64" s="11"/>
      <c r="E64" s="11"/>
      <c r="F64" s="11"/>
      <c r="G64" s="11"/>
      <c r="H64" s="11">
        <v>120</v>
      </c>
      <c r="I64" s="15"/>
      <c r="J64" s="12">
        <f t="shared" si="3"/>
        <v>24017.23</v>
      </c>
      <c r="K64" s="12">
        <f t="shared" si="4"/>
        <v>96917.41</v>
      </c>
    </row>
    <row r="65" spans="2:11" x14ac:dyDescent="0.25">
      <c r="B65" s="38">
        <v>43479</v>
      </c>
      <c r="C65" s="35" t="s">
        <v>109</v>
      </c>
      <c r="D65" s="11"/>
      <c r="E65" s="11"/>
      <c r="F65" s="11"/>
      <c r="G65" s="11"/>
      <c r="H65" s="11">
        <v>13000</v>
      </c>
      <c r="I65" s="15"/>
      <c r="J65" s="12">
        <f t="shared" si="3"/>
        <v>24017.23</v>
      </c>
      <c r="K65" s="12">
        <f t="shared" si="4"/>
        <v>83917.41</v>
      </c>
    </row>
    <row r="66" spans="2:11" x14ac:dyDescent="0.25">
      <c r="B66" s="38">
        <v>43479</v>
      </c>
      <c r="C66" s="35" t="s">
        <v>110</v>
      </c>
      <c r="D66" s="41"/>
      <c r="E66" s="11"/>
      <c r="F66" s="11"/>
      <c r="G66" s="11"/>
      <c r="H66" s="11">
        <v>500</v>
      </c>
      <c r="I66" s="15"/>
      <c r="J66" s="12">
        <f t="shared" si="3"/>
        <v>24017.23</v>
      </c>
      <c r="K66" s="12">
        <f t="shared" si="4"/>
        <v>83417.41</v>
      </c>
    </row>
    <row r="67" spans="2:11" x14ac:dyDescent="0.25">
      <c r="B67" s="40">
        <v>43479</v>
      </c>
      <c r="C67" s="35" t="s">
        <v>111</v>
      </c>
      <c r="D67" s="41"/>
      <c r="E67" s="41"/>
      <c r="F67" s="41"/>
      <c r="G67" s="41"/>
      <c r="H67" s="11">
        <v>778</v>
      </c>
      <c r="I67" s="15"/>
      <c r="J67" s="12">
        <f t="shared" si="3"/>
        <v>24017.23</v>
      </c>
      <c r="K67" s="12">
        <f t="shared" si="4"/>
        <v>82639.41</v>
      </c>
    </row>
    <row r="68" spans="2:11" x14ac:dyDescent="0.25">
      <c r="B68" s="18">
        <v>43479</v>
      </c>
      <c r="C68" s="34" t="s">
        <v>112</v>
      </c>
      <c r="D68" s="11"/>
      <c r="E68" s="11"/>
      <c r="F68" s="11"/>
      <c r="G68" s="11"/>
      <c r="H68" s="11">
        <v>400</v>
      </c>
      <c r="I68" s="15"/>
      <c r="J68" s="12">
        <f t="shared" si="3"/>
        <v>24017.23</v>
      </c>
      <c r="K68" s="12">
        <f t="shared" si="4"/>
        <v>82239.41</v>
      </c>
    </row>
    <row r="69" spans="2:11" x14ac:dyDescent="0.25">
      <c r="B69" s="18">
        <v>43479</v>
      </c>
      <c r="C69" s="9" t="s">
        <v>113</v>
      </c>
      <c r="D69" s="11"/>
      <c r="E69" s="11"/>
      <c r="F69" s="11"/>
      <c r="G69" s="11"/>
      <c r="H69" s="11">
        <v>152.5</v>
      </c>
      <c r="I69" s="15"/>
      <c r="J69" s="12">
        <f t="shared" si="3"/>
        <v>24017.23</v>
      </c>
      <c r="K69" s="12">
        <f t="shared" si="4"/>
        <v>82086.91</v>
      </c>
    </row>
    <row r="70" spans="2:11" x14ac:dyDescent="0.25">
      <c r="B70" s="39">
        <v>43479</v>
      </c>
      <c r="C70" s="36" t="s">
        <v>114</v>
      </c>
      <c r="D70" s="41"/>
      <c r="E70" s="11"/>
      <c r="F70" s="11"/>
      <c r="G70" s="11"/>
      <c r="H70" s="11">
        <v>279.5</v>
      </c>
      <c r="I70" s="15"/>
      <c r="J70" s="12">
        <f t="shared" si="3"/>
        <v>24017.23</v>
      </c>
      <c r="K70" s="12">
        <f t="shared" si="4"/>
        <v>81807.41</v>
      </c>
    </row>
    <row r="71" spans="2:11" x14ac:dyDescent="0.25">
      <c r="B71" s="40">
        <v>43479</v>
      </c>
      <c r="C71" s="36" t="s">
        <v>115</v>
      </c>
      <c r="D71" s="41"/>
      <c r="E71" s="11"/>
      <c r="F71" s="11"/>
      <c r="G71" s="11"/>
      <c r="H71" s="11">
        <v>871</v>
      </c>
      <c r="I71" s="15"/>
      <c r="J71" s="12">
        <f t="shared" si="3"/>
        <v>24017.23</v>
      </c>
      <c r="K71" s="12">
        <f t="shared" si="4"/>
        <v>80936.41</v>
      </c>
    </row>
    <row r="72" spans="2:11" x14ac:dyDescent="0.25">
      <c r="B72" s="40">
        <v>43480</v>
      </c>
      <c r="C72" s="36" t="s">
        <v>116</v>
      </c>
      <c r="D72" s="41"/>
      <c r="E72" s="11"/>
      <c r="F72" s="11"/>
      <c r="G72" s="11"/>
      <c r="H72" s="11">
        <v>250</v>
      </c>
      <c r="I72" s="15"/>
      <c r="J72" s="12">
        <f t="shared" si="3"/>
        <v>24017.23</v>
      </c>
      <c r="K72" s="12">
        <f t="shared" si="4"/>
        <v>80686.41</v>
      </c>
    </row>
    <row r="73" spans="2:11" x14ac:dyDescent="0.25">
      <c r="B73" s="40">
        <v>43480</v>
      </c>
      <c r="C73" s="36" t="s">
        <v>117</v>
      </c>
      <c r="D73" s="41"/>
      <c r="E73" s="11"/>
      <c r="F73" s="11"/>
      <c r="G73" s="11"/>
      <c r="H73" s="11">
        <v>350</v>
      </c>
      <c r="I73" s="15"/>
      <c r="J73" s="12">
        <f t="shared" si="3"/>
        <v>24017.23</v>
      </c>
      <c r="K73" s="12">
        <f t="shared" si="4"/>
        <v>80336.41</v>
      </c>
    </row>
    <row r="74" spans="2:11" x14ac:dyDescent="0.25">
      <c r="B74" s="40">
        <v>43480</v>
      </c>
      <c r="C74" s="35" t="s">
        <v>118</v>
      </c>
      <c r="D74" s="41"/>
      <c r="E74" s="11"/>
      <c r="F74" s="11"/>
      <c r="G74" s="11"/>
      <c r="H74" s="11">
        <v>550</v>
      </c>
      <c r="I74" s="15"/>
      <c r="J74" s="12">
        <f t="shared" si="3"/>
        <v>24017.23</v>
      </c>
      <c r="K74" s="12">
        <f t="shared" si="4"/>
        <v>79786.41</v>
      </c>
    </row>
    <row r="75" spans="2:11" x14ac:dyDescent="0.25">
      <c r="B75" s="43">
        <v>43480</v>
      </c>
      <c r="C75" s="9" t="s">
        <v>120</v>
      </c>
      <c r="D75" s="41"/>
      <c r="E75" s="11"/>
      <c r="F75" s="11"/>
      <c r="G75" s="11"/>
      <c r="H75" s="11">
        <v>2000</v>
      </c>
      <c r="I75" s="15"/>
      <c r="J75" s="12">
        <f t="shared" si="3"/>
        <v>24017.23</v>
      </c>
      <c r="K75" s="12">
        <f t="shared" si="4"/>
        <v>77786.41</v>
      </c>
    </row>
    <row r="76" spans="2:11" x14ac:dyDescent="0.25">
      <c r="B76" s="43">
        <v>43480</v>
      </c>
      <c r="C76" s="9" t="s">
        <v>119</v>
      </c>
      <c r="D76" s="41"/>
      <c r="E76" s="11"/>
      <c r="F76" s="11"/>
      <c r="G76" s="11"/>
      <c r="H76" s="11">
        <v>4000</v>
      </c>
      <c r="I76" s="15"/>
      <c r="J76" s="12">
        <f t="shared" si="3"/>
        <v>24017.23</v>
      </c>
      <c r="K76" s="12">
        <f t="shared" si="4"/>
        <v>73786.41</v>
      </c>
    </row>
    <row r="77" spans="2:11" x14ac:dyDescent="0.25">
      <c r="B77" s="43">
        <v>43480</v>
      </c>
      <c r="C77" s="21" t="s">
        <v>121</v>
      </c>
      <c r="D77" s="41"/>
      <c r="E77" s="11"/>
      <c r="F77" s="11"/>
      <c r="G77" s="11"/>
      <c r="H77" s="11">
        <v>40000</v>
      </c>
      <c r="I77" s="15"/>
      <c r="J77" s="12">
        <f t="shared" si="3"/>
        <v>24017.23</v>
      </c>
      <c r="K77" s="12">
        <f t="shared" si="4"/>
        <v>33786.410000000003</v>
      </c>
    </row>
    <row r="78" spans="2:11" x14ac:dyDescent="0.25">
      <c r="B78" s="44">
        <v>43481</v>
      </c>
      <c r="C78" s="9" t="s">
        <v>122</v>
      </c>
      <c r="D78" s="101"/>
      <c r="E78" s="11"/>
      <c r="F78" s="11"/>
      <c r="G78" s="11"/>
      <c r="H78" s="11">
        <v>350</v>
      </c>
      <c r="I78" s="15"/>
      <c r="J78" s="12">
        <f t="shared" si="3"/>
        <v>24017.23</v>
      </c>
      <c r="K78" s="12">
        <f t="shared" si="4"/>
        <v>33436.410000000003</v>
      </c>
    </row>
    <row r="79" spans="2:11" x14ac:dyDescent="0.25">
      <c r="B79" s="44">
        <v>43481</v>
      </c>
      <c r="C79" s="13" t="s">
        <v>125</v>
      </c>
      <c r="D79" s="41"/>
      <c r="E79" s="11"/>
      <c r="F79" s="11"/>
      <c r="G79" s="11"/>
      <c r="H79" s="11">
        <v>250</v>
      </c>
      <c r="I79" s="15"/>
      <c r="J79" s="12">
        <f t="shared" si="3"/>
        <v>24017.23</v>
      </c>
      <c r="K79" s="12">
        <f t="shared" si="4"/>
        <v>33186.410000000003</v>
      </c>
    </row>
    <row r="80" spans="2:11" x14ac:dyDescent="0.25">
      <c r="B80" s="44">
        <v>43481</v>
      </c>
      <c r="C80" s="13" t="s">
        <v>123</v>
      </c>
      <c r="D80" s="41"/>
      <c r="E80" s="11"/>
      <c r="F80" s="11"/>
      <c r="G80" s="11"/>
      <c r="H80" s="11">
        <v>28</v>
      </c>
      <c r="I80" s="15"/>
      <c r="J80" s="12">
        <f t="shared" si="3"/>
        <v>24017.23</v>
      </c>
      <c r="K80" s="12">
        <f t="shared" si="4"/>
        <v>33158.410000000003</v>
      </c>
    </row>
    <row r="81" spans="2:11" x14ac:dyDescent="0.25">
      <c r="B81" s="44">
        <v>43482</v>
      </c>
      <c r="C81" s="13" t="s">
        <v>60</v>
      </c>
      <c r="D81" s="41"/>
      <c r="E81" s="11"/>
      <c r="F81" s="11"/>
      <c r="G81" s="11"/>
      <c r="H81" s="11">
        <v>300</v>
      </c>
      <c r="I81" s="15"/>
      <c r="J81" s="12">
        <f t="shared" si="3"/>
        <v>24017.23</v>
      </c>
      <c r="K81" s="12">
        <f t="shared" si="4"/>
        <v>32858.410000000003</v>
      </c>
    </row>
    <row r="82" spans="2:11" x14ac:dyDescent="0.25">
      <c r="B82" s="44">
        <v>43482</v>
      </c>
      <c r="C82" s="13" t="s">
        <v>124</v>
      </c>
      <c r="D82" s="41"/>
      <c r="E82" s="11"/>
      <c r="F82" s="11"/>
      <c r="G82" s="11"/>
      <c r="H82" s="11">
        <v>250</v>
      </c>
      <c r="I82" s="15"/>
      <c r="J82" s="12">
        <f t="shared" si="3"/>
        <v>24017.23</v>
      </c>
      <c r="K82" s="12">
        <f t="shared" si="4"/>
        <v>32608.410000000003</v>
      </c>
    </row>
    <row r="83" spans="2:11" x14ac:dyDescent="0.25">
      <c r="B83" s="44">
        <v>43482</v>
      </c>
      <c r="C83" s="13" t="s">
        <v>126</v>
      </c>
      <c r="D83" s="41"/>
      <c r="E83" s="41"/>
      <c r="F83" s="41"/>
      <c r="G83" s="16"/>
      <c r="H83" s="11">
        <v>40</v>
      </c>
      <c r="I83" s="15"/>
      <c r="J83" s="12">
        <f t="shared" si="3"/>
        <v>24017.23</v>
      </c>
      <c r="K83" s="12">
        <f t="shared" si="4"/>
        <v>32568.410000000003</v>
      </c>
    </row>
    <row r="84" spans="2:11" x14ac:dyDescent="0.25">
      <c r="B84" s="44">
        <v>43482</v>
      </c>
      <c r="C84" s="13" t="s">
        <v>127</v>
      </c>
      <c r="D84" s="41"/>
      <c r="E84" s="41"/>
      <c r="F84" s="41"/>
      <c r="G84" s="16"/>
      <c r="H84" s="11">
        <v>600</v>
      </c>
      <c r="I84" s="15"/>
      <c r="J84" s="12">
        <f t="shared" si="3"/>
        <v>24017.23</v>
      </c>
      <c r="K84" s="12">
        <f t="shared" si="4"/>
        <v>31968.410000000003</v>
      </c>
    </row>
    <row r="85" spans="2:11" x14ac:dyDescent="0.25">
      <c r="B85" s="44">
        <v>43482</v>
      </c>
      <c r="C85" s="13" t="s">
        <v>128</v>
      </c>
      <c r="D85" s="41"/>
      <c r="E85" s="41"/>
      <c r="F85" s="41"/>
      <c r="G85" s="16"/>
      <c r="H85" s="11">
        <v>56</v>
      </c>
      <c r="I85" s="15"/>
      <c r="J85" s="12">
        <f t="shared" si="3"/>
        <v>24017.23</v>
      </c>
      <c r="K85" s="12">
        <f t="shared" si="4"/>
        <v>31912.410000000003</v>
      </c>
    </row>
    <row r="86" spans="2:11" x14ac:dyDescent="0.25">
      <c r="B86" s="44">
        <v>43483</v>
      </c>
      <c r="C86" s="13" t="s">
        <v>129</v>
      </c>
      <c r="D86" s="41"/>
      <c r="E86" s="41"/>
      <c r="F86" s="41"/>
      <c r="G86" s="16"/>
      <c r="H86" s="11">
        <v>1250</v>
      </c>
      <c r="I86" s="15"/>
      <c r="J86" s="12">
        <f t="shared" si="3"/>
        <v>24017.23</v>
      </c>
      <c r="K86" s="12">
        <f t="shared" si="4"/>
        <v>30662.410000000003</v>
      </c>
    </row>
    <row r="87" spans="2:11" x14ac:dyDescent="0.25">
      <c r="B87" s="44">
        <v>43483</v>
      </c>
      <c r="C87" s="13" t="s">
        <v>130</v>
      </c>
      <c r="D87" s="41"/>
      <c r="E87" s="41">
        <v>12760</v>
      </c>
      <c r="F87" s="41"/>
      <c r="G87" s="41"/>
      <c r="H87" s="11"/>
      <c r="I87" s="15"/>
      <c r="J87" s="12">
        <f t="shared" si="3"/>
        <v>36777.229999999996</v>
      </c>
      <c r="K87" s="12">
        <f t="shared" si="4"/>
        <v>30662.410000000003</v>
      </c>
    </row>
    <row r="88" spans="2:11" x14ac:dyDescent="0.25">
      <c r="B88" s="44">
        <v>43485</v>
      </c>
      <c r="C88" s="13" t="s">
        <v>131</v>
      </c>
      <c r="D88" s="41"/>
      <c r="E88" s="41"/>
      <c r="F88" s="41"/>
      <c r="G88" s="41"/>
      <c r="H88" s="11">
        <v>120</v>
      </c>
      <c r="I88" s="15"/>
      <c r="J88" s="12">
        <f t="shared" si="3"/>
        <v>36777.229999999996</v>
      </c>
      <c r="K88" s="12">
        <f t="shared" si="4"/>
        <v>30542.410000000003</v>
      </c>
    </row>
    <row r="89" spans="2:11" x14ac:dyDescent="0.25">
      <c r="B89" s="44">
        <v>43485</v>
      </c>
      <c r="C89" s="13" t="s">
        <v>132</v>
      </c>
      <c r="D89" s="41"/>
      <c r="E89" s="41"/>
      <c r="F89" s="41"/>
      <c r="G89" s="41"/>
      <c r="H89" s="11">
        <v>150</v>
      </c>
      <c r="I89" s="15"/>
      <c r="J89" s="12">
        <f t="shared" si="3"/>
        <v>36777.229999999996</v>
      </c>
      <c r="K89" s="12">
        <f t="shared" si="4"/>
        <v>30392.410000000003</v>
      </c>
    </row>
    <row r="90" spans="2:11" x14ac:dyDescent="0.25">
      <c r="B90" s="44">
        <v>43485</v>
      </c>
      <c r="C90" s="13" t="s">
        <v>133</v>
      </c>
      <c r="D90" s="41"/>
      <c r="E90" s="11"/>
      <c r="F90" s="11"/>
      <c r="G90" s="11"/>
      <c r="H90" s="11">
        <v>116</v>
      </c>
      <c r="I90" s="15"/>
      <c r="J90" s="12">
        <f t="shared" si="3"/>
        <v>36777.229999999996</v>
      </c>
      <c r="K90" s="12">
        <f t="shared" si="4"/>
        <v>30276.410000000003</v>
      </c>
    </row>
    <row r="91" spans="2:11" x14ac:dyDescent="0.25">
      <c r="B91" s="44">
        <v>43485</v>
      </c>
      <c r="C91" s="13" t="s">
        <v>134</v>
      </c>
      <c r="D91" s="41"/>
      <c r="E91" s="11"/>
      <c r="F91" s="11"/>
      <c r="G91" s="11"/>
      <c r="H91" s="11">
        <v>85</v>
      </c>
      <c r="I91" s="15"/>
      <c r="J91" s="12">
        <f t="shared" si="3"/>
        <v>36777.229999999996</v>
      </c>
      <c r="K91" s="12">
        <f t="shared" si="4"/>
        <v>30191.410000000003</v>
      </c>
    </row>
    <row r="92" spans="2:11" x14ac:dyDescent="0.25">
      <c r="B92" s="44">
        <v>43485</v>
      </c>
      <c r="C92" s="13" t="s">
        <v>135</v>
      </c>
      <c r="D92" s="41">
        <v>43350</v>
      </c>
      <c r="E92" s="11"/>
      <c r="F92" s="11"/>
      <c r="G92" s="11"/>
      <c r="H92" s="11"/>
      <c r="I92" s="15"/>
      <c r="J92" s="12">
        <f t="shared" si="3"/>
        <v>36777.229999999996</v>
      </c>
      <c r="K92" s="12">
        <f t="shared" si="4"/>
        <v>73541.41</v>
      </c>
    </row>
    <row r="93" spans="2:11" x14ac:dyDescent="0.25">
      <c r="B93" s="44">
        <v>43485</v>
      </c>
      <c r="C93" s="122" t="s">
        <v>137</v>
      </c>
      <c r="D93" s="41"/>
      <c r="E93" s="11"/>
      <c r="F93" s="11"/>
      <c r="G93" s="11">
        <v>1760</v>
      </c>
      <c r="H93" s="11"/>
      <c r="I93" s="15"/>
      <c r="J93" s="12">
        <f t="shared" si="3"/>
        <v>35017.229999999996</v>
      </c>
      <c r="K93" s="12">
        <f t="shared" si="4"/>
        <v>73541.41</v>
      </c>
    </row>
    <row r="94" spans="2:11" x14ac:dyDescent="0.25">
      <c r="B94" s="44">
        <v>43485</v>
      </c>
      <c r="C94" s="122" t="s">
        <v>136</v>
      </c>
      <c r="D94" s="41"/>
      <c r="E94" s="11"/>
      <c r="F94" s="11"/>
      <c r="G94" s="11">
        <v>1400</v>
      </c>
      <c r="H94" s="11"/>
      <c r="I94" s="15"/>
      <c r="J94" s="12">
        <f t="shared" si="3"/>
        <v>33617.229999999996</v>
      </c>
      <c r="K94" s="12">
        <f t="shared" si="4"/>
        <v>73541.41</v>
      </c>
    </row>
    <row r="95" spans="2:11" x14ac:dyDescent="0.25">
      <c r="B95" s="44">
        <v>43486</v>
      </c>
      <c r="C95" s="13" t="s">
        <v>138</v>
      </c>
      <c r="D95" s="41"/>
      <c r="E95" s="11"/>
      <c r="F95" s="11"/>
      <c r="G95" s="11"/>
      <c r="H95" s="11">
        <v>500</v>
      </c>
      <c r="I95" s="15"/>
      <c r="J95" s="12">
        <f t="shared" si="3"/>
        <v>33617.229999999996</v>
      </c>
      <c r="K95" s="12">
        <f t="shared" si="4"/>
        <v>73041.41</v>
      </c>
    </row>
    <row r="96" spans="2:11" x14ac:dyDescent="0.25">
      <c r="B96" s="44">
        <v>43486</v>
      </c>
      <c r="C96" s="13" t="s">
        <v>139</v>
      </c>
      <c r="D96" s="41"/>
      <c r="E96" s="11"/>
      <c r="F96" s="11"/>
      <c r="G96" s="11"/>
      <c r="H96" s="11">
        <v>114</v>
      </c>
      <c r="I96" s="15"/>
      <c r="J96" s="12">
        <f t="shared" si="3"/>
        <v>33617.229999999996</v>
      </c>
      <c r="K96" s="12">
        <f t="shared" si="4"/>
        <v>72927.41</v>
      </c>
    </row>
    <row r="97" spans="2:11" x14ac:dyDescent="0.25">
      <c r="B97" s="44">
        <v>43486</v>
      </c>
      <c r="C97" s="13" t="s">
        <v>140</v>
      </c>
      <c r="D97" s="41"/>
      <c r="E97" s="11"/>
      <c r="F97" s="11"/>
      <c r="G97" s="11"/>
      <c r="H97" s="11">
        <v>22</v>
      </c>
      <c r="I97" s="15"/>
      <c r="J97" s="12">
        <f t="shared" si="3"/>
        <v>33617.229999999996</v>
      </c>
      <c r="K97" s="12">
        <f t="shared" si="4"/>
        <v>72905.41</v>
      </c>
    </row>
    <row r="98" spans="2:11" x14ac:dyDescent="0.25">
      <c r="B98" s="44">
        <v>43486</v>
      </c>
      <c r="C98" s="13" t="s">
        <v>141</v>
      </c>
      <c r="D98" s="41"/>
      <c r="E98" s="11"/>
      <c r="F98" s="11"/>
      <c r="G98" s="11"/>
      <c r="H98" s="11">
        <v>300</v>
      </c>
      <c r="I98" s="15"/>
      <c r="J98" s="12">
        <f t="shared" si="3"/>
        <v>33617.229999999996</v>
      </c>
      <c r="K98" s="12">
        <f t="shared" si="4"/>
        <v>72605.41</v>
      </c>
    </row>
    <row r="99" spans="2:11" x14ac:dyDescent="0.25">
      <c r="B99" s="27">
        <v>43487</v>
      </c>
      <c r="C99" s="13" t="s">
        <v>142</v>
      </c>
      <c r="D99" s="41"/>
      <c r="E99" s="11"/>
      <c r="F99" s="11"/>
      <c r="G99" s="11"/>
      <c r="H99" s="11">
        <v>492</v>
      </c>
      <c r="I99" s="15"/>
      <c r="J99" s="12">
        <f t="shared" si="3"/>
        <v>33617.229999999996</v>
      </c>
      <c r="K99" s="12">
        <f t="shared" si="4"/>
        <v>72113.41</v>
      </c>
    </row>
    <row r="100" spans="2:11" x14ac:dyDescent="0.25">
      <c r="B100" s="27">
        <v>43487</v>
      </c>
      <c r="C100" s="13" t="s">
        <v>143</v>
      </c>
      <c r="D100" s="41"/>
      <c r="E100" s="11"/>
      <c r="F100" s="11"/>
      <c r="G100" s="11"/>
      <c r="H100" s="11">
        <v>200</v>
      </c>
      <c r="I100" s="15"/>
      <c r="J100" s="12">
        <f t="shared" si="3"/>
        <v>33617.229999999996</v>
      </c>
      <c r="K100" s="12">
        <f t="shared" si="4"/>
        <v>71913.41</v>
      </c>
    </row>
    <row r="101" spans="2:11" x14ac:dyDescent="0.25">
      <c r="B101" s="27">
        <v>43488</v>
      </c>
      <c r="C101" s="13" t="s">
        <v>144</v>
      </c>
      <c r="D101" s="41"/>
      <c r="E101" s="11"/>
      <c r="F101" s="11"/>
      <c r="G101" s="11"/>
      <c r="H101" s="11">
        <v>65</v>
      </c>
      <c r="I101" s="15"/>
      <c r="J101" s="12">
        <f t="shared" si="3"/>
        <v>33617.229999999996</v>
      </c>
      <c r="K101" s="12">
        <f t="shared" si="4"/>
        <v>71848.41</v>
      </c>
    </row>
    <row r="102" spans="2:11" x14ac:dyDescent="0.25">
      <c r="B102" s="27">
        <v>43488</v>
      </c>
      <c r="C102" s="13" t="s">
        <v>145</v>
      </c>
      <c r="D102" s="41"/>
      <c r="E102" s="11"/>
      <c r="F102" s="11"/>
      <c r="G102" s="11"/>
      <c r="H102" s="11">
        <v>250</v>
      </c>
      <c r="I102" s="15"/>
      <c r="J102" s="12">
        <f t="shared" si="3"/>
        <v>33617.229999999996</v>
      </c>
      <c r="K102" s="12">
        <f t="shared" si="4"/>
        <v>71598.41</v>
      </c>
    </row>
    <row r="103" spans="2:11" x14ac:dyDescent="0.25">
      <c r="B103" s="27">
        <v>43488</v>
      </c>
      <c r="C103" s="13" t="s">
        <v>146</v>
      </c>
      <c r="D103" s="41"/>
      <c r="E103" s="11"/>
      <c r="F103" s="11"/>
      <c r="G103" s="11"/>
      <c r="H103" s="11">
        <v>375</v>
      </c>
      <c r="I103" s="15"/>
      <c r="J103" s="12">
        <f t="shared" si="3"/>
        <v>33617.229999999996</v>
      </c>
      <c r="K103" s="12">
        <f t="shared" si="4"/>
        <v>71223.41</v>
      </c>
    </row>
    <row r="104" spans="2:11" x14ac:dyDescent="0.25">
      <c r="B104" s="27">
        <v>43489</v>
      </c>
      <c r="C104" s="36" t="s">
        <v>147</v>
      </c>
      <c r="D104" s="41"/>
      <c r="E104" s="11"/>
      <c r="F104" s="11"/>
      <c r="G104" s="11"/>
      <c r="H104" s="11">
        <v>280</v>
      </c>
      <c r="I104" s="15"/>
      <c r="J104" s="12">
        <f t="shared" si="3"/>
        <v>33617.229999999996</v>
      </c>
      <c r="K104" s="12">
        <f t="shared" si="4"/>
        <v>70943.41</v>
      </c>
    </row>
    <row r="105" spans="2:11" ht="15.75" thickBot="1" x14ac:dyDescent="0.3">
      <c r="B105" s="27">
        <v>43489</v>
      </c>
      <c r="C105" s="13" t="s">
        <v>149</v>
      </c>
      <c r="D105" s="41"/>
      <c r="E105" s="11"/>
      <c r="F105" s="11"/>
      <c r="G105" s="11"/>
      <c r="H105" s="11">
        <v>15</v>
      </c>
      <c r="I105" s="15"/>
      <c r="J105" s="12">
        <f t="shared" si="3"/>
        <v>33617.229999999996</v>
      </c>
      <c r="K105" s="12">
        <f t="shared" si="4"/>
        <v>70928.41</v>
      </c>
    </row>
    <row r="106" spans="2:11" ht="15.75" thickBot="1" x14ac:dyDescent="0.3">
      <c r="B106" s="5"/>
      <c r="C106" s="7" t="s">
        <v>0</v>
      </c>
      <c r="D106" s="62">
        <f>SUM(D53:D105)</f>
        <v>143390</v>
      </c>
      <c r="E106" s="62">
        <f>SUM(E53:E105)</f>
        <v>13560.92</v>
      </c>
      <c r="F106" s="71">
        <f>SUM(D106:E106)</f>
        <v>156950.92000000001</v>
      </c>
      <c r="G106" s="80">
        <f>SUM(G53:G105)</f>
        <v>3160</v>
      </c>
      <c r="H106" s="98">
        <f>SUM(H53:H105)</f>
        <v>102911.6</v>
      </c>
      <c r="I106" s="71">
        <f>SUM(G106:H106)</f>
        <v>106071.6</v>
      </c>
      <c r="J106" s="20">
        <v>0</v>
      </c>
      <c r="K106" s="20">
        <v>0</v>
      </c>
    </row>
    <row r="107" spans="2:11" x14ac:dyDescent="0.25">
      <c r="B107" s="68" t="s">
        <v>1</v>
      </c>
      <c r="C107" s="68" t="s">
        <v>2</v>
      </c>
      <c r="D107" s="68" t="s">
        <v>3</v>
      </c>
      <c r="E107" s="68" t="s">
        <v>3</v>
      </c>
      <c r="F107" s="68" t="s">
        <v>22</v>
      </c>
      <c r="G107" s="68" t="s">
        <v>23</v>
      </c>
      <c r="H107" s="48" t="s">
        <v>23</v>
      </c>
      <c r="I107" s="48" t="s">
        <v>22</v>
      </c>
      <c r="J107" s="68" t="s">
        <v>8</v>
      </c>
      <c r="K107" s="48" t="s">
        <v>7</v>
      </c>
    </row>
    <row r="108" spans="2:11" ht="15.75" thickBot="1" x14ac:dyDescent="0.3">
      <c r="B108" s="69"/>
      <c r="C108" s="69"/>
      <c r="D108" s="69" t="s">
        <v>5</v>
      </c>
      <c r="E108" s="69" t="s">
        <v>24</v>
      </c>
      <c r="F108" s="69" t="s">
        <v>3</v>
      </c>
      <c r="G108" s="69" t="s">
        <v>24</v>
      </c>
      <c r="H108" s="70" t="s">
        <v>5</v>
      </c>
      <c r="I108" s="70" t="s">
        <v>4</v>
      </c>
      <c r="J108" s="69"/>
      <c r="K108" s="70"/>
    </row>
    <row r="109" spans="2:11" ht="15.75" thickBot="1" x14ac:dyDescent="0.3">
      <c r="B109" s="5"/>
      <c r="C109" s="7" t="s">
        <v>0</v>
      </c>
      <c r="D109" s="62">
        <v>143390</v>
      </c>
      <c r="E109" s="61">
        <v>13560.92</v>
      </c>
      <c r="F109" s="71">
        <f>SUM(D109:E109)</f>
        <v>156950.92000000001</v>
      </c>
      <c r="G109" s="80">
        <v>3160</v>
      </c>
      <c r="H109" s="62">
        <v>102911.6</v>
      </c>
      <c r="I109" s="71">
        <f>SUM(G109:H109)</f>
        <v>106071.6</v>
      </c>
      <c r="J109" s="19">
        <v>33617.230000000003</v>
      </c>
      <c r="K109" s="19">
        <v>70928.41</v>
      </c>
    </row>
    <row r="110" spans="2:11" x14ac:dyDescent="0.25">
      <c r="B110" s="27">
        <v>43489</v>
      </c>
      <c r="C110" s="9" t="s">
        <v>148</v>
      </c>
      <c r="D110" s="41"/>
      <c r="E110" s="11"/>
      <c r="F110" s="11"/>
      <c r="G110" s="11"/>
      <c r="H110" s="11">
        <v>27</v>
      </c>
      <c r="I110" s="15"/>
      <c r="J110" s="12">
        <f>+J109+E110-G110</f>
        <v>33617.230000000003</v>
      </c>
      <c r="K110" s="12">
        <f>+K109+D110-H110</f>
        <v>70901.41</v>
      </c>
    </row>
    <row r="111" spans="2:11" x14ac:dyDescent="0.25">
      <c r="B111" s="27">
        <v>43489</v>
      </c>
      <c r="C111" s="13" t="s">
        <v>150</v>
      </c>
      <c r="D111" s="41"/>
      <c r="E111" s="11"/>
      <c r="F111" s="11"/>
      <c r="G111" s="11"/>
      <c r="H111" s="11">
        <v>354.6</v>
      </c>
      <c r="I111" s="15"/>
      <c r="J111" s="12">
        <f t="shared" ref="J111:J145" si="5">+J110+E111-G111</f>
        <v>33617.230000000003</v>
      </c>
      <c r="K111" s="12">
        <f t="shared" ref="K111:K145" si="6">+K110+D111-H111</f>
        <v>70546.81</v>
      </c>
    </row>
    <row r="112" spans="2:11" x14ac:dyDescent="0.25">
      <c r="B112" s="27">
        <v>43489</v>
      </c>
      <c r="C112" s="13" t="s">
        <v>152</v>
      </c>
      <c r="D112" s="41"/>
      <c r="E112" s="11"/>
      <c r="F112" s="11"/>
      <c r="G112" s="11"/>
      <c r="H112" s="11">
        <v>400</v>
      </c>
      <c r="I112" s="15"/>
      <c r="J112" s="12">
        <f t="shared" si="5"/>
        <v>33617.230000000003</v>
      </c>
      <c r="K112" s="12">
        <f t="shared" si="6"/>
        <v>70146.81</v>
      </c>
    </row>
    <row r="113" spans="2:12" x14ac:dyDescent="0.25">
      <c r="B113" s="27">
        <v>43489</v>
      </c>
      <c r="C113" s="13" t="s">
        <v>151</v>
      </c>
      <c r="D113" s="41"/>
      <c r="E113" s="11"/>
      <c r="F113" s="11"/>
      <c r="G113" s="11"/>
      <c r="H113" s="11">
        <v>650</v>
      </c>
      <c r="I113" s="15"/>
      <c r="J113" s="12">
        <f t="shared" si="5"/>
        <v>33617.230000000003</v>
      </c>
      <c r="K113" s="12">
        <f t="shared" si="6"/>
        <v>69496.81</v>
      </c>
    </row>
    <row r="114" spans="2:12" x14ac:dyDescent="0.25">
      <c r="B114" s="27">
        <v>43490</v>
      </c>
      <c r="C114" s="13" t="s">
        <v>153</v>
      </c>
      <c r="D114" s="41"/>
      <c r="E114" s="11"/>
      <c r="F114" s="11"/>
      <c r="G114" s="11"/>
      <c r="H114" s="11">
        <v>33.5</v>
      </c>
      <c r="I114" s="15"/>
      <c r="J114" s="12">
        <f t="shared" si="5"/>
        <v>33617.230000000003</v>
      </c>
      <c r="K114" s="12">
        <f t="shared" si="6"/>
        <v>69463.31</v>
      </c>
    </row>
    <row r="115" spans="2:12" x14ac:dyDescent="0.25">
      <c r="B115" s="27">
        <v>43490</v>
      </c>
      <c r="C115" s="13" t="s">
        <v>154</v>
      </c>
      <c r="D115" s="41"/>
      <c r="E115" s="11"/>
      <c r="F115" s="11"/>
      <c r="G115" s="11"/>
      <c r="H115" s="11">
        <v>40.5</v>
      </c>
      <c r="I115" s="15"/>
      <c r="J115" s="12">
        <f t="shared" si="5"/>
        <v>33617.230000000003</v>
      </c>
      <c r="K115" s="12">
        <f t="shared" si="6"/>
        <v>69422.81</v>
      </c>
      <c r="L115" s="1">
        <f>SUM(J115:K115)</f>
        <v>103040.04000000001</v>
      </c>
    </row>
    <row r="116" spans="2:12" x14ac:dyDescent="0.25">
      <c r="B116" s="27">
        <v>43490</v>
      </c>
      <c r="C116" s="13" t="s">
        <v>155</v>
      </c>
      <c r="D116" s="41"/>
      <c r="E116" s="11"/>
      <c r="F116" s="11"/>
      <c r="G116" s="11"/>
      <c r="H116" s="11">
        <v>5000</v>
      </c>
      <c r="I116" s="15"/>
      <c r="J116" s="12">
        <f t="shared" si="5"/>
        <v>33617.230000000003</v>
      </c>
      <c r="K116" s="12">
        <f t="shared" si="6"/>
        <v>64422.81</v>
      </c>
    </row>
    <row r="117" spans="2:12" x14ac:dyDescent="0.25">
      <c r="B117" s="27">
        <v>43490</v>
      </c>
      <c r="C117" s="9" t="s">
        <v>156</v>
      </c>
      <c r="D117" s="41"/>
      <c r="E117" s="11"/>
      <c r="F117" s="11"/>
      <c r="G117" s="11"/>
      <c r="H117" s="11">
        <v>250</v>
      </c>
      <c r="I117" s="15"/>
      <c r="J117" s="12">
        <f t="shared" si="5"/>
        <v>33617.230000000003</v>
      </c>
      <c r="K117" s="12">
        <f t="shared" si="6"/>
        <v>64172.81</v>
      </c>
      <c r="L117" s="1"/>
    </row>
    <row r="118" spans="2:12" x14ac:dyDescent="0.25">
      <c r="B118" s="27">
        <v>43490</v>
      </c>
      <c r="C118" s="9" t="s">
        <v>159</v>
      </c>
      <c r="D118" s="41"/>
      <c r="E118" s="11"/>
      <c r="F118" s="11"/>
      <c r="G118" s="11"/>
      <c r="H118" s="11">
        <v>1250</v>
      </c>
      <c r="I118" s="15"/>
      <c r="J118" s="12">
        <f t="shared" si="5"/>
        <v>33617.230000000003</v>
      </c>
      <c r="K118" s="12">
        <f t="shared" si="6"/>
        <v>62922.81</v>
      </c>
      <c r="L118" s="1"/>
    </row>
    <row r="119" spans="2:12" x14ac:dyDescent="0.25">
      <c r="B119" s="27">
        <v>43491</v>
      </c>
      <c r="C119" s="9" t="s">
        <v>157</v>
      </c>
      <c r="D119" s="41"/>
      <c r="E119" s="11"/>
      <c r="F119" s="11"/>
      <c r="G119" s="11"/>
      <c r="H119" s="110">
        <v>1000</v>
      </c>
      <c r="I119" s="15"/>
      <c r="J119" s="12">
        <f t="shared" si="5"/>
        <v>33617.230000000003</v>
      </c>
      <c r="K119" s="12">
        <f t="shared" si="6"/>
        <v>61922.81</v>
      </c>
      <c r="L119" s="1">
        <f>SUM(J119:K119)</f>
        <v>95540.040000000008</v>
      </c>
    </row>
    <row r="120" spans="2:12" x14ac:dyDescent="0.25">
      <c r="B120" s="27">
        <v>43126</v>
      </c>
      <c r="C120" s="9" t="s">
        <v>158</v>
      </c>
      <c r="D120" s="41"/>
      <c r="E120" s="11"/>
      <c r="F120" s="11"/>
      <c r="G120" s="11"/>
      <c r="H120" s="110">
        <v>300</v>
      </c>
      <c r="I120" s="15"/>
      <c r="J120" s="12">
        <f t="shared" si="5"/>
        <v>33617.230000000003</v>
      </c>
      <c r="K120" s="12">
        <f t="shared" si="6"/>
        <v>61622.81</v>
      </c>
      <c r="L120" s="1"/>
    </row>
    <row r="121" spans="2:12" x14ac:dyDescent="0.25">
      <c r="B121" s="27">
        <v>43491</v>
      </c>
      <c r="C121" s="9" t="s">
        <v>89</v>
      </c>
      <c r="D121" s="41"/>
      <c r="E121" s="11"/>
      <c r="F121" s="11"/>
      <c r="G121" s="11"/>
      <c r="H121" s="110">
        <v>43</v>
      </c>
      <c r="I121" s="15"/>
      <c r="J121" s="12">
        <f t="shared" si="5"/>
        <v>33617.230000000003</v>
      </c>
      <c r="K121" s="12">
        <f t="shared" si="6"/>
        <v>61579.81</v>
      </c>
      <c r="L121" s="1"/>
    </row>
    <row r="122" spans="2:12" x14ac:dyDescent="0.25">
      <c r="B122" s="27">
        <v>43491</v>
      </c>
      <c r="C122" s="9" t="s">
        <v>160</v>
      </c>
      <c r="D122" s="41"/>
      <c r="E122" s="11"/>
      <c r="F122" s="11"/>
      <c r="G122" s="11"/>
      <c r="H122" s="110">
        <v>300</v>
      </c>
      <c r="I122" s="15"/>
      <c r="J122" s="12">
        <f t="shared" si="5"/>
        <v>33617.230000000003</v>
      </c>
      <c r="K122" s="12">
        <f t="shared" si="6"/>
        <v>61279.81</v>
      </c>
      <c r="L122" s="1"/>
    </row>
    <row r="123" spans="2:12" x14ac:dyDescent="0.25">
      <c r="B123" s="18">
        <v>43491</v>
      </c>
      <c r="C123" s="13" t="s">
        <v>161</v>
      </c>
      <c r="D123" s="41"/>
      <c r="E123" s="11"/>
      <c r="F123" s="11"/>
      <c r="G123" s="11"/>
      <c r="H123" s="11">
        <v>350</v>
      </c>
      <c r="I123" s="15"/>
      <c r="J123" s="12">
        <f t="shared" si="5"/>
        <v>33617.230000000003</v>
      </c>
      <c r="K123" s="12">
        <f t="shared" si="6"/>
        <v>60929.81</v>
      </c>
    </row>
    <row r="124" spans="2:12" x14ac:dyDescent="0.25">
      <c r="B124" s="18">
        <v>43492</v>
      </c>
      <c r="C124" s="13" t="s">
        <v>162</v>
      </c>
      <c r="D124" s="41"/>
      <c r="E124" s="11"/>
      <c r="F124" s="11"/>
      <c r="G124" s="11"/>
      <c r="H124" s="11">
        <v>120</v>
      </c>
      <c r="I124" s="15"/>
      <c r="J124" s="12">
        <f t="shared" si="5"/>
        <v>33617.230000000003</v>
      </c>
      <c r="K124" s="12">
        <f t="shared" si="6"/>
        <v>60809.81</v>
      </c>
    </row>
    <row r="125" spans="2:12" x14ac:dyDescent="0.25">
      <c r="B125" s="18">
        <v>43492</v>
      </c>
      <c r="C125" s="13" t="s">
        <v>163</v>
      </c>
      <c r="D125" s="41"/>
      <c r="E125" s="11"/>
      <c r="F125" s="11"/>
      <c r="G125" s="11"/>
      <c r="H125" s="11">
        <v>150</v>
      </c>
      <c r="I125" s="15"/>
      <c r="J125" s="12">
        <f t="shared" si="5"/>
        <v>33617.230000000003</v>
      </c>
      <c r="K125" s="12">
        <f t="shared" si="6"/>
        <v>60659.81</v>
      </c>
    </row>
    <row r="126" spans="2:12" x14ac:dyDescent="0.25">
      <c r="B126" s="18">
        <v>43492</v>
      </c>
      <c r="C126" s="13" t="s">
        <v>164</v>
      </c>
      <c r="D126" s="41"/>
      <c r="E126" s="11"/>
      <c r="F126" s="11"/>
      <c r="G126" s="11"/>
      <c r="H126" s="11">
        <v>75</v>
      </c>
      <c r="I126" s="15"/>
      <c r="J126" s="12">
        <f t="shared" si="5"/>
        <v>33617.230000000003</v>
      </c>
      <c r="K126" s="12">
        <f t="shared" si="6"/>
        <v>60584.81</v>
      </c>
    </row>
    <row r="127" spans="2:12" x14ac:dyDescent="0.25">
      <c r="B127" s="18">
        <v>43492</v>
      </c>
      <c r="C127" s="13" t="s">
        <v>165</v>
      </c>
      <c r="D127" s="41"/>
      <c r="E127" s="11"/>
      <c r="F127" s="11"/>
      <c r="G127" s="11"/>
      <c r="H127" s="11">
        <v>56.5</v>
      </c>
      <c r="I127" s="15"/>
      <c r="J127" s="12">
        <f t="shared" si="5"/>
        <v>33617.230000000003</v>
      </c>
      <c r="K127" s="12">
        <f t="shared" si="6"/>
        <v>60528.31</v>
      </c>
    </row>
    <row r="128" spans="2:12" x14ac:dyDescent="0.25">
      <c r="B128" s="18">
        <v>43492</v>
      </c>
      <c r="C128" s="13" t="s">
        <v>166</v>
      </c>
      <c r="D128" s="41"/>
      <c r="E128" s="11"/>
      <c r="F128" s="11"/>
      <c r="G128" s="11"/>
      <c r="H128" s="11">
        <v>120.01</v>
      </c>
      <c r="I128" s="15"/>
      <c r="J128" s="12">
        <f t="shared" si="5"/>
        <v>33617.230000000003</v>
      </c>
      <c r="K128" s="12">
        <f t="shared" si="6"/>
        <v>60408.299999999996</v>
      </c>
    </row>
    <row r="129" spans="2:11" x14ac:dyDescent="0.25">
      <c r="B129" s="18">
        <v>43492</v>
      </c>
      <c r="C129" s="36" t="s">
        <v>167</v>
      </c>
      <c r="D129" s="41">
        <v>28400</v>
      </c>
      <c r="E129" s="11"/>
      <c r="F129" s="11"/>
      <c r="G129" s="11"/>
      <c r="H129" s="11"/>
      <c r="I129" s="15"/>
      <c r="J129" s="12">
        <f t="shared" si="5"/>
        <v>33617.230000000003</v>
      </c>
      <c r="K129" s="12">
        <f t="shared" si="6"/>
        <v>88808.299999999988</v>
      </c>
    </row>
    <row r="130" spans="2:11" x14ac:dyDescent="0.25">
      <c r="B130" s="18">
        <v>43493</v>
      </c>
      <c r="C130" s="13" t="s">
        <v>168</v>
      </c>
      <c r="D130" s="41"/>
      <c r="E130" s="11"/>
      <c r="F130" s="11"/>
      <c r="G130" s="11"/>
      <c r="H130" s="11">
        <v>350</v>
      </c>
      <c r="I130" s="15"/>
      <c r="J130" s="12">
        <f t="shared" si="5"/>
        <v>33617.230000000003</v>
      </c>
      <c r="K130" s="12">
        <f t="shared" si="6"/>
        <v>88458.299999999988</v>
      </c>
    </row>
    <row r="131" spans="2:11" x14ac:dyDescent="0.25">
      <c r="B131" s="18">
        <v>43493</v>
      </c>
      <c r="C131" s="13" t="s">
        <v>107</v>
      </c>
      <c r="D131" s="41"/>
      <c r="E131" s="41"/>
      <c r="F131" s="41"/>
      <c r="G131" s="41"/>
      <c r="H131" s="11">
        <v>152</v>
      </c>
      <c r="I131" s="15"/>
      <c r="J131" s="12">
        <f t="shared" si="5"/>
        <v>33617.230000000003</v>
      </c>
      <c r="K131" s="12">
        <f t="shared" si="6"/>
        <v>88306.299999999988</v>
      </c>
    </row>
    <row r="132" spans="2:11" x14ac:dyDescent="0.25">
      <c r="B132" s="18">
        <v>43495</v>
      </c>
      <c r="C132" s="13" t="s">
        <v>169</v>
      </c>
      <c r="D132" s="41"/>
      <c r="E132" s="41"/>
      <c r="F132" s="41"/>
      <c r="G132" s="16"/>
      <c r="H132" s="11">
        <v>52.5</v>
      </c>
      <c r="I132" s="15"/>
      <c r="J132" s="12">
        <f t="shared" si="5"/>
        <v>33617.230000000003</v>
      </c>
      <c r="K132" s="12">
        <f t="shared" si="6"/>
        <v>88253.799999999988</v>
      </c>
    </row>
    <row r="133" spans="2:11" x14ac:dyDescent="0.25">
      <c r="B133" s="18">
        <v>43495</v>
      </c>
      <c r="C133" s="13" t="s">
        <v>89</v>
      </c>
      <c r="D133" s="41"/>
      <c r="E133" s="41"/>
      <c r="F133" s="41"/>
      <c r="G133" s="16"/>
      <c r="H133" s="11">
        <v>45</v>
      </c>
      <c r="I133" s="15"/>
      <c r="J133" s="12">
        <f t="shared" si="5"/>
        <v>33617.230000000003</v>
      </c>
      <c r="K133" s="12">
        <f t="shared" si="6"/>
        <v>88208.799999999988</v>
      </c>
    </row>
    <row r="134" spans="2:11" x14ac:dyDescent="0.25">
      <c r="B134" s="18">
        <v>43495</v>
      </c>
      <c r="C134" s="13" t="s">
        <v>89</v>
      </c>
      <c r="D134" s="41"/>
      <c r="E134" s="41"/>
      <c r="F134" s="41"/>
      <c r="G134" s="16"/>
      <c r="H134" s="11">
        <v>39</v>
      </c>
      <c r="I134" s="15"/>
      <c r="J134" s="12">
        <f t="shared" si="5"/>
        <v>33617.230000000003</v>
      </c>
      <c r="K134" s="12">
        <f t="shared" si="6"/>
        <v>88169.799999999988</v>
      </c>
    </row>
    <row r="135" spans="2:11" x14ac:dyDescent="0.25">
      <c r="B135" s="18">
        <v>43495</v>
      </c>
      <c r="C135" s="13" t="s">
        <v>60</v>
      </c>
      <c r="D135" s="41"/>
      <c r="E135" s="41"/>
      <c r="F135" s="41"/>
      <c r="G135" s="16"/>
      <c r="H135" s="11">
        <v>300</v>
      </c>
      <c r="I135" s="15"/>
      <c r="J135" s="12">
        <f t="shared" si="5"/>
        <v>33617.230000000003</v>
      </c>
      <c r="K135" s="12">
        <f t="shared" si="6"/>
        <v>87869.799999999988</v>
      </c>
    </row>
    <row r="136" spans="2:11" x14ac:dyDescent="0.25">
      <c r="B136" s="18">
        <v>43496</v>
      </c>
      <c r="C136" s="36" t="s">
        <v>117</v>
      </c>
      <c r="D136" s="41"/>
      <c r="E136" s="41"/>
      <c r="F136" s="41"/>
      <c r="G136" s="16"/>
      <c r="H136" s="11">
        <v>300</v>
      </c>
      <c r="I136" s="15"/>
      <c r="J136" s="12">
        <f t="shared" si="5"/>
        <v>33617.230000000003</v>
      </c>
      <c r="K136" s="12">
        <f t="shared" si="6"/>
        <v>87569.799999999988</v>
      </c>
    </row>
    <row r="137" spans="2:11" x14ac:dyDescent="0.25">
      <c r="B137" s="18">
        <v>43496</v>
      </c>
      <c r="C137" s="35" t="s">
        <v>118</v>
      </c>
      <c r="D137" s="11"/>
      <c r="E137" s="113"/>
      <c r="F137" s="41"/>
      <c r="G137" s="16"/>
      <c r="H137" s="11">
        <v>550</v>
      </c>
      <c r="I137" s="15"/>
      <c r="J137" s="12">
        <f t="shared" si="5"/>
        <v>33617.230000000003</v>
      </c>
      <c r="K137" s="12">
        <f t="shared" si="6"/>
        <v>87019.799999999988</v>
      </c>
    </row>
    <row r="138" spans="2:11" x14ac:dyDescent="0.25">
      <c r="B138" s="18">
        <v>43496</v>
      </c>
      <c r="C138" s="9" t="s">
        <v>120</v>
      </c>
      <c r="D138" s="41"/>
      <c r="E138" s="41"/>
      <c r="F138" s="41"/>
      <c r="G138" s="16"/>
      <c r="H138" s="11">
        <v>2000</v>
      </c>
      <c r="I138" s="15"/>
      <c r="J138" s="12">
        <f t="shared" si="5"/>
        <v>33617.230000000003</v>
      </c>
      <c r="K138" s="12">
        <f t="shared" si="6"/>
        <v>85019.799999999988</v>
      </c>
    </row>
    <row r="139" spans="2:11" x14ac:dyDescent="0.25">
      <c r="B139" s="18">
        <v>43496</v>
      </c>
      <c r="C139" s="9" t="s">
        <v>119</v>
      </c>
      <c r="D139" s="11"/>
      <c r="E139" s="113"/>
      <c r="F139" s="11"/>
      <c r="G139" s="11"/>
      <c r="H139" s="11">
        <v>4000</v>
      </c>
      <c r="I139" s="15"/>
      <c r="J139" s="12">
        <f t="shared" si="5"/>
        <v>33617.230000000003</v>
      </c>
      <c r="K139" s="12">
        <f t="shared" si="6"/>
        <v>81019.799999999988</v>
      </c>
    </row>
    <row r="140" spans="2:11" x14ac:dyDescent="0.25">
      <c r="B140" s="18">
        <v>43496</v>
      </c>
      <c r="C140" s="21" t="s">
        <v>121</v>
      </c>
      <c r="D140" s="11"/>
      <c r="E140" s="113"/>
      <c r="F140" s="11"/>
      <c r="G140" s="11"/>
      <c r="H140" s="11">
        <v>40000</v>
      </c>
      <c r="I140" s="15"/>
      <c r="J140" s="12">
        <f t="shared" si="5"/>
        <v>33617.230000000003</v>
      </c>
      <c r="K140" s="12">
        <f t="shared" si="6"/>
        <v>41019.799999999988</v>
      </c>
    </row>
    <row r="141" spans="2:11" x14ac:dyDescent="0.25">
      <c r="B141" s="18">
        <v>43496</v>
      </c>
      <c r="C141" s="9" t="s">
        <v>170</v>
      </c>
      <c r="D141" s="11"/>
      <c r="E141" s="113"/>
      <c r="F141" s="11"/>
      <c r="G141" s="11"/>
      <c r="H141" s="11">
        <v>35</v>
      </c>
      <c r="I141" s="15"/>
      <c r="J141" s="12">
        <f t="shared" si="5"/>
        <v>33617.230000000003</v>
      </c>
      <c r="K141" s="12">
        <f t="shared" si="6"/>
        <v>40984.799999999988</v>
      </c>
    </row>
    <row r="142" spans="2:11" x14ac:dyDescent="0.25">
      <c r="B142" s="18">
        <v>43496</v>
      </c>
      <c r="C142" s="9" t="s">
        <v>71</v>
      </c>
      <c r="D142" s="41">
        <v>13010</v>
      </c>
      <c r="E142" s="41"/>
      <c r="F142" s="41"/>
      <c r="G142" s="16"/>
      <c r="H142" s="11"/>
      <c r="I142" s="15"/>
      <c r="J142" s="12">
        <f t="shared" si="5"/>
        <v>33617.230000000003</v>
      </c>
      <c r="K142" s="12">
        <f t="shared" si="6"/>
        <v>53994.799999999988</v>
      </c>
    </row>
    <row r="143" spans="2:11" x14ac:dyDescent="0.25">
      <c r="B143" s="18">
        <v>43496</v>
      </c>
      <c r="C143" s="9" t="s">
        <v>69</v>
      </c>
      <c r="D143" s="41"/>
      <c r="E143" s="41"/>
      <c r="F143" s="41"/>
      <c r="G143" s="16">
        <v>18</v>
      </c>
      <c r="H143" s="11"/>
      <c r="I143" s="15"/>
      <c r="J143" s="12">
        <f t="shared" si="5"/>
        <v>33599.230000000003</v>
      </c>
      <c r="K143" s="12">
        <f t="shared" si="6"/>
        <v>53994.799999999988</v>
      </c>
    </row>
    <row r="144" spans="2:11" x14ac:dyDescent="0.25">
      <c r="B144" s="18">
        <v>43496</v>
      </c>
      <c r="C144" s="13" t="s">
        <v>70</v>
      </c>
      <c r="D144" s="41"/>
      <c r="E144" s="41"/>
      <c r="F144" s="41"/>
      <c r="G144" s="16">
        <v>2.88</v>
      </c>
      <c r="H144" s="11"/>
      <c r="I144" s="15"/>
      <c r="J144" s="12">
        <f t="shared" si="5"/>
        <v>33596.350000000006</v>
      </c>
      <c r="K144" s="12">
        <f t="shared" si="6"/>
        <v>53994.799999999988</v>
      </c>
    </row>
    <row r="145" spans="2:11" ht="15.75" thickBot="1" x14ac:dyDescent="0.3">
      <c r="B145" s="18"/>
      <c r="C145" s="9"/>
      <c r="D145" s="11"/>
      <c r="E145" s="113"/>
      <c r="F145" s="11"/>
      <c r="G145" s="11"/>
      <c r="H145" s="11"/>
      <c r="I145" s="15"/>
      <c r="J145" s="12">
        <f t="shared" si="5"/>
        <v>33596.350000000006</v>
      </c>
      <c r="K145" s="12">
        <f t="shared" si="6"/>
        <v>53994.799999999988</v>
      </c>
    </row>
    <row r="146" spans="2:11" ht="15.75" thickBot="1" x14ac:dyDescent="0.3">
      <c r="B146" s="5"/>
      <c r="C146" s="7" t="s">
        <v>0</v>
      </c>
      <c r="D146" s="62">
        <f>SUM(D109:D145)</f>
        <v>184800</v>
      </c>
      <c r="E146" s="61">
        <f>SUM(E109:E145)</f>
        <v>13560.92</v>
      </c>
      <c r="F146" s="71">
        <f>SUM(D146:E146)</f>
        <v>198360.92</v>
      </c>
      <c r="G146" s="80">
        <f>SUM(G109:G145)</f>
        <v>3180.88</v>
      </c>
      <c r="H146" s="62">
        <f>SUM(H109:H145)</f>
        <v>161255.21000000002</v>
      </c>
      <c r="I146" s="71">
        <f>SUM(G146:H146)</f>
        <v>164436.09000000003</v>
      </c>
      <c r="J146" s="19"/>
      <c r="K146" s="19"/>
    </row>
    <row r="147" spans="2:11" ht="15.75" thickBot="1" x14ac:dyDescent="0.3"/>
    <row r="148" spans="2:11" ht="15.75" thickBot="1" x14ac:dyDescent="0.3">
      <c r="I148" s="74" t="s">
        <v>8</v>
      </c>
      <c r="J148" s="74" t="s">
        <v>7</v>
      </c>
      <c r="K148" s="95" t="s">
        <v>0</v>
      </c>
    </row>
    <row r="149" spans="2:11" ht="15.75" thickBot="1" x14ac:dyDescent="0.3">
      <c r="I149" s="77">
        <v>33596.35</v>
      </c>
      <c r="J149" s="77">
        <v>53994.8</v>
      </c>
      <c r="K149" s="20">
        <f>SUM(I149:J149)</f>
        <v>87591.15</v>
      </c>
    </row>
  </sheetData>
  <printOptions verticalCentered="1"/>
  <pageMargins left="0.31496062992125984" right="0.70866141732283472" top="0" bottom="0.35433070866141736" header="0.31496062992125984" footer="0.31496062992125984"/>
  <pageSetup paperSize="9" scale="72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L124"/>
  <sheetViews>
    <sheetView zoomScale="90" zoomScaleNormal="90" workbookViewId="0">
      <pane ySplit="3" topLeftCell="A101" activePane="bottomLeft" state="frozen"/>
      <selection pane="bottomLeft" activeCell="C118" sqref="C118:C119"/>
    </sheetView>
  </sheetViews>
  <sheetFormatPr baseColWidth="10" defaultRowHeight="15" x14ac:dyDescent="0.25"/>
  <cols>
    <col min="1" max="1" width="10.7109375" customWidth="1"/>
    <col min="2" max="2" width="11.5703125" customWidth="1"/>
    <col min="3" max="3" width="84.5703125" customWidth="1"/>
    <col min="4" max="11" width="11.7109375" customWidth="1"/>
  </cols>
  <sheetData>
    <row r="1" spans="2:11" ht="15.75" thickBot="1" x14ac:dyDescent="0.3">
      <c r="B1" s="79"/>
      <c r="C1" s="99" t="s">
        <v>40</v>
      </c>
    </row>
    <row r="2" spans="2:11" x14ac:dyDescent="0.25">
      <c r="B2" s="68" t="s">
        <v>1</v>
      </c>
      <c r="C2" s="68" t="s">
        <v>2</v>
      </c>
      <c r="D2" s="68" t="s">
        <v>3</v>
      </c>
      <c r="E2" s="68" t="s">
        <v>3</v>
      </c>
      <c r="F2" s="68" t="s">
        <v>22</v>
      </c>
      <c r="G2" s="68" t="s">
        <v>23</v>
      </c>
      <c r="H2" s="48" t="s">
        <v>23</v>
      </c>
      <c r="I2" s="48" t="s">
        <v>22</v>
      </c>
      <c r="J2" s="68" t="s">
        <v>8</v>
      </c>
      <c r="K2" s="48" t="s">
        <v>7</v>
      </c>
    </row>
    <row r="3" spans="2:11" ht="15.75" thickBot="1" x14ac:dyDescent="0.3">
      <c r="B3" s="69"/>
      <c r="C3" s="69"/>
      <c r="D3" s="69" t="s">
        <v>5</v>
      </c>
      <c r="E3" s="69" t="s">
        <v>24</v>
      </c>
      <c r="F3" s="69" t="s">
        <v>3</v>
      </c>
      <c r="G3" s="69" t="s">
        <v>24</v>
      </c>
      <c r="H3" s="70" t="s">
        <v>5</v>
      </c>
      <c r="I3" s="70" t="s">
        <v>4</v>
      </c>
      <c r="J3" s="69"/>
      <c r="K3" s="70"/>
    </row>
    <row r="4" spans="2:11" x14ac:dyDescent="0.25">
      <c r="B4" s="23">
        <v>43496</v>
      </c>
      <c r="C4" s="65" t="s">
        <v>41</v>
      </c>
      <c r="D4" s="66"/>
      <c r="E4" s="63"/>
      <c r="F4" s="63"/>
      <c r="G4" s="63"/>
      <c r="H4" s="17"/>
      <c r="I4" s="64"/>
      <c r="J4" s="12">
        <v>33596.35</v>
      </c>
      <c r="K4" s="12">
        <v>53994.8</v>
      </c>
    </row>
    <row r="5" spans="2:11" x14ac:dyDescent="0.25">
      <c r="B5" s="23">
        <v>43497</v>
      </c>
      <c r="C5" s="100" t="s">
        <v>173</v>
      </c>
      <c r="D5" s="66"/>
      <c r="E5" s="63"/>
      <c r="F5" s="63"/>
      <c r="G5" s="63"/>
      <c r="H5" s="17">
        <v>1250</v>
      </c>
      <c r="I5" s="64"/>
      <c r="J5" s="12">
        <f>+J4+E5-G5</f>
        <v>33596.35</v>
      </c>
      <c r="K5" s="12">
        <f>+K4+D5-H5</f>
        <v>52744.800000000003</v>
      </c>
    </row>
    <row r="6" spans="2:11" x14ac:dyDescent="0.25">
      <c r="B6" s="23">
        <v>43497</v>
      </c>
      <c r="C6" s="9" t="s">
        <v>174</v>
      </c>
      <c r="D6" s="41"/>
      <c r="E6" s="11"/>
      <c r="F6" s="11"/>
      <c r="G6" s="11"/>
      <c r="H6" s="11">
        <v>5</v>
      </c>
      <c r="I6" s="15"/>
      <c r="J6" s="12">
        <f t="shared" ref="J6:J54" si="0">+J5+E6-G6</f>
        <v>33596.35</v>
      </c>
      <c r="K6" s="12">
        <f t="shared" ref="K6:K49" si="1">+K5+D6-H6</f>
        <v>52739.8</v>
      </c>
    </row>
    <row r="7" spans="2:11" x14ac:dyDescent="0.25">
      <c r="B7" s="18">
        <v>43497</v>
      </c>
      <c r="C7" s="13" t="s">
        <v>175</v>
      </c>
      <c r="D7" s="41"/>
      <c r="E7" s="11"/>
      <c r="F7" s="11"/>
      <c r="G7" s="11"/>
      <c r="H7" s="11">
        <v>500</v>
      </c>
      <c r="I7" s="15"/>
      <c r="J7" s="12">
        <f t="shared" si="0"/>
        <v>33596.35</v>
      </c>
      <c r="K7" s="12">
        <f t="shared" si="1"/>
        <v>52239.8</v>
      </c>
    </row>
    <row r="8" spans="2:11" x14ac:dyDescent="0.25">
      <c r="B8" s="18">
        <v>43497</v>
      </c>
      <c r="C8" s="14" t="s">
        <v>176</v>
      </c>
      <c r="D8" s="41"/>
      <c r="E8" s="11"/>
      <c r="F8" s="11"/>
      <c r="G8" s="11"/>
      <c r="H8" s="11">
        <v>500</v>
      </c>
      <c r="I8" s="15"/>
      <c r="J8" s="12">
        <f t="shared" si="0"/>
        <v>33596.35</v>
      </c>
      <c r="K8" s="12">
        <f t="shared" si="1"/>
        <v>51739.8</v>
      </c>
    </row>
    <row r="9" spans="2:11" x14ac:dyDescent="0.25">
      <c r="B9" s="18">
        <v>43497</v>
      </c>
      <c r="C9" s="13" t="s">
        <v>177</v>
      </c>
      <c r="D9" s="41"/>
      <c r="E9" s="11"/>
      <c r="F9" s="11"/>
      <c r="G9" s="11"/>
      <c r="H9" s="11">
        <v>350</v>
      </c>
      <c r="I9" s="15"/>
      <c r="J9" s="12">
        <f t="shared" si="0"/>
        <v>33596.35</v>
      </c>
      <c r="K9" s="12">
        <f t="shared" si="1"/>
        <v>51389.8</v>
      </c>
    </row>
    <row r="10" spans="2:11" x14ac:dyDescent="0.25">
      <c r="B10" s="18">
        <v>43497</v>
      </c>
      <c r="C10" s="13" t="s">
        <v>178</v>
      </c>
      <c r="D10" s="41"/>
      <c r="E10" s="11"/>
      <c r="F10" s="11"/>
      <c r="G10" s="11"/>
      <c r="H10" s="11">
        <v>450</v>
      </c>
      <c r="I10" s="15"/>
      <c r="J10" s="12">
        <f t="shared" si="0"/>
        <v>33596.35</v>
      </c>
      <c r="K10" s="12">
        <f t="shared" si="1"/>
        <v>50939.8</v>
      </c>
    </row>
    <row r="11" spans="2:11" x14ac:dyDescent="0.25">
      <c r="B11" s="18">
        <v>43498</v>
      </c>
      <c r="C11" s="14" t="s">
        <v>179</v>
      </c>
      <c r="D11" s="41"/>
      <c r="E11" s="11"/>
      <c r="F11" s="11"/>
      <c r="G11" s="11"/>
      <c r="H11" s="11">
        <v>300</v>
      </c>
      <c r="I11" s="15"/>
      <c r="J11" s="12">
        <f t="shared" si="0"/>
        <v>33596.35</v>
      </c>
      <c r="K11" s="12">
        <f t="shared" si="1"/>
        <v>50639.8</v>
      </c>
    </row>
    <row r="12" spans="2:11" x14ac:dyDescent="0.25">
      <c r="B12" s="18">
        <v>43498</v>
      </c>
      <c r="C12" s="21" t="s">
        <v>123</v>
      </c>
      <c r="D12" s="41"/>
      <c r="E12" s="11"/>
      <c r="F12" s="11"/>
      <c r="G12" s="11"/>
      <c r="H12" s="11">
        <v>116.5</v>
      </c>
      <c r="I12" s="15"/>
      <c r="J12" s="12">
        <f t="shared" si="0"/>
        <v>33596.35</v>
      </c>
      <c r="K12" s="12">
        <f t="shared" si="1"/>
        <v>50523.3</v>
      </c>
    </row>
    <row r="13" spans="2:11" x14ac:dyDescent="0.25">
      <c r="B13" s="18">
        <v>43498</v>
      </c>
      <c r="C13" s="13" t="s">
        <v>180</v>
      </c>
      <c r="D13" s="41"/>
      <c r="E13" s="11"/>
      <c r="F13" s="11"/>
      <c r="G13" s="11"/>
      <c r="H13" s="11">
        <v>3500</v>
      </c>
      <c r="I13" s="15"/>
      <c r="J13" s="12">
        <f t="shared" si="0"/>
        <v>33596.35</v>
      </c>
      <c r="K13" s="12">
        <f t="shared" si="1"/>
        <v>47023.3</v>
      </c>
    </row>
    <row r="14" spans="2:11" x14ac:dyDescent="0.25">
      <c r="B14" s="18">
        <v>43499</v>
      </c>
      <c r="C14" s="13" t="s">
        <v>181</v>
      </c>
      <c r="D14" s="41"/>
      <c r="E14" s="11"/>
      <c r="F14" s="11"/>
      <c r="G14" s="11"/>
      <c r="H14" s="11">
        <v>120</v>
      </c>
      <c r="I14" s="15"/>
      <c r="J14" s="12">
        <f t="shared" si="0"/>
        <v>33596.35</v>
      </c>
      <c r="K14" s="12">
        <f t="shared" si="1"/>
        <v>46903.3</v>
      </c>
    </row>
    <row r="15" spans="2:11" x14ac:dyDescent="0.25">
      <c r="B15" s="18">
        <v>43499</v>
      </c>
      <c r="C15" s="13" t="s">
        <v>182</v>
      </c>
      <c r="D15" s="41"/>
      <c r="E15" s="11"/>
      <c r="F15" s="11"/>
      <c r="G15" s="11"/>
      <c r="H15" s="11">
        <v>150</v>
      </c>
      <c r="I15" s="15"/>
      <c r="J15" s="12">
        <f t="shared" si="0"/>
        <v>33596.35</v>
      </c>
      <c r="K15" s="12">
        <f t="shared" si="1"/>
        <v>46753.3</v>
      </c>
    </row>
    <row r="16" spans="2:11" x14ac:dyDescent="0.25">
      <c r="B16" s="18">
        <v>43499</v>
      </c>
      <c r="C16" s="14" t="s">
        <v>183</v>
      </c>
      <c r="D16" s="41"/>
      <c r="E16" s="11"/>
      <c r="F16" s="11"/>
      <c r="G16" s="11"/>
      <c r="H16" s="11">
        <v>43.9</v>
      </c>
      <c r="I16" s="15"/>
      <c r="J16" s="12">
        <f t="shared" si="0"/>
        <v>33596.35</v>
      </c>
      <c r="K16" s="12">
        <f t="shared" si="1"/>
        <v>46709.4</v>
      </c>
    </row>
    <row r="17" spans="2:11" x14ac:dyDescent="0.25">
      <c r="B17" s="18">
        <v>43499</v>
      </c>
      <c r="C17" s="13" t="s">
        <v>184</v>
      </c>
      <c r="D17" s="41"/>
      <c r="E17" s="11"/>
      <c r="F17" s="11"/>
      <c r="G17" s="11"/>
      <c r="H17" s="11">
        <v>42.5</v>
      </c>
      <c r="I17" s="15"/>
      <c r="J17" s="12">
        <f t="shared" si="0"/>
        <v>33596.35</v>
      </c>
      <c r="K17" s="12">
        <f t="shared" si="1"/>
        <v>46666.9</v>
      </c>
    </row>
    <row r="18" spans="2:11" x14ac:dyDescent="0.25">
      <c r="B18" s="18">
        <v>43499</v>
      </c>
      <c r="C18" s="13" t="s">
        <v>185</v>
      </c>
      <c r="D18" s="41"/>
      <c r="E18" s="11"/>
      <c r="F18" s="11"/>
      <c r="G18" s="11"/>
      <c r="H18" s="11">
        <v>160</v>
      </c>
      <c r="I18" s="15"/>
      <c r="J18" s="12">
        <f t="shared" si="0"/>
        <v>33596.35</v>
      </c>
      <c r="K18" s="12">
        <f t="shared" si="1"/>
        <v>46506.9</v>
      </c>
    </row>
    <row r="19" spans="2:11" x14ac:dyDescent="0.25">
      <c r="B19" s="18">
        <v>43499</v>
      </c>
      <c r="C19" s="13" t="s">
        <v>186</v>
      </c>
      <c r="D19" s="41">
        <v>25140</v>
      </c>
      <c r="E19" s="11"/>
      <c r="F19" s="11"/>
      <c r="G19" s="11"/>
      <c r="H19" s="11"/>
      <c r="I19" s="15"/>
      <c r="J19" s="12">
        <f t="shared" si="0"/>
        <v>33596.35</v>
      </c>
      <c r="K19" s="12">
        <f t="shared" si="1"/>
        <v>71646.899999999994</v>
      </c>
    </row>
    <row r="20" spans="2:11" x14ac:dyDescent="0.25">
      <c r="B20" s="18">
        <v>43500</v>
      </c>
      <c r="C20" s="13" t="s">
        <v>187</v>
      </c>
      <c r="D20" s="41"/>
      <c r="E20" s="11"/>
      <c r="F20" s="11"/>
      <c r="G20" s="11"/>
      <c r="H20" s="11">
        <v>370</v>
      </c>
      <c r="I20" s="15"/>
      <c r="J20" s="12">
        <f t="shared" si="0"/>
        <v>33596.35</v>
      </c>
      <c r="K20" s="12">
        <f t="shared" si="1"/>
        <v>71276.899999999994</v>
      </c>
    </row>
    <row r="21" spans="2:11" x14ac:dyDescent="0.25">
      <c r="B21" s="18">
        <v>43500</v>
      </c>
      <c r="C21" s="13" t="s">
        <v>188</v>
      </c>
      <c r="D21" s="41"/>
      <c r="E21" s="11"/>
      <c r="F21" s="11"/>
      <c r="G21" s="11"/>
      <c r="H21" s="11">
        <v>200</v>
      </c>
      <c r="I21" s="15"/>
      <c r="J21" s="12">
        <f t="shared" si="0"/>
        <v>33596.35</v>
      </c>
      <c r="K21" s="12">
        <f t="shared" si="1"/>
        <v>71076.899999999994</v>
      </c>
    </row>
    <row r="22" spans="2:11" x14ac:dyDescent="0.25">
      <c r="B22" s="18">
        <v>43500</v>
      </c>
      <c r="C22" s="13" t="s">
        <v>189</v>
      </c>
      <c r="D22" s="41"/>
      <c r="E22" s="11"/>
      <c r="F22" s="11"/>
      <c r="G22" s="11"/>
      <c r="H22" s="11">
        <v>152</v>
      </c>
      <c r="I22" s="15"/>
      <c r="J22" s="12">
        <f t="shared" si="0"/>
        <v>33596.35</v>
      </c>
      <c r="K22" s="12">
        <f t="shared" si="1"/>
        <v>70924.899999999994</v>
      </c>
    </row>
    <row r="23" spans="2:11" x14ac:dyDescent="0.25">
      <c r="B23" s="18">
        <v>43500</v>
      </c>
      <c r="C23" s="13" t="s">
        <v>190</v>
      </c>
      <c r="D23" s="41"/>
      <c r="E23" s="11"/>
      <c r="F23" s="11"/>
      <c r="G23" s="11"/>
      <c r="H23" s="11">
        <v>350</v>
      </c>
      <c r="I23" s="15"/>
      <c r="J23" s="12">
        <f t="shared" si="0"/>
        <v>33596.35</v>
      </c>
      <c r="K23" s="12">
        <f t="shared" si="1"/>
        <v>70574.899999999994</v>
      </c>
    </row>
    <row r="24" spans="2:11" x14ac:dyDescent="0.25">
      <c r="B24" s="18">
        <v>43501</v>
      </c>
      <c r="C24" s="13" t="s">
        <v>191</v>
      </c>
      <c r="D24" s="41"/>
      <c r="E24" s="113"/>
      <c r="F24" s="11"/>
      <c r="G24" s="11"/>
      <c r="H24" s="11">
        <v>100</v>
      </c>
      <c r="I24" s="15"/>
      <c r="J24" s="12">
        <f t="shared" si="0"/>
        <v>33596.35</v>
      </c>
      <c r="K24" s="12">
        <f t="shared" si="1"/>
        <v>70474.899999999994</v>
      </c>
    </row>
    <row r="25" spans="2:11" x14ac:dyDescent="0.25">
      <c r="B25" s="18">
        <v>43501</v>
      </c>
      <c r="C25" s="13" t="s">
        <v>209</v>
      </c>
      <c r="D25" s="41"/>
      <c r="E25" s="113"/>
      <c r="F25" s="11"/>
      <c r="G25" s="11"/>
      <c r="H25" s="11">
        <v>105</v>
      </c>
      <c r="I25" s="15"/>
      <c r="J25" s="12">
        <f t="shared" si="0"/>
        <v>33596.35</v>
      </c>
      <c r="K25" s="12">
        <f t="shared" si="1"/>
        <v>70369.899999999994</v>
      </c>
    </row>
    <row r="26" spans="2:11" x14ac:dyDescent="0.25">
      <c r="B26" s="38">
        <v>43501</v>
      </c>
      <c r="C26" s="13" t="s">
        <v>255</v>
      </c>
      <c r="D26" s="41"/>
      <c r="E26" s="113">
        <v>800.15</v>
      </c>
      <c r="F26" s="11"/>
      <c r="G26" s="11"/>
      <c r="H26" s="11"/>
      <c r="I26" s="15"/>
      <c r="J26" s="12">
        <f t="shared" si="0"/>
        <v>34396.5</v>
      </c>
      <c r="K26" s="12">
        <f t="shared" si="1"/>
        <v>70369.899999999994</v>
      </c>
    </row>
    <row r="27" spans="2:11" x14ac:dyDescent="0.25">
      <c r="B27" s="37">
        <v>43501</v>
      </c>
      <c r="C27" s="13" t="s">
        <v>254</v>
      </c>
      <c r="D27" s="41"/>
      <c r="E27" s="41">
        <v>400.46</v>
      </c>
      <c r="F27" s="41"/>
      <c r="G27" s="16"/>
      <c r="H27" s="11"/>
      <c r="I27" s="15"/>
      <c r="J27" s="12">
        <f t="shared" si="0"/>
        <v>34796.959999999999</v>
      </c>
      <c r="K27" s="12">
        <f t="shared" si="1"/>
        <v>70369.899999999994</v>
      </c>
    </row>
    <row r="28" spans="2:11" x14ac:dyDescent="0.25">
      <c r="B28" s="39">
        <v>43501</v>
      </c>
      <c r="C28" s="35" t="s">
        <v>192</v>
      </c>
      <c r="D28" s="41"/>
      <c r="E28" s="41"/>
      <c r="F28" s="41"/>
      <c r="G28" s="41"/>
      <c r="H28" s="11">
        <v>2000</v>
      </c>
      <c r="I28" s="15"/>
      <c r="J28" s="12">
        <f t="shared" si="0"/>
        <v>34796.959999999999</v>
      </c>
      <c r="K28" s="12">
        <f t="shared" si="1"/>
        <v>68369.899999999994</v>
      </c>
    </row>
    <row r="29" spans="2:11" x14ac:dyDescent="0.25">
      <c r="B29" s="38">
        <v>43501</v>
      </c>
      <c r="C29" s="35" t="s">
        <v>193</v>
      </c>
      <c r="D29" s="41"/>
      <c r="E29" s="11"/>
      <c r="F29" s="11"/>
      <c r="G29" s="11"/>
      <c r="H29" s="11">
        <v>700</v>
      </c>
      <c r="I29" s="15"/>
      <c r="J29" s="12">
        <f t="shared" si="0"/>
        <v>34796.959999999999</v>
      </c>
      <c r="K29" s="12">
        <f t="shared" si="1"/>
        <v>67669.899999999994</v>
      </c>
    </row>
    <row r="30" spans="2:11" x14ac:dyDescent="0.25">
      <c r="B30" s="38">
        <v>43501</v>
      </c>
      <c r="C30" s="35" t="s">
        <v>194</v>
      </c>
      <c r="D30" s="41"/>
      <c r="E30" s="11"/>
      <c r="F30" s="11"/>
      <c r="G30" s="11"/>
      <c r="H30" s="11">
        <v>25</v>
      </c>
      <c r="I30" s="15"/>
      <c r="J30" s="12">
        <f t="shared" si="0"/>
        <v>34796.959999999999</v>
      </c>
      <c r="K30" s="12">
        <f t="shared" si="1"/>
        <v>67644.899999999994</v>
      </c>
    </row>
    <row r="31" spans="2:11" x14ac:dyDescent="0.25">
      <c r="B31" s="38">
        <v>43501</v>
      </c>
      <c r="C31" s="35" t="s">
        <v>195</v>
      </c>
      <c r="D31" s="41"/>
      <c r="E31" s="11"/>
      <c r="F31" s="11"/>
      <c r="G31" s="11"/>
      <c r="H31" s="11">
        <v>150</v>
      </c>
      <c r="I31" s="15"/>
      <c r="J31" s="12">
        <f t="shared" si="0"/>
        <v>34796.959999999999</v>
      </c>
      <c r="K31" s="12">
        <f t="shared" si="1"/>
        <v>67494.899999999994</v>
      </c>
    </row>
    <row r="32" spans="2:11" x14ac:dyDescent="0.25">
      <c r="B32" s="38">
        <v>43502</v>
      </c>
      <c r="C32" s="35" t="s">
        <v>196</v>
      </c>
      <c r="D32" s="41"/>
      <c r="E32" s="11"/>
      <c r="F32" s="11"/>
      <c r="G32" s="11"/>
      <c r="H32" s="11">
        <v>175</v>
      </c>
      <c r="I32" s="15"/>
      <c r="J32" s="12">
        <f t="shared" si="0"/>
        <v>34796.959999999999</v>
      </c>
      <c r="K32" s="12">
        <f t="shared" si="1"/>
        <v>67319.899999999994</v>
      </c>
    </row>
    <row r="33" spans="2:11" x14ac:dyDescent="0.25">
      <c r="B33" s="38">
        <v>43502</v>
      </c>
      <c r="C33" s="35" t="s">
        <v>209</v>
      </c>
      <c r="D33" s="41"/>
      <c r="E33" s="11"/>
      <c r="F33" s="11"/>
      <c r="G33" s="11"/>
      <c r="H33" s="11">
        <v>110</v>
      </c>
      <c r="I33" s="15"/>
      <c r="J33" s="12">
        <f t="shared" si="0"/>
        <v>34796.959999999999</v>
      </c>
      <c r="K33" s="12">
        <f t="shared" si="1"/>
        <v>67209.899999999994</v>
      </c>
    </row>
    <row r="34" spans="2:11" x14ac:dyDescent="0.25">
      <c r="B34" s="44">
        <v>43503</v>
      </c>
      <c r="C34" s="123" t="s">
        <v>197</v>
      </c>
      <c r="D34" s="41"/>
      <c r="E34" s="11"/>
      <c r="F34" s="11"/>
      <c r="G34" s="11"/>
      <c r="H34" s="11">
        <v>250</v>
      </c>
      <c r="I34" s="15"/>
      <c r="J34" s="12">
        <f t="shared" si="0"/>
        <v>34796.959999999999</v>
      </c>
      <c r="K34" s="12">
        <f t="shared" si="1"/>
        <v>66959.899999999994</v>
      </c>
    </row>
    <row r="35" spans="2:11" x14ac:dyDescent="0.25">
      <c r="B35" s="38">
        <v>43504</v>
      </c>
      <c r="C35" s="35" t="s">
        <v>215</v>
      </c>
      <c r="D35" s="41"/>
      <c r="E35" s="11"/>
      <c r="F35" s="11"/>
      <c r="G35" s="11"/>
      <c r="H35" s="11">
        <v>1250</v>
      </c>
      <c r="I35" s="15"/>
      <c r="J35" s="12">
        <f t="shared" si="0"/>
        <v>34796.959999999999</v>
      </c>
      <c r="K35" s="12">
        <f t="shared" si="1"/>
        <v>65709.899999999994</v>
      </c>
    </row>
    <row r="36" spans="2:11" x14ac:dyDescent="0.25">
      <c r="B36" s="38">
        <v>43506</v>
      </c>
      <c r="C36" s="36" t="s">
        <v>162</v>
      </c>
      <c r="D36" s="41"/>
      <c r="E36" s="11"/>
      <c r="F36" s="11"/>
      <c r="G36" s="11"/>
      <c r="H36" s="11">
        <v>120</v>
      </c>
      <c r="I36" s="15"/>
      <c r="J36" s="12">
        <f t="shared" si="0"/>
        <v>34796.959999999999</v>
      </c>
      <c r="K36" s="12">
        <f t="shared" si="1"/>
        <v>65589.899999999994</v>
      </c>
    </row>
    <row r="37" spans="2:11" x14ac:dyDescent="0.25">
      <c r="B37" s="37">
        <v>43506</v>
      </c>
      <c r="C37" s="35" t="s">
        <v>198</v>
      </c>
      <c r="D37" s="41"/>
      <c r="E37" s="11"/>
      <c r="F37" s="11"/>
      <c r="G37" s="11"/>
      <c r="H37" s="11">
        <v>150</v>
      </c>
      <c r="I37" s="15"/>
      <c r="J37" s="12">
        <f t="shared" si="0"/>
        <v>34796.959999999999</v>
      </c>
      <c r="K37" s="12">
        <f t="shared" si="1"/>
        <v>65439.899999999994</v>
      </c>
    </row>
    <row r="38" spans="2:11" x14ac:dyDescent="0.25">
      <c r="B38" s="39">
        <v>43506</v>
      </c>
      <c r="C38" s="35" t="s">
        <v>183</v>
      </c>
      <c r="D38" s="41"/>
      <c r="E38" s="11"/>
      <c r="F38" s="11"/>
      <c r="G38" s="11"/>
      <c r="H38" s="11">
        <v>78</v>
      </c>
      <c r="I38" s="15"/>
      <c r="J38" s="12">
        <f t="shared" si="0"/>
        <v>34796.959999999999</v>
      </c>
      <c r="K38" s="12">
        <f t="shared" si="1"/>
        <v>65361.899999999994</v>
      </c>
    </row>
    <row r="39" spans="2:11" x14ac:dyDescent="0.25">
      <c r="B39" s="38">
        <v>43506</v>
      </c>
      <c r="C39" s="35" t="s">
        <v>200</v>
      </c>
      <c r="D39" s="41">
        <v>23740</v>
      </c>
      <c r="E39" s="11"/>
      <c r="F39" s="11"/>
      <c r="G39" s="11"/>
      <c r="H39" s="11"/>
      <c r="I39" s="15"/>
      <c r="J39" s="12">
        <f t="shared" si="0"/>
        <v>34796.959999999999</v>
      </c>
      <c r="K39" s="12">
        <f t="shared" si="1"/>
        <v>89101.9</v>
      </c>
    </row>
    <row r="40" spans="2:11" x14ac:dyDescent="0.25">
      <c r="B40" s="42">
        <v>43506</v>
      </c>
      <c r="C40" s="34" t="s">
        <v>179</v>
      </c>
      <c r="D40" s="41"/>
      <c r="E40" s="11"/>
      <c r="F40" s="11"/>
      <c r="G40" s="11"/>
      <c r="H40" s="11">
        <v>300</v>
      </c>
      <c r="I40" s="15"/>
      <c r="J40" s="12">
        <f t="shared" si="0"/>
        <v>34796.959999999999</v>
      </c>
      <c r="K40" s="12">
        <f t="shared" si="1"/>
        <v>88801.9</v>
      </c>
    </row>
    <row r="41" spans="2:11" x14ac:dyDescent="0.25">
      <c r="B41" s="39">
        <v>43507</v>
      </c>
      <c r="C41" s="35" t="s">
        <v>201</v>
      </c>
      <c r="D41" s="41"/>
      <c r="E41" s="11"/>
      <c r="F41" s="11"/>
      <c r="G41" s="11"/>
      <c r="H41" s="11">
        <v>190</v>
      </c>
      <c r="I41" s="15"/>
      <c r="J41" s="12">
        <f t="shared" si="0"/>
        <v>34796.959999999999</v>
      </c>
      <c r="K41" s="12">
        <f t="shared" si="1"/>
        <v>88611.9</v>
      </c>
    </row>
    <row r="42" spans="2:11" x14ac:dyDescent="0.25">
      <c r="B42" s="38">
        <v>43507</v>
      </c>
      <c r="C42" s="35" t="s">
        <v>199</v>
      </c>
      <c r="D42" s="41"/>
      <c r="E42" s="11"/>
      <c r="F42" s="11"/>
      <c r="G42" s="11"/>
      <c r="H42" s="11">
        <v>93.9</v>
      </c>
      <c r="I42" s="15"/>
      <c r="J42" s="12">
        <f t="shared" si="0"/>
        <v>34796.959999999999</v>
      </c>
      <c r="K42" s="12">
        <f t="shared" si="1"/>
        <v>88518</v>
      </c>
    </row>
    <row r="43" spans="2:11" x14ac:dyDescent="0.25">
      <c r="B43" s="37">
        <v>43507</v>
      </c>
      <c r="C43" s="35" t="s">
        <v>202</v>
      </c>
      <c r="D43" s="41"/>
      <c r="E43" s="11"/>
      <c r="F43" s="11"/>
      <c r="G43" s="11"/>
      <c r="H43" s="11">
        <v>500</v>
      </c>
      <c r="I43" s="15"/>
      <c r="J43" s="12">
        <f t="shared" si="0"/>
        <v>34796.959999999999</v>
      </c>
      <c r="K43" s="12">
        <f t="shared" si="1"/>
        <v>88018</v>
      </c>
    </row>
    <row r="44" spans="2:11" x14ac:dyDescent="0.25">
      <c r="B44" s="39">
        <v>43508</v>
      </c>
      <c r="C44" s="35" t="s">
        <v>203</v>
      </c>
      <c r="D44" s="41"/>
      <c r="E44" s="11"/>
      <c r="F44" s="11"/>
      <c r="G44" s="11"/>
      <c r="H44" s="11">
        <v>400</v>
      </c>
      <c r="I44" s="15"/>
      <c r="J44" s="12">
        <f t="shared" si="0"/>
        <v>34796.959999999999</v>
      </c>
      <c r="K44" s="12">
        <f t="shared" si="1"/>
        <v>87618</v>
      </c>
    </row>
    <row r="45" spans="2:11" x14ac:dyDescent="0.25">
      <c r="B45" s="38">
        <v>43508</v>
      </c>
      <c r="C45" s="35" t="s">
        <v>204</v>
      </c>
      <c r="D45" s="41"/>
      <c r="E45" s="11"/>
      <c r="F45" s="11"/>
      <c r="G45" s="11"/>
      <c r="H45" s="11">
        <v>69</v>
      </c>
      <c r="I45" s="15"/>
      <c r="J45" s="12">
        <f t="shared" si="0"/>
        <v>34796.959999999999</v>
      </c>
      <c r="K45" s="12">
        <f t="shared" si="1"/>
        <v>87549</v>
      </c>
    </row>
    <row r="46" spans="2:11" x14ac:dyDescent="0.25">
      <c r="B46" s="38">
        <v>43508</v>
      </c>
      <c r="C46" s="9" t="s">
        <v>199</v>
      </c>
      <c r="D46" s="41"/>
      <c r="E46" s="11"/>
      <c r="F46" s="11"/>
      <c r="G46" s="11"/>
      <c r="H46" s="11">
        <v>164</v>
      </c>
      <c r="I46" s="15"/>
      <c r="J46" s="12">
        <f t="shared" si="0"/>
        <v>34796.959999999999</v>
      </c>
      <c r="K46" s="12">
        <f t="shared" si="1"/>
        <v>87385</v>
      </c>
    </row>
    <row r="47" spans="2:11" x14ac:dyDescent="0.25">
      <c r="B47" s="18">
        <v>43478</v>
      </c>
      <c r="C47" s="13" t="s">
        <v>207</v>
      </c>
      <c r="D47" s="41"/>
      <c r="E47" s="11"/>
      <c r="F47" s="11"/>
      <c r="G47" s="11"/>
      <c r="H47" s="11">
        <v>179</v>
      </c>
      <c r="I47" s="15"/>
      <c r="J47" s="12">
        <f t="shared" si="0"/>
        <v>34796.959999999999</v>
      </c>
      <c r="K47" s="12">
        <f t="shared" si="1"/>
        <v>87206</v>
      </c>
    </row>
    <row r="48" spans="2:11" x14ac:dyDescent="0.25">
      <c r="B48" s="38">
        <v>43478</v>
      </c>
      <c r="C48" s="35" t="s">
        <v>205</v>
      </c>
      <c r="D48" s="41"/>
      <c r="E48" s="41"/>
      <c r="F48" s="41"/>
      <c r="G48" s="41"/>
      <c r="H48" s="11">
        <v>168</v>
      </c>
      <c r="I48" s="15"/>
      <c r="J48" s="12">
        <f t="shared" si="0"/>
        <v>34796.959999999999</v>
      </c>
      <c r="K48" s="12">
        <f t="shared" si="1"/>
        <v>87038</v>
      </c>
    </row>
    <row r="49" spans="2:11" x14ac:dyDescent="0.25">
      <c r="B49" s="40">
        <v>43478</v>
      </c>
      <c r="C49" s="35" t="s">
        <v>208</v>
      </c>
      <c r="D49" s="41"/>
      <c r="E49" s="41"/>
      <c r="F49" s="41"/>
      <c r="G49" s="16"/>
      <c r="H49" s="11">
        <v>98</v>
      </c>
      <c r="I49" s="15"/>
      <c r="J49" s="12">
        <f t="shared" si="0"/>
        <v>34796.959999999999</v>
      </c>
      <c r="K49" s="12">
        <f t="shared" si="1"/>
        <v>86940</v>
      </c>
    </row>
    <row r="50" spans="2:11" x14ac:dyDescent="0.25">
      <c r="B50" s="40">
        <v>43478</v>
      </c>
      <c r="C50" s="35" t="s">
        <v>206</v>
      </c>
      <c r="D50" s="41"/>
      <c r="E50" s="41"/>
      <c r="F50" s="41"/>
      <c r="G50" s="41"/>
      <c r="H50" s="11">
        <v>10.5</v>
      </c>
      <c r="I50" s="15"/>
      <c r="J50" s="12">
        <f>+J49+E50-G50</f>
        <v>34796.959999999999</v>
      </c>
      <c r="K50" s="12">
        <f>+K49+D50-H50</f>
        <v>86929.5</v>
      </c>
    </row>
    <row r="51" spans="2:11" x14ac:dyDescent="0.25">
      <c r="B51" s="18">
        <v>43478</v>
      </c>
      <c r="C51" s="13" t="s">
        <v>211</v>
      </c>
      <c r="D51" s="11" t="s">
        <v>210</v>
      </c>
      <c r="E51" s="11"/>
      <c r="F51" s="11"/>
      <c r="G51" s="11"/>
      <c r="H51" s="11">
        <v>200</v>
      </c>
      <c r="I51" s="15"/>
      <c r="J51" s="12">
        <f>+J50+E51-G51</f>
        <v>34796.959999999999</v>
      </c>
      <c r="K51" s="12">
        <v>86729.5</v>
      </c>
    </row>
    <row r="52" spans="2:11" x14ac:dyDescent="0.25">
      <c r="B52" s="18">
        <v>43478</v>
      </c>
      <c r="C52" s="13" t="s">
        <v>212</v>
      </c>
      <c r="D52" s="11"/>
      <c r="E52" s="11"/>
      <c r="F52" s="11"/>
      <c r="G52" s="11"/>
      <c r="H52" s="11">
        <v>778</v>
      </c>
      <c r="I52" s="15"/>
      <c r="J52" s="12">
        <f t="shared" si="0"/>
        <v>34796.959999999999</v>
      </c>
      <c r="K52" s="12">
        <f>+K51+D52-H52</f>
        <v>85951.5</v>
      </c>
    </row>
    <row r="53" spans="2:11" x14ac:dyDescent="0.25">
      <c r="B53" s="18">
        <v>43510</v>
      </c>
      <c r="C53" s="13" t="s">
        <v>213</v>
      </c>
      <c r="D53" s="11"/>
      <c r="E53" s="11"/>
      <c r="F53" s="11"/>
      <c r="G53" s="11"/>
      <c r="H53" s="11">
        <v>140</v>
      </c>
      <c r="I53" s="15"/>
      <c r="J53" s="12">
        <f t="shared" si="0"/>
        <v>34796.959999999999</v>
      </c>
      <c r="K53" s="12">
        <f>+K52+D53-H53</f>
        <v>85811.5</v>
      </c>
    </row>
    <row r="54" spans="2:11" ht="15.75" thickBot="1" x14ac:dyDescent="0.3">
      <c r="B54" s="18">
        <v>43510</v>
      </c>
      <c r="C54" s="13" t="s">
        <v>214</v>
      </c>
      <c r="D54" s="11"/>
      <c r="E54" s="11"/>
      <c r="F54" s="11"/>
      <c r="G54" s="11"/>
      <c r="H54" s="11">
        <v>1250</v>
      </c>
      <c r="I54" s="15"/>
      <c r="J54" s="12">
        <f t="shared" si="0"/>
        <v>34796.959999999999</v>
      </c>
      <c r="K54" s="12">
        <f>+K53+D54-H54</f>
        <v>84561.5</v>
      </c>
    </row>
    <row r="55" spans="2:11" ht="15.75" thickBot="1" x14ac:dyDescent="0.3">
      <c r="B55" s="5"/>
      <c r="C55" s="7" t="s">
        <v>0</v>
      </c>
      <c r="D55" s="62">
        <f>SUM(D7:D54)</f>
        <v>48880</v>
      </c>
      <c r="E55" s="61">
        <f>SUM(E7:E54)</f>
        <v>1200.6099999999999</v>
      </c>
      <c r="F55" s="71">
        <f>SUM(D55:E55)</f>
        <v>50080.61</v>
      </c>
      <c r="G55" s="80">
        <f>SUM(G7:G54)</f>
        <v>0</v>
      </c>
      <c r="H55" s="62">
        <f>SUM(H4:H54)</f>
        <v>18313.3</v>
      </c>
      <c r="I55" s="71">
        <f>SUM(G55:H55)</f>
        <v>18313.3</v>
      </c>
      <c r="J55" s="12"/>
      <c r="K55" s="12"/>
    </row>
    <row r="56" spans="2:11" x14ac:dyDescent="0.25">
      <c r="B56" s="68" t="s">
        <v>1</v>
      </c>
      <c r="C56" s="68" t="s">
        <v>2</v>
      </c>
      <c r="D56" s="68" t="s">
        <v>3</v>
      </c>
      <c r="E56" s="68" t="s">
        <v>3</v>
      </c>
      <c r="F56" s="68" t="s">
        <v>22</v>
      </c>
      <c r="G56" s="68" t="s">
        <v>23</v>
      </c>
      <c r="H56" s="48" t="s">
        <v>23</v>
      </c>
      <c r="I56" s="48" t="s">
        <v>22</v>
      </c>
      <c r="J56" s="68" t="s">
        <v>8</v>
      </c>
      <c r="K56" s="48" t="s">
        <v>7</v>
      </c>
    </row>
    <row r="57" spans="2:11" ht="15.75" thickBot="1" x14ac:dyDescent="0.3">
      <c r="B57" s="69"/>
      <c r="C57" s="69"/>
      <c r="D57" s="69" t="s">
        <v>5</v>
      </c>
      <c r="E57" s="69" t="s">
        <v>24</v>
      </c>
      <c r="F57" s="69" t="s">
        <v>3</v>
      </c>
      <c r="G57" s="69" t="s">
        <v>24</v>
      </c>
      <c r="H57" s="70" t="s">
        <v>5</v>
      </c>
      <c r="I57" s="70" t="s">
        <v>4</v>
      </c>
      <c r="J57" s="69"/>
      <c r="K57" s="70"/>
    </row>
    <row r="58" spans="2:11" ht="15.75" thickBot="1" x14ac:dyDescent="0.3">
      <c r="B58" s="5"/>
      <c r="C58" s="7"/>
      <c r="D58" s="62">
        <v>48880</v>
      </c>
      <c r="E58" s="61">
        <v>1200.6099999999999</v>
      </c>
      <c r="F58" s="71">
        <f>SUM(D58:E58)</f>
        <v>50080.61</v>
      </c>
      <c r="G58" s="80">
        <v>0</v>
      </c>
      <c r="H58" s="62">
        <v>18313.3</v>
      </c>
      <c r="I58" s="71">
        <f>SUM(G58:H58)</f>
        <v>18313.3</v>
      </c>
      <c r="J58" s="12">
        <v>34796.959999999999</v>
      </c>
      <c r="K58" s="12">
        <v>84561.5</v>
      </c>
    </row>
    <row r="59" spans="2:11" x14ac:dyDescent="0.25">
      <c r="B59" s="18">
        <v>43511</v>
      </c>
      <c r="C59" s="13" t="s">
        <v>216</v>
      </c>
      <c r="D59" s="11"/>
      <c r="E59" s="11"/>
      <c r="F59" s="11"/>
      <c r="G59" s="11"/>
      <c r="H59" s="11">
        <v>120</v>
      </c>
      <c r="I59" s="15"/>
      <c r="J59" s="12">
        <f>+J58+E59-G59</f>
        <v>34796.959999999999</v>
      </c>
      <c r="K59" s="12">
        <f>+K58+D59-H59</f>
        <v>84441.5</v>
      </c>
    </row>
    <row r="60" spans="2:11" x14ac:dyDescent="0.25">
      <c r="B60" s="40">
        <v>43511</v>
      </c>
      <c r="C60" s="36" t="s">
        <v>117</v>
      </c>
      <c r="D60" s="41"/>
      <c r="E60" s="11"/>
      <c r="F60" s="11"/>
      <c r="G60" s="11"/>
      <c r="H60" s="11">
        <v>350</v>
      </c>
      <c r="I60" s="15"/>
      <c r="J60" s="12">
        <f t="shared" ref="J60:J93" si="2">+J59+E60-G60</f>
        <v>34796.959999999999</v>
      </c>
      <c r="K60" s="12">
        <f t="shared" ref="K60:K93" si="3">+K59+D60-H60</f>
        <v>84091.5</v>
      </c>
    </row>
    <row r="61" spans="2:11" x14ac:dyDescent="0.25">
      <c r="B61" s="40">
        <v>43511</v>
      </c>
      <c r="C61" s="35" t="s">
        <v>217</v>
      </c>
      <c r="D61" s="41"/>
      <c r="E61" s="11"/>
      <c r="F61" s="11"/>
      <c r="G61" s="11"/>
      <c r="H61" s="11">
        <v>550</v>
      </c>
      <c r="I61" s="15"/>
      <c r="J61" s="12">
        <f t="shared" si="2"/>
        <v>34796.959999999999</v>
      </c>
      <c r="K61" s="12">
        <f t="shared" si="3"/>
        <v>83541.5</v>
      </c>
    </row>
    <row r="62" spans="2:11" x14ac:dyDescent="0.25">
      <c r="B62" s="38">
        <v>43511</v>
      </c>
      <c r="C62" s="9" t="s">
        <v>218</v>
      </c>
      <c r="D62" s="11"/>
      <c r="E62" s="11"/>
      <c r="F62" s="11"/>
      <c r="G62" s="11"/>
      <c r="H62" s="11">
        <v>2000</v>
      </c>
      <c r="I62" s="15"/>
      <c r="J62" s="12">
        <f t="shared" si="2"/>
        <v>34796.959999999999</v>
      </c>
      <c r="K62" s="12">
        <f t="shared" si="3"/>
        <v>81541.5</v>
      </c>
    </row>
    <row r="63" spans="2:11" x14ac:dyDescent="0.25">
      <c r="B63" s="38">
        <v>43511</v>
      </c>
      <c r="C63" s="9" t="s">
        <v>119</v>
      </c>
      <c r="D63" s="11"/>
      <c r="E63" s="11"/>
      <c r="F63" s="11"/>
      <c r="G63" s="11"/>
      <c r="H63" s="11">
        <v>4000</v>
      </c>
      <c r="I63" s="15"/>
      <c r="J63" s="12">
        <f t="shared" si="2"/>
        <v>34796.959999999999</v>
      </c>
      <c r="K63" s="12">
        <f t="shared" si="3"/>
        <v>77541.5</v>
      </c>
    </row>
    <row r="64" spans="2:11" x14ac:dyDescent="0.25">
      <c r="B64" s="38">
        <v>43511</v>
      </c>
      <c r="C64" s="21" t="s">
        <v>219</v>
      </c>
      <c r="D64" s="11"/>
      <c r="E64" s="11"/>
      <c r="F64" s="11"/>
      <c r="G64" s="11"/>
      <c r="H64" s="11">
        <v>40000</v>
      </c>
      <c r="I64" s="15"/>
      <c r="J64" s="12">
        <f t="shared" si="2"/>
        <v>34796.959999999999</v>
      </c>
      <c r="K64" s="12">
        <f t="shared" si="3"/>
        <v>37541.5</v>
      </c>
    </row>
    <row r="65" spans="2:11" x14ac:dyDescent="0.25">
      <c r="B65" s="38">
        <v>43511</v>
      </c>
      <c r="C65" s="13" t="s">
        <v>220</v>
      </c>
      <c r="D65" s="11"/>
      <c r="E65" s="11">
        <v>12760</v>
      </c>
      <c r="F65" s="11"/>
      <c r="G65" s="11"/>
      <c r="H65" s="11"/>
      <c r="I65" s="15"/>
      <c r="J65" s="12">
        <f t="shared" si="2"/>
        <v>47556.959999999999</v>
      </c>
      <c r="K65" s="12">
        <f t="shared" si="3"/>
        <v>37541.5</v>
      </c>
    </row>
    <row r="66" spans="2:11" x14ac:dyDescent="0.25">
      <c r="B66" s="38">
        <v>43511</v>
      </c>
      <c r="C66" s="36" t="s">
        <v>179</v>
      </c>
      <c r="D66" s="11"/>
      <c r="E66" s="11"/>
      <c r="F66" s="11"/>
      <c r="G66" s="11"/>
      <c r="H66" s="11">
        <v>300</v>
      </c>
      <c r="I66" s="15"/>
      <c r="J66" s="12">
        <f t="shared" si="2"/>
        <v>47556.959999999999</v>
      </c>
      <c r="K66" s="12">
        <f t="shared" si="3"/>
        <v>37241.5</v>
      </c>
    </row>
    <row r="67" spans="2:11" x14ac:dyDescent="0.25">
      <c r="B67" s="38">
        <v>43511</v>
      </c>
      <c r="C67" s="36" t="s">
        <v>227</v>
      </c>
      <c r="D67" s="11"/>
      <c r="E67" s="11"/>
      <c r="F67" s="11"/>
      <c r="G67" s="11"/>
      <c r="H67" s="11">
        <v>2500</v>
      </c>
      <c r="I67" s="15"/>
      <c r="J67" s="12">
        <f t="shared" si="2"/>
        <v>47556.959999999999</v>
      </c>
      <c r="K67" s="12">
        <f t="shared" si="3"/>
        <v>34741.5</v>
      </c>
    </row>
    <row r="68" spans="2:11" x14ac:dyDescent="0.25">
      <c r="B68" s="38">
        <v>43511</v>
      </c>
      <c r="C68" s="36" t="s">
        <v>226</v>
      </c>
      <c r="D68" s="11"/>
      <c r="E68" s="11"/>
      <c r="F68" s="11"/>
      <c r="G68" s="11"/>
      <c r="H68" s="11">
        <v>200</v>
      </c>
      <c r="I68" s="15"/>
      <c r="J68" s="12">
        <f t="shared" si="2"/>
        <v>47556.959999999999</v>
      </c>
      <c r="K68" s="12">
        <f t="shared" si="3"/>
        <v>34541.5</v>
      </c>
    </row>
    <row r="69" spans="2:11" x14ac:dyDescent="0.25">
      <c r="B69" s="38">
        <v>43513</v>
      </c>
      <c r="C69" s="36" t="s">
        <v>228</v>
      </c>
      <c r="D69" s="11"/>
      <c r="E69" s="11"/>
      <c r="F69" s="11"/>
      <c r="G69" s="11"/>
      <c r="H69" s="11">
        <v>120</v>
      </c>
      <c r="I69" s="15"/>
      <c r="J69" s="12">
        <f t="shared" si="2"/>
        <v>47556.959999999999</v>
      </c>
      <c r="K69" s="12">
        <f t="shared" si="3"/>
        <v>34421.5</v>
      </c>
    </row>
    <row r="70" spans="2:11" x14ac:dyDescent="0.25">
      <c r="B70" s="38">
        <v>43513</v>
      </c>
      <c r="C70" s="36" t="s">
        <v>229</v>
      </c>
      <c r="D70" s="11"/>
      <c r="E70" s="11"/>
      <c r="F70" s="11"/>
      <c r="G70" s="11"/>
      <c r="H70" s="11">
        <v>103.5</v>
      </c>
      <c r="I70" s="15"/>
      <c r="J70" s="12">
        <f t="shared" si="2"/>
        <v>47556.959999999999</v>
      </c>
      <c r="K70" s="12">
        <f t="shared" si="3"/>
        <v>34318</v>
      </c>
    </row>
    <row r="71" spans="2:11" x14ac:dyDescent="0.25">
      <c r="B71" s="38">
        <v>43513</v>
      </c>
      <c r="C71" s="35" t="s">
        <v>230</v>
      </c>
      <c r="D71" s="11"/>
      <c r="E71" s="11"/>
      <c r="F71" s="11"/>
      <c r="G71" s="11"/>
      <c r="H71" s="11">
        <v>56</v>
      </c>
      <c r="I71" s="15"/>
      <c r="J71" s="12">
        <f t="shared" si="2"/>
        <v>47556.959999999999</v>
      </c>
      <c r="K71" s="12">
        <f t="shared" si="3"/>
        <v>34262</v>
      </c>
    </row>
    <row r="72" spans="2:11" x14ac:dyDescent="0.25">
      <c r="B72" s="37">
        <v>43514</v>
      </c>
      <c r="C72" s="36" t="s">
        <v>231</v>
      </c>
      <c r="D72" s="11"/>
      <c r="E72" s="11"/>
      <c r="F72" s="11"/>
      <c r="G72" s="11"/>
      <c r="H72" s="11">
        <v>400</v>
      </c>
      <c r="I72" s="15"/>
      <c r="J72" s="12">
        <f t="shared" si="2"/>
        <v>47556.959999999999</v>
      </c>
      <c r="K72" s="12">
        <f t="shared" si="3"/>
        <v>33862</v>
      </c>
    </row>
    <row r="73" spans="2:11" x14ac:dyDescent="0.25">
      <c r="B73" s="18">
        <v>43514</v>
      </c>
      <c r="C73" s="35" t="s">
        <v>232</v>
      </c>
      <c r="D73" s="11">
        <v>21430</v>
      </c>
      <c r="E73" s="11"/>
      <c r="F73" s="11"/>
      <c r="G73" s="11"/>
      <c r="H73" s="11"/>
      <c r="I73" s="15"/>
      <c r="J73" s="12">
        <f t="shared" si="2"/>
        <v>47556.959999999999</v>
      </c>
      <c r="K73" s="12">
        <f t="shared" si="3"/>
        <v>55292</v>
      </c>
    </row>
    <row r="74" spans="2:11" x14ac:dyDescent="0.25">
      <c r="B74" s="18">
        <v>43514</v>
      </c>
      <c r="C74" s="123" t="s">
        <v>171</v>
      </c>
      <c r="D74" s="41"/>
      <c r="E74" s="11"/>
      <c r="F74" s="11"/>
      <c r="G74" s="11">
        <v>1760</v>
      </c>
      <c r="H74" s="11"/>
      <c r="I74" s="15"/>
      <c r="J74" s="12">
        <f t="shared" si="2"/>
        <v>45796.959999999999</v>
      </c>
      <c r="K74" s="12">
        <f t="shared" si="3"/>
        <v>55292</v>
      </c>
    </row>
    <row r="75" spans="2:11" x14ac:dyDescent="0.25">
      <c r="B75" s="39">
        <v>43514</v>
      </c>
      <c r="C75" s="123" t="s">
        <v>172</v>
      </c>
      <c r="D75" s="41"/>
      <c r="E75" s="11"/>
      <c r="F75" s="11"/>
      <c r="G75" s="11">
        <v>1400</v>
      </c>
      <c r="H75" s="11"/>
      <c r="I75" s="15"/>
      <c r="J75" s="12">
        <f t="shared" si="2"/>
        <v>44396.959999999999</v>
      </c>
      <c r="K75" s="12">
        <f t="shared" si="3"/>
        <v>55292</v>
      </c>
    </row>
    <row r="76" spans="2:11" x14ac:dyDescent="0.25">
      <c r="B76" s="40">
        <v>43514</v>
      </c>
      <c r="C76" s="36" t="s">
        <v>189</v>
      </c>
      <c r="D76" s="41"/>
      <c r="E76" s="11"/>
      <c r="F76" s="11"/>
      <c r="G76" s="11"/>
      <c r="H76" s="11">
        <v>152</v>
      </c>
      <c r="I76" s="15"/>
      <c r="J76" s="12">
        <f t="shared" si="2"/>
        <v>44396.959999999999</v>
      </c>
      <c r="K76" s="12">
        <f t="shared" si="3"/>
        <v>55140</v>
      </c>
    </row>
    <row r="77" spans="2:11" x14ac:dyDescent="0.25">
      <c r="B77" s="40">
        <v>43515</v>
      </c>
      <c r="C77" s="13" t="s">
        <v>233</v>
      </c>
      <c r="D77" s="41"/>
      <c r="E77" s="11"/>
      <c r="F77" s="11"/>
      <c r="G77" s="11"/>
      <c r="H77" s="11">
        <v>1119.5999999999999</v>
      </c>
      <c r="I77" s="15"/>
      <c r="J77" s="12">
        <f t="shared" si="2"/>
        <v>44396.959999999999</v>
      </c>
      <c r="K77" s="12">
        <f t="shared" si="3"/>
        <v>54020.4</v>
      </c>
    </row>
    <row r="78" spans="2:11" x14ac:dyDescent="0.25">
      <c r="B78" s="40">
        <v>43515</v>
      </c>
      <c r="C78" s="36" t="s">
        <v>234</v>
      </c>
      <c r="D78" s="41"/>
      <c r="E78" s="11"/>
      <c r="F78" s="11"/>
      <c r="G78" s="11"/>
      <c r="H78" s="11">
        <v>174</v>
      </c>
      <c r="I78" s="15"/>
      <c r="J78" s="12">
        <f t="shared" si="2"/>
        <v>44396.959999999999</v>
      </c>
      <c r="K78" s="12">
        <f t="shared" si="3"/>
        <v>53846.400000000001</v>
      </c>
    </row>
    <row r="79" spans="2:11" x14ac:dyDescent="0.25">
      <c r="B79" s="40">
        <v>43515</v>
      </c>
      <c r="C79" s="36" t="s">
        <v>235</v>
      </c>
      <c r="D79" s="41"/>
      <c r="E79" s="11"/>
      <c r="F79" s="11"/>
      <c r="G79" s="11"/>
      <c r="H79" s="11">
        <v>158.09</v>
      </c>
      <c r="I79" s="15"/>
      <c r="J79" s="12">
        <f t="shared" si="2"/>
        <v>44396.959999999999</v>
      </c>
      <c r="K79" s="12">
        <f t="shared" si="3"/>
        <v>53688.310000000005</v>
      </c>
    </row>
    <row r="80" spans="2:11" x14ac:dyDescent="0.25">
      <c r="B80" s="43">
        <v>43515</v>
      </c>
      <c r="C80" s="13" t="s">
        <v>239</v>
      </c>
      <c r="D80" s="41"/>
      <c r="E80" s="11"/>
      <c r="F80" s="11"/>
      <c r="G80" s="11"/>
      <c r="H80" s="11">
        <v>300</v>
      </c>
      <c r="I80" s="15"/>
      <c r="J80" s="12">
        <f t="shared" si="2"/>
        <v>44396.959999999999</v>
      </c>
      <c r="K80" s="12">
        <f t="shared" si="3"/>
        <v>53388.310000000005</v>
      </c>
    </row>
    <row r="81" spans="2:11" x14ac:dyDescent="0.25">
      <c r="B81" s="43">
        <v>43515</v>
      </c>
      <c r="C81" s="13" t="s">
        <v>239</v>
      </c>
      <c r="D81" s="41"/>
      <c r="E81" s="11"/>
      <c r="F81" s="11"/>
      <c r="G81" s="11"/>
      <c r="H81" s="11">
        <v>150</v>
      </c>
      <c r="I81" s="15"/>
      <c r="J81" s="12">
        <f t="shared" si="2"/>
        <v>44396.959999999999</v>
      </c>
      <c r="K81" s="12">
        <f t="shared" si="3"/>
        <v>53238.310000000005</v>
      </c>
    </row>
    <row r="82" spans="2:11" x14ac:dyDescent="0.25">
      <c r="B82" s="43">
        <v>43515</v>
      </c>
      <c r="C82" s="9" t="s">
        <v>179</v>
      </c>
      <c r="D82" s="41"/>
      <c r="E82" s="11"/>
      <c r="F82" s="11"/>
      <c r="G82" s="11"/>
      <c r="H82" s="11">
        <v>300</v>
      </c>
      <c r="I82" s="15"/>
      <c r="J82" s="12">
        <f t="shared" si="2"/>
        <v>44396.959999999999</v>
      </c>
      <c r="K82" s="12">
        <f t="shared" si="3"/>
        <v>52938.310000000005</v>
      </c>
    </row>
    <row r="83" spans="2:11" x14ac:dyDescent="0.25">
      <c r="B83" s="44">
        <v>43515</v>
      </c>
      <c r="C83" s="9" t="s">
        <v>236</v>
      </c>
      <c r="D83" s="101"/>
      <c r="E83" s="11"/>
      <c r="F83" s="11"/>
      <c r="G83" s="11"/>
      <c r="H83" s="11">
        <v>3850</v>
      </c>
      <c r="I83" s="15"/>
      <c r="J83" s="12">
        <f t="shared" si="2"/>
        <v>44396.959999999999</v>
      </c>
      <c r="K83" s="12">
        <f t="shared" si="3"/>
        <v>49088.310000000005</v>
      </c>
    </row>
    <row r="84" spans="2:11" x14ac:dyDescent="0.25">
      <c r="B84" s="44">
        <v>43516</v>
      </c>
      <c r="C84" s="13" t="s">
        <v>237</v>
      </c>
      <c r="D84" s="41"/>
      <c r="E84" s="11"/>
      <c r="F84" s="11"/>
      <c r="G84" s="11"/>
      <c r="H84" s="11">
        <v>110.95</v>
      </c>
      <c r="I84" s="15"/>
      <c r="J84" s="12">
        <f t="shared" si="2"/>
        <v>44396.959999999999</v>
      </c>
      <c r="K84" s="12">
        <f t="shared" si="3"/>
        <v>48977.360000000008</v>
      </c>
    </row>
    <row r="85" spans="2:11" x14ac:dyDescent="0.25">
      <c r="B85" s="44">
        <v>43485</v>
      </c>
      <c r="C85" s="13" t="s">
        <v>206</v>
      </c>
      <c r="D85" s="41"/>
      <c r="E85" s="11"/>
      <c r="F85" s="11"/>
      <c r="G85" s="11"/>
      <c r="H85" s="11">
        <v>15.5</v>
      </c>
      <c r="I85" s="15"/>
      <c r="J85" s="12">
        <f t="shared" si="2"/>
        <v>44396.959999999999</v>
      </c>
      <c r="K85" s="12">
        <f t="shared" si="3"/>
        <v>48961.860000000008</v>
      </c>
    </row>
    <row r="86" spans="2:11" x14ac:dyDescent="0.25">
      <c r="B86" s="44">
        <v>43517</v>
      </c>
      <c r="C86" s="13" t="s">
        <v>238</v>
      </c>
      <c r="D86" s="41"/>
      <c r="E86" s="11"/>
      <c r="F86" s="11"/>
      <c r="G86" s="11"/>
      <c r="H86" s="11">
        <v>5000</v>
      </c>
      <c r="I86" s="15"/>
      <c r="J86" s="12">
        <f t="shared" si="2"/>
        <v>44396.959999999999</v>
      </c>
      <c r="K86" s="12">
        <f t="shared" si="3"/>
        <v>43961.860000000008</v>
      </c>
    </row>
    <row r="87" spans="2:11" x14ac:dyDescent="0.25">
      <c r="B87" s="44">
        <v>43517</v>
      </c>
      <c r="C87" s="13" t="s">
        <v>240</v>
      </c>
      <c r="D87" s="41"/>
      <c r="E87" s="11"/>
      <c r="F87" s="11"/>
      <c r="G87" s="11"/>
      <c r="H87" s="11">
        <v>80</v>
      </c>
      <c r="I87" s="15"/>
      <c r="J87" s="12">
        <f t="shared" si="2"/>
        <v>44396.959999999999</v>
      </c>
      <c r="K87" s="12">
        <f t="shared" si="3"/>
        <v>43881.860000000008</v>
      </c>
    </row>
    <row r="88" spans="2:11" x14ac:dyDescent="0.25">
      <c r="B88" s="44">
        <v>43517</v>
      </c>
      <c r="C88" s="13" t="s">
        <v>241</v>
      </c>
      <c r="D88" s="41"/>
      <c r="E88" s="41"/>
      <c r="F88" s="41"/>
      <c r="G88" s="16"/>
      <c r="H88" s="11">
        <v>250</v>
      </c>
      <c r="I88" s="15"/>
      <c r="J88" s="12">
        <f t="shared" si="2"/>
        <v>44396.959999999999</v>
      </c>
      <c r="K88" s="12">
        <f t="shared" si="3"/>
        <v>43631.860000000008</v>
      </c>
    </row>
    <row r="89" spans="2:11" x14ac:dyDescent="0.25">
      <c r="B89" s="44">
        <v>43518</v>
      </c>
      <c r="C89" s="13" t="s">
        <v>242</v>
      </c>
      <c r="D89" s="41"/>
      <c r="E89" s="41"/>
      <c r="F89" s="41"/>
      <c r="G89" s="16"/>
      <c r="H89" s="11">
        <v>1250</v>
      </c>
      <c r="I89" s="15"/>
      <c r="J89" s="12">
        <f t="shared" si="2"/>
        <v>44396.959999999999</v>
      </c>
      <c r="K89" s="12">
        <f t="shared" si="3"/>
        <v>42381.860000000008</v>
      </c>
    </row>
    <row r="90" spans="2:11" x14ac:dyDescent="0.25">
      <c r="B90" s="44">
        <v>43519</v>
      </c>
      <c r="C90" s="13" t="s">
        <v>243</v>
      </c>
      <c r="D90" s="41"/>
      <c r="E90" s="41"/>
      <c r="F90" s="41"/>
      <c r="G90" s="16"/>
      <c r="H90" s="11">
        <v>211.9</v>
      </c>
      <c r="I90" s="15"/>
      <c r="J90" s="12">
        <f t="shared" si="2"/>
        <v>44396.959999999999</v>
      </c>
      <c r="K90" s="12">
        <f t="shared" si="3"/>
        <v>42169.960000000006</v>
      </c>
    </row>
    <row r="91" spans="2:11" x14ac:dyDescent="0.25">
      <c r="B91" s="44">
        <v>43520</v>
      </c>
      <c r="C91" s="13" t="s">
        <v>244</v>
      </c>
      <c r="D91" s="41"/>
      <c r="E91" s="41"/>
      <c r="F91" s="41"/>
      <c r="G91" s="16"/>
      <c r="H91" s="11">
        <v>98</v>
      </c>
      <c r="I91" s="15"/>
      <c r="J91" s="12">
        <f t="shared" si="2"/>
        <v>44396.959999999999</v>
      </c>
      <c r="K91" s="12">
        <f t="shared" si="3"/>
        <v>42071.960000000006</v>
      </c>
    </row>
    <row r="92" spans="2:11" x14ac:dyDescent="0.25">
      <c r="B92" s="44">
        <v>43520</v>
      </c>
      <c r="C92" s="13" t="s">
        <v>162</v>
      </c>
      <c r="D92" s="41"/>
      <c r="E92" s="41"/>
      <c r="F92" s="41"/>
      <c r="G92" s="41"/>
      <c r="H92" s="11">
        <v>120</v>
      </c>
      <c r="I92" s="15"/>
      <c r="J92" s="12">
        <f t="shared" si="2"/>
        <v>44396.959999999999</v>
      </c>
      <c r="K92" s="12">
        <f t="shared" si="3"/>
        <v>41951.960000000006</v>
      </c>
    </row>
    <row r="93" spans="2:11" x14ac:dyDescent="0.25">
      <c r="B93" s="44">
        <v>43520</v>
      </c>
      <c r="C93" s="13" t="s">
        <v>245</v>
      </c>
      <c r="D93" s="41">
        <v>18520</v>
      </c>
      <c r="E93" s="41"/>
      <c r="F93" s="41"/>
      <c r="G93" s="41"/>
      <c r="H93" s="11"/>
      <c r="I93" s="15"/>
      <c r="J93" s="12">
        <f t="shared" si="2"/>
        <v>44396.959999999999</v>
      </c>
      <c r="K93" s="12">
        <f t="shared" si="3"/>
        <v>60471.960000000006</v>
      </c>
    </row>
    <row r="94" spans="2:11" x14ac:dyDescent="0.25">
      <c r="B94" s="44">
        <v>43521</v>
      </c>
      <c r="C94" s="13" t="s">
        <v>246</v>
      </c>
      <c r="D94" s="41"/>
      <c r="E94" s="11"/>
      <c r="F94" s="11"/>
      <c r="G94" s="11"/>
      <c r="H94" s="11">
        <v>220</v>
      </c>
      <c r="I94" s="15"/>
      <c r="J94" s="12">
        <f t="shared" ref="J94:J120" si="4">+J93+E94-G94</f>
        <v>44396.959999999999</v>
      </c>
      <c r="K94" s="12">
        <f t="shared" ref="K94:K106" si="5">+K93+D94-H94</f>
        <v>60251.960000000006</v>
      </c>
    </row>
    <row r="95" spans="2:11" x14ac:dyDescent="0.25">
      <c r="B95" s="44">
        <v>43521</v>
      </c>
      <c r="C95" s="13" t="s">
        <v>189</v>
      </c>
      <c r="D95" s="41"/>
      <c r="E95" s="11"/>
      <c r="F95" s="11"/>
      <c r="G95" s="11"/>
      <c r="H95" s="11">
        <v>152</v>
      </c>
      <c r="I95" s="15"/>
      <c r="J95" s="12">
        <f t="shared" si="4"/>
        <v>44396.959999999999</v>
      </c>
      <c r="K95" s="12">
        <f t="shared" si="5"/>
        <v>60099.960000000006</v>
      </c>
    </row>
    <row r="96" spans="2:11" x14ac:dyDescent="0.25">
      <c r="B96" s="44">
        <v>43521</v>
      </c>
      <c r="C96" s="13" t="s">
        <v>247</v>
      </c>
      <c r="D96" s="41"/>
      <c r="E96" s="11"/>
      <c r="F96" s="11"/>
      <c r="G96" s="11"/>
      <c r="H96" s="11">
        <v>201.4</v>
      </c>
      <c r="I96" s="15"/>
      <c r="J96" s="12">
        <f t="shared" si="4"/>
        <v>44396.959999999999</v>
      </c>
      <c r="K96" s="12">
        <f t="shared" si="5"/>
        <v>59898.560000000005</v>
      </c>
    </row>
    <row r="97" spans="2:12" x14ac:dyDescent="0.25">
      <c r="B97" s="44">
        <v>43521</v>
      </c>
      <c r="C97" s="13" t="s">
        <v>248</v>
      </c>
      <c r="D97" s="41"/>
      <c r="E97" s="11"/>
      <c r="F97" s="11"/>
      <c r="G97" s="11"/>
      <c r="H97" s="11">
        <v>100</v>
      </c>
      <c r="I97" s="15"/>
      <c r="J97" s="12">
        <f t="shared" si="4"/>
        <v>44396.959999999999</v>
      </c>
      <c r="K97" s="12">
        <f t="shared" si="5"/>
        <v>59798.560000000005</v>
      </c>
    </row>
    <row r="98" spans="2:12" x14ac:dyDescent="0.25">
      <c r="B98" s="44">
        <v>43521</v>
      </c>
      <c r="C98" s="13" t="s">
        <v>249</v>
      </c>
      <c r="D98" s="41"/>
      <c r="E98" s="11"/>
      <c r="F98" s="11"/>
      <c r="G98" s="11"/>
      <c r="H98" s="11">
        <v>250</v>
      </c>
      <c r="I98" s="15"/>
      <c r="J98" s="12">
        <f t="shared" si="4"/>
        <v>44396.959999999999</v>
      </c>
      <c r="K98" s="12">
        <f t="shared" si="5"/>
        <v>59548.560000000005</v>
      </c>
    </row>
    <row r="99" spans="2:12" x14ac:dyDescent="0.25">
      <c r="B99" s="44">
        <v>43521</v>
      </c>
      <c r="C99" s="13" t="s">
        <v>179</v>
      </c>
      <c r="D99" s="41"/>
      <c r="E99" s="11"/>
      <c r="F99" s="11"/>
      <c r="G99" s="11"/>
      <c r="H99" s="11">
        <v>300</v>
      </c>
      <c r="I99" s="15"/>
      <c r="J99" s="12">
        <f t="shared" si="4"/>
        <v>44396.959999999999</v>
      </c>
      <c r="K99" s="12">
        <f t="shared" si="5"/>
        <v>59248.560000000005</v>
      </c>
    </row>
    <row r="100" spans="2:12" x14ac:dyDescent="0.25">
      <c r="B100" s="44">
        <v>43522</v>
      </c>
      <c r="C100" s="13" t="s">
        <v>250</v>
      </c>
      <c r="D100" s="41"/>
      <c r="E100" s="11"/>
      <c r="F100" s="11"/>
      <c r="G100" s="11"/>
      <c r="H100" s="11">
        <v>300</v>
      </c>
      <c r="I100" s="15"/>
      <c r="J100" s="12">
        <f t="shared" si="4"/>
        <v>44396.959999999999</v>
      </c>
      <c r="K100" s="12">
        <f t="shared" si="5"/>
        <v>58948.560000000005</v>
      </c>
    </row>
    <row r="101" spans="2:12" x14ac:dyDescent="0.25">
      <c r="B101" s="27">
        <v>43522</v>
      </c>
      <c r="C101" s="35" t="s">
        <v>251</v>
      </c>
      <c r="D101" s="41"/>
      <c r="E101" s="11"/>
      <c r="F101" s="11"/>
      <c r="G101" s="11"/>
      <c r="H101" s="11">
        <v>60</v>
      </c>
      <c r="I101" s="15"/>
      <c r="J101" s="12">
        <f t="shared" si="4"/>
        <v>44396.959999999999</v>
      </c>
      <c r="K101" s="12">
        <f t="shared" si="5"/>
        <v>58888.560000000005</v>
      </c>
    </row>
    <row r="102" spans="2:12" x14ac:dyDescent="0.25">
      <c r="B102" s="27">
        <v>43523</v>
      </c>
      <c r="C102" s="34" t="s">
        <v>252</v>
      </c>
      <c r="D102" s="11"/>
      <c r="E102" s="113"/>
      <c r="F102" s="11"/>
      <c r="G102" s="11"/>
      <c r="H102" s="11">
        <v>45</v>
      </c>
      <c r="I102" s="15"/>
      <c r="J102" s="12">
        <f t="shared" si="4"/>
        <v>44396.959999999999</v>
      </c>
      <c r="K102" s="12">
        <f t="shared" si="5"/>
        <v>58843.560000000005</v>
      </c>
    </row>
    <row r="103" spans="2:12" x14ac:dyDescent="0.25">
      <c r="B103" s="27">
        <v>43523</v>
      </c>
      <c r="C103" s="13" t="s">
        <v>241</v>
      </c>
      <c r="D103" s="11"/>
      <c r="E103" s="113"/>
      <c r="F103" s="11"/>
      <c r="G103" s="11"/>
      <c r="H103" s="11">
        <v>350</v>
      </c>
      <c r="I103" s="15"/>
      <c r="J103" s="12">
        <f t="shared" si="4"/>
        <v>44396.959999999999</v>
      </c>
      <c r="K103" s="12">
        <f t="shared" si="5"/>
        <v>58493.560000000005</v>
      </c>
    </row>
    <row r="104" spans="2:12" x14ac:dyDescent="0.25">
      <c r="B104" s="27">
        <v>43523</v>
      </c>
      <c r="C104" s="9" t="s">
        <v>253</v>
      </c>
      <c r="D104" s="11"/>
      <c r="E104" s="113"/>
      <c r="F104" s="11"/>
      <c r="G104" s="11"/>
      <c r="H104" s="11">
        <v>400</v>
      </c>
      <c r="I104" s="15"/>
      <c r="J104" s="12">
        <f t="shared" si="4"/>
        <v>44396.959999999999</v>
      </c>
      <c r="K104" s="12">
        <f t="shared" si="5"/>
        <v>58093.560000000005</v>
      </c>
    </row>
    <row r="105" spans="2:12" x14ac:dyDescent="0.25">
      <c r="B105" s="27">
        <v>43524</v>
      </c>
      <c r="C105" s="36" t="s">
        <v>221</v>
      </c>
      <c r="D105" s="41"/>
      <c r="E105" s="11"/>
      <c r="F105" s="11"/>
      <c r="G105" s="11"/>
      <c r="H105" s="11">
        <v>300</v>
      </c>
      <c r="I105" s="15"/>
      <c r="J105" s="12">
        <f t="shared" si="4"/>
        <v>44396.959999999999</v>
      </c>
      <c r="K105" s="12">
        <f t="shared" si="5"/>
        <v>57793.560000000005</v>
      </c>
      <c r="L105" s="1"/>
    </row>
    <row r="106" spans="2:12" x14ac:dyDescent="0.25">
      <c r="B106" s="27">
        <v>43524</v>
      </c>
      <c r="C106" s="35" t="s">
        <v>222</v>
      </c>
      <c r="D106" s="41"/>
      <c r="E106" s="11"/>
      <c r="F106" s="11"/>
      <c r="G106" s="11"/>
      <c r="H106" s="11">
        <v>550</v>
      </c>
      <c r="I106" s="15"/>
      <c r="J106" s="12">
        <f t="shared" si="4"/>
        <v>44396.959999999999</v>
      </c>
      <c r="K106" s="12">
        <f t="shared" si="5"/>
        <v>57243.560000000005</v>
      </c>
    </row>
    <row r="107" spans="2:12" x14ac:dyDescent="0.25">
      <c r="B107" s="27">
        <v>43524</v>
      </c>
      <c r="C107" s="9" t="s">
        <v>223</v>
      </c>
      <c r="D107" s="41"/>
      <c r="E107" s="11"/>
      <c r="F107" s="11"/>
      <c r="G107" s="11"/>
      <c r="H107" s="11">
        <v>2000</v>
      </c>
      <c r="I107" s="15"/>
      <c r="J107" s="12">
        <f>+J106+E107-G107</f>
        <v>44396.959999999999</v>
      </c>
      <c r="K107" s="12">
        <f>+K106+D107-H107</f>
        <v>55243.560000000005</v>
      </c>
    </row>
    <row r="108" spans="2:12" x14ac:dyDescent="0.25">
      <c r="B108" s="27">
        <v>43524</v>
      </c>
      <c r="C108" s="9" t="s">
        <v>224</v>
      </c>
      <c r="D108" s="41"/>
      <c r="E108" s="11"/>
      <c r="F108" s="11"/>
      <c r="G108" s="11"/>
      <c r="H108" s="11">
        <v>4000</v>
      </c>
      <c r="I108" s="15"/>
      <c r="J108" s="12">
        <f t="shared" si="4"/>
        <v>44396.959999999999</v>
      </c>
      <c r="K108" s="12">
        <f>+K107+D108-H108</f>
        <v>51243.560000000005</v>
      </c>
    </row>
    <row r="109" spans="2:12" ht="15.75" thickBot="1" x14ac:dyDescent="0.3">
      <c r="B109" s="27">
        <v>43524</v>
      </c>
      <c r="C109" s="21" t="s">
        <v>225</v>
      </c>
      <c r="D109" s="41"/>
      <c r="E109" s="11"/>
      <c r="F109" s="11"/>
      <c r="G109" s="11"/>
      <c r="H109" s="11">
        <v>40000</v>
      </c>
      <c r="I109" s="15"/>
      <c r="J109" s="12">
        <f t="shared" si="4"/>
        <v>44396.959999999999</v>
      </c>
      <c r="K109" s="12">
        <f>+K108+D109-H109</f>
        <v>11243.560000000005</v>
      </c>
    </row>
    <row r="110" spans="2:12" ht="15.75" thickBot="1" x14ac:dyDescent="0.3">
      <c r="B110" s="5"/>
      <c r="C110" s="7" t="s">
        <v>0</v>
      </c>
      <c r="D110" s="62">
        <f>SUM(D58:D109)</f>
        <v>88830</v>
      </c>
      <c r="E110" s="61">
        <f>SUM(E58:E109)</f>
        <v>13960.61</v>
      </c>
      <c r="F110" s="71">
        <f>SUM(D110:E110)</f>
        <v>102790.61</v>
      </c>
      <c r="G110" s="80">
        <f>SUM(G58:G109)</f>
        <v>3160</v>
      </c>
      <c r="H110" s="98">
        <f>SUM(H58:H109)</f>
        <v>131581.24</v>
      </c>
      <c r="I110" s="71">
        <f>SUM(G110:H110)</f>
        <v>134741.24</v>
      </c>
      <c r="J110" s="20"/>
      <c r="K110" s="20"/>
    </row>
    <row r="111" spans="2:12" x14ac:dyDescent="0.25">
      <c r="B111" s="68" t="s">
        <v>1</v>
      </c>
      <c r="C111" s="68" t="s">
        <v>2</v>
      </c>
      <c r="D111" s="68" t="s">
        <v>3</v>
      </c>
      <c r="E111" s="68" t="s">
        <v>3</v>
      </c>
      <c r="F111" s="68" t="s">
        <v>22</v>
      </c>
      <c r="G111" s="68" t="s">
        <v>23</v>
      </c>
      <c r="H111" s="48" t="s">
        <v>23</v>
      </c>
      <c r="I111" s="48" t="s">
        <v>22</v>
      </c>
      <c r="J111" s="68" t="s">
        <v>8</v>
      </c>
      <c r="K111" s="48" t="s">
        <v>7</v>
      </c>
    </row>
    <row r="112" spans="2:12" ht="15.75" thickBot="1" x14ac:dyDescent="0.3">
      <c r="B112" s="69"/>
      <c r="C112" s="69"/>
      <c r="D112" s="69" t="s">
        <v>5</v>
      </c>
      <c r="E112" s="69" t="s">
        <v>24</v>
      </c>
      <c r="F112" s="69" t="s">
        <v>3</v>
      </c>
      <c r="G112" s="69" t="s">
        <v>24</v>
      </c>
      <c r="H112" s="70" t="s">
        <v>5</v>
      </c>
      <c r="I112" s="70" t="s">
        <v>4</v>
      </c>
      <c r="J112" s="69"/>
      <c r="K112" s="70"/>
    </row>
    <row r="113" spans="2:11" ht="15.75" thickBot="1" x14ac:dyDescent="0.3">
      <c r="B113" s="5"/>
      <c r="C113" s="7"/>
      <c r="D113" s="62">
        <v>88830</v>
      </c>
      <c r="E113" s="61">
        <v>13960.61</v>
      </c>
      <c r="F113" s="71">
        <f>SUM(D113:E113)</f>
        <v>102790.61</v>
      </c>
      <c r="G113" s="80">
        <v>3160</v>
      </c>
      <c r="H113" s="62">
        <v>131581.24</v>
      </c>
      <c r="I113" s="71">
        <f>SUM(G113:H113)</f>
        <v>134741.24</v>
      </c>
      <c r="J113" s="12">
        <v>44396.959999999999</v>
      </c>
      <c r="K113" s="12">
        <v>11243.56</v>
      </c>
    </row>
    <row r="114" spans="2:11" x14ac:dyDescent="0.25">
      <c r="B114" s="27">
        <v>43524</v>
      </c>
      <c r="C114" s="13" t="s">
        <v>241</v>
      </c>
      <c r="D114" s="41"/>
      <c r="E114" s="11"/>
      <c r="F114" s="11"/>
      <c r="G114" s="11"/>
      <c r="H114" s="11">
        <v>350</v>
      </c>
      <c r="I114" s="15"/>
      <c r="J114" s="12">
        <f>+J109+E114-G114</f>
        <v>44396.959999999999</v>
      </c>
      <c r="K114" s="12">
        <f>+K109+D114-H114</f>
        <v>10893.560000000005</v>
      </c>
    </row>
    <row r="115" spans="2:11" x14ac:dyDescent="0.25">
      <c r="B115" s="27">
        <v>43497</v>
      </c>
      <c r="C115" s="13" t="s">
        <v>256</v>
      </c>
      <c r="D115" s="41"/>
      <c r="E115" s="11">
        <v>4400</v>
      </c>
      <c r="F115" s="11"/>
      <c r="G115" s="11"/>
      <c r="H115" s="11"/>
      <c r="I115" s="15"/>
      <c r="J115" s="12">
        <f t="shared" si="4"/>
        <v>48796.959999999999</v>
      </c>
      <c r="K115" s="12">
        <f t="shared" ref="K115:K120" si="6">+K114+D115-H115</f>
        <v>10893.560000000005</v>
      </c>
    </row>
    <row r="116" spans="2:11" x14ac:dyDescent="0.25">
      <c r="B116" s="27">
        <v>43513</v>
      </c>
      <c r="C116" s="13" t="s">
        <v>257</v>
      </c>
      <c r="D116" s="41"/>
      <c r="E116" s="11">
        <v>1850</v>
      </c>
      <c r="F116" s="11"/>
      <c r="G116" s="11"/>
      <c r="H116" s="11"/>
      <c r="I116" s="15"/>
      <c r="J116" s="12">
        <f t="shared" si="4"/>
        <v>50646.96</v>
      </c>
      <c r="K116" s="12">
        <f t="shared" si="6"/>
        <v>10893.560000000005</v>
      </c>
    </row>
    <row r="117" spans="2:11" x14ac:dyDescent="0.25">
      <c r="B117" s="27">
        <v>43524</v>
      </c>
      <c r="C117" s="9" t="s">
        <v>258</v>
      </c>
      <c r="D117" s="41">
        <v>2000</v>
      </c>
      <c r="E117" s="11"/>
      <c r="F117" s="11"/>
      <c r="G117" s="11"/>
      <c r="H117" s="11"/>
      <c r="I117" s="15"/>
      <c r="J117" s="12">
        <f t="shared" si="4"/>
        <v>50646.96</v>
      </c>
      <c r="K117" s="12">
        <f t="shared" si="6"/>
        <v>12893.560000000005</v>
      </c>
    </row>
    <row r="118" spans="2:11" x14ac:dyDescent="0.25">
      <c r="B118" s="27">
        <v>43524</v>
      </c>
      <c r="C118" s="9" t="s">
        <v>69</v>
      </c>
      <c r="D118" s="41"/>
      <c r="E118" s="11"/>
      <c r="F118" s="11"/>
      <c r="G118" s="11">
        <v>18</v>
      </c>
      <c r="H118" s="11"/>
      <c r="I118" s="15"/>
      <c r="J118" s="12">
        <f t="shared" si="4"/>
        <v>50628.959999999999</v>
      </c>
      <c r="K118" s="12">
        <f t="shared" si="6"/>
        <v>12893.560000000005</v>
      </c>
    </row>
    <row r="119" spans="2:11" x14ac:dyDescent="0.25">
      <c r="B119" s="27">
        <v>43524</v>
      </c>
      <c r="C119" s="13" t="s">
        <v>70</v>
      </c>
      <c r="D119" s="41"/>
      <c r="E119" s="11"/>
      <c r="F119" s="11"/>
      <c r="G119" s="11">
        <v>2.88</v>
      </c>
      <c r="H119" s="11"/>
      <c r="I119" s="15"/>
      <c r="J119" s="12">
        <f t="shared" si="4"/>
        <v>50626.080000000002</v>
      </c>
      <c r="K119" s="12">
        <f t="shared" si="6"/>
        <v>12893.560000000005</v>
      </c>
    </row>
    <row r="120" spans="2:11" ht="15.75" thickBot="1" x14ac:dyDescent="0.3">
      <c r="B120" s="27"/>
      <c r="C120" s="9"/>
      <c r="D120" s="41"/>
      <c r="E120" s="11"/>
      <c r="F120" s="11"/>
      <c r="G120" s="11"/>
      <c r="H120" s="11"/>
      <c r="I120" s="15"/>
      <c r="J120" s="12">
        <f t="shared" si="4"/>
        <v>50626.080000000002</v>
      </c>
      <c r="K120" s="12">
        <f t="shared" si="6"/>
        <v>12893.560000000005</v>
      </c>
    </row>
    <row r="121" spans="2:11" ht="15.75" thickBot="1" x14ac:dyDescent="0.3">
      <c r="B121" s="5"/>
      <c r="C121" s="7" t="s">
        <v>0</v>
      </c>
      <c r="D121" s="62">
        <f>SUM(D56:D120)</f>
        <v>268490</v>
      </c>
      <c r="E121" s="61">
        <f>SUM(E56:E120)</f>
        <v>48131.83</v>
      </c>
      <c r="F121" s="71">
        <f>SUM(D121:E121)</f>
        <v>316621.83</v>
      </c>
      <c r="G121" s="80">
        <f>SUM(G58:G120)</f>
        <v>9500.8799999999992</v>
      </c>
      <c r="H121" s="98">
        <f>SUM(H58:H120)</f>
        <v>395093.72</v>
      </c>
      <c r="I121" s="71">
        <f>SUM(G121:H121)</f>
        <v>404594.6</v>
      </c>
      <c r="J121" s="20"/>
      <c r="K121" s="20"/>
    </row>
    <row r="122" spans="2:11" ht="15.75" thickBot="1" x14ac:dyDescent="0.3"/>
    <row r="123" spans="2:11" ht="15.75" thickBot="1" x14ac:dyDescent="0.3">
      <c r="I123" s="74" t="s">
        <v>8</v>
      </c>
      <c r="J123" s="74" t="s">
        <v>7</v>
      </c>
      <c r="K123" s="95" t="s">
        <v>0</v>
      </c>
    </row>
    <row r="124" spans="2:11" ht="15.75" thickBot="1" x14ac:dyDescent="0.3">
      <c r="I124" s="77">
        <v>50626.080000000002</v>
      </c>
      <c r="J124" s="77">
        <v>12893.56</v>
      </c>
      <c r="K124" s="20">
        <f>SUM(I124:J124)</f>
        <v>63519.64</v>
      </c>
    </row>
  </sheetData>
  <printOptions verticalCentered="1"/>
  <pageMargins left="0.31496062992125984" right="0" top="0.19685039370078741" bottom="0" header="0.31496062992125984" footer="0.31496062992125984"/>
  <pageSetup paperSize="9" scale="71" fitToHeight="0" orientation="landscape" horizontalDpi="0" verticalDpi="0" r:id="rId1"/>
  <ignoredErrors>
    <ignoredError sqref="F11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1:L123"/>
  <sheetViews>
    <sheetView zoomScale="90" zoomScaleNormal="90" workbookViewId="0">
      <pane ySplit="4" topLeftCell="A100" activePane="bottomLeft" state="frozen"/>
      <selection activeCell="B1" sqref="B1"/>
      <selection pane="bottomLeft" activeCell="C114" sqref="C114"/>
    </sheetView>
  </sheetViews>
  <sheetFormatPr baseColWidth="10" defaultRowHeight="15" x14ac:dyDescent="0.25"/>
  <cols>
    <col min="1" max="1" width="10.7109375" customWidth="1"/>
    <col min="2" max="2" width="11.7109375" customWidth="1"/>
    <col min="3" max="3" width="85" customWidth="1"/>
    <col min="4" max="11" width="11.7109375" customWidth="1"/>
  </cols>
  <sheetData>
    <row r="1" spans="2:11" ht="15.75" x14ac:dyDescent="0.25">
      <c r="B1" s="28">
        <v>43555</v>
      </c>
      <c r="J1" s="72"/>
      <c r="K1" s="46"/>
    </row>
    <row r="2" spans="2:11" ht="15.75" thickBot="1" x14ac:dyDescent="0.3">
      <c r="B2" s="212" t="s">
        <v>42</v>
      </c>
      <c r="C2" s="212"/>
      <c r="D2" s="212"/>
      <c r="E2" s="212"/>
      <c r="F2" s="212"/>
      <c r="G2" s="212"/>
      <c r="H2" s="212"/>
      <c r="I2" s="212"/>
      <c r="J2" s="212"/>
      <c r="K2" s="212"/>
    </row>
    <row r="3" spans="2:11" x14ac:dyDescent="0.25">
      <c r="B3" s="68" t="s">
        <v>1</v>
      </c>
      <c r="C3" s="68" t="s">
        <v>2</v>
      </c>
      <c r="D3" s="68" t="s">
        <v>3</v>
      </c>
      <c r="E3" s="68" t="s">
        <v>3</v>
      </c>
      <c r="F3" s="68" t="s">
        <v>22</v>
      </c>
      <c r="G3" s="68" t="s">
        <v>23</v>
      </c>
      <c r="H3" s="48" t="s">
        <v>23</v>
      </c>
      <c r="I3" s="48" t="s">
        <v>22</v>
      </c>
      <c r="J3" s="68" t="s">
        <v>8</v>
      </c>
      <c r="K3" s="48" t="s">
        <v>7</v>
      </c>
    </row>
    <row r="4" spans="2:11" ht="15.75" thickBot="1" x14ac:dyDescent="0.3">
      <c r="B4" s="69"/>
      <c r="C4" s="69"/>
      <c r="D4" s="69" t="s">
        <v>5</v>
      </c>
      <c r="E4" s="69" t="s">
        <v>24</v>
      </c>
      <c r="F4" s="69" t="s">
        <v>3</v>
      </c>
      <c r="G4" s="69" t="s">
        <v>24</v>
      </c>
      <c r="H4" s="70" t="s">
        <v>5</v>
      </c>
      <c r="I4" s="70" t="s">
        <v>4</v>
      </c>
      <c r="J4" s="69"/>
      <c r="K4" s="70"/>
    </row>
    <row r="5" spans="2:11" x14ac:dyDescent="0.25">
      <c r="B5" s="23">
        <v>43524</v>
      </c>
      <c r="C5" s="65" t="s">
        <v>43</v>
      </c>
      <c r="D5" s="66"/>
      <c r="E5" s="63"/>
      <c r="F5" s="63"/>
      <c r="G5" s="63"/>
      <c r="H5" s="17"/>
      <c r="I5" s="64"/>
      <c r="J5" s="73">
        <v>50626.080000000002</v>
      </c>
      <c r="K5" s="67">
        <v>12893.56</v>
      </c>
    </row>
    <row r="6" spans="2:11" x14ac:dyDescent="0.25">
      <c r="B6" s="23">
        <v>43525</v>
      </c>
      <c r="C6" s="9" t="s">
        <v>259</v>
      </c>
      <c r="D6" s="10"/>
      <c r="E6" s="10"/>
      <c r="F6" s="10"/>
      <c r="G6" s="10"/>
      <c r="H6" s="11">
        <v>1250</v>
      </c>
      <c r="I6" s="11"/>
      <c r="J6" s="12">
        <f>+J5+E6-G6</f>
        <v>50626.080000000002</v>
      </c>
      <c r="K6" s="12">
        <f>+K5+D6-H6</f>
        <v>11643.56</v>
      </c>
    </row>
    <row r="7" spans="2:11" ht="15.75" x14ac:dyDescent="0.25">
      <c r="B7" s="18">
        <v>43525</v>
      </c>
      <c r="C7" s="9" t="s">
        <v>260</v>
      </c>
      <c r="D7" s="33"/>
      <c r="E7" s="33"/>
      <c r="F7" s="33"/>
      <c r="G7" s="33"/>
      <c r="H7" s="60">
        <v>57</v>
      </c>
      <c r="I7" s="60"/>
      <c r="J7" s="12">
        <f t="shared" ref="J7:J54" si="0">+J6+E7-G7</f>
        <v>50626.080000000002</v>
      </c>
      <c r="K7" s="12">
        <f t="shared" ref="K7:K54" si="1">+K6+D7-H7</f>
        <v>11586.56</v>
      </c>
    </row>
    <row r="8" spans="2:11" x14ac:dyDescent="0.25">
      <c r="B8" s="18">
        <v>43525</v>
      </c>
      <c r="C8" s="13" t="s">
        <v>264</v>
      </c>
      <c r="D8" s="11"/>
      <c r="E8" s="11"/>
      <c r="F8" s="11"/>
      <c r="G8" s="11"/>
      <c r="H8" s="11">
        <v>1194.8699999999999</v>
      </c>
      <c r="I8" s="11"/>
      <c r="J8" s="12">
        <f t="shared" si="0"/>
        <v>50626.080000000002</v>
      </c>
      <c r="K8" s="12">
        <f t="shared" si="1"/>
        <v>10391.689999999999</v>
      </c>
    </row>
    <row r="9" spans="2:11" x14ac:dyDescent="0.25">
      <c r="B9" s="18">
        <v>43525</v>
      </c>
      <c r="C9" s="13" t="s">
        <v>261</v>
      </c>
      <c r="D9" s="11"/>
      <c r="E9" s="11"/>
      <c r="F9" s="11"/>
      <c r="G9" s="11"/>
      <c r="H9" s="11">
        <v>370</v>
      </c>
      <c r="I9" s="11"/>
      <c r="J9" s="12">
        <f t="shared" si="0"/>
        <v>50626.080000000002</v>
      </c>
      <c r="K9" s="12">
        <f t="shared" si="1"/>
        <v>10021.689999999999</v>
      </c>
    </row>
    <row r="10" spans="2:11" x14ac:dyDescent="0.25">
      <c r="B10" s="18">
        <v>43525</v>
      </c>
      <c r="C10" s="24" t="s">
        <v>337</v>
      </c>
      <c r="D10" s="11"/>
      <c r="E10" s="11"/>
      <c r="F10" s="11"/>
      <c r="G10" s="11"/>
      <c r="H10" s="11">
        <v>84</v>
      </c>
      <c r="I10" s="15"/>
      <c r="J10" s="12">
        <f t="shared" si="0"/>
        <v>50626.080000000002</v>
      </c>
      <c r="K10" s="12">
        <f t="shared" si="1"/>
        <v>9937.6899999999987</v>
      </c>
    </row>
    <row r="11" spans="2:11" x14ac:dyDescent="0.25">
      <c r="B11" s="18">
        <v>43526</v>
      </c>
      <c r="C11" s="24" t="s">
        <v>263</v>
      </c>
      <c r="D11" s="11"/>
      <c r="E11" s="11"/>
      <c r="F11" s="11"/>
      <c r="G11" s="15"/>
      <c r="H11" s="11">
        <v>400</v>
      </c>
      <c r="I11" s="11"/>
      <c r="J11" s="12">
        <f t="shared" si="0"/>
        <v>50626.080000000002</v>
      </c>
      <c r="K11" s="12">
        <f t="shared" si="1"/>
        <v>9537.6899999999987</v>
      </c>
    </row>
    <row r="12" spans="2:11" x14ac:dyDescent="0.25">
      <c r="B12" s="18">
        <v>43527</v>
      </c>
      <c r="C12" s="13" t="s">
        <v>265</v>
      </c>
      <c r="D12" s="11"/>
      <c r="E12" s="11"/>
      <c r="F12" s="11"/>
      <c r="G12" s="11"/>
      <c r="H12" s="11">
        <v>48</v>
      </c>
      <c r="I12" s="11"/>
      <c r="J12" s="12">
        <f t="shared" si="0"/>
        <v>50626.080000000002</v>
      </c>
      <c r="K12" s="12">
        <f t="shared" si="1"/>
        <v>9489.6899999999987</v>
      </c>
    </row>
    <row r="13" spans="2:11" x14ac:dyDescent="0.25">
      <c r="B13" s="18">
        <v>43527</v>
      </c>
      <c r="C13" s="13" t="s">
        <v>266</v>
      </c>
      <c r="D13" s="11"/>
      <c r="E13" s="11"/>
      <c r="F13" s="11"/>
      <c r="G13" s="11"/>
      <c r="H13" s="11">
        <v>47.5</v>
      </c>
      <c r="I13" s="11"/>
      <c r="J13" s="12">
        <f t="shared" si="0"/>
        <v>50626.080000000002</v>
      </c>
      <c r="K13" s="12">
        <f t="shared" si="1"/>
        <v>9442.1899999999987</v>
      </c>
    </row>
    <row r="14" spans="2:11" x14ac:dyDescent="0.25">
      <c r="B14" s="18">
        <v>43527</v>
      </c>
      <c r="C14" s="24" t="s">
        <v>267</v>
      </c>
      <c r="D14" s="11"/>
      <c r="E14" s="11"/>
      <c r="F14" s="11"/>
      <c r="G14" s="11"/>
      <c r="H14" s="11">
        <v>12</v>
      </c>
      <c r="I14" s="15"/>
      <c r="J14" s="12">
        <f t="shared" si="0"/>
        <v>50626.080000000002</v>
      </c>
      <c r="K14" s="12">
        <f t="shared" si="1"/>
        <v>9430.1899999999987</v>
      </c>
    </row>
    <row r="15" spans="2:11" x14ac:dyDescent="0.25">
      <c r="B15" s="18">
        <v>43527</v>
      </c>
      <c r="C15" s="14" t="s">
        <v>228</v>
      </c>
      <c r="D15" s="11"/>
      <c r="E15" s="11"/>
      <c r="F15" s="11"/>
      <c r="G15" s="11"/>
      <c r="H15" s="11">
        <v>120</v>
      </c>
      <c r="I15" s="11"/>
      <c r="J15" s="12">
        <f t="shared" si="0"/>
        <v>50626.080000000002</v>
      </c>
      <c r="K15" s="12">
        <f t="shared" si="1"/>
        <v>9310.1899999999987</v>
      </c>
    </row>
    <row r="16" spans="2:11" x14ac:dyDescent="0.25">
      <c r="B16" s="18">
        <v>43527</v>
      </c>
      <c r="C16" s="13" t="s">
        <v>268</v>
      </c>
      <c r="D16" s="11">
        <v>27360</v>
      </c>
      <c r="E16" s="11"/>
      <c r="F16" s="11"/>
      <c r="G16" s="11"/>
      <c r="H16" s="11"/>
      <c r="I16" s="11"/>
      <c r="J16" s="12">
        <f t="shared" si="0"/>
        <v>50626.080000000002</v>
      </c>
      <c r="K16" s="12">
        <f t="shared" si="1"/>
        <v>36670.19</v>
      </c>
    </row>
    <row r="17" spans="2:11" x14ac:dyDescent="0.25">
      <c r="B17" s="18">
        <v>43528</v>
      </c>
      <c r="C17" s="13" t="s">
        <v>269</v>
      </c>
      <c r="D17" s="11"/>
      <c r="E17" s="11"/>
      <c r="F17" s="11"/>
      <c r="G17" s="11"/>
      <c r="H17" s="11">
        <v>190</v>
      </c>
      <c r="I17" s="11"/>
      <c r="J17" s="12">
        <f t="shared" si="0"/>
        <v>50626.080000000002</v>
      </c>
      <c r="K17" s="12">
        <f t="shared" si="1"/>
        <v>36480.19</v>
      </c>
    </row>
    <row r="18" spans="2:11" x14ac:dyDescent="0.25">
      <c r="B18" s="18">
        <v>43528</v>
      </c>
      <c r="C18" s="13" t="s">
        <v>270</v>
      </c>
      <c r="D18" s="11"/>
      <c r="E18" s="11"/>
      <c r="F18" s="11"/>
      <c r="G18" s="11"/>
      <c r="H18" s="11">
        <v>154</v>
      </c>
      <c r="I18" s="11"/>
      <c r="J18" s="12">
        <f t="shared" si="0"/>
        <v>50626.080000000002</v>
      </c>
      <c r="K18" s="12">
        <f t="shared" si="1"/>
        <v>36326.19</v>
      </c>
    </row>
    <row r="19" spans="2:11" x14ac:dyDescent="0.25">
      <c r="B19" s="25">
        <v>43530</v>
      </c>
      <c r="C19" s="13" t="s">
        <v>271</v>
      </c>
      <c r="D19" s="11"/>
      <c r="E19" s="11"/>
      <c r="F19" s="11"/>
      <c r="G19" s="11"/>
      <c r="H19" s="11">
        <v>300</v>
      </c>
      <c r="I19" s="59"/>
      <c r="J19" s="12">
        <f t="shared" si="0"/>
        <v>50626.080000000002</v>
      </c>
      <c r="K19" s="12">
        <f t="shared" si="1"/>
        <v>36026.19</v>
      </c>
    </row>
    <row r="20" spans="2:11" x14ac:dyDescent="0.25">
      <c r="B20" s="25">
        <v>43530</v>
      </c>
      <c r="C20" s="13" t="s">
        <v>272</v>
      </c>
      <c r="D20" s="11"/>
      <c r="E20" s="11"/>
      <c r="F20" s="11"/>
      <c r="G20" s="11"/>
      <c r="H20" s="11">
        <v>39</v>
      </c>
      <c r="I20" s="11"/>
      <c r="J20" s="12">
        <f t="shared" si="0"/>
        <v>50626.080000000002</v>
      </c>
      <c r="K20" s="12">
        <f t="shared" si="1"/>
        <v>35987.19</v>
      </c>
    </row>
    <row r="21" spans="2:11" x14ac:dyDescent="0.25">
      <c r="B21" s="25">
        <v>43530</v>
      </c>
      <c r="C21" s="13" t="s">
        <v>272</v>
      </c>
      <c r="D21" s="11"/>
      <c r="E21" s="11"/>
      <c r="F21" s="11"/>
      <c r="G21" s="11"/>
      <c r="H21" s="11">
        <v>47</v>
      </c>
      <c r="I21" s="11"/>
      <c r="J21" s="12">
        <f t="shared" si="0"/>
        <v>50626.080000000002</v>
      </c>
      <c r="K21" s="12">
        <f t="shared" si="1"/>
        <v>35940.19</v>
      </c>
    </row>
    <row r="22" spans="2:11" x14ac:dyDescent="0.25">
      <c r="B22" s="18">
        <v>43530</v>
      </c>
      <c r="C22" s="13" t="s">
        <v>273</v>
      </c>
      <c r="D22" s="11"/>
      <c r="E22" s="11"/>
      <c r="F22" s="11"/>
      <c r="G22" s="11"/>
      <c r="H22" s="11">
        <v>1800</v>
      </c>
      <c r="I22" s="11"/>
      <c r="J22" s="12">
        <f t="shared" si="0"/>
        <v>50626.080000000002</v>
      </c>
      <c r="K22" s="12">
        <f t="shared" si="1"/>
        <v>34140.19</v>
      </c>
    </row>
    <row r="23" spans="2:11" x14ac:dyDescent="0.25">
      <c r="B23" s="18">
        <v>43530</v>
      </c>
      <c r="C23" s="13" t="s">
        <v>274</v>
      </c>
      <c r="D23" s="11"/>
      <c r="E23" s="11"/>
      <c r="F23" s="11"/>
      <c r="G23" s="11"/>
      <c r="H23" s="11">
        <v>150</v>
      </c>
      <c r="I23" s="11"/>
      <c r="J23" s="12">
        <f t="shared" si="0"/>
        <v>50626.080000000002</v>
      </c>
      <c r="K23" s="12">
        <f t="shared" si="1"/>
        <v>33990.19</v>
      </c>
    </row>
    <row r="24" spans="2:11" x14ac:dyDescent="0.25">
      <c r="B24" s="23">
        <v>43530</v>
      </c>
      <c r="C24" s="13" t="s">
        <v>275</v>
      </c>
      <c r="D24" s="17"/>
      <c r="E24" s="17"/>
      <c r="F24" s="17"/>
      <c r="G24" s="17"/>
      <c r="H24" s="17">
        <v>350</v>
      </c>
      <c r="I24" s="17"/>
      <c r="J24" s="12">
        <f t="shared" si="0"/>
        <v>50626.080000000002</v>
      </c>
      <c r="K24" s="12">
        <f t="shared" si="1"/>
        <v>33640.19</v>
      </c>
    </row>
    <row r="25" spans="2:11" x14ac:dyDescent="0.25">
      <c r="B25" s="23">
        <v>43531</v>
      </c>
      <c r="C25" s="13" t="s">
        <v>276</v>
      </c>
      <c r="D25" s="17"/>
      <c r="E25" s="17"/>
      <c r="F25" s="17"/>
      <c r="G25" s="17"/>
      <c r="H25" s="17">
        <v>300</v>
      </c>
      <c r="I25" s="17"/>
      <c r="J25" s="12">
        <f t="shared" si="0"/>
        <v>50626.080000000002</v>
      </c>
      <c r="K25" s="12">
        <f t="shared" si="1"/>
        <v>33340.19</v>
      </c>
    </row>
    <row r="26" spans="2:11" x14ac:dyDescent="0.25">
      <c r="B26" s="18">
        <v>43531</v>
      </c>
      <c r="C26" s="13" t="s">
        <v>277</v>
      </c>
      <c r="D26" s="11"/>
      <c r="E26" s="11"/>
      <c r="F26" s="11"/>
      <c r="G26" s="11"/>
      <c r="H26" s="11">
        <v>90</v>
      </c>
      <c r="I26" s="11"/>
      <c r="J26" s="12">
        <f t="shared" si="0"/>
        <v>50626.080000000002</v>
      </c>
      <c r="K26" s="12">
        <f t="shared" si="1"/>
        <v>33250.19</v>
      </c>
    </row>
    <row r="27" spans="2:11" x14ac:dyDescent="0.25">
      <c r="B27" s="18">
        <v>43532</v>
      </c>
      <c r="C27" s="13" t="s">
        <v>278</v>
      </c>
      <c r="D27" s="11"/>
      <c r="E27" s="11"/>
      <c r="F27" s="11"/>
      <c r="G27" s="11"/>
      <c r="H27" s="11">
        <v>1250</v>
      </c>
      <c r="I27" s="11"/>
      <c r="J27" s="12">
        <f t="shared" si="0"/>
        <v>50626.080000000002</v>
      </c>
      <c r="K27" s="12">
        <f t="shared" si="1"/>
        <v>32000.190000000002</v>
      </c>
    </row>
    <row r="28" spans="2:11" x14ac:dyDescent="0.25">
      <c r="B28" s="25">
        <v>43532</v>
      </c>
      <c r="C28" s="13" t="s">
        <v>279</v>
      </c>
      <c r="D28" s="11"/>
      <c r="E28" s="11"/>
      <c r="F28" s="11"/>
      <c r="G28" s="11"/>
      <c r="H28" s="11">
        <v>350</v>
      </c>
      <c r="I28" s="11"/>
      <c r="J28" s="12">
        <f t="shared" si="0"/>
        <v>50626.080000000002</v>
      </c>
      <c r="K28" s="12">
        <f t="shared" si="1"/>
        <v>31650.190000000002</v>
      </c>
    </row>
    <row r="29" spans="2:11" x14ac:dyDescent="0.25">
      <c r="B29" s="18">
        <v>43533</v>
      </c>
      <c r="C29" s="29" t="s">
        <v>280</v>
      </c>
      <c r="D29" s="11"/>
      <c r="E29" s="11"/>
      <c r="F29" s="11"/>
      <c r="G29" s="11"/>
      <c r="H29" s="11">
        <v>33</v>
      </c>
      <c r="I29" s="11"/>
      <c r="J29" s="12">
        <f t="shared" si="0"/>
        <v>50626.080000000002</v>
      </c>
      <c r="K29" s="12">
        <f t="shared" si="1"/>
        <v>31617.190000000002</v>
      </c>
    </row>
    <row r="30" spans="2:11" x14ac:dyDescent="0.25">
      <c r="B30" s="18">
        <v>43534</v>
      </c>
      <c r="C30" s="13" t="s">
        <v>228</v>
      </c>
      <c r="D30" s="11"/>
      <c r="E30" s="11"/>
      <c r="F30" s="11"/>
      <c r="G30" s="11"/>
      <c r="H30" s="11">
        <v>120</v>
      </c>
      <c r="I30" s="11"/>
      <c r="J30" s="12">
        <f t="shared" si="0"/>
        <v>50626.080000000002</v>
      </c>
      <c r="K30" s="12">
        <f t="shared" si="1"/>
        <v>31497.190000000002</v>
      </c>
    </row>
    <row r="31" spans="2:11" x14ac:dyDescent="0.25">
      <c r="B31" s="18">
        <v>43534</v>
      </c>
      <c r="C31" s="13" t="s">
        <v>281</v>
      </c>
      <c r="D31" s="11"/>
      <c r="E31" s="11"/>
      <c r="F31" s="11"/>
      <c r="G31" s="11"/>
      <c r="H31" s="11">
        <v>116</v>
      </c>
      <c r="I31" s="11"/>
      <c r="J31" s="12">
        <f t="shared" si="0"/>
        <v>50626.080000000002</v>
      </c>
      <c r="K31" s="12">
        <f t="shared" si="1"/>
        <v>31381.190000000002</v>
      </c>
    </row>
    <row r="32" spans="2:11" x14ac:dyDescent="0.25">
      <c r="B32" s="25">
        <v>43534</v>
      </c>
      <c r="C32" s="13" t="s">
        <v>282</v>
      </c>
      <c r="D32" s="11"/>
      <c r="E32" s="11"/>
      <c r="F32" s="11"/>
      <c r="G32" s="11"/>
      <c r="H32" s="11">
        <v>97</v>
      </c>
      <c r="I32" s="11"/>
      <c r="J32" s="12">
        <f t="shared" si="0"/>
        <v>50626.080000000002</v>
      </c>
      <c r="K32" s="12">
        <f t="shared" si="1"/>
        <v>31284.190000000002</v>
      </c>
    </row>
    <row r="33" spans="2:11" x14ac:dyDescent="0.25">
      <c r="B33" s="18">
        <v>43534</v>
      </c>
      <c r="C33" s="13" t="s">
        <v>262</v>
      </c>
      <c r="D33" s="11"/>
      <c r="E33" s="11"/>
      <c r="F33" s="11"/>
      <c r="G33" s="11"/>
      <c r="H33" s="11">
        <v>36</v>
      </c>
      <c r="I33" s="11"/>
      <c r="J33" s="12">
        <f t="shared" si="0"/>
        <v>50626.080000000002</v>
      </c>
      <c r="K33" s="12">
        <f t="shared" si="1"/>
        <v>31248.190000000002</v>
      </c>
    </row>
    <row r="34" spans="2:11" x14ac:dyDescent="0.25">
      <c r="B34" s="18">
        <v>43534</v>
      </c>
      <c r="C34" s="13" t="s">
        <v>283</v>
      </c>
      <c r="D34" s="11">
        <v>29750</v>
      </c>
      <c r="E34" s="11"/>
      <c r="F34" s="11"/>
      <c r="G34" s="11"/>
      <c r="H34" s="11"/>
      <c r="I34" s="11"/>
      <c r="J34" s="12">
        <f t="shared" si="0"/>
        <v>50626.080000000002</v>
      </c>
      <c r="K34" s="12">
        <f t="shared" si="1"/>
        <v>60998.19</v>
      </c>
    </row>
    <row r="35" spans="2:11" x14ac:dyDescent="0.25">
      <c r="B35" s="18">
        <v>43535</v>
      </c>
      <c r="C35" s="29" t="s">
        <v>291</v>
      </c>
      <c r="D35" s="11"/>
      <c r="E35" s="11"/>
      <c r="F35" s="11"/>
      <c r="G35" s="11"/>
      <c r="H35" s="11">
        <v>400</v>
      </c>
      <c r="I35" s="11"/>
      <c r="J35" s="12">
        <f t="shared" si="0"/>
        <v>50626.080000000002</v>
      </c>
      <c r="K35" s="12">
        <f t="shared" si="1"/>
        <v>60598.19</v>
      </c>
    </row>
    <row r="36" spans="2:11" x14ac:dyDescent="0.25">
      <c r="B36" s="18">
        <v>43719</v>
      </c>
      <c r="C36" s="35" t="s">
        <v>269</v>
      </c>
      <c r="D36" s="41"/>
      <c r="E36" s="41"/>
      <c r="F36" s="41"/>
      <c r="G36" s="41"/>
      <c r="H36" s="11">
        <v>190</v>
      </c>
      <c r="I36" s="11"/>
      <c r="J36" s="12">
        <f t="shared" si="0"/>
        <v>50626.080000000002</v>
      </c>
      <c r="K36" s="12">
        <f t="shared" si="1"/>
        <v>60408.19</v>
      </c>
    </row>
    <row r="37" spans="2:11" x14ac:dyDescent="0.25">
      <c r="B37" s="18">
        <v>43719</v>
      </c>
      <c r="C37" s="34" t="s">
        <v>271</v>
      </c>
      <c r="D37" s="41"/>
      <c r="E37" s="41"/>
      <c r="F37" s="41"/>
      <c r="G37" s="41"/>
      <c r="H37" s="11">
        <v>300</v>
      </c>
      <c r="I37" s="11"/>
      <c r="J37" s="12">
        <f t="shared" si="0"/>
        <v>50626.080000000002</v>
      </c>
      <c r="K37" s="12">
        <f t="shared" si="1"/>
        <v>60108.19</v>
      </c>
    </row>
    <row r="38" spans="2:11" x14ac:dyDescent="0.25">
      <c r="B38" s="18">
        <v>43537</v>
      </c>
      <c r="C38" s="13" t="s">
        <v>284</v>
      </c>
      <c r="D38" s="11"/>
      <c r="E38" s="11"/>
      <c r="F38" s="11"/>
      <c r="G38" s="11"/>
      <c r="H38" s="11">
        <v>300</v>
      </c>
      <c r="I38" s="11"/>
      <c r="J38" s="12">
        <f t="shared" si="0"/>
        <v>50626.080000000002</v>
      </c>
      <c r="K38" s="12">
        <f t="shared" si="1"/>
        <v>59808.19</v>
      </c>
    </row>
    <row r="39" spans="2:11" x14ac:dyDescent="0.25">
      <c r="B39" s="18">
        <v>43537</v>
      </c>
      <c r="C39" s="13" t="s">
        <v>285</v>
      </c>
      <c r="D39" s="11"/>
      <c r="E39" s="11"/>
      <c r="F39" s="11"/>
      <c r="G39" s="11"/>
      <c r="H39" s="11">
        <v>300</v>
      </c>
      <c r="I39" s="11"/>
      <c r="J39" s="12">
        <f t="shared" si="0"/>
        <v>50626.080000000002</v>
      </c>
      <c r="K39" s="12">
        <f t="shared" si="1"/>
        <v>59508.19</v>
      </c>
    </row>
    <row r="40" spans="2:11" x14ac:dyDescent="0.25">
      <c r="B40" s="18">
        <v>43537</v>
      </c>
      <c r="C40" s="13" t="s">
        <v>286</v>
      </c>
      <c r="D40" s="11"/>
      <c r="E40" s="11"/>
      <c r="F40" s="11"/>
      <c r="G40" s="11"/>
      <c r="H40" s="11">
        <v>37</v>
      </c>
      <c r="I40" s="11"/>
      <c r="J40" s="12">
        <f t="shared" si="0"/>
        <v>50626.080000000002</v>
      </c>
      <c r="K40" s="12">
        <f t="shared" si="1"/>
        <v>59471.19</v>
      </c>
    </row>
    <row r="41" spans="2:11" x14ac:dyDescent="0.25">
      <c r="B41" s="18">
        <v>43537</v>
      </c>
      <c r="C41" s="9" t="s">
        <v>277</v>
      </c>
      <c r="D41" s="11"/>
      <c r="E41" s="11"/>
      <c r="F41" s="11"/>
      <c r="G41" s="11"/>
      <c r="H41" s="11">
        <v>23</v>
      </c>
      <c r="I41" s="11"/>
      <c r="J41" s="12">
        <f t="shared" si="0"/>
        <v>50626.080000000002</v>
      </c>
      <c r="K41" s="12">
        <f t="shared" si="1"/>
        <v>59448.19</v>
      </c>
    </row>
    <row r="42" spans="2:11" x14ac:dyDescent="0.25">
      <c r="B42" s="18">
        <v>43537</v>
      </c>
      <c r="C42" s="13" t="s">
        <v>287</v>
      </c>
      <c r="D42" s="11"/>
      <c r="E42" s="11"/>
      <c r="F42" s="11"/>
      <c r="G42" s="11"/>
      <c r="H42" s="59">
        <v>778</v>
      </c>
      <c r="I42" s="11"/>
      <c r="J42" s="12">
        <f t="shared" si="0"/>
        <v>50626.080000000002</v>
      </c>
      <c r="K42" s="12">
        <f t="shared" si="1"/>
        <v>58670.19</v>
      </c>
    </row>
    <row r="43" spans="2:11" x14ac:dyDescent="0.25">
      <c r="B43" s="18">
        <v>43538</v>
      </c>
      <c r="C43" s="13" t="s">
        <v>288</v>
      </c>
      <c r="D43" s="11"/>
      <c r="E43" s="11"/>
      <c r="F43" s="11"/>
      <c r="G43" s="11"/>
      <c r="H43" s="59">
        <v>108.7</v>
      </c>
      <c r="I43" s="11"/>
      <c r="J43" s="12">
        <f t="shared" si="0"/>
        <v>50626.080000000002</v>
      </c>
      <c r="K43" s="12">
        <f t="shared" si="1"/>
        <v>58561.490000000005</v>
      </c>
    </row>
    <row r="44" spans="2:11" x14ac:dyDescent="0.25">
      <c r="B44" s="18">
        <v>43538</v>
      </c>
      <c r="C44" s="35" t="s">
        <v>289</v>
      </c>
      <c r="D44" s="11"/>
      <c r="E44" s="11"/>
      <c r="F44" s="11"/>
      <c r="G44" s="11"/>
      <c r="H44" s="11">
        <v>300</v>
      </c>
      <c r="I44" s="11"/>
      <c r="J44" s="12">
        <f t="shared" si="0"/>
        <v>50626.080000000002</v>
      </c>
      <c r="K44" s="12">
        <f t="shared" si="1"/>
        <v>58261.490000000005</v>
      </c>
    </row>
    <row r="45" spans="2:11" x14ac:dyDescent="0.25">
      <c r="B45" s="18">
        <v>43539</v>
      </c>
      <c r="C45" s="13" t="s">
        <v>292</v>
      </c>
      <c r="D45" s="11"/>
      <c r="E45" s="11"/>
      <c r="F45" s="11"/>
      <c r="G45" s="11"/>
      <c r="H45" s="11">
        <v>1250</v>
      </c>
      <c r="I45" s="11"/>
      <c r="J45" s="12">
        <f t="shared" si="0"/>
        <v>50626.080000000002</v>
      </c>
      <c r="K45" s="12">
        <f t="shared" si="1"/>
        <v>57011.490000000005</v>
      </c>
    </row>
    <row r="46" spans="2:11" x14ac:dyDescent="0.25">
      <c r="B46" s="18">
        <v>43539</v>
      </c>
      <c r="C46" s="13" t="s">
        <v>290</v>
      </c>
      <c r="D46" s="11"/>
      <c r="E46" s="11"/>
      <c r="F46" s="11"/>
      <c r="G46" s="11"/>
      <c r="H46" s="11">
        <v>350</v>
      </c>
      <c r="I46" s="11"/>
      <c r="J46" s="12">
        <f t="shared" si="0"/>
        <v>50626.080000000002</v>
      </c>
      <c r="K46" s="12">
        <f t="shared" si="1"/>
        <v>56661.490000000005</v>
      </c>
    </row>
    <row r="47" spans="2:11" x14ac:dyDescent="0.25">
      <c r="B47" s="18">
        <v>43539</v>
      </c>
      <c r="C47" s="13" t="s">
        <v>293</v>
      </c>
      <c r="D47" s="11"/>
      <c r="E47" s="11"/>
      <c r="F47" s="11"/>
      <c r="G47" s="11"/>
      <c r="H47" s="11">
        <v>550</v>
      </c>
      <c r="I47" s="11"/>
      <c r="J47" s="12">
        <f t="shared" si="0"/>
        <v>50626.080000000002</v>
      </c>
      <c r="K47" s="12">
        <f t="shared" si="1"/>
        <v>56111.490000000005</v>
      </c>
    </row>
    <row r="48" spans="2:11" x14ac:dyDescent="0.25">
      <c r="B48" s="18">
        <v>43539</v>
      </c>
      <c r="C48" s="9" t="s">
        <v>294</v>
      </c>
      <c r="D48" s="11"/>
      <c r="E48" s="11"/>
      <c r="F48" s="11"/>
      <c r="G48" s="11"/>
      <c r="H48" s="11">
        <v>2000</v>
      </c>
      <c r="I48" s="11"/>
      <c r="J48" s="12">
        <f t="shared" si="0"/>
        <v>50626.080000000002</v>
      </c>
      <c r="K48" s="12">
        <f t="shared" si="1"/>
        <v>54111.490000000005</v>
      </c>
    </row>
    <row r="49" spans="2:11" x14ac:dyDescent="0.25">
      <c r="B49" s="18">
        <v>43539</v>
      </c>
      <c r="C49" s="9" t="s">
        <v>119</v>
      </c>
      <c r="D49" s="11"/>
      <c r="E49" s="11"/>
      <c r="F49" s="11"/>
      <c r="G49" s="11"/>
      <c r="H49" s="11">
        <v>4000</v>
      </c>
      <c r="I49" s="11"/>
      <c r="J49" s="12">
        <f t="shared" si="0"/>
        <v>50626.080000000002</v>
      </c>
      <c r="K49" s="12">
        <f t="shared" si="1"/>
        <v>50111.490000000005</v>
      </c>
    </row>
    <row r="50" spans="2:11" x14ac:dyDescent="0.25">
      <c r="B50" s="18">
        <v>43539</v>
      </c>
      <c r="C50" s="21" t="s">
        <v>295</v>
      </c>
      <c r="D50" s="11"/>
      <c r="E50" s="11"/>
      <c r="F50" s="11"/>
      <c r="G50" s="11"/>
      <c r="H50" s="11">
        <v>40000</v>
      </c>
      <c r="I50" s="11"/>
      <c r="J50" s="12">
        <f t="shared" si="0"/>
        <v>50626.080000000002</v>
      </c>
      <c r="K50" s="12">
        <f t="shared" si="1"/>
        <v>10111.490000000005</v>
      </c>
    </row>
    <row r="51" spans="2:11" x14ac:dyDescent="0.25">
      <c r="B51" s="18">
        <v>43539</v>
      </c>
      <c r="C51" s="13" t="s">
        <v>271</v>
      </c>
      <c r="D51" s="11"/>
      <c r="E51" s="11"/>
      <c r="F51" s="11"/>
      <c r="G51" s="11"/>
      <c r="H51" s="11">
        <v>300</v>
      </c>
      <c r="I51" s="11"/>
      <c r="J51" s="12">
        <f t="shared" si="0"/>
        <v>50626.080000000002</v>
      </c>
      <c r="K51" s="12">
        <f t="shared" si="1"/>
        <v>9811.4900000000052</v>
      </c>
    </row>
    <row r="52" spans="2:11" x14ac:dyDescent="0.25">
      <c r="B52" s="18">
        <v>43539</v>
      </c>
      <c r="C52" s="13" t="s">
        <v>299</v>
      </c>
      <c r="D52" s="11"/>
      <c r="E52" s="11"/>
      <c r="F52" s="11"/>
      <c r="G52" s="11"/>
      <c r="H52" s="11">
        <v>76</v>
      </c>
      <c r="I52" s="11"/>
      <c r="J52" s="12">
        <f t="shared" si="0"/>
        <v>50626.080000000002</v>
      </c>
      <c r="K52" s="12">
        <f t="shared" si="1"/>
        <v>9735.4900000000052</v>
      </c>
    </row>
    <row r="53" spans="2:11" x14ac:dyDescent="0.25">
      <c r="B53" s="18">
        <v>43540</v>
      </c>
      <c r="C53" s="13" t="s">
        <v>300</v>
      </c>
      <c r="D53" s="11"/>
      <c r="E53" s="11"/>
      <c r="F53" s="11"/>
      <c r="G53" s="11"/>
      <c r="H53" s="11">
        <v>400</v>
      </c>
      <c r="I53" s="11"/>
      <c r="J53" s="12">
        <f t="shared" si="0"/>
        <v>50626.080000000002</v>
      </c>
      <c r="K53" s="12">
        <f t="shared" si="1"/>
        <v>9335.4900000000052</v>
      </c>
    </row>
    <row r="54" spans="2:11" ht="15.75" thickBot="1" x14ac:dyDescent="0.3">
      <c r="B54" s="18">
        <v>43540</v>
      </c>
      <c r="C54" s="13" t="s">
        <v>301</v>
      </c>
      <c r="D54" s="11"/>
      <c r="E54" s="11"/>
      <c r="F54" s="11"/>
      <c r="G54" s="11"/>
      <c r="H54" s="11">
        <v>64</v>
      </c>
      <c r="I54" s="11"/>
      <c r="J54" s="12">
        <f t="shared" si="0"/>
        <v>50626.080000000002</v>
      </c>
      <c r="K54" s="12">
        <f t="shared" si="1"/>
        <v>9271.4900000000052</v>
      </c>
    </row>
    <row r="55" spans="2:11" ht="15.75" thickBot="1" x14ac:dyDescent="0.3">
      <c r="B55" s="5"/>
      <c r="C55" s="7" t="s">
        <v>0</v>
      </c>
      <c r="D55" s="62">
        <f>SUM(D5:D54)</f>
        <v>57110</v>
      </c>
      <c r="E55" s="61">
        <f>SUM(E5:E54)</f>
        <v>0</v>
      </c>
      <c r="F55" s="71">
        <f>SUM(D55:E55)</f>
        <v>57110</v>
      </c>
      <c r="G55" s="71">
        <f>SUM(G5:G54)</f>
        <v>0</v>
      </c>
      <c r="H55" s="62">
        <f>SUM(H5:H54)</f>
        <v>60732.07</v>
      </c>
      <c r="I55" s="71">
        <f>SUM(G55:H55)</f>
        <v>60732.07</v>
      </c>
      <c r="J55" s="20"/>
      <c r="K55" s="20"/>
    </row>
    <row r="56" spans="2:11" x14ac:dyDescent="0.25">
      <c r="B56" s="68" t="s">
        <v>1</v>
      </c>
      <c r="C56" s="68" t="s">
        <v>2</v>
      </c>
      <c r="D56" s="68" t="s">
        <v>3</v>
      </c>
      <c r="E56" s="68" t="s">
        <v>3</v>
      </c>
      <c r="F56" s="68" t="s">
        <v>22</v>
      </c>
      <c r="G56" s="68" t="s">
        <v>4</v>
      </c>
      <c r="H56" s="48" t="s">
        <v>23</v>
      </c>
      <c r="I56" s="48" t="s">
        <v>22</v>
      </c>
      <c r="J56" s="68" t="s">
        <v>8</v>
      </c>
      <c r="K56" s="48" t="s">
        <v>7</v>
      </c>
    </row>
    <row r="57" spans="2:11" ht="15.75" thickBot="1" x14ac:dyDescent="0.3">
      <c r="B57" s="69"/>
      <c r="C57" s="69"/>
      <c r="D57" s="69" t="s">
        <v>5</v>
      </c>
      <c r="E57" s="69" t="s">
        <v>24</v>
      </c>
      <c r="F57" s="69" t="s">
        <v>3</v>
      </c>
      <c r="G57" s="69" t="s">
        <v>24</v>
      </c>
      <c r="H57" s="70" t="s">
        <v>5</v>
      </c>
      <c r="I57" s="70" t="s">
        <v>4</v>
      </c>
      <c r="J57" s="69"/>
      <c r="K57" s="70"/>
    </row>
    <row r="58" spans="2:11" ht="15.75" thickBot="1" x14ac:dyDescent="0.3">
      <c r="B58" s="74"/>
      <c r="C58" s="7" t="s">
        <v>0</v>
      </c>
      <c r="D58" s="62">
        <v>57110</v>
      </c>
      <c r="E58" s="61">
        <v>0</v>
      </c>
      <c r="F58" s="71">
        <f>SUM(D58:E58)</f>
        <v>57110</v>
      </c>
      <c r="G58" s="71">
        <v>0</v>
      </c>
      <c r="H58" s="62">
        <v>60732.07</v>
      </c>
      <c r="I58" s="71">
        <f>SUM(G58:H58)</f>
        <v>60732.07</v>
      </c>
      <c r="J58" s="20">
        <v>50626.080000000002</v>
      </c>
      <c r="K58" s="20">
        <v>9271.49</v>
      </c>
    </row>
    <row r="59" spans="2:11" x14ac:dyDescent="0.25">
      <c r="B59" s="18">
        <v>43541</v>
      </c>
      <c r="C59" s="13" t="s">
        <v>302</v>
      </c>
      <c r="D59" s="11"/>
      <c r="E59" s="11"/>
      <c r="F59" s="11"/>
      <c r="G59" s="11"/>
      <c r="H59" s="11">
        <v>250</v>
      </c>
      <c r="I59" s="11"/>
      <c r="J59" s="12">
        <f>+J58+E59-G59</f>
        <v>50626.080000000002</v>
      </c>
      <c r="K59" s="12">
        <f>+K58+D59-H59</f>
        <v>9021.49</v>
      </c>
    </row>
    <row r="60" spans="2:11" x14ac:dyDescent="0.25">
      <c r="B60" s="18">
        <v>43541</v>
      </c>
      <c r="C60" s="13" t="s">
        <v>303</v>
      </c>
      <c r="D60" s="11"/>
      <c r="E60" s="11"/>
      <c r="F60" s="11"/>
      <c r="G60" s="11"/>
      <c r="H60" s="11">
        <v>68</v>
      </c>
      <c r="I60" s="11"/>
      <c r="J60" s="12">
        <f t="shared" ref="J60:J116" si="2">+J59+E60-G60</f>
        <v>50626.080000000002</v>
      </c>
      <c r="K60" s="12">
        <f t="shared" ref="K60:K116" si="3">+K59+D60-H60</f>
        <v>8953.49</v>
      </c>
    </row>
    <row r="61" spans="2:11" x14ac:dyDescent="0.25">
      <c r="B61" s="18">
        <v>43541</v>
      </c>
      <c r="C61" s="13" t="s">
        <v>304</v>
      </c>
      <c r="D61" s="11"/>
      <c r="E61" s="11"/>
      <c r="F61" s="11"/>
      <c r="G61" s="11"/>
      <c r="H61" s="11">
        <v>92.5</v>
      </c>
      <c r="I61" s="11"/>
      <c r="J61" s="12">
        <f t="shared" si="2"/>
        <v>50626.080000000002</v>
      </c>
      <c r="K61" s="12">
        <f t="shared" si="3"/>
        <v>8860.99</v>
      </c>
    </row>
    <row r="62" spans="2:11" x14ac:dyDescent="0.25">
      <c r="B62" s="18">
        <v>43541</v>
      </c>
      <c r="C62" s="13" t="s">
        <v>228</v>
      </c>
      <c r="D62" s="11"/>
      <c r="E62" s="11"/>
      <c r="F62" s="11"/>
      <c r="G62" s="11"/>
      <c r="H62" s="11">
        <v>120</v>
      </c>
      <c r="I62" s="11"/>
      <c r="J62" s="12">
        <f t="shared" si="2"/>
        <v>50626.080000000002</v>
      </c>
      <c r="K62" s="12">
        <f t="shared" si="3"/>
        <v>8740.99</v>
      </c>
    </row>
    <row r="63" spans="2:11" x14ac:dyDescent="0.25">
      <c r="B63" s="18">
        <v>43541</v>
      </c>
      <c r="C63" s="13" t="s">
        <v>305</v>
      </c>
      <c r="D63" s="11">
        <v>17190</v>
      </c>
      <c r="E63" s="11"/>
      <c r="F63" s="11"/>
      <c r="G63" s="11"/>
      <c r="H63" s="11"/>
      <c r="I63" s="11"/>
      <c r="J63" s="12">
        <f t="shared" si="2"/>
        <v>50626.080000000002</v>
      </c>
      <c r="K63" s="12">
        <f t="shared" si="3"/>
        <v>25930.989999999998</v>
      </c>
    </row>
    <row r="64" spans="2:11" x14ac:dyDescent="0.25">
      <c r="B64" s="18">
        <v>43542</v>
      </c>
      <c r="C64" s="9" t="s">
        <v>306</v>
      </c>
      <c r="D64" s="41"/>
      <c r="E64" s="11"/>
      <c r="F64" s="11"/>
      <c r="G64" s="11"/>
      <c r="H64" s="11">
        <v>825</v>
      </c>
      <c r="I64" s="11"/>
      <c r="J64" s="12">
        <f t="shared" si="2"/>
        <v>50626.080000000002</v>
      </c>
      <c r="K64" s="12">
        <f t="shared" si="3"/>
        <v>25105.989999999998</v>
      </c>
    </row>
    <row r="65" spans="2:11" x14ac:dyDescent="0.25">
      <c r="B65" s="18">
        <v>43542</v>
      </c>
      <c r="C65" s="9" t="s">
        <v>307</v>
      </c>
      <c r="D65" s="101"/>
      <c r="E65" s="11"/>
      <c r="F65" s="11"/>
      <c r="G65" s="11"/>
      <c r="H65" s="11">
        <v>500</v>
      </c>
      <c r="I65" s="11"/>
      <c r="J65" s="12">
        <f t="shared" si="2"/>
        <v>50626.080000000002</v>
      </c>
      <c r="K65" s="12">
        <f t="shared" si="3"/>
        <v>24605.989999999998</v>
      </c>
    </row>
    <row r="66" spans="2:11" x14ac:dyDescent="0.25">
      <c r="B66" s="18">
        <v>43542</v>
      </c>
      <c r="C66" s="13" t="s">
        <v>277</v>
      </c>
      <c r="D66" s="11"/>
      <c r="E66" s="11"/>
      <c r="F66" s="11"/>
      <c r="G66" s="11"/>
      <c r="H66" s="11">
        <v>55</v>
      </c>
      <c r="I66" s="11"/>
      <c r="J66" s="12">
        <f t="shared" si="2"/>
        <v>50626.080000000002</v>
      </c>
      <c r="K66" s="12">
        <f t="shared" si="3"/>
        <v>24550.989999999998</v>
      </c>
    </row>
    <row r="67" spans="2:11" x14ac:dyDescent="0.25">
      <c r="B67" s="18">
        <v>43542</v>
      </c>
      <c r="C67" s="13" t="s">
        <v>269</v>
      </c>
      <c r="D67" s="11"/>
      <c r="E67" s="11"/>
      <c r="F67" s="11"/>
      <c r="G67" s="11"/>
      <c r="H67" s="11">
        <v>190</v>
      </c>
      <c r="I67" s="11"/>
      <c r="J67" s="12">
        <f t="shared" si="2"/>
        <v>50626.080000000002</v>
      </c>
      <c r="K67" s="12">
        <f t="shared" si="3"/>
        <v>24360.989999999998</v>
      </c>
    </row>
    <row r="68" spans="2:11" x14ac:dyDescent="0.25">
      <c r="B68" s="18">
        <v>43542</v>
      </c>
      <c r="C68" s="123" t="s">
        <v>308</v>
      </c>
      <c r="D68" s="11"/>
      <c r="E68" s="11"/>
      <c r="F68" s="11"/>
      <c r="G68" s="11">
        <v>1760</v>
      </c>
      <c r="H68" s="11"/>
      <c r="I68" s="11"/>
      <c r="J68" s="12">
        <f t="shared" si="2"/>
        <v>48866.080000000002</v>
      </c>
      <c r="K68" s="12">
        <f t="shared" si="3"/>
        <v>24360.989999999998</v>
      </c>
    </row>
    <row r="69" spans="2:11" x14ac:dyDescent="0.25">
      <c r="B69" s="18">
        <v>43542</v>
      </c>
      <c r="C69" s="123" t="s">
        <v>309</v>
      </c>
      <c r="D69" s="11"/>
      <c r="E69" s="11"/>
      <c r="F69" s="11"/>
      <c r="G69" s="11">
        <v>1400</v>
      </c>
      <c r="H69" s="11"/>
      <c r="I69" s="11"/>
      <c r="J69" s="12">
        <f t="shared" si="2"/>
        <v>47466.080000000002</v>
      </c>
      <c r="K69" s="12">
        <f t="shared" si="3"/>
        <v>24360.989999999998</v>
      </c>
    </row>
    <row r="70" spans="2:11" x14ac:dyDescent="0.25">
      <c r="B70" s="18">
        <v>43542</v>
      </c>
      <c r="C70" s="13" t="s">
        <v>310</v>
      </c>
      <c r="D70" s="11"/>
      <c r="E70" s="11">
        <v>12760</v>
      </c>
      <c r="F70" s="11"/>
      <c r="G70" s="11"/>
      <c r="H70" s="11"/>
      <c r="I70" s="11"/>
      <c r="J70" s="12">
        <f t="shared" si="2"/>
        <v>60226.080000000002</v>
      </c>
      <c r="K70" s="12">
        <f t="shared" si="3"/>
        <v>24360.989999999998</v>
      </c>
    </row>
    <row r="71" spans="2:11" x14ac:dyDescent="0.25">
      <c r="B71" s="18">
        <v>43542</v>
      </c>
      <c r="C71" s="13" t="s">
        <v>272</v>
      </c>
      <c r="D71" s="11"/>
      <c r="E71" s="11"/>
      <c r="F71" s="11"/>
      <c r="G71" s="11"/>
      <c r="H71" s="11">
        <v>86</v>
      </c>
      <c r="I71" s="11"/>
      <c r="J71" s="12">
        <f t="shared" si="2"/>
        <v>60226.080000000002</v>
      </c>
      <c r="K71" s="12">
        <f t="shared" si="3"/>
        <v>24274.989999999998</v>
      </c>
    </row>
    <row r="72" spans="2:11" x14ac:dyDescent="0.25">
      <c r="B72" s="18">
        <v>43544</v>
      </c>
      <c r="C72" s="13" t="s">
        <v>311</v>
      </c>
      <c r="D72" s="11"/>
      <c r="E72" s="11"/>
      <c r="F72" s="11"/>
      <c r="G72" s="11"/>
      <c r="H72" s="11">
        <v>25</v>
      </c>
      <c r="I72" s="11"/>
      <c r="J72" s="12">
        <f t="shared" si="2"/>
        <v>60226.080000000002</v>
      </c>
      <c r="K72" s="12">
        <f t="shared" si="3"/>
        <v>24249.989999999998</v>
      </c>
    </row>
    <row r="73" spans="2:11" x14ac:dyDescent="0.25">
      <c r="B73" s="18">
        <v>43544</v>
      </c>
      <c r="C73" s="13" t="s">
        <v>312</v>
      </c>
      <c r="D73" s="11"/>
      <c r="E73" s="11"/>
      <c r="F73" s="11"/>
      <c r="G73" s="11"/>
      <c r="H73" s="11">
        <v>74.489999999999995</v>
      </c>
      <c r="I73" s="11"/>
      <c r="J73" s="12">
        <f t="shared" si="2"/>
        <v>60226.080000000002</v>
      </c>
      <c r="K73" s="12">
        <f t="shared" si="3"/>
        <v>24175.499999999996</v>
      </c>
    </row>
    <row r="74" spans="2:11" x14ac:dyDescent="0.25">
      <c r="B74" s="18">
        <v>43544</v>
      </c>
      <c r="C74" s="13" t="s">
        <v>313</v>
      </c>
      <c r="D74" s="11"/>
      <c r="E74" s="11"/>
      <c r="F74" s="11"/>
      <c r="G74" s="11"/>
      <c r="H74" s="11">
        <v>421.14</v>
      </c>
      <c r="I74" s="11"/>
      <c r="J74" s="12">
        <f t="shared" si="2"/>
        <v>60226.080000000002</v>
      </c>
      <c r="K74" s="12">
        <f t="shared" si="3"/>
        <v>23754.359999999997</v>
      </c>
    </row>
    <row r="75" spans="2:11" x14ac:dyDescent="0.25">
      <c r="B75" s="18">
        <v>43546</v>
      </c>
      <c r="C75" s="13" t="s">
        <v>314</v>
      </c>
      <c r="D75" s="11"/>
      <c r="E75" s="11"/>
      <c r="F75" s="11"/>
      <c r="G75" s="11"/>
      <c r="H75" s="11">
        <v>1250</v>
      </c>
      <c r="I75" s="11"/>
      <c r="J75" s="12">
        <f t="shared" si="2"/>
        <v>60226.080000000002</v>
      </c>
      <c r="K75" s="12">
        <f t="shared" si="3"/>
        <v>22504.359999999997</v>
      </c>
    </row>
    <row r="76" spans="2:11" x14ac:dyDescent="0.25">
      <c r="B76" s="18">
        <v>43546</v>
      </c>
      <c r="C76" s="13" t="s">
        <v>315</v>
      </c>
      <c r="D76" s="11"/>
      <c r="E76" s="11"/>
      <c r="F76" s="11"/>
      <c r="G76" s="11"/>
      <c r="H76" s="11">
        <v>102.5</v>
      </c>
      <c r="I76" s="11"/>
      <c r="J76" s="12">
        <f t="shared" si="2"/>
        <v>60226.080000000002</v>
      </c>
      <c r="K76" s="12">
        <f t="shared" si="3"/>
        <v>22401.859999999997</v>
      </c>
    </row>
    <row r="77" spans="2:11" x14ac:dyDescent="0.25">
      <c r="B77" s="18">
        <v>43546</v>
      </c>
      <c r="C77" s="13" t="s">
        <v>316</v>
      </c>
      <c r="D77" s="11"/>
      <c r="E77" s="11"/>
      <c r="F77" s="11"/>
      <c r="G77" s="11"/>
      <c r="H77" s="11">
        <v>300</v>
      </c>
      <c r="I77" s="11"/>
      <c r="J77" s="12">
        <f t="shared" si="2"/>
        <v>60226.080000000002</v>
      </c>
      <c r="K77" s="12">
        <f t="shared" si="3"/>
        <v>22101.859999999997</v>
      </c>
    </row>
    <row r="78" spans="2:11" x14ac:dyDescent="0.25">
      <c r="B78" s="18">
        <v>43546</v>
      </c>
      <c r="C78" s="13" t="s">
        <v>317</v>
      </c>
      <c r="D78" s="11"/>
      <c r="E78" s="11"/>
      <c r="F78" s="11"/>
      <c r="G78" s="11"/>
      <c r="H78" s="11">
        <v>120</v>
      </c>
      <c r="I78" s="11"/>
      <c r="J78" s="12">
        <f t="shared" si="2"/>
        <v>60226.080000000002</v>
      </c>
      <c r="K78" s="12">
        <f t="shared" si="3"/>
        <v>21981.859999999997</v>
      </c>
    </row>
    <row r="79" spans="2:11" x14ac:dyDescent="0.25">
      <c r="B79" s="18">
        <v>43546</v>
      </c>
      <c r="C79" s="13" t="s">
        <v>318</v>
      </c>
      <c r="D79" s="11"/>
      <c r="E79" s="11"/>
      <c r="F79" s="11"/>
      <c r="G79" s="11"/>
      <c r="H79" s="11">
        <v>1000</v>
      </c>
      <c r="I79" s="11"/>
      <c r="J79" s="12">
        <f t="shared" si="2"/>
        <v>60226.080000000002</v>
      </c>
      <c r="K79" s="12">
        <f t="shared" si="3"/>
        <v>20981.859999999997</v>
      </c>
    </row>
    <row r="80" spans="2:11" x14ac:dyDescent="0.25">
      <c r="B80" s="18">
        <v>43547</v>
      </c>
      <c r="C80" s="13" t="s">
        <v>319</v>
      </c>
      <c r="D80" s="11"/>
      <c r="E80" s="11"/>
      <c r="F80" s="11"/>
      <c r="G80" s="11"/>
      <c r="H80" s="11">
        <v>36</v>
      </c>
      <c r="I80" s="11"/>
      <c r="J80" s="12">
        <f t="shared" si="2"/>
        <v>60226.080000000002</v>
      </c>
      <c r="K80" s="12">
        <f t="shared" si="3"/>
        <v>20945.859999999997</v>
      </c>
    </row>
    <row r="81" spans="2:11" x14ac:dyDescent="0.25">
      <c r="B81" s="18">
        <v>43547</v>
      </c>
      <c r="C81" s="13" t="s">
        <v>320</v>
      </c>
      <c r="D81" s="11"/>
      <c r="E81" s="11"/>
      <c r="F81" s="11"/>
      <c r="G81" s="11"/>
      <c r="H81" s="11">
        <v>1500</v>
      </c>
      <c r="I81" s="11"/>
      <c r="J81" s="12">
        <f t="shared" si="2"/>
        <v>60226.080000000002</v>
      </c>
      <c r="K81" s="12">
        <f t="shared" si="3"/>
        <v>19445.859999999997</v>
      </c>
    </row>
    <row r="82" spans="2:11" x14ac:dyDescent="0.25">
      <c r="B82" s="18">
        <v>43547</v>
      </c>
      <c r="C82" s="13" t="s">
        <v>321</v>
      </c>
      <c r="D82" s="11"/>
      <c r="E82" s="11"/>
      <c r="F82" s="11"/>
      <c r="G82" s="11"/>
      <c r="H82" s="11">
        <v>59</v>
      </c>
      <c r="I82" s="11"/>
      <c r="J82" s="12">
        <f t="shared" si="2"/>
        <v>60226.080000000002</v>
      </c>
      <c r="K82" s="12">
        <f t="shared" si="3"/>
        <v>19386.859999999997</v>
      </c>
    </row>
    <row r="83" spans="2:11" x14ac:dyDescent="0.25">
      <c r="B83" s="18">
        <v>43548</v>
      </c>
      <c r="C83" s="13" t="s">
        <v>154</v>
      </c>
      <c r="D83" s="11"/>
      <c r="E83" s="11"/>
      <c r="F83" s="11"/>
      <c r="G83" s="15"/>
      <c r="H83" s="11">
        <v>39</v>
      </c>
      <c r="I83" s="15"/>
      <c r="J83" s="12">
        <f t="shared" si="2"/>
        <v>60226.080000000002</v>
      </c>
      <c r="K83" s="12">
        <f t="shared" si="3"/>
        <v>19347.859999999997</v>
      </c>
    </row>
    <row r="84" spans="2:11" x14ac:dyDescent="0.25">
      <c r="B84" s="18">
        <v>43548</v>
      </c>
      <c r="C84" s="13" t="s">
        <v>322</v>
      </c>
      <c r="D84" s="11"/>
      <c r="E84" s="11"/>
      <c r="F84" s="11"/>
      <c r="G84" s="15"/>
      <c r="H84" s="11">
        <v>67</v>
      </c>
      <c r="I84" s="15"/>
      <c r="J84" s="12">
        <f t="shared" si="2"/>
        <v>60226.080000000002</v>
      </c>
      <c r="K84" s="12">
        <f t="shared" si="3"/>
        <v>19280.859999999997</v>
      </c>
    </row>
    <row r="85" spans="2:11" x14ac:dyDescent="0.25">
      <c r="B85" s="18">
        <v>43548</v>
      </c>
      <c r="C85" s="13" t="s">
        <v>323</v>
      </c>
      <c r="D85" s="11"/>
      <c r="E85" s="11"/>
      <c r="F85" s="11"/>
      <c r="G85" s="11"/>
      <c r="H85" s="11">
        <v>136</v>
      </c>
      <c r="I85" s="15"/>
      <c r="J85" s="12">
        <f t="shared" si="2"/>
        <v>60226.080000000002</v>
      </c>
      <c r="K85" s="12">
        <f t="shared" si="3"/>
        <v>19144.859999999997</v>
      </c>
    </row>
    <row r="86" spans="2:11" x14ac:dyDescent="0.25">
      <c r="B86" s="18">
        <v>43548</v>
      </c>
      <c r="C86" s="13" t="s">
        <v>228</v>
      </c>
      <c r="D86" s="11"/>
      <c r="E86" s="11"/>
      <c r="F86" s="11"/>
      <c r="G86" s="15"/>
      <c r="H86" s="11">
        <v>120</v>
      </c>
      <c r="I86" s="15"/>
      <c r="J86" s="12">
        <f t="shared" si="2"/>
        <v>60226.080000000002</v>
      </c>
      <c r="K86" s="12">
        <f t="shared" si="3"/>
        <v>19024.859999999997</v>
      </c>
    </row>
    <row r="87" spans="2:11" x14ac:dyDescent="0.25">
      <c r="B87" s="18">
        <v>43548</v>
      </c>
      <c r="C87" s="13" t="s">
        <v>324</v>
      </c>
      <c r="D87" s="11">
        <v>22000</v>
      </c>
      <c r="E87" s="11"/>
      <c r="F87" s="11"/>
      <c r="G87" s="15"/>
      <c r="H87" s="11"/>
      <c r="I87" s="15"/>
      <c r="J87" s="12">
        <f t="shared" si="2"/>
        <v>60226.080000000002</v>
      </c>
      <c r="K87" s="12">
        <f t="shared" si="3"/>
        <v>41024.86</v>
      </c>
    </row>
    <row r="88" spans="2:11" x14ac:dyDescent="0.25">
      <c r="B88" s="18">
        <v>43549</v>
      </c>
      <c r="C88" s="13" t="s">
        <v>269</v>
      </c>
      <c r="D88" s="11"/>
      <c r="E88" s="11"/>
      <c r="F88" s="11"/>
      <c r="G88" s="11"/>
      <c r="H88" s="11">
        <v>190</v>
      </c>
      <c r="I88" s="15"/>
      <c r="J88" s="12">
        <f t="shared" si="2"/>
        <v>60226.080000000002</v>
      </c>
      <c r="K88" s="12">
        <f t="shared" si="3"/>
        <v>40834.86</v>
      </c>
    </row>
    <row r="89" spans="2:11" x14ac:dyDescent="0.25">
      <c r="B89" s="23">
        <v>43550</v>
      </c>
      <c r="C89" s="13" t="s">
        <v>325</v>
      </c>
      <c r="D89" s="11"/>
      <c r="E89" s="11"/>
      <c r="F89" s="17"/>
      <c r="G89" s="64"/>
      <c r="H89" s="11">
        <v>1000</v>
      </c>
      <c r="I89" s="15"/>
      <c r="J89" s="12">
        <f t="shared" si="2"/>
        <v>60226.080000000002</v>
      </c>
      <c r="K89" s="12">
        <f t="shared" si="3"/>
        <v>39834.86</v>
      </c>
    </row>
    <row r="90" spans="2:11" x14ac:dyDescent="0.25">
      <c r="B90" s="18">
        <v>43551</v>
      </c>
      <c r="C90" s="13" t="s">
        <v>271</v>
      </c>
      <c r="D90" s="11"/>
      <c r="E90" s="11"/>
      <c r="F90" s="11"/>
      <c r="G90" s="15"/>
      <c r="H90" s="11">
        <v>300</v>
      </c>
      <c r="I90" s="15"/>
      <c r="J90" s="12">
        <f t="shared" si="2"/>
        <v>60226.080000000002</v>
      </c>
      <c r="K90" s="12">
        <f t="shared" si="3"/>
        <v>39534.86</v>
      </c>
    </row>
    <row r="91" spans="2:11" x14ac:dyDescent="0.25">
      <c r="B91" s="18">
        <v>43552</v>
      </c>
      <c r="C91" s="13" t="s">
        <v>326</v>
      </c>
      <c r="D91" s="11"/>
      <c r="E91" s="11"/>
      <c r="F91" s="11"/>
      <c r="G91" s="15"/>
      <c r="H91" s="11">
        <v>2500</v>
      </c>
      <c r="I91" s="15"/>
      <c r="J91" s="12">
        <f t="shared" si="2"/>
        <v>60226.080000000002</v>
      </c>
      <c r="K91" s="12">
        <f t="shared" si="3"/>
        <v>37034.86</v>
      </c>
    </row>
    <row r="92" spans="2:11" x14ac:dyDescent="0.25">
      <c r="B92" s="18">
        <v>43552</v>
      </c>
      <c r="C92" s="13" t="s">
        <v>327</v>
      </c>
      <c r="D92" s="11"/>
      <c r="E92" s="11"/>
      <c r="F92" s="11"/>
      <c r="G92" s="15"/>
      <c r="H92" s="11">
        <v>35</v>
      </c>
      <c r="I92" s="15"/>
      <c r="J92" s="12">
        <f t="shared" si="2"/>
        <v>60226.080000000002</v>
      </c>
      <c r="K92" s="12">
        <f t="shared" si="3"/>
        <v>36999.86</v>
      </c>
    </row>
    <row r="93" spans="2:11" x14ac:dyDescent="0.25">
      <c r="B93" s="18">
        <v>43553</v>
      </c>
      <c r="C93" s="13" t="s">
        <v>328</v>
      </c>
      <c r="D93" s="11"/>
      <c r="E93" s="11"/>
      <c r="F93" s="11"/>
      <c r="G93" s="15"/>
      <c r="H93" s="11">
        <v>1250</v>
      </c>
      <c r="I93" s="15"/>
      <c r="J93" s="12">
        <f t="shared" si="2"/>
        <v>60226.080000000002</v>
      </c>
      <c r="K93" s="12">
        <f t="shared" si="3"/>
        <v>35749.86</v>
      </c>
    </row>
    <row r="94" spans="2:11" x14ac:dyDescent="0.25">
      <c r="B94" s="18">
        <v>43553</v>
      </c>
      <c r="C94" s="13" t="s">
        <v>329</v>
      </c>
      <c r="D94" s="11"/>
      <c r="E94" s="11"/>
      <c r="F94" s="11"/>
      <c r="G94" s="15"/>
      <c r="H94" s="11">
        <v>250</v>
      </c>
      <c r="I94" s="15"/>
      <c r="J94" s="12">
        <f t="shared" si="2"/>
        <v>60226.080000000002</v>
      </c>
      <c r="K94" s="12">
        <f t="shared" si="3"/>
        <v>35499.86</v>
      </c>
    </row>
    <row r="95" spans="2:11" x14ac:dyDescent="0.25">
      <c r="B95" s="18">
        <v>43553</v>
      </c>
      <c r="C95" s="13" t="s">
        <v>330</v>
      </c>
      <c r="D95" s="11"/>
      <c r="E95" s="11"/>
      <c r="F95" s="11"/>
      <c r="G95" s="15"/>
      <c r="H95" s="11">
        <v>300</v>
      </c>
      <c r="I95" s="15"/>
      <c r="J95" s="12">
        <f t="shared" si="2"/>
        <v>60226.080000000002</v>
      </c>
      <c r="K95" s="12">
        <f t="shared" si="3"/>
        <v>35199.86</v>
      </c>
    </row>
    <row r="96" spans="2:11" x14ac:dyDescent="0.25">
      <c r="B96" s="18">
        <v>43554</v>
      </c>
      <c r="C96" s="13" t="s">
        <v>331</v>
      </c>
      <c r="D96" s="11"/>
      <c r="E96" s="11"/>
      <c r="F96" s="11"/>
      <c r="G96" s="15"/>
      <c r="H96" s="11">
        <v>160</v>
      </c>
      <c r="I96" s="15"/>
      <c r="J96" s="12">
        <f t="shared" si="2"/>
        <v>60226.080000000002</v>
      </c>
      <c r="K96" s="12">
        <f t="shared" si="3"/>
        <v>35039.86</v>
      </c>
    </row>
    <row r="97" spans="2:12" x14ac:dyDescent="0.25">
      <c r="B97" s="18">
        <v>43555</v>
      </c>
      <c r="C97" s="36" t="s">
        <v>221</v>
      </c>
      <c r="D97" s="11"/>
      <c r="E97" s="11"/>
      <c r="F97" s="11"/>
      <c r="G97" s="15"/>
      <c r="H97" s="11">
        <v>300</v>
      </c>
      <c r="I97" s="15"/>
      <c r="J97" s="12">
        <f t="shared" si="2"/>
        <v>60226.080000000002</v>
      </c>
      <c r="K97" s="12">
        <f t="shared" si="3"/>
        <v>34739.86</v>
      </c>
      <c r="L97" s="1"/>
    </row>
    <row r="98" spans="2:12" x14ac:dyDescent="0.25">
      <c r="B98" s="18">
        <v>43555</v>
      </c>
      <c r="C98" s="35" t="s">
        <v>332</v>
      </c>
      <c r="D98" s="41"/>
      <c r="E98" s="41"/>
      <c r="F98" s="41"/>
      <c r="G98" s="41"/>
      <c r="H98" s="11">
        <v>550</v>
      </c>
      <c r="I98" s="11"/>
      <c r="J98" s="12">
        <f t="shared" si="2"/>
        <v>60226.080000000002</v>
      </c>
      <c r="K98" s="12">
        <f t="shared" si="3"/>
        <v>34189.86</v>
      </c>
    </row>
    <row r="99" spans="2:12" x14ac:dyDescent="0.25">
      <c r="B99" s="18">
        <v>43555</v>
      </c>
      <c r="C99" s="9" t="s">
        <v>296</v>
      </c>
      <c r="D99" s="41"/>
      <c r="E99" s="41"/>
      <c r="F99" s="41"/>
      <c r="G99" s="41"/>
      <c r="H99" s="11">
        <v>2000</v>
      </c>
      <c r="I99" s="11"/>
      <c r="J99" s="12">
        <f t="shared" si="2"/>
        <v>60226.080000000002</v>
      </c>
      <c r="K99" s="12">
        <f t="shared" si="3"/>
        <v>32189.86</v>
      </c>
    </row>
    <row r="100" spans="2:12" x14ac:dyDescent="0.25">
      <c r="B100" s="18">
        <v>43555</v>
      </c>
      <c r="C100" s="9" t="s">
        <v>224</v>
      </c>
      <c r="D100" s="41"/>
      <c r="E100" s="41"/>
      <c r="F100" s="41"/>
      <c r="G100" s="41"/>
      <c r="H100" s="11">
        <v>4000</v>
      </c>
      <c r="I100" s="11"/>
      <c r="J100" s="12">
        <f t="shared" si="2"/>
        <v>60226.080000000002</v>
      </c>
      <c r="K100" s="12">
        <f t="shared" si="3"/>
        <v>28189.86</v>
      </c>
    </row>
    <row r="101" spans="2:12" x14ac:dyDescent="0.25">
      <c r="B101" s="18">
        <v>43555</v>
      </c>
      <c r="C101" s="21" t="s">
        <v>298</v>
      </c>
      <c r="D101" s="11"/>
      <c r="E101" s="11"/>
      <c r="F101" s="11"/>
      <c r="G101" s="15"/>
      <c r="H101" s="11">
        <v>25000</v>
      </c>
      <c r="I101" s="15"/>
      <c r="J101" s="12">
        <f t="shared" si="2"/>
        <v>60226.080000000002</v>
      </c>
      <c r="K101" s="12">
        <f t="shared" si="3"/>
        <v>3189.8600000000006</v>
      </c>
    </row>
    <row r="102" spans="2:12" x14ac:dyDescent="0.25">
      <c r="B102" s="18">
        <v>43555</v>
      </c>
      <c r="C102" s="13" t="s">
        <v>297</v>
      </c>
      <c r="D102" s="11"/>
      <c r="E102" s="11"/>
      <c r="F102" s="11"/>
      <c r="G102" s="15"/>
      <c r="H102" s="11"/>
      <c r="I102" s="15"/>
      <c r="J102" s="12">
        <f t="shared" si="2"/>
        <v>60226.080000000002</v>
      </c>
      <c r="K102" s="12">
        <f t="shared" si="3"/>
        <v>3189.8600000000006</v>
      </c>
    </row>
    <row r="103" spans="2:12" x14ac:dyDescent="0.25">
      <c r="B103" s="18">
        <v>43555</v>
      </c>
      <c r="C103" s="13" t="s">
        <v>333</v>
      </c>
      <c r="D103" s="11"/>
      <c r="E103" s="11"/>
      <c r="F103" s="11"/>
      <c r="G103" s="15"/>
      <c r="H103" s="11">
        <v>26.5</v>
      </c>
      <c r="I103" s="15"/>
      <c r="J103" s="12">
        <f t="shared" si="2"/>
        <v>60226.080000000002</v>
      </c>
      <c r="K103" s="12">
        <f t="shared" si="3"/>
        <v>3163.3600000000006</v>
      </c>
    </row>
    <row r="104" spans="2:12" x14ac:dyDescent="0.25">
      <c r="B104" s="18">
        <v>43555</v>
      </c>
      <c r="C104" s="13" t="s">
        <v>322</v>
      </c>
      <c r="D104" s="11"/>
      <c r="E104" s="11"/>
      <c r="F104" s="11"/>
      <c r="G104" s="15"/>
      <c r="H104" s="11">
        <v>74</v>
      </c>
      <c r="I104" s="15"/>
      <c r="J104" s="12">
        <f t="shared" si="2"/>
        <v>60226.080000000002</v>
      </c>
      <c r="K104" s="12">
        <f t="shared" si="3"/>
        <v>3089.3600000000006</v>
      </c>
    </row>
    <row r="105" spans="2:12" x14ac:dyDescent="0.25">
      <c r="B105" s="18">
        <v>43555</v>
      </c>
      <c r="C105" s="13" t="s">
        <v>281</v>
      </c>
      <c r="D105" s="11"/>
      <c r="E105" s="11"/>
      <c r="F105" s="11"/>
      <c r="G105" s="15"/>
      <c r="H105" s="11">
        <v>61</v>
      </c>
      <c r="I105" s="15"/>
      <c r="J105" s="12">
        <f t="shared" si="2"/>
        <v>60226.080000000002</v>
      </c>
      <c r="K105" s="12">
        <f t="shared" si="3"/>
        <v>3028.3600000000006</v>
      </c>
    </row>
    <row r="106" spans="2:12" x14ac:dyDescent="0.25">
      <c r="B106" s="18">
        <v>43555</v>
      </c>
      <c r="C106" s="13" t="s">
        <v>334</v>
      </c>
      <c r="D106" s="11"/>
      <c r="E106" s="11"/>
      <c r="F106" s="11"/>
      <c r="G106" s="15"/>
      <c r="H106" s="11">
        <v>32</v>
      </c>
      <c r="I106" s="15"/>
      <c r="J106" s="12">
        <f t="shared" si="2"/>
        <v>60226.080000000002</v>
      </c>
      <c r="K106" s="12">
        <f t="shared" si="3"/>
        <v>2996.3600000000006</v>
      </c>
    </row>
    <row r="107" spans="2:12" x14ac:dyDescent="0.25">
      <c r="B107" s="18">
        <v>43555</v>
      </c>
      <c r="C107" s="13" t="s">
        <v>162</v>
      </c>
      <c r="D107" s="11"/>
      <c r="E107" s="11"/>
      <c r="F107" s="11"/>
      <c r="G107" s="15"/>
      <c r="H107" s="11">
        <v>120</v>
      </c>
      <c r="I107" s="15"/>
      <c r="J107" s="12">
        <f t="shared" si="2"/>
        <v>60226.080000000002</v>
      </c>
      <c r="K107" s="12">
        <f t="shared" si="3"/>
        <v>2876.3600000000006</v>
      </c>
    </row>
    <row r="108" spans="2:12" x14ac:dyDescent="0.25">
      <c r="B108" s="18">
        <v>43555</v>
      </c>
      <c r="C108" s="13" t="s">
        <v>335</v>
      </c>
      <c r="D108" s="11"/>
      <c r="E108" s="11"/>
      <c r="F108" s="11"/>
      <c r="G108" s="15"/>
      <c r="H108" s="11">
        <v>150</v>
      </c>
      <c r="I108" s="15"/>
      <c r="J108" s="12">
        <f t="shared" si="2"/>
        <v>60226.080000000002</v>
      </c>
      <c r="K108" s="12">
        <f t="shared" si="3"/>
        <v>2726.3600000000006</v>
      </c>
    </row>
    <row r="109" spans="2:12" ht="15.75" thickBot="1" x14ac:dyDescent="0.3">
      <c r="B109" s="18">
        <v>43555</v>
      </c>
      <c r="C109" s="13" t="s">
        <v>336</v>
      </c>
      <c r="D109" s="11">
        <v>17700</v>
      </c>
      <c r="E109" s="11"/>
      <c r="F109" s="11"/>
      <c r="G109" s="15"/>
      <c r="H109" s="11"/>
      <c r="I109" s="15"/>
      <c r="J109" s="12">
        <f t="shared" si="2"/>
        <v>60226.080000000002</v>
      </c>
      <c r="K109" s="12">
        <f t="shared" si="3"/>
        <v>20426.36</v>
      </c>
    </row>
    <row r="110" spans="2:12" ht="15.75" thickBot="1" x14ac:dyDescent="0.3">
      <c r="B110" s="5"/>
      <c r="C110" s="7" t="s">
        <v>0</v>
      </c>
      <c r="D110" s="62">
        <f>SUM(D58:D109)</f>
        <v>114000</v>
      </c>
      <c r="E110" s="61">
        <f>SUM(E58:E109)</f>
        <v>12760</v>
      </c>
      <c r="F110" s="71">
        <f>SUM(D110:E110)</f>
        <v>126760</v>
      </c>
      <c r="G110" s="71">
        <f>SUM(G53:G109)</f>
        <v>3160</v>
      </c>
      <c r="H110" s="62">
        <f>SUM(H58:H109)</f>
        <v>106467.2</v>
      </c>
      <c r="I110" s="71">
        <f>SUM(G110:H110)</f>
        <v>109627.2</v>
      </c>
      <c r="J110" s="20"/>
      <c r="K110" s="20"/>
    </row>
    <row r="111" spans="2:12" x14ac:dyDescent="0.25">
      <c r="B111" s="68" t="s">
        <v>1</v>
      </c>
      <c r="C111" s="68" t="s">
        <v>2</v>
      </c>
      <c r="D111" s="68" t="s">
        <v>3</v>
      </c>
      <c r="E111" s="68" t="s">
        <v>3</v>
      </c>
      <c r="F111" s="68" t="s">
        <v>22</v>
      </c>
      <c r="G111" s="68" t="s">
        <v>23</v>
      </c>
      <c r="H111" s="48" t="s">
        <v>23</v>
      </c>
      <c r="I111" s="48" t="s">
        <v>22</v>
      </c>
      <c r="J111" s="68" t="s">
        <v>8</v>
      </c>
      <c r="K111" s="48" t="s">
        <v>7</v>
      </c>
    </row>
    <row r="112" spans="2:12" ht="15.75" thickBot="1" x14ac:dyDescent="0.3">
      <c r="B112" s="69"/>
      <c r="C112" s="69"/>
      <c r="D112" s="69" t="s">
        <v>5</v>
      </c>
      <c r="E112" s="69" t="s">
        <v>24</v>
      </c>
      <c r="F112" s="69" t="s">
        <v>3</v>
      </c>
      <c r="G112" s="69" t="s">
        <v>24</v>
      </c>
      <c r="H112" s="70" t="s">
        <v>5</v>
      </c>
      <c r="I112" s="70" t="s">
        <v>4</v>
      </c>
      <c r="J112" s="69"/>
      <c r="K112" s="70"/>
    </row>
    <row r="113" spans="2:11" ht="15.75" thickBot="1" x14ac:dyDescent="0.3">
      <c r="B113" s="74"/>
      <c r="C113" s="7" t="s">
        <v>0</v>
      </c>
      <c r="D113" s="62">
        <v>114000</v>
      </c>
      <c r="E113" s="61">
        <v>12760</v>
      </c>
      <c r="F113" s="71">
        <f>SUM(D113:E113)</f>
        <v>126760</v>
      </c>
      <c r="G113" s="71">
        <v>3160</v>
      </c>
      <c r="H113" s="62">
        <v>106467.2</v>
      </c>
      <c r="I113" s="71">
        <f>SUM(G113:H113)</f>
        <v>109627.2</v>
      </c>
      <c r="J113" s="20">
        <v>60226.080000000002</v>
      </c>
      <c r="K113" s="20">
        <v>20426.36</v>
      </c>
    </row>
    <row r="114" spans="2:11" x14ac:dyDescent="0.25">
      <c r="B114" s="27">
        <v>43526</v>
      </c>
      <c r="C114" s="13" t="s">
        <v>338</v>
      </c>
      <c r="D114" s="41"/>
      <c r="E114" s="11">
        <v>400.46</v>
      </c>
      <c r="F114" s="11"/>
      <c r="G114" s="11"/>
      <c r="H114" s="11"/>
      <c r="I114" s="15"/>
      <c r="J114" s="12">
        <f>+J113+E114-G114</f>
        <v>60626.54</v>
      </c>
      <c r="K114" s="12">
        <f>+K113+D114-H114</f>
        <v>20426.36</v>
      </c>
    </row>
    <row r="115" spans="2:11" x14ac:dyDescent="0.25">
      <c r="B115" s="27">
        <v>43528</v>
      </c>
      <c r="C115" s="13" t="s">
        <v>339</v>
      </c>
      <c r="D115" s="41"/>
      <c r="E115" s="11">
        <v>1200</v>
      </c>
      <c r="F115" s="11"/>
      <c r="G115" s="11"/>
      <c r="H115" s="11"/>
      <c r="I115" s="15"/>
      <c r="J115" s="12">
        <f t="shared" si="2"/>
        <v>61826.54</v>
      </c>
      <c r="K115" s="12">
        <f t="shared" si="3"/>
        <v>20426.36</v>
      </c>
    </row>
    <row r="116" spans="2:11" x14ac:dyDescent="0.25">
      <c r="B116" s="18">
        <v>43538</v>
      </c>
      <c r="C116" s="13" t="s">
        <v>340</v>
      </c>
      <c r="D116" s="11"/>
      <c r="E116" s="11">
        <v>2400.29</v>
      </c>
      <c r="F116" s="11"/>
      <c r="G116" s="15"/>
      <c r="H116" s="11"/>
      <c r="I116" s="15"/>
      <c r="J116" s="12">
        <f t="shared" si="2"/>
        <v>64226.83</v>
      </c>
      <c r="K116" s="12">
        <f t="shared" si="3"/>
        <v>20426.36</v>
      </c>
    </row>
    <row r="117" spans="2:11" x14ac:dyDescent="0.25">
      <c r="B117" s="18">
        <v>43549</v>
      </c>
      <c r="C117" s="13" t="s">
        <v>341</v>
      </c>
      <c r="D117" s="11"/>
      <c r="E117" s="11">
        <v>400</v>
      </c>
      <c r="F117" s="11"/>
      <c r="G117" s="15"/>
      <c r="H117" s="11"/>
      <c r="I117" s="15"/>
      <c r="J117" s="12">
        <f>+J116+E117-G117</f>
        <v>64626.83</v>
      </c>
      <c r="K117" s="12">
        <f>+K116+D117-H117</f>
        <v>20426.36</v>
      </c>
    </row>
    <row r="118" spans="2:11" x14ac:dyDescent="0.25">
      <c r="B118" s="18">
        <v>43553</v>
      </c>
      <c r="C118" s="9" t="s">
        <v>69</v>
      </c>
      <c r="D118" s="11"/>
      <c r="E118" s="11"/>
      <c r="F118" s="11"/>
      <c r="G118" s="15">
        <v>18</v>
      </c>
      <c r="H118" s="11"/>
      <c r="I118" s="15"/>
      <c r="J118" s="12">
        <f>+J117+E118-G118</f>
        <v>64608.83</v>
      </c>
      <c r="K118" s="12">
        <f>+K117+D118-H118</f>
        <v>20426.36</v>
      </c>
    </row>
    <row r="119" spans="2:11" x14ac:dyDescent="0.25">
      <c r="B119" s="18">
        <v>43553</v>
      </c>
      <c r="C119" s="13" t="s">
        <v>70</v>
      </c>
      <c r="D119" s="11"/>
      <c r="E119" s="11"/>
      <c r="F119" s="11"/>
      <c r="G119" s="15">
        <v>2.88</v>
      </c>
      <c r="H119" s="11"/>
      <c r="I119" s="15"/>
      <c r="J119" s="12">
        <f>+J118+E119-G119</f>
        <v>64605.950000000004</v>
      </c>
      <c r="K119" s="12">
        <f>+K118+D119-H119</f>
        <v>20426.36</v>
      </c>
    </row>
    <row r="120" spans="2:11" ht="15.75" thickBot="1" x14ac:dyDescent="0.3">
      <c r="B120" s="18"/>
      <c r="C120" s="13"/>
      <c r="D120" s="11"/>
      <c r="E120" s="11"/>
      <c r="F120" s="11"/>
      <c r="G120" s="15"/>
      <c r="H120" s="11"/>
      <c r="I120" s="15"/>
      <c r="J120" s="12">
        <f>+J119+E120-G120</f>
        <v>64605.950000000004</v>
      </c>
      <c r="K120" s="12">
        <f>+K119+D120-H120</f>
        <v>20426.36</v>
      </c>
    </row>
    <row r="121" spans="2:11" ht="15.75" thickBot="1" x14ac:dyDescent="0.3">
      <c r="B121" s="5"/>
      <c r="C121" s="7" t="s">
        <v>0</v>
      </c>
      <c r="D121" s="62">
        <f>SUM(D113:D120)</f>
        <v>114000</v>
      </c>
      <c r="E121" s="61">
        <f>SUM(E113:E120)</f>
        <v>17160.75</v>
      </c>
      <c r="F121" s="71">
        <f>SUM(D121:E121)</f>
        <v>131160.75</v>
      </c>
      <c r="G121" s="71">
        <f>SUM(G113:G120)</f>
        <v>3180.88</v>
      </c>
      <c r="H121" s="62">
        <f>SUM(H113:H120)</f>
        <v>106467.2</v>
      </c>
      <c r="I121" s="71">
        <f>SUM(G121:H121)</f>
        <v>109648.08</v>
      </c>
      <c r="J121" s="20"/>
      <c r="K121" s="20"/>
    </row>
    <row r="122" spans="2:11" ht="15.75" thickBot="1" x14ac:dyDescent="0.3">
      <c r="I122" s="74" t="s">
        <v>8</v>
      </c>
      <c r="J122" s="74" t="s">
        <v>7</v>
      </c>
      <c r="K122" s="95" t="s">
        <v>0</v>
      </c>
    </row>
    <row r="123" spans="2:11" ht="15.75" thickBot="1" x14ac:dyDescent="0.3">
      <c r="I123" s="20">
        <v>64605.95</v>
      </c>
      <c r="J123" s="20">
        <v>20426.36</v>
      </c>
      <c r="K123" s="20">
        <f>SUM(I123:J123)</f>
        <v>85032.31</v>
      </c>
    </row>
  </sheetData>
  <mergeCells count="1">
    <mergeCell ref="B2:K2"/>
  </mergeCells>
  <printOptions horizontalCentered="1"/>
  <pageMargins left="0" right="0" top="0" bottom="0" header="0.11811023622047245" footer="0.51181102362204722"/>
  <pageSetup paperSize="9" scale="72" fitToHeight="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8">
    <pageSetUpPr fitToPage="1"/>
  </sheetPr>
  <dimension ref="B1:N203"/>
  <sheetViews>
    <sheetView zoomScale="90" zoomScaleNormal="90" workbookViewId="0">
      <pane ySplit="5" topLeftCell="A105" activePane="bottomLeft" state="frozen"/>
      <selection activeCell="C41" sqref="C41"/>
      <selection pane="bottomLeft" activeCell="C111" sqref="C111"/>
    </sheetView>
  </sheetViews>
  <sheetFormatPr baseColWidth="10" defaultRowHeight="15" x14ac:dyDescent="0.25"/>
  <cols>
    <col min="1" max="1" width="10.7109375" customWidth="1"/>
    <col min="2" max="2" width="11.7109375" style="90" customWidth="1"/>
    <col min="3" max="3" width="85" customWidth="1"/>
    <col min="4" max="11" width="11.7109375" customWidth="1"/>
  </cols>
  <sheetData>
    <row r="1" spans="2:11" ht="15.75" x14ac:dyDescent="0.25">
      <c r="B1" s="103">
        <v>43585</v>
      </c>
      <c r="J1" s="72" t="s">
        <v>25</v>
      </c>
      <c r="K1" s="46"/>
    </row>
    <row r="2" spans="2:11" ht="15.75" thickBot="1" x14ac:dyDescent="0.3">
      <c r="B2" s="213" t="s">
        <v>343</v>
      </c>
      <c r="C2" s="213"/>
      <c r="D2" s="213"/>
      <c r="E2" s="213"/>
      <c r="F2" s="213"/>
      <c r="G2" s="213"/>
      <c r="H2" s="213"/>
      <c r="I2" s="213"/>
      <c r="J2" s="213"/>
      <c r="K2" s="213"/>
    </row>
    <row r="3" spans="2:11" x14ac:dyDescent="0.25">
      <c r="B3" s="104" t="s">
        <v>1</v>
      </c>
      <c r="C3" s="68" t="s">
        <v>2</v>
      </c>
      <c r="D3" s="68" t="s">
        <v>3</v>
      </c>
      <c r="E3" s="68" t="s">
        <v>3</v>
      </c>
      <c r="F3" s="68" t="s">
        <v>22</v>
      </c>
      <c r="G3" s="68" t="s">
        <v>23</v>
      </c>
      <c r="H3" s="48" t="s">
        <v>23</v>
      </c>
      <c r="I3" s="48" t="s">
        <v>22</v>
      </c>
      <c r="J3" s="68" t="s">
        <v>8</v>
      </c>
      <c r="K3" s="48" t="s">
        <v>7</v>
      </c>
    </row>
    <row r="4" spans="2:11" ht="15.75" thickBot="1" x14ac:dyDescent="0.3">
      <c r="B4" s="105"/>
      <c r="C4" s="69"/>
      <c r="D4" s="69" t="s">
        <v>5</v>
      </c>
      <c r="E4" s="69" t="s">
        <v>24</v>
      </c>
      <c r="F4" s="69" t="s">
        <v>3</v>
      </c>
      <c r="G4" s="69" t="s">
        <v>24</v>
      </c>
      <c r="H4" s="70" t="s">
        <v>5</v>
      </c>
      <c r="I4" s="70" t="s">
        <v>4</v>
      </c>
      <c r="J4" s="69"/>
      <c r="K4" s="70"/>
    </row>
    <row r="5" spans="2:11" x14ac:dyDescent="0.25">
      <c r="B5" s="106">
        <v>43555</v>
      </c>
      <c r="C5" s="65" t="s">
        <v>44</v>
      </c>
      <c r="D5" s="66"/>
      <c r="E5" s="63"/>
      <c r="F5" s="63"/>
      <c r="G5" s="63"/>
      <c r="H5" s="17"/>
      <c r="I5" s="64"/>
      <c r="J5" s="73">
        <v>64605.95</v>
      </c>
      <c r="K5" s="67">
        <v>20426.36</v>
      </c>
    </row>
    <row r="6" spans="2:11" x14ac:dyDescent="0.25">
      <c r="B6" s="106">
        <v>43556</v>
      </c>
      <c r="C6" s="13" t="s">
        <v>297</v>
      </c>
      <c r="D6" s="11"/>
      <c r="E6" s="11"/>
      <c r="F6" s="11"/>
      <c r="G6" s="11">
        <v>15000</v>
      </c>
      <c r="H6" s="11"/>
      <c r="I6" s="15"/>
      <c r="J6" s="12">
        <f>+J5+E6-G6</f>
        <v>49605.95</v>
      </c>
      <c r="K6" s="12">
        <f>+K5+D6-H6</f>
        <v>20426.36</v>
      </c>
    </row>
    <row r="7" spans="2:11" x14ac:dyDescent="0.25">
      <c r="B7" s="106">
        <v>43556</v>
      </c>
      <c r="C7" s="13" t="s">
        <v>201</v>
      </c>
      <c r="D7" s="11"/>
      <c r="E7" s="11"/>
      <c r="F7" s="11"/>
      <c r="G7" s="11"/>
      <c r="H7" s="11">
        <v>190</v>
      </c>
      <c r="I7" s="15"/>
      <c r="J7" s="12">
        <f t="shared" ref="J7:J52" si="0">+J6+E7-G7</f>
        <v>49605.95</v>
      </c>
      <c r="K7" s="12">
        <f t="shared" ref="K7:K51" si="1">+K6+D7-H7</f>
        <v>20236.36</v>
      </c>
    </row>
    <row r="8" spans="2:11" x14ac:dyDescent="0.25">
      <c r="B8" s="107">
        <v>43557</v>
      </c>
      <c r="C8" s="9" t="s">
        <v>342</v>
      </c>
      <c r="D8" s="11"/>
      <c r="E8" s="11"/>
      <c r="F8" s="11"/>
      <c r="G8" s="11"/>
      <c r="H8" s="110">
        <v>50</v>
      </c>
      <c r="I8" s="15"/>
      <c r="J8" s="12">
        <f t="shared" si="0"/>
        <v>49605.95</v>
      </c>
      <c r="K8" s="12">
        <f t="shared" si="1"/>
        <v>20186.36</v>
      </c>
    </row>
    <row r="9" spans="2:11" x14ac:dyDescent="0.25">
      <c r="B9" s="107">
        <v>43557</v>
      </c>
      <c r="C9" s="9" t="s">
        <v>344</v>
      </c>
      <c r="D9" s="11"/>
      <c r="E9" s="11"/>
      <c r="F9" s="11"/>
      <c r="G9" s="11"/>
      <c r="H9" s="11">
        <v>400</v>
      </c>
      <c r="I9" s="15"/>
      <c r="J9" s="12">
        <f t="shared" si="0"/>
        <v>49605.95</v>
      </c>
      <c r="K9" s="12">
        <f t="shared" si="1"/>
        <v>19786.36</v>
      </c>
    </row>
    <row r="10" spans="2:11" x14ac:dyDescent="0.25">
      <c r="B10" s="107">
        <v>43558</v>
      </c>
      <c r="C10" s="9" t="s">
        <v>345</v>
      </c>
      <c r="D10" s="11"/>
      <c r="E10" s="11"/>
      <c r="F10" s="11"/>
      <c r="G10" s="11"/>
      <c r="H10" s="110">
        <v>289</v>
      </c>
      <c r="I10" s="15"/>
      <c r="J10" s="12">
        <f t="shared" si="0"/>
        <v>49605.95</v>
      </c>
      <c r="K10" s="12">
        <f t="shared" si="1"/>
        <v>19497.36</v>
      </c>
    </row>
    <row r="11" spans="2:11" x14ac:dyDescent="0.25">
      <c r="B11" s="107">
        <v>43558</v>
      </c>
      <c r="C11" s="9" t="s">
        <v>346</v>
      </c>
      <c r="D11" s="11"/>
      <c r="E11" s="11"/>
      <c r="F11" s="11"/>
      <c r="G11" s="11"/>
      <c r="H11" s="11">
        <v>500</v>
      </c>
      <c r="I11" s="15"/>
      <c r="J11" s="12">
        <f t="shared" si="0"/>
        <v>49605.95</v>
      </c>
      <c r="K11" s="12">
        <f t="shared" si="1"/>
        <v>18997.36</v>
      </c>
    </row>
    <row r="12" spans="2:11" x14ac:dyDescent="0.25">
      <c r="B12" s="107">
        <v>43558</v>
      </c>
      <c r="C12" s="9" t="s">
        <v>347</v>
      </c>
      <c r="D12" s="11"/>
      <c r="E12" s="11"/>
      <c r="F12" s="11"/>
      <c r="G12" s="11"/>
      <c r="H12" s="11">
        <v>2000</v>
      </c>
      <c r="I12" s="15"/>
      <c r="J12" s="12">
        <f t="shared" si="0"/>
        <v>49605.95</v>
      </c>
      <c r="K12" s="12">
        <f t="shared" si="1"/>
        <v>16997.36</v>
      </c>
    </row>
    <row r="13" spans="2:11" x14ac:dyDescent="0.25">
      <c r="B13" s="107">
        <v>43559</v>
      </c>
      <c r="C13" s="9" t="s">
        <v>348</v>
      </c>
      <c r="D13" s="11"/>
      <c r="E13" s="11"/>
      <c r="F13" s="11"/>
      <c r="G13" s="11"/>
      <c r="H13" s="110">
        <v>58</v>
      </c>
      <c r="I13" s="15"/>
      <c r="J13" s="12">
        <f t="shared" si="0"/>
        <v>49605.95</v>
      </c>
      <c r="K13" s="12">
        <f t="shared" si="1"/>
        <v>16939.36</v>
      </c>
    </row>
    <row r="14" spans="2:11" x14ac:dyDescent="0.25">
      <c r="B14" s="107">
        <v>43561</v>
      </c>
      <c r="C14" s="9" t="s">
        <v>349</v>
      </c>
      <c r="D14" s="11"/>
      <c r="E14" s="11"/>
      <c r="F14" s="11"/>
      <c r="G14" s="11"/>
      <c r="H14" s="11">
        <v>371</v>
      </c>
      <c r="I14" s="15"/>
      <c r="J14" s="12">
        <f t="shared" si="0"/>
        <v>49605.95</v>
      </c>
      <c r="K14" s="12">
        <f t="shared" si="1"/>
        <v>16568.36</v>
      </c>
    </row>
    <row r="15" spans="2:11" x14ac:dyDescent="0.25">
      <c r="B15" s="107">
        <v>43562</v>
      </c>
      <c r="C15" s="9" t="s">
        <v>358</v>
      </c>
      <c r="D15" s="11"/>
      <c r="E15" s="11"/>
      <c r="F15" s="11"/>
      <c r="G15" s="11"/>
      <c r="H15" s="110">
        <v>1250</v>
      </c>
      <c r="I15" s="15"/>
      <c r="J15" s="12">
        <f t="shared" si="0"/>
        <v>49605.95</v>
      </c>
      <c r="K15" s="12">
        <f t="shared" si="1"/>
        <v>15318.36</v>
      </c>
    </row>
    <row r="16" spans="2:11" x14ac:dyDescent="0.25">
      <c r="B16" s="107">
        <v>43562</v>
      </c>
      <c r="C16" s="9" t="s">
        <v>350</v>
      </c>
      <c r="D16" s="11"/>
      <c r="E16" s="11"/>
      <c r="F16" s="11"/>
      <c r="G16" s="11"/>
      <c r="H16" s="11">
        <v>300</v>
      </c>
      <c r="I16" s="15"/>
      <c r="J16" s="12">
        <f t="shared" si="0"/>
        <v>49605.95</v>
      </c>
      <c r="K16" s="12">
        <f t="shared" si="1"/>
        <v>15018.36</v>
      </c>
    </row>
    <row r="17" spans="2:11" x14ac:dyDescent="0.25">
      <c r="B17" s="107">
        <v>43562</v>
      </c>
      <c r="C17" s="9" t="s">
        <v>351</v>
      </c>
      <c r="D17" s="11"/>
      <c r="E17" s="11"/>
      <c r="F17" s="11"/>
      <c r="G17" s="11"/>
      <c r="H17" s="11">
        <v>96</v>
      </c>
      <c r="I17" s="15"/>
      <c r="J17" s="12">
        <f t="shared" si="0"/>
        <v>49605.95</v>
      </c>
      <c r="K17" s="12">
        <f t="shared" si="1"/>
        <v>14922.36</v>
      </c>
    </row>
    <row r="18" spans="2:11" x14ac:dyDescent="0.25">
      <c r="B18" s="107">
        <v>43562</v>
      </c>
      <c r="C18" s="9" t="s">
        <v>131</v>
      </c>
      <c r="D18" s="11"/>
      <c r="E18" s="11"/>
      <c r="F18" s="11"/>
      <c r="G18" s="11"/>
      <c r="H18" s="11">
        <v>120</v>
      </c>
      <c r="I18" s="15"/>
      <c r="J18" s="12">
        <f t="shared" si="0"/>
        <v>49605.95</v>
      </c>
      <c r="K18" s="12">
        <f t="shared" si="1"/>
        <v>14802.36</v>
      </c>
    </row>
    <row r="19" spans="2:11" x14ac:dyDescent="0.25">
      <c r="B19" s="107">
        <v>43562</v>
      </c>
      <c r="C19" s="9" t="s">
        <v>352</v>
      </c>
      <c r="D19" s="11">
        <v>30900</v>
      </c>
      <c r="E19" s="11"/>
      <c r="F19" s="11"/>
      <c r="G19" s="11"/>
      <c r="H19" s="11"/>
      <c r="I19" s="15"/>
      <c r="J19" s="12">
        <f t="shared" si="0"/>
        <v>49605.95</v>
      </c>
      <c r="K19" s="12">
        <f t="shared" si="1"/>
        <v>45702.36</v>
      </c>
    </row>
    <row r="20" spans="2:11" x14ac:dyDescent="0.25">
      <c r="B20" s="107">
        <v>43563</v>
      </c>
      <c r="C20" s="9" t="s">
        <v>201</v>
      </c>
      <c r="D20" s="11"/>
      <c r="E20" s="11"/>
      <c r="F20" s="11"/>
      <c r="G20" s="11"/>
      <c r="H20" s="11">
        <v>190</v>
      </c>
      <c r="I20" s="15"/>
      <c r="J20" s="12">
        <f t="shared" si="0"/>
        <v>49605.95</v>
      </c>
      <c r="K20" s="12">
        <f t="shared" si="1"/>
        <v>45512.36</v>
      </c>
    </row>
    <row r="21" spans="2:11" x14ac:dyDescent="0.25">
      <c r="B21" s="107">
        <v>43564</v>
      </c>
      <c r="C21" s="9" t="s">
        <v>354</v>
      </c>
      <c r="D21" s="11"/>
      <c r="E21" s="11"/>
      <c r="F21" s="11"/>
      <c r="G21" s="11"/>
      <c r="H21" s="11">
        <v>60</v>
      </c>
      <c r="I21" s="15"/>
      <c r="J21" s="12">
        <f t="shared" si="0"/>
        <v>49605.95</v>
      </c>
      <c r="K21" s="12">
        <f t="shared" si="1"/>
        <v>45452.36</v>
      </c>
    </row>
    <row r="22" spans="2:11" x14ac:dyDescent="0.25">
      <c r="B22" s="107">
        <v>43564</v>
      </c>
      <c r="C22" s="9" t="s">
        <v>353</v>
      </c>
      <c r="D22" s="11"/>
      <c r="E22" s="11"/>
      <c r="F22" s="11"/>
      <c r="G22" s="11"/>
      <c r="H22" s="110">
        <v>250</v>
      </c>
      <c r="I22" s="15"/>
      <c r="J22" s="12">
        <f t="shared" si="0"/>
        <v>49605.95</v>
      </c>
      <c r="K22" s="12">
        <f t="shared" si="1"/>
        <v>45202.36</v>
      </c>
    </row>
    <row r="23" spans="2:11" x14ac:dyDescent="0.25">
      <c r="B23" s="107">
        <v>43564</v>
      </c>
      <c r="C23" s="9" t="s">
        <v>355</v>
      </c>
      <c r="D23" s="11"/>
      <c r="E23" s="11"/>
      <c r="F23" s="11"/>
      <c r="G23" s="11"/>
      <c r="H23" s="110">
        <v>24</v>
      </c>
      <c r="I23" s="15"/>
      <c r="J23" s="12">
        <f t="shared" si="0"/>
        <v>49605.95</v>
      </c>
      <c r="K23" s="12">
        <f t="shared" si="1"/>
        <v>45178.36</v>
      </c>
    </row>
    <row r="24" spans="2:11" x14ac:dyDescent="0.25">
      <c r="B24" s="107">
        <v>43566</v>
      </c>
      <c r="C24" s="9" t="s">
        <v>356</v>
      </c>
      <c r="D24" s="11"/>
      <c r="E24" s="11"/>
      <c r="F24" s="11"/>
      <c r="G24" s="11"/>
      <c r="H24" s="110">
        <v>1000</v>
      </c>
      <c r="I24" s="15"/>
      <c r="J24" s="12">
        <f t="shared" si="0"/>
        <v>49605.95</v>
      </c>
      <c r="K24" s="12">
        <f t="shared" si="1"/>
        <v>44178.36</v>
      </c>
    </row>
    <row r="25" spans="2:11" x14ac:dyDescent="0.25">
      <c r="B25" s="107">
        <v>43566</v>
      </c>
      <c r="C25" s="9" t="s">
        <v>357</v>
      </c>
      <c r="D25" s="11"/>
      <c r="E25" s="11"/>
      <c r="F25" s="11"/>
      <c r="G25" s="11"/>
      <c r="H25" s="11">
        <v>200</v>
      </c>
      <c r="I25" s="15"/>
      <c r="J25" s="12">
        <f t="shared" si="0"/>
        <v>49605.95</v>
      </c>
      <c r="K25" s="12">
        <f t="shared" si="1"/>
        <v>43978.36</v>
      </c>
    </row>
    <row r="26" spans="2:11" x14ac:dyDescent="0.25">
      <c r="B26" s="107">
        <v>43566</v>
      </c>
      <c r="C26" s="9" t="s">
        <v>361</v>
      </c>
      <c r="D26" s="11"/>
      <c r="E26" s="11"/>
      <c r="F26" s="11"/>
      <c r="G26" s="11"/>
      <c r="H26" s="11">
        <v>2500</v>
      </c>
      <c r="I26" s="15"/>
      <c r="J26" s="12">
        <f t="shared" si="0"/>
        <v>49605.95</v>
      </c>
      <c r="K26" s="12">
        <f t="shared" si="1"/>
        <v>41478.36</v>
      </c>
    </row>
    <row r="27" spans="2:11" x14ac:dyDescent="0.25">
      <c r="B27" s="107">
        <v>43566</v>
      </c>
      <c r="C27" s="9" t="s">
        <v>362</v>
      </c>
      <c r="D27" s="11"/>
      <c r="E27" s="11"/>
      <c r="F27" s="11"/>
      <c r="G27" s="11"/>
      <c r="H27" s="11">
        <v>124</v>
      </c>
      <c r="I27" s="15"/>
      <c r="J27" s="12">
        <f t="shared" si="0"/>
        <v>49605.95</v>
      </c>
      <c r="K27" s="12">
        <f t="shared" si="1"/>
        <v>41354.36</v>
      </c>
    </row>
    <row r="28" spans="2:11" x14ac:dyDescent="0.25">
      <c r="B28" s="107">
        <v>43567</v>
      </c>
      <c r="C28" s="9" t="s">
        <v>363</v>
      </c>
      <c r="D28" s="11"/>
      <c r="E28" s="11"/>
      <c r="F28" s="11"/>
      <c r="G28" s="11"/>
      <c r="H28" s="11">
        <v>1250</v>
      </c>
      <c r="I28" s="15"/>
      <c r="J28" s="12">
        <f t="shared" si="0"/>
        <v>49605.95</v>
      </c>
      <c r="K28" s="12">
        <f t="shared" si="1"/>
        <v>40104.36</v>
      </c>
    </row>
    <row r="29" spans="2:11" x14ac:dyDescent="0.25">
      <c r="B29" s="107">
        <v>43567</v>
      </c>
      <c r="C29" s="9" t="s">
        <v>364</v>
      </c>
      <c r="D29" s="11"/>
      <c r="E29" s="11"/>
      <c r="F29" s="11"/>
      <c r="G29" s="11"/>
      <c r="H29" s="11">
        <v>778</v>
      </c>
      <c r="I29" s="15"/>
      <c r="J29" s="12">
        <f t="shared" si="0"/>
        <v>49605.95</v>
      </c>
      <c r="K29" s="12">
        <f t="shared" si="1"/>
        <v>39326.36</v>
      </c>
    </row>
    <row r="30" spans="2:11" x14ac:dyDescent="0.25">
      <c r="B30" s="107">
        <v>43569</v>
      </c>
      <c r="C30" s="9" t="s">
        <v>351</v>
      </c>
      <c r="D30" s="11"/>
      <c r="E30" s="11"/>
      <c r="F30" s="11"/>
      <c r="G30" s="11"/>
      <c r="H30" s="110">
        <v>80.5</v>
      </c>
      <c r="I30" s="15"/>
      <c r="J30" s="12">
        <f t="shared" si="0"/>
        <v>49605.95</v>
      </c>
      <c r="K30" s="12">
        <f t="shared" si="1"/>
        <v>39245.86</v>
      </c>
    </row>
    <row r="31" spans="2:11" x14ac:dyDescent="0.25">
      <c r="B31" s="107">
        <v>43569</v>
      </c>
      <c r="C31" s="9" t="s">
        <v>131</v>
      </c>
      <c r="D31" s="11"/>
      <c r="E31" s="11"/>
      <c r="F31" s="11"/>
      <c r="G31" s="11"/>
      <c r="H31" s="11">
        <v>120</v>
      </c>
      <c r="I31" s="15"/>
      <c r="J31" s="12">
        <f t="shared" si="0"/>
        <v>49605.95</v>
      </c>
      <c r="K31" s="12">
        <f t="shared" si="1"/>
        <v>39125.86</v>
      </c>
    </row>
    <row r="32" spans="2:11" x14ac:dyDescent="0.25">
      <c r="B32" s="107">
        <v>43569</v>
      </c>
      <c r="C32" s="9" t="s">
        <v>365</v>
      </c>
      <c r="D32" s="11">
        <v>12890</v>
      </c>
      <c r="E32" s="11"/>
      <c r="F32" s="11"/>
      <c r="G32" s="11"/>
      <c r="H32" s="11"/>
      <c r="I32" s="15"/>
      <c r="J32" s="12">
        <f t="shared" si="0"/>
        <v>49605.95</v>
      </c>
      <c r="K32" s="12">
        <f t="shared" si="1"/>
        <v>52015.86</v>
      </c>
    </row>
    <row r="33" spans="2:11" x14ac:dyDescent="0.25">
      <c r="B33" s="107">
        <v>43569</v>
      </c>
      <c r="C33" s="9" t="s">
        <v>350</v>
      </c>
      <c r="D33" s="11"/>
      <c r="E33" s="11"/>
      <c r="F33" s="11"/>
      <c r="G33" s="11"/>
      <c r="H33" s="11">
        <v>300</v>
      </c>
      <c r="I33" s="15"/>
      <c r="J33" s="12">
        <f t="shared" si="0"/>
        <v>49605.95</v>
      </c>
      <c r="K33" s="12">
        <f t="shared" si="1"/>
        <v>51715.86</v>
      </c>
    </row>
    <row r="34" spans="2:11" x14ac:dyDescent="0.25">
      <c r="B34" s="107">
        <v>43569</v>
      </c>
      <c r="C34" s="9" t="s">
        <v>366</v>
      </c>
      <c r="D34" s="11"/>
      <c r="E34" s="11"/>
      <c r="F34" s="11"/>
      <c r="G34" s="11"/>
      <c r="H34" s="11">
        <v>3850</v>
      </c>
      <c r="I34" s="15"/>
      <c r="J34" s="12">
        <f t="shared" si="0"/>
        <v>49605.95</v>
      </c>
      <c r="K34" s="12">
        <f t="shared" si="1"/>
        <v>47865.86</v>
      </c>
    </row>
    <row r="35" spans="2:11" x14ac:dyDescent="0.25">
      <c r="B35" s="107">
        <v>43570</v>
      </c>
      <c r="C35" s="9" t="s">
        <v>367</v>
      </c>
      <c r="D35" s="11"/>
      <c r="E35" s="11"/>
      <c r="F35" s="11"/>
      <c r="G35" s="11"/>
      <c r="H35" s="11">
        <v>350</v>
      </c>
      <c r="I35" s="15"/>
      <c r="J35" s="12">
        <f t="shared" si="0"/>
        <v>49605.95</v>
      </c>
      <c r="K35" s="12">
        <f t="shared" si="1"/>
        <v>47515.86</v>
      </c>
    </row>
    <row r="36" spans="2:11" x14ac:dyDescent="0.25">
      <c r="B36" s="107">
        <v>43570</v>
      </c>
      <c r="C36" s="9" t="s">
        <v>368</v>
      </c>
      <c r="D36" s="11"/>
      <c r="E36" s="11"/>
      <c r="F36" s="11"/>
      <c r="G36" s="11"/>
      <c r="H36" s="11">
        <v>550</v>
      </c>
      <c r="I36" s="15"/>
      <c r="J36" s="12">
        <f t="shared" si="0"/>
        <v>49605.95</v>
      </c>
      <c r="K36" s="12">
        <f t="shared" si="1"/>
        <v>46965.86</v>
      </c>
    </row>
    <row r="37" spans="2:11" x14ac:dyDescent="0.25">
      <c r="B37" s="107">
        <v>43570</v>
      </c>
      <c r="C37" s="9" t="s">
        <v>369</v>
      </c>
      <c r="D37" s="11"/>
      <c r="E37" s="11"/>
      <c r="F37" s="11"/>
      <c r="G37" s="11"/>
      <c r="H37" s="11">
        <v>2000</v>
      </c>
      <c r="I37" s="15"/>
      <c r="J37" s="12">
        <f t="shared" si="0"/>
        <v>49605.95</v>
      </c>
      <c r="K37" s="12">
        <f t="shared" si="1"/>
        <v>44965.86</v>
      </c>
    </row>
    <row r="38" spans="2:11" x14ac:dyDescent="0.25">
      <c r="B38" s="107">
        <v>43570</v>
      </c>
      <c r="C38" s="9" t="s">
        <v>119</v>
      </c>
      <c r="D38" s="11"/>
      <c r="E38" s="11"/>
      <c r="F38" s="11"/>
      <c r="G38" s="11"/>
      <c r="H38" s="110">
        <v>4000</v>
      </c>
      <c r="I38" s="15"/>
      <c r="J38" s="12">
        <f t="shared" si="0"/>
        <v>49605.95</v>
      </c>
      <c r="K38" s="12">
        <f t="shared" si="1"/>
        <v>40965.86</v>
      </c>
    </row>
    <row r="39" spans="2:11" x14ac:dyDescent="0.25">
      <c r="B39" s="107">
        <v>43570</v>
      </c>
      <c r="C39" s="21" t="s">
        <v>371</v>
      </c>
      <c r="D39" s="11"/>
      <c r="E39" s="11"/>
      <c r="F39" s="11"/>
      <c r="G39" s="11"/>
      <c r="H39" s="11">
        <v>30000</v>
      </c>
      <c r="I39" s="15"/>
      <c r="J39" s="12">
        <f t="shared" si="0"/>
        <v>49605.95</v>
      </c>
      <c r="K39" s="12">
        <f t="shared" si="1"/>
        <v>10965.86</v>
      </c>
    </row>
    <row r="40" spans="2:11" x14ac:dyDescent="0.25">
      <c r="B40" s="107">
        <v>43570</v>
      </c>
      <c r="C40" s="9" t="s">
        <v>370</v>
      </c>
      <c r="D40" s="11"/>
      <c r="E40" s="11"/>
      <c r="F40" s="11"/>
      <c r="G40" s="11">
        <v>10000</v>
      </c>
      <c r="H40" s="11"/>
      <c r="I40" s="15"/>
      <c r="J40" s="12">
        <f t="shared" si="0"/>
        <v>39605.949999999997</v>
      </c>
      <c r="K40" s="12">
        <f t="shared" si="1"/>
        <v>10965.86</v>
      </c>
    </row>
    <row r="41" spans="2:11" x14ac:dyDescent="0.25">
      <c r="B41" s="107">
        <v>43570</v>
      </c>
      <c r="C41" s="35" t="s">
        <v>362</v>
      </c>
      <c r="D41" s="11"/>
      <c r="E41" s="11"/>
      <c r="F41" s="11"/>
      <c r="G41" s="11"/>
      <c r="H41" s="110">
        <v>90</v>
      </c>
      <c r="I41" s="15"/>
      <c r="J41" s="12">
        <f t="shared" si="0"/>
        <v>39605.949999999997</v>
      </c>
      <c r="K41" s="12">
        <f t="shared" si="1"/>
        <v>10875.86</v>
      </c>
    </row>
    <row r="42" spans="2:11" x14ac:dyDescent="0.25">
      <c r="B42" s="107">
        <v>43570</v>
      </c>
      <c r="C42" s="9" t="s">
        <v>372</v>
      </c>
      <c r="D42" s="11"/>
      <c r="E42" s="11"/>
      <c r="F42" s="11"/>
      <c r="G42" s="11"/>
      <c r="H42" s="110">
        <v>228</v>
      </c>
      <c r="I42" s="15"/>
      <c r="J42" s="12">
        <f t="shared" si="0"/>
        <v>39605.949999999997</v>
      </c>
      <c r="K42" s="12">
        <f t="shared" si="1"/>
        <v>10647.86</v>
      </c>
    </row>
    <row r="43" spans="2:11" x14ac:dyDescent="0.25">
      <c r="B43" s="107">
        <v>43570</v>
      </c>
      <c r="C43" s="9" t="s">
        <v>373</v>
      </c>
      <c r="D43" s="11"/>
      <c r="E43" s="11"/>
      <c r="F43" s="11"/>
      <c r="G43" s="11"/>
      <c r="H43" s="110">
        <v>92</v>
      </c>
      <c r="I43" s="15"/>
      <c r="J43" s="12">
        <f t="shared" si="0"/>
        <v>39605.949999999997</v>
      </c>
      <c r="K43" s="12">
        <f t="shared" si="1"/>
        <v>10555.86</v>
      </c>
    </row>
    <row r="44" spans="2:11" x14ac:dyDescent="0.25">
      <c r="B44" s="107">
        <v>43571</v>
      </c>
      <c r="C44" s="9" t="s">
        <v>374</v>
      </c>
      <c r="D44" s="11"/>
      <c r="E44" s="11"/>
      <c r="F44" s="11"/>
      <c r="G44" s="11"/>
      <c r="H44" s="110">
        <v>250</v>
      </c>
      <c r="I44" s="15"/>
      <c r="J44" s="12">
        <f t="shared" si="0"/>
        <v>39605.949999999997</v>
      </c>
      <c r="K44" s="12">
        <f t="shared" si="1"/>
        <v>10305.86</v>
      </c>
    </row>
    <row r="45" spans="2:11" x14ac:dyDescent="0.25">
      <c r="B45" s="107">
        <v>43571</v>
      </c>
      <c r="C45" s="9" t="s">
        <v>375</v>
      </c>
      <c r="D45" s="11"/>
      <c r="E45" s="11"/>
      <c r="F45" s="11"/>
      <c r="G45" s="11"/>
      <c r="H45" s="110">
        <v>46</v>
      </c>
      <c r="I45" s="15"/>
      <c r="J45" s="12">
        <f t="shared" si="0"/>
        <v>39605.949999999997</v>
      </c>
      <c r="K45" s="12">
        <f t="shared" si="1"/>
        <v>10259.86</v>
      </c>
    </row>
    <row r="46" spans="2:11" x14ac:dyDescent="0.25">
      <c r="B46" s="107">
        <v>43571</v>
      </c>
      <c r="C46" s="9" t="s">
        <v>376</v>
      </c>
      <c r="D46" s="11"/>
      <c r="E46" s="11"/>
      <c r="F46" s="11"/>
      <c r="G46" s="11"/>
      <c r="H46" s="110">
        <v>650</v>
      </c>
      <c r="I46" s="15"/>
      <c r="J46" s="12">
        <f t="shared" si="0"/>
        <v>39605.949999999997</v>
      </c>
      <c r="K46" s="12">
        <f t="shared" si="1"/>
        <v>9609.86</v>
      </c>
    </row>
    <row r="47" spans="2:11" x14ac:dyDescent="0.25">
      <c r="B47" s="107">
        <v>43571</v>
      </c>
      <c r="C47" s="9" t="s">
        <v>377</v>
      </c>
      <c r="D47" s="11"/>
      <c r="E47" s="11"/>
      <c r="F47" s="11"/>
      <c r="G47" s="11"/>
      <c r="H47" s="110">
        <v>350</v>
      </c>
      <c r="I47" s="15"/>
      <c r="J47" s="12">
        <f t="shared" si="0"/>
        <v>39605.949999999997</v>
      </c>
      <c r="K47" s="12">
        <f t="shared" si="1"/>
        <v>9259.86</v>
      </c>
    </row>
    <row r="48" spans="2:11" x14ac:dyDescent="0.25">
      <c r="B48" s="107">
        <v>43572</v>
      </c>
      <c r="C48" s="9" t="s">
        <v>80</v>
      </c>
      <c r="D48" s="11"/>
      <c r="E48" s="11"/>
      <c r="F48" s="11"/>
      <c r="G48" s="11"/>
      <c r="H48" s="110">
        <v>27.5</v>
      </c>
      <c r="I48" s="15"/>
      <c r="J48" s="12">
        <f t="shared" si="0"/>
        <v>39605.949999999997</v>
      </c>
      <c r="K48" s="12">
        <f t="shared" si="1"/>
        <v>9232.36</v>
      </c>
    </row>
    <row r="49" spans="2:11" x14ac:dyDescent="0.25">
      <c r="B49" s="107">
        <v>43572</v>
      </c>
      <c r="C49" s="9" t="s">
        <v>378</v>
      </c>
      <c r="D49" s="11"/>
      <c r="E49" s="11"/>
      <c r="F49" s="11"/>
      <c r="G49" s="11"/>
      <c r="H49" s="110">
        <v>78.89</v>
      </c>
      <c r="I49" s="15"/>
      <c r="J49" s="12">
        <f t="shared" si="0"/>
        <v>39605.949999999997</v>
      </c>
      <c r="K49" s="12">
        <f t="shared" si="1"/>
        <v>9153.4700000000012</v>
      </c>
    </row>
    <row r="50" spans="2:11" x14ac:dyDescent="0.25">
      <c r="B50" s="107">
        <v>43573</v>
      </c>
      <c r="C50" s="13" t="s">
        <v>383</v>
      </c>
      <c r="D50" s="11"/>
      <c r="E50" s="11">
        <v>12760</v>
      </c>
      <c r="F50" s="11"/>
      <c r="G50" s="11"/>
      <c r="H50" s="110"/>
      <c r="I50" s="15"/>
      <c r="J50" s="12">
        <f t="shared" si="0"/>
        <v>52365.95</v>
      </c>
      <c r="K50" s="12">
        <f t="shared" si="1"/>
        <v>9153.4700000000012</v>
      </c>
    </row>
    <row r="51" spans="2:11" x14ac:dyDescent="0.25">
      <c r="B51" s="107">
        <v>43573</v>
      </c>
      <c r="C51" s="9" t="s">
        <v>379</v>
      </c>
      <c r="D51" s="41"/>
      <c r="E51" s="11"/>
      <c r="F51" s="11"/>
      <c r="G51" s="11"/>
      <c r="H51" s="110">
        <v>250</v>
      </c>
      <c r="I51" s="15"/>
      <c r="J51" s="12">
        <f t="shared" si="0"/>
        <v>52365.95</v>
      </c>
      <c r="K51" s="12">
        <f t="shared" si="1"/>
        <v>8903.4700000000012</v>
      </c>
    </row>
    <row r="52" spans="2:11" x14ac:dyDescent="0.25">
      <c r="B52" s="107">
        <v>43574</v>
      </c>
      <c r="C52" s="9" t="s">
        <v>380</v>
      </c>
      <c r="D52" s="101"/>
      <c r="E52" s="11"/>
      <c r="F52" s="11"/>
      <c r="G52" s="11"/>
      <c r="H52" s="11">
        <v>129</v>
      </c>
      <c r="I52" s="15"/>
      <c r="J52" s="12">
        <f t="shared" si="0"/>
        <v>52365.95</v>
      </c>
      <c r="K52" s="12">
        <f>+K51+D52-H52</f>
        <v>8774.4700000000012</v>
      </c>
    </row>
    <row r="53" spans="2:11" x14ac:dyDescent="0.25">
      <c r="B53" s="107">
        <v>43574</v>
      </c>
      <c r="C53" s="9" t="s">
        <v>381</v>
      </c>
      <c r="D53" s="11"/>
      <c r="E53" s="11"/>
      <c r="F53" s="11"/>
      <c r="G53" s="11"/>
      <c r="H53" s="11">
        <v>35</v>
      </c>
      <c r="I53" s="15"/>
      <c r="J53" s="12">
        <f>+J52+E53-G53</f>
        <v>52365.95</v>
      </c>
      <c r="K53" s="12">
        <f>+K52+D53-H53</f>
        <v>8739.4700000000012</v>
      </c>
    </row>
    <row r="54" spans="2:11" ht="15.75" thickBot="1" x14ac:dyDescent="0.3">
      <c r="B54" s="106">
        <v>43574</v>
      </c>
      <c r="C54" s="75" t="s">
        <v>382</v>
      </c>
      <c r="D54" s="17"/>
      <c r="E54" s="17"/>
      <c r="F54" s="17"/>
      <c r="G54" s="17"/>
      <c r="H54" s="17">
        <v>67.5</v>
      </c>
      <c r="I54" s="64"/>
      <c r="J54" s="12">
        <f>+J53+E54-G54</f>
        <v>52365.95</v>
      </c>
      <c r="K54" s="12">
        <f>+K53+D54-H54</f>
        <v>8671.9700000000012</v>
      </c>
    </row>
    <row r="55" spans="2:11" ht="15.75" thickBot="1" x14ac:dyDescent="0.3">
      <c r="B55" s="108"/>
      <c r="C55" s="7" t="s">
        <v>0</v>
      </c>
      <c r="D55" s="77">
        <f>SUM(D5:D54)</f>
        <v>43790</v>
      </c>
      <c r="E55" s="111">
        <f>SUM(E5:E54)</f>
        <v>12760</v>
      </c>
      <c r="F55" s="71">
        <f>SUM(D55:E55)</f>
        <v>56550</v>
      </c>
      <c r="G55" s="112">
        <f>SUM(G5:G54)</f>
        <v>25000</v>
      </c>
      <c r="H55" s="62">
        <f>SUM(H5:H54)</f>
        <v>55544.39</v>
      </c>
      <c r="I55" s="71">
        <f>SUM(G55:H55)</f>
        <v>80544.39</v>
      </c>
      <c r="J55" s="20"/>
      <c r="K55" s="20"/>
    </row>
    <row r="56" spans="2:11" x14ac:dyDescent="0.25">
      <c r="B56" s="104" t="s">
        <v>1</v>
      </c>
      <c r="C56" s="68" t="s">
        <v>2</v>
      </c>
      <c r="D56" s="68" t="s">
        <v>3</v>
      </c>
      <c r="E56" s="68" t="s">
        <v>3</v>
      </c>
      <c r="F56" s="68" t="s">
        <v>22</v>
      </c>
      <c r="G56" s="68" t="s">
        <v>23</v>
      </c>
      <c r="H56" s="48" t="s">
        <v>23</v>
      </c>
      <c r="I56" s="48" t="s">
        <v>22</v>
      </c>
      <c r="J56" s="68" t="s">
        <v>8</v>
      </c>
      <c r="K56" s="48" t="s">
        <v>7</v>
      </c>
    </row>
    <row r="57" spans="2:11" ht="15.75" thickBot="1" x14ac:dyDescent="0.3">
      <c r="B57" s="105"/>
      <c r="C57" s="69"/>
      <c r="D57" s="69" t="s">
        <v>5</v>
      </c>
      <c r="E57" s="69" t="s">
        <v>24</v>
      </c>
      <c r="F57" s="69" t="s">
        <v>3</v>
      </c>
      <c r="G57" s="69" t="s">
        <v>24</v>
      </c>
      <c r="H57" s="70" t="s">
        <v>5</v>
      </c>
      <c r="I57" s="70" t="s">
        <v>4</v>
      </c>
      <c r="J57" s="69"/>
      <c r="K57" s="70"/>
    </row>
    <row r="58" spans="2:11" ht="15.75" thickBot="1" x14ac:dyDescent="0.3">
      <c r="B58" s="109"/>
      <c r="C58" s="76" t="s">
        <v>0</v>
      </c>
      <c r="D58" s="77">
        <v>43790</v>
      </c>
      <c r="E58" s="77">
        <v>12760</v>
      </c>
      <c r="F58" s="77">
        <f>SUM(D58:E58)</f>
        <v>56550</v>
      </c>
      <c r="G58" s="77">
        <v>25000</v>
      </c>
      <c r="H58" s="62">
        <v>55544.39</v>
      </c>
      <c r="I58" s="62">
        <f>SUM(G58:H58)</f>
        <v>80544.39</v>
      </c>
      <c r="J58" s="62">
        <v>52365.95</v>
      </c>
      <c r="K58" s="20">
        <v>8671.9699999999993</v>
      </c>
    </row>
    <row r="59" spans="2:11" x14ac:dyDescent="0.25">
      <c r="B59" s="107">
        <v>43574</v>
      </c>
      <c r="C59" s="9" t="s">
        <v>384</v>
      </c>
      <c r="D59" s="11"/>
      <c r="E59" s="11"/>
      <c r="F59" s="11"/>
      <c r="G59" s="11"/>
      <c r="H59" s="11">
        <v>250</v>
      </c>
      <c r="I59" s="15"/>
      <c r="J59" s="12">
        <f>+J58+E59-G59</f>
        <v>52365.95</v>
      </c>
      <c r="K59" s="12">
        <f>+K58+D59-H59</f>
        <v>8421.9699999999993</v>
      </c>
    </row>
    <row r="60" spans="2:11" x14ac:dyDescent="0.25">
      <c r="B60" s="107">
        <v>43574</v>
      </c>
      <c r="C60" s="9" t="s">
        <v>385</v>
      </c>
      <c r="D60" s="11"/>
      <c r="E60" s="11"/>
      <c r="F60" s="11"/>
      <c r="G60" s="11"/>
      <c r="H60" s="11">
        <v>1250</v>
      </c>
      <c r="I60" s="15"/>
      <c r="J60" s="12">
        <f t="shared" ref="J60:J81" si="2">+J59+E60-G60</f>
        <v>52365.95</v>
      </c>
      <c r="K60" s="12">
        <f t="shared" ref="K60:K81" si="3">+K59+D60-H60</f>
        <v>7171.9699999999993</v>
      </c>
    </row>
    <row r="61" spans="2:11" x14ac:dyDescent="0.25">
      <c r="B61" s="107">
        <v>43575</v>
      </c>
      <c r="C61" s="9" t="s">
        <v>80</v>
      </c>
      <c r="D61" s="11"/>
      <c r="E61" s="11"/>
      <c r="F61" s="11"/>
      <c r="G61" s="11"/>
      <c r="H61" s="11">
        <v>55.5</v>
      </c>
      <c r="I61" s="15"/>
      <c r="J61" s="12">
        <f t="shared" si="2"/>
        <v>52365.95</v>
      </c>
      <c r="K61" s="12">
        <f t="shared" si="3"/>
        <v>7116.4699999999993</v>
      </c>
    </row>
    <row r="62" spans="2:11" x14ac:dyDescent="0.25">
      <c r="B62" s="107">
        <v>43576</v>
      </c>
      <c r="C62" s="13" t="s">
        <v>386</v>
      </c>
      <c r="D62" s="41"/>
      <c r="E62" s="41"/>
      <c r="F62" s="41"/>
      <c r="G62" s="41"/>
      <c r="H62" s="11">
        <v>120</v>
      </c>
      <c r="I62" s="15"/>
      <c r="J62" s="12">
        <f t="shared" si="2"/>
        <v>52365.95</v>
      </c>
      <c r="K62" s="12">
        <f t="shared" si="3"/>
        <v>6996.4699999999993</v>
      </c>
    </row>
    <row r="63" spans="2:11" x14ac:dyDescent="0.25">
      <c r="B63" s="107">
        <v>43576</v>
      </c>
      <c r="C63" s="13" t="s">
        <v>387</v>
      </c>
      <c r="D63" s="41"/>
      <c r="E63" s="41"/>
      <c r="F63" s="41"/>
      <c r="G63" s="16"/>
      <c r="H63" s="11">
        <v>150</v>
      </c>
      <c r="I63" s="15"/>
      <c r="J63" s="12">
        <f t="shared" si="2"/>
        <v>52365.95</v>
      </c>
      <c r="K63" s="12">
        <f t="shared" si="3"/>
        <v>6846.4699999999993</v>
      </c>
    </row>
    <row r="64" spans="2:11" x14ac:dyDescent="0.25">
      <c r="B64" s="107">
        <v>43576</v>
      </c>
      <c r="C64" s="13" t="s">
        <v>388</v>
      </c>
      <c r="D64" s="41"/>
      <c r="E64" s="41"/>
      <c r="F64" s="41"/>
      <c r="G64" s="102"/>
      <c r="H64" s="11">
        <v>90.5</v>
      </c>
      <c r="I64" s="15"/>
      <c r="J64" s="12">
        <f t="shared" si="2"/>
        <v>52365.95</v>
      </c>
      <c r="K64" s="12">
        <f t="shared" si="3"/>
        <v>6755.9699999999993</v>
      </c>
    </row>
    <row r="65" spans="2:11" x14ac:dyDescent="0.25">
      <c r="B65" s="107">
        <v>43576</v>
      </c>
      <c r="C65" s="9" t="s">
        <v>389</v>
      </c>
      <c r="D65" s="11"/>
      <c r="E65" s="11"/>
      <c r="F65" s="11"/>
      <c r="G65" s="11"/>
      <c r="H65" s="110">
        <v>80</v>
      </c>
      <c r="I65" s="15"/>
      <c r="J65" s="12">
        <f t="shared" si="2"/>
        <v>52365.95</v>
      </c>
      <c r="K65" s="12">
        <f t="shared" si="3"/>
        <v>6675.9699999999993</v>
      </c>
    </row>
    <row r="66" spans="2:11" x14ac:dyDescent="0.25">
      <c r="B66" s="107">
        <v>43576</v>
      </c>
      <c r="C66" s="9" t="s">
        <v>72</v>
      </c>
      <c r="D66" s="11"/>
      <c r="E66" s="11"/>
      <c r="F66" s="11"/>
      <c r="G66" s="11"/>
      <c r="H66" s="11">
        <v>19</v>
      </c>
      <c r="I66" s="15"/>
      <c r="J66" s="12">
        <f t="shared" si="2"/>
        <v>52365.95</v>
      </c>
      <c r="K66" s="12">
        <f t="shared" si="3"/>
        <v>6656.9699999999993</v>
      </c>
    </row>
    <row r="67" spans="2:11" x14ac:dyDescent="0.25">
      <c r="B67" s="107">
        <v>43576</v>
      </c>
      <c r="C67" s="9" t="s">
        <v>351</v>
      </c>
      <c r="D67" s="11"/>
      <c r="E67" s="11"/>
      <c r="F67" s="11"/>
      <c r="G67" s="11"/>
      <c r="H67" s="11">
        <v>29.5</v>
      </c>
      <c r="I67" s="15"/>
      <c r="J67" s="12">
        <f t="shared" si="2"/>
        <v>52365.95</v>
      </c>
      <c r="K67" s="12">
        <f t="shared" si="3"/>
        <v>6627.4699999999993</v>
      </c>
    </row>
    <row r="68" spans="2:11" x14ac:dyDescent="0.25">
      <c r="B68" s="107">
        <v>43576</v>
      </c>
      <c r="C68" s="9" t="s">
        <v>390</v>
      </c>
      <c r="D68" s="11">
        <v>19650</v>
      </c>
      <c r="E68" s="11"/>
      <c r="F68" s="11"/>
      <c r="G68" s="11"/>
      <c r="H68" s="110"/>
      <c r="I68" s="15"/>
      <c r="J68" s="12">
        <f t="shared" si="2"/>
        <v>52365.95</v>
      </c>
      <c r="K68" s="12">
        <f t="shared" si="3"/>
        <v>26277.47</v>
      </c>
    </row>
    <row r="69" spans="2:11" x14ac:dyDescent="0.25">
      <c r="B69" s="107">
        <v>43577</v>
      </c>
      <c r="C69" s="9" t="s">
        <v>391</v>
      </c>
      <c r="D69" s="11"/>
      <c r="E69" s="11"/>
      <c r="F69" s="11"/>
      <c r="G69" s="11"/>
      <c r="H69" s="11">
        <v>400</v>
      </c>
      <c r="I69" s="15"/>
      <c r="J69" s="12">
        <f t="shared" si="2"/>
        <v>52365.95</v>
      </c>
      <c r="K69" s="12">
        <f t="shared" si="3"/>
        <v>25877.47</v>
      </c>
    </row>
    <row r="70" spans="2:11" x14ac:dyDescent="0.25">
      <c r="B70" s="107">
        <v>43577</v>
      </c>
      <c r="C70" s="9" t="s">
        <v>392</v>
      </c>
      <c r="D70" s="11"/>
      <c r="E70" s="11"/>
      <c r="F70" s="11"/>
      <c r="G70" s="11"/>
      <c r="H70" s="11">
        <v>320</v>
      </c>
      <c r="I70" s="15"/>
      <c r="J70" s="12">
        <f t="shared" si="2"/>
        <v>52365.95</v>
      </c>
      <c r="K70" s="12">
        <f t="shared" si="3"/>
        <v>25557.47</v>
      </c>
    </row>
    <row r="71" spans="2:11" x14ac:dyDescent="0.25">
      <c r="B71" s="107">
        <v>43577</v>
      </c>
      <c r="C71" s="9" t="s">
        <v>393</v>
      </c>
      <c r="D71" s="11"/>
      <c r="E71" s="11"/>
      <c r="F71" s="11"/>
      <c r="G71" s="11"/>
      <c r="H71" s="11">
        <v>160</v>
      </c>
      <c r="I71" s="15"/>
      <c r="J71" s="12">
        <f t="shared" si="2"/>
        <v>52365.95</v>
      </c>
      <c r="K71" s="12">
        <f t="shared" si="3"/>
        <v>25397.47</v>
      </c>
    </row>
    <row r="72" spans="2:11" x14ac:dyDescent="0.25">
      <c r="B72" s="107">
        <v>43577</v>
      </c>
      <c r="C72" s="9" t="s">
        <v>394</v>
      </c>
      <c r="D72" s="11"/>
      <c r="E72" s="11"/>
      <c r="F72" s="11"/>
      <c r="G72" s="11"/>
      <c r="H72" s="11">
        <v>250</v>
      </c>
      <c r="I72" s="15"/>
      <c r="J72" s="12">
        <f t="shared" si="2"/>
        <v>52365.95</v>
      </c>
      <c r="K72" s="12">
        <f t="shared" si="3"/>
        <v>25147.47</v>
      </c>
    </row>
    <row r="73" spans="2:11" x14ac:dyDescent="0.25">
      <c r="B73" s="107">
        <v>43577</v>
      </c>
      <c r="C73" s="9" t="s">
        <v>382</v>
      </c>
      <c r="D73" s="11"/>
      <c r="E73" s="11"/>
      <c r="F73" s="11"/>
      <c r="G73" s="11"/>
      <c r="H73" s="11">
        <v>131</v>
      </c>
      <c r="I73" s="15"/>
      <c r="J73" s="12">
        <f t="shared" si="2"/>
        <v>52365.95</v>
      </c>
      <c r="K73" s="12">
        <f t="shared" si="3"/>
        <v>25016.47</v>
      </c>
    </row>
    <row r="74" spans="2:11" x14ac:dyDescent="0.25">
      <c r="B74" s="107">
        <v>43577</v>
      </c>
      <c r="C74" s="123" t="s">
        <v>359</v>
      </c>
      <c r="D74" s="11"/>
      <c r="E74" s="11"/>
      <c r="F74" s="11"/>
      <c r="G74" s="11">
        <v>1760</v>
      </c>
      <c r="H74" s="11"/>
      <c r="I74" s="15"/>
      <c r="J74" s="12">
        <f t="shared" si="2"/>
        <v>50605.95</v>
      </c>
      <c r="K74" s="12">
        <f t="shared" si="3"/>
        <v>25016.47</v>
      </c>
    </row>
    <row r="75" spans="2:11" x14ac:dyDescent="0.25">
      <c r="B75" s="107">
        <v>43577</v>
      </c>
      <c r="C75" s="123" t="s">
        <v>360</v>
      </c>
      <c r="D75" s="11"/>
      <c r="E75" s="11"/>
      <c r="F75" s="11"/>
      <c r="G75" s="11">
        <v>1400</v>
      </c>
      <c r="H75" s="11"/>
      <c r="I75" s="15"/>
      <c r="J75" s="12">
        <f t="shared" si="2"/>
        <v>49205.95</v>
      </c>
      <c r="K75" s="12">
        <f t="shared" si="3"/>
        <v>25016.47</v>
      </c>
    </row>
    <row r="76" spans="2:11" x14ac:dyDescent="0.25">
      <c r="B76" s="107">
        <v>43577</v>
      </c>
      <c r="C76" s="34" t="s">
        <v>395</v>
      </c>
      <c r="D76" s="41"/>
      <c r="E76" s="41"/>
      <c r="F76" s="41"/>
      <c r="G76" s="16"/>
      <c r="H76" s="11">
        <v>190</v>
      </c>
      <c r="I76" s="15"/>
      <c r="J76" s="12">
        <f t="shared" si="2"/>
        <v>49205.95</v>
      </c>
      <c r="K76" s="12">
        <f t="shared" si="3"/>
        <v>24826.47</v>
      </c>
    </row>
    <row r="77" spans="2:11" x14ac:dyDescent="0.25">
      <c r="B77" s="107">
        <v>43579</v>
      </c>
      <c r="C77" s="29" t="s">
        <v>396</v>
      </c>
      <c r="D77" s="11"/>
      <c r="E77" s="113"/>
      <c r="F77" s="11"/>
      <c r="G77" s="11"/>
      <c r="H77" s="11">
        <v>705</v>
      </c>
      <c r="I77" s="15"/>
      <c r="J77" s="12">
        <f t="shared" si="2"/>
        <v>49205.95</v>
      </c>
      <c r="K77" s="12">
        <f t="shared" si="3"/>
        <v>24121.47</v>
      </c>
    </row>
    <row r="78" spans="2:11" x14ac:dyDescent="0.25">
      <c r="B78" s="107">
        <v>43579</v>
      </c>
      <c r="C78" s="9" t="s">
        <v>397</v>
      </c>
      <c r="D78" s="11"/>
      <c r="E78" s="11"/>
      <c r="F78" s="11"/>
      <c r="G78" s="11"/>
      <c r="H78" s="11">
        <v>8</v>
      </c>
      <c r="I78" s="15"/>
      <c r="J78" s="12">
        <f t="shared" si="2"/>
        <v>49205.95</v>
      </c>
      <c r="K78" s="12">
        <f t="shared" si="3"/>
        <v>24113.47</v>
      </c>
    </row>
    <row r="79" spans="2:11" x14ac:dyDescent="0.25">
      <c r="B79" s="107">
        <v>43579</v>
      </c>
      <c r="C79" s="35" t="s">
        <v>398</v>
      </c>
      <c r="D79" s="11"/>
      <c r="E79" s="11"/>
      <c r="F79" s="11"/>
      <c r="G79" s="11"/>
      <c r="H79" s="11">
        <v>12</v>
      </c>
      <c r="I79" s="15"/>
      <c r="J79" s="12">
        <f t="shared" si="2"/>
        <v>49205.95</v>
      </c>
      <c r="K79" s="12">
        <f t="shared" si="3"/>
        <v>24101.47</v>
      </c>
    </row>
    <row r="80" spans="2:11" x14ac:dyDescent="0.25">
      <c r="B80" s="107">
        <v>43580</v>
      </c>
      <c r="C80" s="9" t="s">
        <v>399</v>
      </c>
      <c r="D80" s="11"/>
      <c r="E80" s="11"/>
      <c r="F80" s="11"/>
      <c r="G80" s="11"/>
      <c r="H80" s="11">
        <v>850</v>
      </c>
      <c r="I80" s="15"/>
      <c r="J80" s="12">
        <f t="shared" si="2"/>
        <v>49205.95</v>
      </c>
      <c r="K80" s="12">
        <f t="shared" si="3"/>
        <v>23251.47</v>
      </c>
    </row>
    <row r="81" spans="2:12" x14ac:dyDescent="0.25">
      <c r="B81" s="107">
        <v>43580</v>
      </c>
      <c r="C81" s="9" t="s">
        <v>400</v>
      </c>
      <c r="D81" s="11"/>
      <c r="E81" s="11"/>
      <c r="F81" s="11"/>
      <c r="G81" s="11"/>
      <c r="H81" s="11">
        <v>150</v>
      </c>
      <c r="I81" s="15"/>
      <c r="J81" s="12">
        <f t="shared" si="2"/>
        <v>49205.95</v>
      </c>
      <c r="K81" s="12">
        <f t="shared" si="3"/>
        <v>23101.47</v>
      </c>
    </row>
    <row r="82" spans="2:12" x14ac:dyDescent="0.25">
      <c r="B82" s="106">
        <v>43581</v>
      </c>
      <c r="C82" s="75" t="s">
        <v>401</v>
      </c>
      <c r="D82" s="11"/>
      <c r="E82" s="11"/>
      <c r="F82" s="11"/>
      <c r="G82" s="11"/>
      <c r="H82" s="11">
        <v>1250</v>
      </c>
      <c r="I82" s="15"/>
      <c r="J82" s="12">
        <f t="shared" ref="J82:J93" si="4">+J81+E82-G82</f>
        <v>49205.95</v>
      </c>
      <c r="K82" s="12">
        <f t="shared" ref="K82:K93" si="5">+K81+D82-H82</f>
        <v>21851.47</v>
      </c>
    </row>
    <row r="83" spans="2:12" x14ac:dyDescent="0.25">
      <c r="B83" s="107">
        <v>43581</v>
      </c>
      <c r="C83" s="9" t="s">
        <v>404</v>
      </c>
      <c r="D83" s="113"/>
      <c r="E83" s="11"/>
      <c r="F83" s="11"/>
      <c r="G83" s="11"/>
      <c r="H83" s="11">
        <v>108</v>
      </c>
      <c r="I83" s="15"/>
      <c r="J83" s="12">
        <f t="shared" si="4"/>
        <v>49205.95</v>
      </c>
      <c r="K83" s="12">
        <f t="shared" si="5"/>
        <v>21743.47</v>
      </c>
    </row>
    <row r="84" spans="2:12" x14ac:dyDescent="0.25">
      <c r="B84" s="107">
        <v>43491</v>
      </c>
      <c r="C84" s="9" t="s">
        <v>405</v>
      </c>
      <c r="D84" s="113"/>
      <c r="E84" s="11"/>
      <c r="F84" s="11"/>
      <c r="G84" s="11"/>
      <c r="H84" s="11">
        <v>160</v>
      </c>
      <c r="I84" s="15"/>
      <c r="J84" s="12">
        <f t="shared" si="4"/>
        <v>49205.95</v>
      </c>
      <c r="K84" s="12">
        <f t="shared" si="5"/>
        <v>21583.47</v>
      </c>
    </row>
    <row r="85" spans="2:12" x14ac:dyDescent="0.25">
      <c r="B85" s="107">
        <v>43583</v>
      </c>
      <c r="C85" s="9" t="s">
        <v>407</v>
      </c>
      <c r="D85" s="11"/>
      <c r="E85" s="11"/>
      <c r="F85" s="11"/>
      <c r="G85" s="11"/>
      <c r="H85" s="11">
        <v>400</v>
      </c>
      <c r="I85" s="15"/>
      <c r="J85" s="12">
        <f t="shared" si="4"/>
        <v>49205.95</v>
      </c>
      <c r="K85" s="12">
        <f t="shared" si="5"/>
        <v>21183.47</v>
      </c>
    </row>
    <row r="86" spans="2:12" x14ac:dyDescent="0.25">
      <c r="B86" s="107">
        <v>43583</v>
      </c>
      <c r="C86" s="9" t="s">
        <v>389</v>
      </c>
      <c r="D86" s="11"/>
      <c r="E86" s="11"/>
      <c r="F86" s="11"/>
      <c r="G86" s="11"/>
      <c r="H86" s="11">
        <v>120</v>
      </c>
      <c r="I86" s="15"/>
      <c r="J86" s="12">
        <f t="shared" si="4"/>
        <v>49205.95</v>
      </c>
      <c r="K86" s="12">
        <f t="shared" si="5"/>
        <v>21063.47</v>
      </c>
    </row>
    <row r="87" spans="2:12" x14ac:dyDescent="0.25">
      <c r="B87" s="107">
        <v>43583</v>
      </c>
      <c r="C87" s="9" t="s">
        <v>406</v>
      </c>
      <c r="D87" s="11"/>
      <c r="E87" s="11"/>
      <c r="F87" s="11"/>
      <c r="G87" s="11"/>
      <c r="H87" s="11">
        <v>45.5</v>
      </c>
      <c r="I87" s="15"/>
      <c r="J87" s="12">
        <f t="shared" si="4"/>
        <v>49205.95</v>
      </c>
      <c r="K87" s="12">
        <f t="shared" si="5"/>
        <v>21017.97</v>
      </c>
    </row>
    <row r="88" spans="2:12" x14ac:dyDescent="0.25">
      <c r="B88" s="107">
        <v>43583</v>
      </c>
      <c r="C88" s="9" t="s">
        <v>408</v>
      </c>
      <c r="D88" s="11"/>
      <c r="E88" s="11"/>
      <c r="F88" s="11"/>
      <c r="G88" s="11"/>
      <c r="H88" s="11">
        <v>120</v>
      </c>
      <c r="I88" s="15"/>
      <c r="J88" s="12">
        <f t="shared" si="4"/>
        <v>49205.95</v>
      </c>
      <c r="K88" s="12">
        <f t="shared" si="5"/>
        <v>20897.97</v>
      </c>
    </row>
    <row r="89" spans="2:12" x14ac:dyDescent="0.25">
      <c r="B89" s="107">
        <v>43583</v>
      </c>
      <c r="C89" s="9" t="s">
        <v>409</v>
      </c>
      <c r="D89" s="11"/>
      <c r="E89" s="11"/>
      <c r="F89" s="11"/>
      <c r="G89" s="11"/>
      <c r="H89" s="11">
        <v>150</v>
      </c>
      <c r="I89" s="15"/>
      <c r="J89" s="12">
        <f t="shared" si="4"/>
        <v>49205.95</v>
      </c>
      <c r="K89" s="12">
        <f t="shared" si="5"/>
        <v>20747.97</v>
      </c>
    </row>
    <row r="90" spans="2:12" x14ac:dyDescent="0.25">
      <c r="B90" s="107">
        <v>43583</v>
      </c>
      <c r="C90" s="9" t="s">
        <v>410</v>
      </c>
      <c r="D90" s="11">
        <v>23150</v>
      </c>
      <c r="E90" s="11"/>
      <c r="F90" s="11"/>
      <c r="G90" s="11"/>
      <c r="H90" s="110"/>
      <c r="I90" s="15"/>
      <c r="J90" s="12">
        <f t="shared" si="4"/>
        <v>49205.95</v>
      </c>
      <c r="K90" s="12">
        <f t="shared" si="5"/>
        <v>43897.97</v>
      </c>
      <c r="L90" s="1">
        <f>SUM(H2:H41)</f>
        <v>53340.5</v>
      </c>
    </row>
    <row r="91" spans="2:12" x14ac:dyDescent="0.25">
      <c r="B91" s="107">
        <v>43553</v>
      </c>
      <c r="C91" s="21" t="s">
        <v>395</v>
      </c>
      <c r="D91" s="11"/>
      <c r="E91" s="11"/>
      <c r="F91" s="11"/>
      <c r="G91" s="11"/>
      <c r="H91" s="11">
        <v>190</v>
      </c>
      <c r="I91" s="15"/>
      <c r="J91" s="12">
        <f t="shared" si="4"/>
        <v>49205.95</v>
      </c>
      <c r="K91" s="12">
        <f t="shared" si="5"/>
        <v>43707.97</v>
      </c>
    </row>
    <row r="92" spans="2:12" x14ac:dyDescent="0.25">
      <c r="B92" s="107">
        <v>43584</v>
      </c>
      <c r="C92" s="9" t="s">
        <v>411</v>
      </c>
      <c r="D92" s="11"/>
      <c r="E92" s="11"/>
      <c r="F92" s="11"/>
      <c r="G92" s="11"/>
      <c r="H92" s="11">
        <v>220</v>
      </c>
      <c r="I92" s="15"/>
      <c r="J92" s="12">
        <f t="shared" si="4"/>
        <v>49205.95</v>
      </c>
      <c r="K92" s="12">
        <f t="shared" si="5"/>
        <v>43487.97</v>
      </c>
    </row>
    <row r="93" spans="2:12" x14ac:dyDescent="0.25">
      <c r="B93" s="107">
        <v>43584</v>
      </c>
      <c r="C93" s="9" t="s">
        <v>350</v>
      </c>
      <c r="D93" s="11"/>
      <c r="E93" s="11"/>
      <c r="F93" s="11"/>
      <c r="G93" s="11"/>
      <c r="H93" s="11">
        <v>300</v>
      </c>
      <c r="I93" s="15"/>
      <c r="J93" s="12">
        <f t="shared" si="4"/>
        <v>49205.95</v>
      </c>
      <c r="K93" s="12">
        <f t="shared" si="5"/>
        <v>43187.97</v>
      </c>
    </row>
    <row r="94" spans="2:12" x14ac:dyDescent="0.25">
      <c r="B94" s="107">
        <v>43584</v>
      </c>
      <c r="C94" s="9" t="s">
        <v>412</v>
      </c>
      <c r="D94" s="11"/>
      <c r="E94" s="11"/>
      <c r="F94" s="11"/>
      <c r="G94" s="11"/>
      <c r="H94" s="11">
        <v>150</v>
      </c>
      <c r="I94" s="15"/>
      <c r="J94" s="12">
        <f t="shared" ref="J94:J108" si="6">+J93+E94-G94</f>
        <v>49205.95</v>
      </c>
      <c r="K94" s="12">
        <f t="shared" ref="K94:K108" si="7">+K93+D94-H94</f>
        <v>43037.97</v>
      </c>
    </row>
    <row r="95" spans="2:12" x14ac:dyDescent="0.25">
      <c r="B95" s="107">
        <v>43585</v>
      </c>
      <c r="C95" s="9" t="s">
        <v>388</v>
      </c>
      <c r="D95" s="11"/>
      <c r="E95" s="11"/>
      <c r="F95" s="11"/>
      <c r="G95" s="11"/>
      <c r="H95" s="11">
        <v>70</v>
      </c>
      <c r="I95" s="15"/>
      <c r="J95" s="12">
        <f t="shared" si="6"/>
        <v>49205.95</v>
      </c>
      <c r="K95" s="12">
        <f t="shared" si="7"/>
        <v>42967.97</v>
      </c>
    </row>
    <row r="96" spans="2:12" x14ac:dyDescent="0.25">
      <c r="B96" s="107">
        <v>43585</v>
      </c>
      <c r="C96" s="9" t="s">
        <v>415</v>
      </c>
      <c r="D96" s="11"/>
      <c r="E96" s="11"/>
      <c r="F96" s="11"/>
      <c r="G96" s="11"/>
      <c r="H96" s="11">
        <v>300</v>
      </c>
      <c r="I96" s="15"/>
      <c r="J96" s="12">
        <f t="shared" si="6"/>
        <v>49205.95</v>
      </c>
      <c r="K96" s="12">
        <f t="shared" si="7"/>
        <v>42667.97</v>
      </c>
    </row>
    <row r="97" spans="2:11" x14ac:dyDescent="0.25">
      <c r="B97" s="107">
        <v>43585</v>
      </c>
      <c r="C97" s="9" t="s">
        <v>416</v>
      </c>
      <c r="D97" s="11"/>
      <c r="E97" s="11"/>
      <c r="F97" s="11"/>
      <c r="G97" s="11"/>
      <c r="H97" s="11">
        <v>550</v>
      </c>
      <c r="I97" s="15"/>
      <c r="J97" s="12">
        <f t="shared" si="6"/>
        <v>49205.95</v>
      </c>
      <c r="K97" s="12">
        <f t="shared" si="7"/>
        <v>42117.97</v>
      </c>
    </row>
    <row r="98" spans="2:11" x14ac:dyDescent="0.25">
      <c r="B98" s="107">
        <v>43585</v>
      </c>
      <c r="C98" s="9" t="s">
        <v>417</v>
      </c>
      <c r="D98" s="11"/>
      <c r="E98" s="11"/>
      <c r="F98" s="11"/>
      <c r="G98" s="11"/>
      <c r="H98" s="11">
        <v>2000</v>
      </c>
      <c r="I98" s="15"/>
      <c r="J98" s="12">
        <f t="shared" si="6"/>
        <v>49205.95</v>
      </c>
      <c r="K98" s="12">
        <f t="shared" si="7"/>
        <v>40117.97</v>
      </c>
    </row>
    <row r="99" spans="2:11" x14ac:dyDescent="0.25">
      <c r="B99" s="107">
        <v>43585</v>
      </c>
      <c r="C99" s="9" t="s">
        <v>224</v>
      </c>
      <c r="D99" s="11"/>
      <c r="E99" s="11"/>
      <c r="F99" s="11"/>
      <c r="G99" s="11"/>
      <c r="H99" s="11">
        <v>4000</v>
      </c>
      <c r="I99" s="15"/>
      <c r="J99" s="12">
        <f t="shared" si="6"/>
        <v>49205.95</v>
      </c>
      <c r="K99" s="12">
        <f t="shared" si="7"/>
        <v>36117.97</v>
      </c>
    </row>
    <row r="100" spans="2:11" x14ac:dyDescent="0.25">
      <c r="B100" s="107">
        <v>43585</v>
      </c>
      <c r="C100" s="21" t="s">
        <v>413</v>
      </c>
      <c r="D100" s="11"/>
      <c r="E100" s="11"/>
      <c r="F100" s="11"/>
      <c r="G100" s="11"/>
      <c r="H100" s="11">
        <v>25000</v>
      </c>
      <c r="I100" s="15"/>
      <c r="J100" s="12">
        <f t="shared" si="6"/>
        <v>49205.95</v>
      </c>
      <c r="K100" s="12">
        <f t="shared" si="7"/>
        <v>11117.970000000001</v>
      </c>
    </row>
    <row r="101" spans="2:11" x14ac:dyDescent="0.25">
      <c r="B101" s="107">
        <v>43585</v>
      </c>
      <c r="C101" s="9" t="s">
        <v>414</v>
      </c>
      <c r="D101" s="11"/>
      <c r="E101" s="11"/>
      <c r="F101" s="11"/>
      <c r="G101" s="11">
        <v>15000</v>
      </c>
      <c r="H101" s="11"/>
      <c r="I101" s="15"/>
      <c r="J101" s="12">
        <f t="shared" si="6"/>
        <v>34205.949999999997</v>
      </c>
      <c r="K101" s="12">
        <f t="shared" si="7"/>
        <v>11117.970000000001</v>
      </c>
    </row>
    <row r="102" spans="2:11" x14ac:dyDescent="0.25">
      <c r="B102" s="107">
        <v>43557</v>
      </c>
      <c r="C102" s="13" t="s">
        <v>418</v>
      </c>
      <c r="D102" s="41"/>
      <c r="E102" s="11">
        <v>400.46</v>
      </c>
      <c r="F102" s="11"/>
      <c r="G102" s="11"/>
      <c r="H102" s="11"/>
      <c r="I102" s="15"/>
      <c r="J102" s="12">
        <f t="shared" si="6"/>
        <v>34606.409999999996</v>
      </c>
      <c r="K102" s="12">
        <f t="shared" si="7"/>
        <v>11117.970000000001</v>
      </c>
    </row>
    <row r="103" spans="2:11" x14ac:dyDescent="0.25">
      <c r="B103" s="107">
        <v>43557</v>
      </c>
      <c r="C103" s="13" t="s">
        <v>419</v>
      </c>
      <c r="D103" s="41"/>
      <c r="E103" s="11">
        <v>200</v>
      </c>
      <c r="F103" s="11"/>
      <c r="G103" s="11"/>
      <c r="H103" s="11"/>
      <c r="I103" s="15"/>
      <c r="J103" s="12">
        <f t="shared" si="6"/>
        <v>34806.409999999996</v>
      </c>
      <c r="K103" s="12">
        <f t="shared" si="7"/>
        <v>11117.970000000001</v>
      </c>
    </row>
    <row r="104" spans="2:11" x14ac:dyDescent="0.25">
      <c r="B104" s="107">
        <v>43559</v>
      </c>
      <c r="C104" s="13" t="s">
        <v>420</v>
      </c>
      <c r="D104" s="11"/>
      <c r="E104" s="11">
        <v>200.15</v>
      </c>
      <c r="F104" s="11"/>
      <c r="G104" s="15"/>
      <c r="H104" s="11"/>
      <c r="I104" s="15"/>
      <c r="J104" s="12">
        <f t="shared" si="6"/>
        <v>35006.559999999998</v>
      </c>
      <c r="K104" s="12">
        <f t="shared" si="7"/>
        <v>11117.970000000001</v>
      </c>
    </row>
    <row r="105" spans="2:11" x14ac:dyDescent="0.25">
      <c r="B105" s="107">
        <v>43564</v>
      </c>
      <c r="C105" s="13" t="s">
        <v>421</v>
      </c>
      <c r="D105" s="11"/>
      <c r="E105" s="11">
        <v>800</v>
      </c>
      <c r="F105" s="11"/>
      <c r="G105" s="15"/>
      <c r="H105" s="11"/>
      <c r="I105" s="15"/>
      <c r="J105" s="12">
        <f t="shared" si="6"/>
        <v>35806.559999999998</v>
      </c>
      <c r="K105" s="12">
        <f t="shared" si="7"/>
        <v>11117.970000000001</v>
      </c>
    </row>
    <row r="106" spans="2:11" x14ac:dyDescent="0.25">
      <c r="B106" s="107">
        <v>43570</v>
      </c>
      <c r="C106" s="124" t="s">
        <v>422</v>
      </c>
      <c r="D106" s="11"/>
      <c r="E106" s="11">
        <v>400.29</v>
      </c>
      <c r="F106" s="11"/>
      <c r="G106" s="15"/>
      <c r="H106" s="11"/>
      <c r="I106" s="15"/>
      <c r="J106" s="12">
        <f t="shared" si="6"/>
        <v>36206.85</v>
      </c>
      <c r="K106" s="12">
        <f t="shared" si="7"/>
        <v>11117.970000000001</v>
      </c>
    </row>
    <row r="107" spans="2:11" x14ac:dyDescent="0.25">
      <c r="B107" s="107">
        <v>43585</v>
      </c>
      <c r="C107" s="9" t="s">
        <v>402</v>
      </c>
      <c r="D107" s="11"/>
      <c r="E107" s="11"/>
      <c r="F107" s="11"/>
      <c r="G107" s="15">
        <v>250</v>
      </c>
      <c r="H107" s="11"/>
      <c r="I107" s="15"/>
      <c r="J107" s="12">
        <f t="shared" si="6"/>
        <v>35956.85</v>
      </c>
      <c r="K107" s="12">
        <f t="shared" si="7"/>
        <v>11117.970000000001</v>
      </c>
    </row>
    <row r="108" spans="2:11" x14ac:dyDescent="0.25">
      <c r="B108" s="107">
        <v>43585</v>
      </c>
      <c r="C108" s="13" t="s">
        <v>403</v>
      </c>
      <c r="D108" s="11"/>
      <c r="E108" s="11"/>
      <c r="F108" s="11"/>
      <c r="G108" s="11">
        <v>40</v>
      </c>
      <c r="H108" s="11"/>
      <c r="I108" s="15"/>
      <c r="J108" s="12">
        <f t="shared" si="6"/>
        <v>35916.85</v>
      </c>
      <c r="K108" s="12">
        <f t="shared" si="7"/>
        <v>11117.970000000001</v>
      </c>
    </row>
    <row r="109" spans="2:11" ht="15.75" thickBot="1" x14ac:dyDescent="0.3">
      <c r="B109" s="107">
        <v>43585</v>
      </c>
      <c r="C109" s="9" t="s">
        <v>69</v>
      </c>
      <c r="D109" s="11"/>
      <c r="E109" s="11"/>
      <c r="F109" s="11"/>
      <c r="G109" s="11">
        <v>72</v>
      </c>
      <c r="H109" s="11"/>
      <c r="I109" s="15"/>
      <c r="J109" s="12">
        <f>+J108+E109-G109</f>
        <v>35844.85</v>
      </c>
      <c r="K109" s="12">
        <f>+K108+D109-H109</f>
        <v>11117.970000000001</v>
      </c>
    </row>
    <row r="110" spans="2:11" ht="15.75" thickBot="1" x14ac:dyDescent="0.3">
      <c r="B110" s="108"/>
      <c r="C110" s="7" t="s">
        <v>0</v>
      </c>
      <c r="D110" s="77">
        <f>SUM(D58:D109)</f>
        <v>86590</v>
      </c>
      <c r="E110" s="111">
        <f>SUM(E58:E109)</f>
        <v>14760.9</v>
      </c>
      <c r="F110" s="112">
        <f>SUM(D110:E110)</f>
        <v>101350.9</v>
      </c>
      <c r="G110" s="112">
        <f>SUM(G58:G109)</f>
        <v>43522</v>
      </c>
      <c r="H110" s="62">
        <f>SUM(H58:H109)</f>
        <v>95898.39</v>
      </c>
      <c r="I110" s="71">
        <f>SUM(G110:H110)</f>
        <v>139420.39000000001</v>
      </c>
      <c r="J110" s="20"/>
      <c r="K110" s="20"/>
    </row>
    <row r="111" spans="2:11" x14ac:dyDescent="0.25">
      <c r="B111" s="104" t="s">
        <v>1</v>
      </c>
      <c r="C111" s="68" t="s">
        <v>2</v>
      </c>
      <c r="D111" s="68" t="s">
        <v>3</v>
      </c>
      <c r="E111" s="68" t="s">
        <v>3</v>
      </c>
      <c r="F111" s="68" t="s">
        <v>22</v>
      </c>
      <c r="G111" s="68" t="s">
        <v>23</v>
      </c>
      <c r="H111" s="48" t="s">
        <v>23</v>
      </c>
      <c r="I111" s="48" t="s">
        <v>22</v>
      </c>
      <c r="J111" s="68" t="s">
        <v>8</v>
      </c>
      <c r="K111" s="48" t="s">
        <v>7</v>
      </c>
    </row>
    <row r="112" spans="2:11" ht="15.75" thickBot="1" x14ac:dyDescent="0.3">
      <c r="B112" s="105"/>
      <c r="C112" s="69"/>
      <c r="D112" s="69" t="s">
        <v>5</v>
      </c>
      <c r="E112" s="69" t="s">
        <v>24</v>
      </c>
      <c r="F112" s="69" t="s">
        <v>3</v>
      </c>
      <c r="G112" s="69" t="s">
        <v>24</v>
      </c>
      <c r="H112" s="70" t="s">
        <v>5</v>
      </c>
      <c r="I112" s="70" t="s">
        <v>4</v>
      </c>
      <c r="J112" s="69"/>
      <c r="K112" s="70"/>
    </row>
    <row r="113" spans="2:11" ht="15.75" thickBot="1" x14ac:dyDescent="0.3">
      <c r="B113" s="109"/>
      <c r="C113" s="76" t="s">
        <v>0</v>
      </c>
      <c r="D113" s="77">
        <v>86590</v>
      </c>
      <c r="E113" s="77">
        <v>14760.9</v>
      </c>
      <c r="F113" s="77">
        <f>SUM(D113:E113)</f>
        <v>101350.9</v>
      </c>
      <c r="G113" s="77">
        <v>43552</v>
      </c>
      <c r="H113" s="62">
        <v>95898.39</v>
      </c>
      <c r="I113" s="62">
        <f>SUM(G113:H113)</f>
        <v>139450.39000000001</v>
      </c>
      <c r="J113" s="62">
        <v>35844.85</v>
      </c>
      <c r="K113" s="20">
        <v>11117.97</v>
      </c>
    </row>
    <row r="114" spans="2:11" ht="15.75" thickBot="1" x14ac:dyDescent="0.3">
      <c r="B114" s="107">
        <v>43585</v>
      </c>
      <c r="C114" s="13" t="s">
        <v>70</v>
      </c>
      <c r="D114" s="11"/>
      <c r="E114" s="11"/>
      <c r="F114" s="11"/>
      <c r="G114" s="11">
        <v>11.52</v>
      </c>
      <c r="H114" s="11"/>
      <c r="I114" s="15"/>
      <c r="J114" s="12">
        <f>+J109+E114-G114</f>
        <v>35833.33</v>
      </c>
      <c r="K114" s="12">
        <f>+K109+D114-H114</f>
        <v>11117.970000000001</v>
      </c>
    </row>
    <row r="115" spans="2:11" ht="15.75" thickBot="1" x14ac:dyDescent="0.3">
      <c r="B115" s="108"/>
      <c r="C115" s="7" t="s">
        <v>0</v>
      </c>
      <c r="D115" s="77">
        <f>SUM(D113:D114)</f>
        <v>86590</v>
      </c>
      <c r="E115" s="111">
        <f>SUM(E113:E114)</f>
        <v>14760.9</v>
      </c>
      <c r="F115" s="112">
        <f>SUM(D115:E115)</f>
        <v>101350.9</v>
      </c>
      <c r="G115" s="112">
        <f>SUM(G113:G114)</f>
        <v>43563.519999999997</v>
      </c>
      <c r="H115" s="62">
        <f>SUM(H113:H114)</f>
        <v>95898.39</v>
      </c>
      <c r="I115" s="71">
        <f>SUM(G115:H115)</f>
        <v>139461.91</v>
      </c>
      <c r="J115" s="20"/>
      <c r="K115" s="20"/>
    </row>
    <row r="116" spans="2:11" ht="15.75" thickBot="1" x14ac:dyDescent="0.3">
      <c r="I116" s="74" t="s">
        <v>8</v>
      </c>
      <c r="J116" s="74" t="s">
        <v>7</v>
      </c>
      <c r="K116" s="95" t="s">
        <v>0</v>
      </c>
    </row>
    <row r="117" spans="2:11" ht="15.75" thickBot="1" x14ac:dyDescent="0.3">
      <c r="I117" s="20">
        <v>35833.33</v>
      </c>
      <c r="J117" s="20">
        <v>11117.97</v>
      </c>
      <c r="K117" s="20">
        <f>SUM(I117:J117)</f>
        <v>46951.3</v>
      </c>
    </row>
    <row r="203" spans="14:14" x14ac:dyDescent="0.25">
      <c r="N203" s="1"/>
    </row>
  </sheetData>
  <mergeCells count="1">
    <mergeCell ref="B2:K2"/>
  </mergeCells>
  <printOptions horizontalCentered="1"/>
  <pageMargins left="0" right="0" top="0" bottom="0" header="0.11811023622047245" footer="0.51181102362204722"/>
  <pageSetup paperSize="9" scale="72" fitToHeight="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1">
    <pageSetUpPr fitToPage="1"/>
  </sheetPr>
  <dimension ref="B1:L168"/>
  <sheetViews>
    <sheetView topLeftCell="A3" zoomScale="90" zoomScaleNormal="90" workbookViewId="0">
      <pane ySplit="3" topLeftCell="A102" activePane="bottomLeft" state="frozen"/>
      <selection activeCell="A3" sqref="A3"/>
      <selection pane="bottomLeft" activeCell="C111" sqref="C111"/>
    </sheetView>
  </sheetViews>
  <sheetFormatPr baseColWidth="10" defaultRowHeight="15" x14ac:dyDescent="0.25"/>
  <cols>
    <col min="1" max="1" width="10.7109375" customWidth="1"/>
    <col min="2" max="2" width="11.7109375" customWidth="1"/>
    <col min="3" max="3" width="85.140625" customWidth="1"/>
    <col min="4" max="11" width="10.7109375" customWidth="1"/>
  </cols>
  <sheetData>
    <row r="1" spans="2:11" ht="15.75" x14ac:dyDescent="0.25">
      <c r="B1" s="28">
        <v>42520</v>
      </c>
      <c r="J1" s="72"/>
      <c r="K1" s="46"/>
    </row>
    <row r="2" spans="2:11" x14ac:dyDescent="0.25">
      <c r="B2" s="213" t="s">
        <v>6</v>
      </c>
      <c r="C2" s="213"/>
      <c r="D2" s="213"/>
      <c r="E2" s="213"/>
      <c r="F2" s="213"/>
      <c r="G2" s="213"/>
      <c r="H2" s="213"/>
      <c r="I2" s="213"/>
      <c r="J2" s="213"/>
      <c r="K2" s="213"/>
    </row>
    <row r="3" spans="2:11" ht="15.75" thickBot="1" x14ac:dyDescent="0.3">
      <c r="B3" s="213" t="s">
        <v>48</v>
      </c>
      <c r="C3" s="213"/>
      <c r="D3" s="213"/>
      <c r="E3" s="213"/>
      <c r="F3" s="213"/>
      <c r="G3" s="213"/>
      <c r="H3" s="213"/>
      <c r="I3" s="213"/>
      <c r="J3" s="213"/>
      <c r="K3" s="213"/>
    </row>
    <row r="4" spans="2:11" x14ac:dyDescent="0.25">
      <c r="B4" s="68" t="s">
        <v>1</v>
      </c>
      <c r="C4" s="68" t="s">
        <v>2</v>
      </c>
      <c r="D4" s="68" t="s">
        <v>3</v>
      </c>
      <c r="E4" s="68" t="s">
        <v>3</v>
      </c>
      <c r="F4" s="68" t="s">
        <v>22</v>
      </c>
      <c r="G4" s="68" t="s">
        <v>23</v>
      </c>
      <c r="H4" s="48" t="s">
        <v>23</v>
      </c>
      <c r="I4" s="48" t="s">
        <v>22</v>
      </c>
      <c r="J4" s="68" t="s">
        <v>8</v>
      </c>
      <c r="K4" s="48" t="s">
        <v>7</v>
      </c>
    </row>
    <row r="5" spans="2:11" ht="15.75" thickBot="1" x14ac:dyDescent="0.3">
      <c r="B5" s="69"/>
      <c r="C5" s="69"/>
      <c r="D5" s="69" t="s">
        <v>5</v>
      </c>
      <c r="E5" s="69" t="s">
        <v>24</v>
      </c>
      <c r="F5" s="69" t="s">
        <v>3</v>
      </c>
      <c r="G5" s="69" t="s">
        <v>24</v>
      </c>
      <c r="H5" s="70" t="s">
        <v>5</v>
      </c>
      <c r="I5" s="70" t="s">
        <v>4</v>
      </c>
      <c r="J5" s="69"/>
      <c r="K5" s="70"/>
    </row>
    <row r="6" spans="2:11" x14ac:dyDescent="0.25">
      <c r="B6" s="23">
        <v>43585</v>
      </c>
      <c r="C6" s="65" t="s">
        <v>45</v>
      </c>
      <c r="D6" s="66"/>
      <c r="E6" s="63"/>
      <c r="F6" s="63"/>
      <c r="G6" s="63"/>
      <c r="H6" s="17"/>
      <c r="I6" s="64"/>
      <c r="J6" s="26">
        <v>35833.33</v>
      </c>
      <c r="K6" s="26">
        <v>11117.97</v>
      </c>
    </row>
    <row r="7" spans="2:11" x14ac:dyDescent="0.25">
      <c r="B7" s="23">
        <v>43586</v>
      </c>
      <c r="C7" s="9" t="s">
        <v>423</v>
      </c>
      <c r="D7" s="11"/>
      <c r="E7" s="11"/>
      <c r="F7" s="11"/>
      <c r="G7" s="11"/>
      <c r="H7" s="11">
        <v>83.5</v>
      </c>
      <c r="I7" s="15"/>
      <c r="J7" s="12">
        <f>+J6+E7-G7</f>
        <v>35833.33</v>
      </c>
      <c r="K7" s="12">
        <f>+K6+D7-H7</f>
        <v>11034.47</v>
      </c>
    </row>
    <row r="8" spans="2:11" x14ac:dyDescent="0.25">
      <c r="B8" s="23">
        <v>43586</v>
      </c>
      <c r="C8" s="13" t="s">
        <v>424</v>
      </c>
      <c r="D8" s="11"/>
      <c r="E8" s="11"/>
      <c r="F8" s="11"/>
      <c r="G8" s="11"/>
      <c r="H8" s="11">
        <v>600</v>
      </c>
      <c r="I8" s="15"/>
      <c r="J8" s="12">
        <f t="shared" ref="J8:J45" si="0">+J7+E8-G8</f>
        <v>35833.33</v>
      </c>
      <c r="K8" s="12">
        <f t="shared" ref="K8:K45" si="1">+K7+D8-H8</f>
        <v>10434.469999999999</v>
      </c>
    </row>
    <row r="9" spans="2:11" x14ac:dyDescent="0.25">
      <c r="B9" s="18">
        <v>43586</v>
      </c>
      <c r="C9" s="9" t="s">
        <v>425</v>
      </c>
      <c r="D9" s="11"/>
      <c r="E9" s="11"/>
      <c r="F9" s="11"/>
      <c r="G9" s="11"/>
      <c r="H9" s="59">
        <v>46</v>
      </c>
      <c r="I9" s="15"/>
      <c r="J9" s="12">
        <f t="shared" si="0"/>
        <v>35833.33</v>
      </c>
      <c r="K9" s="12">
        <f t="shared" si="1"/>
        <v>10388.469999999999</v>
      </c>
    </row>
    <row r="10" spans="2:11" x14ac:dyDescent="0.25">
      <c r="B10" s="18">
        <v>43587</v>
      </c>
      <c r="C10" s="13" t="s">
        <v>426</v>
      </c>
      <c r="D10" s="11"/>
      <c r="E10" s="11"/>
      <c r="F10" s="11"/>
      <c r="G10" s="11"/>
      <c r="H10" s="11">
        <v>650</v>
      </c>
      <c r="I10" s="15"/>
      <c r="J10" s="12">
        <f t="shared" si="0"/>
        <v>35833.33</v>
      </c>
      <c r="K10" s="12">
        <f t="shared" si="1"/>
        <v>9738.4699999999993</v>
      </c>
    </row>
    <row r="11" spans="2:11" x14ac:dyDescent="0.25">
      <c r="B11" s="18">
        <v>43587</v>
      </c>
      <c r="C11" s="9" t="s">
        <v>427</v>
      </c>
      <c r="D11" s="11"/>
      <c r="E11" s="11"/>
      <c r="F11" s="11"/>
      <c r="G11" s="11"/>
      <c r="H11" s="59">
        <v>550</v>
      </c>
      <c r="I11" s="15"/>
      <c r="J11" s="12">
        <f t="shared" si="0"/>
        <v>35833.33</v>
      </c>
      <c r="K11" s="12">
        <f t="shared" si="1"/>
        <v>9188.4699999999993</v>
      </c>
    </row>
    <row r="12" spans="2:11" x14ac:dyDescent="0.25">
      <c r="B12" s="18">
        <v>43587</v>
      </c>
      <c r="C12" s="9" t="s">
        <v>428</v>
      </c>
      <c r="D12" s="11"/>
      <c r="E12" s="11"/>
      <c r="F12" s="11"/>
      <c r="G12" s="11"/>
      <c r="H12" s="11">
        <v>650</v>
      </c>
      <c r="I12" s="15"/>
      <c r="J12" s="12">
        <f t="shared" si="0"/>
        <v>35833.33</v>
      </c>
      <c r="K12" s="12">
        <f t="shared" si="1"/>
        <v>8538.4699999999993</v>
      </c>
    </row>
    <row r="13" spans="2:11" x14ac:dyDescent="0.25">
      <c r="B13" s="18">
        <v>43588</v>
      </c>
      <c r="C13" s="9" t="s">
        <v>429</v>
      </c>
      <c r="D13" s="11"/>
      <c r="E13" s="11"/>
      <c r="F13" s="11"/>
      <c r="G13" s="11"/>
      <c r="H13" s="11">
        <v>500</v>
      </c>
      <c r="I13" s="15"/>
      <c r="J13" s="12">
        <f t="shared" si="0"/>
        <v>35833.33</v>
      </c>
      <c r="K13" s="12">
        <f t="shared" si="1"/>
        <v>8038.4699999999993</v>
      </c>
    </row>
    <row r="14" spans="2:11" x14ac:dyDescent="0.25">
      <c r="B14" s="18">
        <v>43588</v>
      </c>
      <c r="C14" s="9" t="s">
        <v>430</v>
      </c>
      <c r="D14" s="11"/>
      <c r="E14" s="11"/>
      <c r="F14" s="11"/>
      <c r="G14" s="11"/>
      <c r="H14" s="59">
        <v>1250</v>
      </c>
      <c r="I14" s="15"/>
      <c r="J14" s="12">
        <f t="shared" si="0"/>
        <v>35833.33</v>
      </c>
      <c r="K14" s="12">
        <f t="shared" si="1"/>
        <v>6788.4699999999993</v>
      </c>
    </row>
    <row r="15" spans="2:11" x14ac:dyDescent="0.25">
      <c r="B15" s="18">
        <v>43590</v>
      </c>
      <c r="C15" s="9" t="s">
        <v>432</v>
      </c>
      <c r="D15" s="11"/>
      <c r="E15" s="11"/>
      <c r="F15" s="11"/>
      <c r="G15" s="11"/>
      <c r="H15" s="11">
        <v>300</v>
      </c>
      <c r="I15" s="15"/>
      <c r="J15" s="12">
        <f t="shared" si="0"/>
        <v>35833.33</v>
      </c>
      <c r="K15" s="12">
        <f t="shared" si="1"/>
        <v>6488.4699999999993</v>
      </c>
    </row>
    <row r="16" spans="2:11" x14ac:dyDescent="0.25">
      <c r="B16" s="18">
        <v>43590</v>
      </c>
      <c r="C16" s="9" t="s">
        <v>431</v>
      </c>
      <c r="D16" s="11"/>
      <c r="E16" s="11"/>
      <c r="F16" s="11"/>
      <c r="G16" s="11"/>
      <c r="H16" s="59">
        <v>60</v>
      </c>
      <c r="I16" s="15"/>
      <c r="J16" s="12">
        <f t="shared" si="0"/>
        <v>35833.33</v>
      </c>
      <c r="K16" s="12">
        <f t="shared" si="1"/>
        <v>6428.4699999999993</v>
      </c>
    </row>
    <row r="17" spans="2:11" x14ac:dyDescent="0.25">
      <c r="B17" s="18">
        <v>43590</v>
      </c>
      <c r="C17" s="9" t="s">
        <v>433</v>
      </c>
      <c r="D17" s="11"/>
      <c r="E17" s="11"/>
      <c r="F17" s="11"/>
      <c r="G17" s="11"/>
      <c r="H17" s="11">
        <v>174</v>
      </c>
      <c r="I17" s="15"/>
      <c r="J17" s="12">
        <f t="shared" si="0"/>
        <v>35833.33</v>
      </c>
      <c r="K17" s="12">
        <f t="shared" si="1"/>
        <v>6254.4699999999993</v>
      </c>
    </row>
    <row r="18" spans="2:11" x14ac:dyDescent="0.25">
      <c r="B18" s="18">
        <v>43590</v>
      </c>
      <c r="C18" s="9" t="s">
        <v>434</v>
      </c>
      <c r="D18" s="11"/>
      <c r="E18" s="11"/>
      <c r="F18" s="11"/>
      <c r="G18" s="11"/>
      <c r="H18" s="11">
        <v>81.5</v>
      </c>
      <c r="I18" s="15"/>
      <c r="J18" s="12">
        <f t="shared" si="0"/>
        <v>35833.33</v>
      </c>
      <c r="K18" s="12">
        <f t="shared" si="1"/>
        <v>6172.9699999999993</v>
      </c>
    </row>
    <row r="19" spans="2:11" x14ac:dyDescent="0.25">
      <c r="B19" s="18">
        <v>43590</v>
      </c>
      <c r="C19" s="9" t="s">
        <v>435</v>
      </c>
      <c r="D19" s="11"/>
      <c r="E19" s="11"/>
      <c r="F19" s="11"/>
      <c r="G19" s="11"/>
      <c r="H19" s="11">
        <v>120</v>
      </c>
      <c r="I19" s="15"/>
      <c r="J19" s="12">
        <f t="shared" si="0"/>
        <v>35833.33</v>
      </c>
      <c r="K19" s="12">
        <f t="shared" si="1"/>
        <v>6052.9699999999993</v>
      </c>
    </row>
    <row r="20" spans="2:11" x14ac:dyDescent="0.25">
      <c r="B20" s="18">
        <v>43590</v>
      </c>
      <c r="C20" s="9" t="s">
        <v>436</v>
      </c>
      <c r="D20" s="11">
        <v>32840</v>
      </c>
      <c r="E20" s="11"/>
      <c r="F20" s="11"/>
      <c r="G20" s="11"/>
      <c r="H20" s="11"/>
      <c r="I20" s="15"/>
      <c r="J20" s="12">
        <f t="shared" si="0"/>
        <v>35833.33</v>
      </c>
      <c r="K20" s="12">
        <f t="shared" si="1"/>
        <v>38892.97</v>
      </c>
    </row>
    <row r="21" spans="2:11" x14ac:dyDescent="0.25">
      <c r="B21" s="18">
        <v>43591</v>
      </c>
      <c r="C21" s="9" t="s">
        <v>201</v>
      </c>
      <c r="D21" s="11"/>
      <c r="E21" s="11"/>
      <c r="F21" s="11"/>
      <c r="G21" s="11"/>
      <c r="H21" s="11">
        <v>190</v>
      </c>
      <c r="I21" s="15"/>
      <c r="J21" s="12">
        <f t="shared" si="0"/>
        <v>35833.33</v>
      </c>
      <c r="K21" s="12">
        <f t="shared" si="1"/>
        <v>38702.97</v>
      </c>
    </row>
    <row r="22" spans="2:11" x14ac:dyDescent="0.25">
      <c r="B22" s="18">
        <v>43591</v>
      </c>
      <c r="C22" s="9" t="s">
        <v>438</v>
      </c>
      <c r="D22" s="11"/>
      <c r="E22" s="11"/>
      <c r="F22" s="11"/>
      <c r="G22" s="11"/>
      <c r="H22" s="11">
        <v>1500</v>
      </c>
      <c r="I22" s="15"/>
      <c r="J22" s="12">
        <f t="shared" si="0"/>
        <v>35833.33</v>
      </c>
      <c r="K22" s="12">
        <f t="shared" si="1"/>
        <v>37202.97</v>
      </c>
    </row>
    <row r="23" spans="2:11" x14ac:dyDescent="0.25">
      <c r="B23" s="18">
        <v>43591</v>
      </c>
      <c r="C23" s="9" t="s">
        <v>437</v>
      </c>
      <c r="D23" s="11"/>
      <c r="E23" s="11"/>
      <c r="F23" s="11"/>
      <c r="G23" s="11"/>
      <c r="H23" s="59">
        <v>300</v>
      </c>
      <c r="I23" s="15"/>
      <c r="J23" s="12">
        <f t="shared" si="0"/>
        <v>35833.33</v>
      </c>
      <c r="K23" s="12">
        <f t="shared" si="1"/>
        <v>36902.97</v>
      </c>
    </row>
    <row r="24" spans="2:11" x14ac:dyDescent="0.25">
      <c r="B24" s="18">
        <v>43591</v>
      </c>
      <c r="C24" s="9" t="s">
        <v>439</v>
      </c>
      <c r="D24" s="11"/>
      <c r="E24" s="11"/>
      <c r="F24" s="11"/>
      <c r="G24" s="11"/>
      <c r="H24" s="59">
        <v>250</v>
      </c>
      <c r="I24" s="15"/>
      <c r="J24" s="12">
        <f t="shared" si="0"/>
        <v>35833.33</v>
      </c>
      <c r="K24" s="12">
        <f t="shared" si="1"/>
        <v>36652.97</v>
      </c>
    </row>
    <row r="25" spans="2:11" x14ac:dyDescent="0.25">
      <c r="B25" s="18">
        <v>43591</v>
      </c>
      <c r="C25" s="9" t="s">
        <v>440</v>
      </c>
      <c r="D25" s="11"/>
      <c r="E25" s="11"/>
      <c r="F25" s="11"/>
      <c r="G25" s="11"/>
      <c r="H25" s="11">
        <v>102</v>
      </c>
      <c r="I25" s="15"/>
      <c r="J25" s="12">
        <f t="shared" si="0"/>
        <v>35833.33</v>
      </c>
      <c r="K25" s="12">
        <f t="shared" si="1"/>
        <v>36550.97</v>
      </c>
    </row>
    <row r="26" spans="2:11" x14ac:dyDescent="0.25">
      <c r="B26" s="18">
        <v>43592</v>
      </c>
      <c r="C26" s="9" t="s">
        <v>441</v>
      </c>
      <c r="D26" s="11"/>
      <c r="E26" s="11"/>
      <c r="F26" s="11"/>
      <c r="G26" s="11"/>
      <c r="H26" s="11">
        <v>300</v>
      </c>
      <c r="I26" s="15"/>
      <c r="J26" s="12">
        <f t="shared" si="0"/>
        <v>35833.33</v>
      </c>
      <c r="K26" s="12">
        <f t="shared" si="1"/>
        <v>36250.97</v>
      </c>
    </row>
    <row r="27" spans="2:11" x14ac:dyDescent="0.25">
      <c r="B27" s="18">
        <v>43592</v>
      </c>
      <c r="C27" s="9" t="s">
        <v>442</v>
      </c>
      <c r="D27" s="11"/>
      <c r="E27" s="11"/>
      <c r="F27" s="11"/>
      <c r="G27" s="11"/>
      <c r="H27" s="11">
        <v>500</v>
      </c>
      <c r="I27" s="15"/>
      <c r="J27" s="12">
        <f t="shared" si="0"/>
        <v>35833.33</v>
      </c>
      <c r="K27" s="12">
        <f t="shared" si="1"/>
        <v>35750.97</v>
      </c>
    </row>
    <row r="28" spans="2:11" x14ac:dyDescent="0.25">
      <c r="B28" s="18">
        <v>43593</v>
      </c>
      <c r="C28" s="9" t="s">
        <v>432</v>
      </c>
      <c r="D28" s="11"/>
      <c r="E28" s="11"/>
      <c r="F28" s="11"/>
      <c r="G28" s="11"/>
      <c r="H28" s="11">
        <v>300</v>
      </c>
      <c r="I28" s="15"/>
      <c r="J28" s="12">
        <f t="shared" si="0"/>
        <v>35833.33</v>
      </c>
      <c r="K28" s="12">
        <f t="shared" si="1"/>
        <v>35450.97</v>
      </c>
    </row>
    <row r="29" spans="2:11" x14ac:dyDescent="0.25">
      <c r="B29" s="18">
        <v>43593</v>
      </c>
      <c r="C29" s="9" t="s">
        <v>448</v>
      </c>
      <c r="D29" s="11"/>
      <c r="E29" s="11"/>
      <c r="F29" s="11"/>
      <c r="G29" s="11"/>
      <c r="H29" s="11">
        <v>900</v>
      </c>
      <c r="I29" s="15"/>
      <c r="J29" s="12">
        <f t="shared" si="0"/>
        <v>35833.33</v>
      </c>
      <c r="K29" s="12">
        <f t="shared" si="1"/>
        <v>34550.97</v>
      </c>
    </row>
    <row r="30" spans="2:11" x14ac:dyDescent="0.25">
      <c r="B30" s="18">
        <v>43593</v>
      </c>
      <c r="C30" s="9" t="s">
        <v>449</v>
      </c>
      <c r="D30" s="11"/>
      <c r="E30" s="11"/>
      <c r="F30" s="11"/>
      <c r="G30" s="11"/>
      <c r="H30" s="11">
        <v>400</v>
      </c>
      <c r="I30" s="15"/>
      <c r="J30" s="12">
        <f t="shared" si="0"/>
        <v>35833.33</v>
      </c>
      <c r="K30" s="12">
        <f t="shared" si="1"/>
        <v>34150.97</v>
      </c>
    </row>
    <row r="31" spans="2:11" x14ac:dyDescent="0.25">
      <c r="B31" s="18">
        <v>43595</v>
      </c>
      <c r="C31" s="9" t="s">
        <v>450</v>
      </c>
      <c r="D31" s="11"/>
      <c r="E31" s="11"/>
      <c r="F31" s="11"/>
      <c r="G31" s="11"/>
      <c r="H31" s="59">
        <v>50.5</v>
      </c>
      <c r="I31" s="15"/>
      <c r="J31" s="12">
        <f t="shared" si="0"/>
        <v>35833.33</v>
      </c>
      <c r="K31" s="12">
        <f t="shared" si="1"/>
        <v>34100.47</v>
      </c>
    </row>
    <row r="32" spans="2:11" x14ac:dyDescent="0.25">
      <c r="B32" s="18">
        <v>43595</v>
      </c>
      <c r="C32" s="9" t="s">
        <v>451</v>
      </c>
      <c r="D32" s="11"/>
      <c r="E32" s="11"/>
      <c r="F32" s="11"/>
      <c r="G32" s="11"/>
      <c r="H32" s="11">
        <v>1250</v>
      </c>
      <c r="I32" s="15"/>
      <c r="J32" s="12">
        <f t="shared" si="0"/>
        <v>35833.33</v>
      </c>
      <c r="K32" s="12">
        <f t="shared" si="1"/>
        <v>32850.47</v>
      </c>
    </row>
    <row r="33" spans="2:11" x14ac:dyDescent="0.25">
      <c r="B33" s="18">
        <v>43597</v>
      </c>
      <c r="C33" s="9" t="s">
        <v>452</v>
      </c>
      <c r="D33" s="11"/>
      <c r="E33" s="11"/>
      <c r="F33" s="11"/>
      <c r="G33" s="11"/>
      <c r="H33" s="11">
        <v>70.5</v>
      </c>
      <c r="I33" s="15"/>
      <c r="J33" s="12">
        <f t="shared" si="0"/>
        <v>35833.33</v>
      </c>
      <c r="K33" s="12">
        <f t="shared" si="1"/>
        <v>32779.97</v>
      </c>
    </row>
    <row r="34" spans="2:11" x14ac:dyDescent="0.25">
      <c r="B34" s="18">
        <v>43597</v>
      </c>
      <c r="C34" s="9" t="s">
        <v>453</v>
      </c>
      <c r="D34" s="11"/>
      <c r="E34" s="11"/>
      <c r="F34" s="11"/>
      <c r="G34" s="11"/>
      <c r="H34" s="11">
        <v>282</v>
      </c>
      <c r="I34" s="15"/>
      <c r="J34" s="12">
        <f t="shared" si="0"/>
        <v>35833.33</v>
      </c>
      <c r="K34" s="12">
        <f t="shared" si="1"/>
        <v>32497.97</v>
      </c>
    </row>
    <row r="35" spans="2:11" x14ac:dyDescent="0.25">
      <c r="B35" s="18">
        <v>43597</v>
      </c>
      <c r="C35" s="9" t="s">
        <v>454</v>
      </c>
      <c r="D35" s="11"/>
      <c r="E35" s="11"/>
      <c r="F35" s="11"/>
      <c r="G35" s="11"/>
      <c r="H35" s="11">
        <v>120</v>
      </c>
      <c r="I35" s="15"/>
      <c r="J35" s="12">
        <f t="shared" si="0"/>
        <v>35833.33</v>
      </c>
      <c r="K35" s="12">
        <f t="shared" si="1"/>
        <v>32377.97</v>
      </c>
    </row>
    <row r="36" spans="2:11" x14ac:dyDescent="0.25">
      <c r="B36" s="18">
        <v>43597</v>
      </c>
      <c r="C36" s="9" t="s">
        <v>455</v>
      </c>
      <c r="D36" s="11">
        <v>35630</v>
      </c>
      <c r="E36" s="11"/>
      <c r="F36" s="11"/>
      <c r="G36" s="11"/>
      <c r="H36" s="11"/>
      <c r="I36" s="15"/>
      <c r="J36" s="12">
        <f t="shared" si="0"/>
        <v>35833.33</v>
      </c>
      <c r="K36" s="12">
        <f t="shared" si="1"/>
        <v>68007.97</v>
      </c>
    </row>
    <row r="37" spans="2:11" x14ac:dyDescent="0.25">
      <c r="B37" s="18">
        <v>43598</v>
      </c>
      <c r="C37" s="9" t="s">
        <v>431</v>
      </c>
      <c r="D37" s="11"/>
      <c r="E37" s="11"/>
      <c r="F37" s="11"/>
      <c r="G37" s="11"/>
      <c r="H37" s="11">
        <v>60</v>
      </c>
      <c r="I37" s="15"/>
      <c r="J37" s="12">
        <f t="shared" si="0"/>
        <v>35833.33</v>
      </c>
      <c r="K37" s="12">
        <f t="shared" si="1"/>
        <v>67947.97</v>
      </c>
    </row>
    <row r="38" spans="2:11" x14ac:dyDescent="0.25">
      <c r="B38" s="18">
        <v>43598</v>
      </c>
      <c r="C38" s="9" t="s">
        <v>432</v>
      </c>
      <c r="D38" s="11"/>
      <c r="E38" s="11"/>
      <c r="F38" s="11"/>
      <c r="G38" s="11"/>
      <c r="H38" s="11">
        <v>300</v>
      </c>
      <c r="I38" s="15"/>
      <c r="J38" s="12">
        <f t="shared" si="0"/>
        <v>35833.33</v>
      </c>
      <c r="K38" s="12">
        <f t="shared" si="1"/>
        <v>67647.97</v>
      </c>
    </row>
    <row r="39" spans="2:11" x14ac:dyDescent="0.25">
      <c r="B39" s="18">
        <v>43598</v>
      </c>
      <c r="C39" s="35" t="s">
        <v>456</v>
      </c>
      <c r="D39" s="11"/>
      <c r="E39" s="11"/>
      <c r="F39" s="11"/>
      <c r="G39" s="11"/>
      <c r="H39" s="11">
        <v>600</v>
      </c>
      <c r="I39" s="15"/>
      <c r="J39" s="12">
        <f t="shared" si="0"/>
        <v>35833.33</v>
      </c>
      <c r="K39" s="12">
        <f t="shared" si="1"/>
        <v>67047.97</v>
      </c>
    </row>
    <row r="40" spans="2:11" x14ac:dyDescent="0.25">
      <c r="B40" s="18">
        <v>43598</v>
      </c>
      <c r="C40" s="9" t="s">
        <v>372</v>
      </c>
      <c r="D40" s="11"/>
      <c r="E40" s="11"/>
      <c r="F40" s="11"/>
      <c r="G40" s="11"/>
      <c r="H40" s="11">
        <v>228</v>
      </c>
      <c r="I40" s="15"/>
      <c r="J40" s="12">
        <f t="shared" si="0"/>
        <v>35833.33</v>
      </c>
      <c r="K40" s="12">
        <f t="shared" si="1"/>
        <v>66819.97</v>
      </c>
    </row>
    <row r="41" spans="2:11" x14ac:dyDescent="0.25">
      <c r="B41" s="18">
        <v>43598</v>
      </c>
      <c r="C41" s="9" t="s">
        <v>457</v>
      </c>
      <c r="D41" s="11"/>
      <c r="E41" s="11"/>
      <c r="F41" s="11"/>
      <c r="G41" s="11"/>
      <c r="H41" s="59">
        <v>166.3</v>
      </c>
      <c r="I41" s="15"/>
      <c r="J41" s="12">
        <f t="shared" si="0"/>
        <v>35833.33</v>
      </c>
      <c r="K41" s="12">
        <f t="shared" si="1"/>
        <v>66653.67</v>
      </c>
    </row>
    <row r="42" spans="2:11" x14ac:dyDescent="0.25">
      <c r="B42" s="18">
        <v>43598</v>
      </c>
      <c r="C42" s="9" t="s">
        <v>458</v>
      </c>
      <c r="D42" s="11"/>
      <c r="E42" s="11"/>
      <c r="F42" s="11"/>
      <c r="G42" s="11"/>
      <c r="H42" s="59">
        <v>8</v>
      </c>
      <c r="I42" s="15"/>
      <c r="J42" s="12">
        <f t="shared" si="0"/>
        <v>35833.33</v>
      </c>
      <c r="K42" s="12">
        <f t="shared" si="1"/>
        <v>66645.67</v>
      </c>
    </row>
    <row r="43" spans="2:11" x14ac:dyDescent="0.25">
      <c r="B43" s="18">
        <v>43600</v>
      </c>
      <c r="C43" s="9" t="s">
        <v>443</v>
      </c>
      <c r="D43" s="11"/>
      <c r="E43" s="11"/>
      <c r="F43" s="11"/>
      <c r="G43" s="11"/>
      <c r="H43" s="59">
        <v>350</v>
      </c>
      <c r="I43" s="15"/>
      <c r="J43" s="12">
        <f t="shared" si="0"/>
        <v>35833.33</v>
      </c>
      <c r="K43" s="12">
        <f t="shared" si="1"/>
        <v>66295.67</v>
      </c>
    </row>
    <row r="44" spans="2:11" x14ac:dyDescent="0.25">
      <c r="B44" s="18">
        <v>43600</v>
      </c>
      <c r="C44" s="9" t="s">
        <v>368</v>
      </c>
      <c r="D44" s="11"/>
      <c r="E44" s="11"/>
      <c r="F44" s="11"/>
      <c r="G44" s="11"/>
      <c r="H44" s="59">
        <v>550</v>
      </c>
      <c r="I44" s="15"/>
      <c r="J44" s="12">
        <f t="shared" si="0"/>
        <v>35833.33</v>
      </c>
      <c r="K44" s="12">
        <f t="shared" si="1"/>
        <v>65745.67</v>
      </c>
    </row>
    <row r="45" spans="2:11" x14ac:dyDescent="0.25">
      <c r="B45" s="18">
        <v>43600</v>
      </c>
      <c r="C45" s="9" t="s">
        <v>444</v>
      </c>
      <c r="D45" s="11"/>
      <c r="E45" s="11"/>
      <c r="F45" s="11"/>
      <c r="G45" s="11"/>
      <c r="H45" s="59">
        <v>2000</v>
      </c>
      <c r="I45" s="15"/>
      <c r="J45" s="12">
        <f t="shared" si="0"/>
        <v>35833.33</v>
      </c>
      <c r="K45" s="12">
        <f t="shared" si="1"/>
        <v>63745.67</v>
      </c>
    </row>
    <row r="46" spans="2:11" x14ac:dyDescent="0.25">
      <c r="B46" s="18">
        <v>43600</v>
      </c>
      <c r="C46" s="9" t="s">
        <v>445</v>
      </c>
      <c r="D46" s="11"/>
      <c r="E46" s="11"/>
      <c r="F46" s="11"/>
      <c r="G46" s="11"/>
      <c r="H46" s="59">
        <v>4000</v>
      </c>
      <c r="I46" s="15"/>
      <c r="J46" s="12">
        <f t="shared" ref="J46:J52" si="2">+J45+E46-G46</f>
        <v>35833.33</v>
      </c>
      <c r="K46" s="12">
        <f t="shared" ref="K46:K52" si="3">+K45+D46-H46</f>
        <v>59745.67</v>
      </c>
    </row>
    <row r="47" spans="2:11" x14ac:dyDescent="0.25">
      <c r="B47" s="18">
        <v>43600</v>
      </c>
      <c r="C47" s="21" t="s">
        <v>446</v>
      </c>
      <c r="D47" s="11"/>
      <c r="E47" s="11"/>
      <c r="F47" s="11"/>
      <c r="G47" s="11"/>
      <c r="H47" s="59">
        <v>25000</v>
      </c>
      <c r="I47" s="15"/>
      <c r="J47" s="12">
        <f t="shared" si="2"/>
        <v>35833.33</v>
      </c>
      <c r="K47" s="12">
        <f t="shared" si="3"/>
        <v>34745.67</v>
      </c>
    </row>
    <row r="48" spans="2:11" x14ac:dyDescent="0.25">
      <c r="B48" s="18">
        <v>43600</v>
      </c>
      <c r="C48" s="9" t="s">
        <v>447</v>
      </c>
      <c r="D48" s="11"/>
      <c r="E48" s="11"/>
      <c r="F48" s="11"/>
      <c r="G48" s="11">
        <v>15000</v>
      </c>
      <c r="H48" s="11"/>
      <c r="I48" s="15"/>
      <c r="J48" s="12">
        <f t="shared" si="2"/>
        <v>20833.330000000002</v>
      </c>
      <c r="K48" s="12">
        <f t="shared" si="3"/>
        <v>34745.67</v>
      </c>
    </row>
    <row r="49" spans="2:11" x14ac:dyDescent="0.25">
      <c r="B49" s="18">
        <v>43600</v>
      </c>
      <c r="C49" s="13" t="s">
        <v>462</v>
      </c>
      <c r="D49" s="11"/>
      <c r="E49" s="11"/>
      <c r="F49" s="11"/>
      <c r="G49" s="11"/>
      <c r="H49" s="11">
        <v>35.5</v>
      </c>
      <c r="I49" s="15"/>
      <c r="J49" s="12">
        <f t="shared" si="2"/>
        <v>20833.330000000002</v>
      </c>
      <c r="K49" s="12">
        <f t="shared" si="3"/>
        <v>34710.17</v>
      </c>
    </row>
    <row r="50" spans="2:11" x14ac:dyDescent="0.25">
      <c r="B50" s="18">
        <v>43600</v>
      </c>
      <c r="C50" s="13" t="s">
        <v>423</v>
      </c>
      <c r="D50" s="11"/>
      <c r="E50" s="11"/>
      <c r="F50" s="11"/>
      <c r="G50" s="11"/>
      <c r="H50" s="11">
        <v>83</v>
      </c>
      <c r="I50" s="15"/>
      <c r="J50" s="12">
        <f t="shared" si="2"/>
        <v>20833.330000000002</v>
      </c>
      <c r="K50" s="12">
        <f t="shared" si="3"/>
        <v>34627.17</v>
      </c>
    </row>
    <row r="51" spans="2:11" x14ac:dyDescent="0.25">
      <c r="B51" s="18">
        <v>43600</v>
      </c>
      <c r="C51" s="9" t="s">
        <v>463</v>
      </c>
      <c r="D51" s="11"/>
      <c r="E51" s="11"/>
      <c r="F51" s="11"/>
      <c r="G51" s="11"/>
      <c r="H51" s="11">
        <v>300</v>
      </c>
      <c r="I51" s="15"/>
      <c r="J51" s="12">
        <f t="shared" si="2"/>
        <v>20833.330000000002</v>
      </c>
      <c r="K51" s="12">
        <f t="shared" si="3"/>
        <v>34327.17</v>
      </c>
    </row>
    <row r="52" spans="2:11" x14ac:dyDescent="0.25">
      <c r="B52" s="18">
        <v>43600</v>
      </c>
      <c r="C52" s="9" t="s">
        <v>464</v>
      </c>
      <c r="D52" s="11"/>
      <c r="E52" s="11"/>
      <c r="F52" s="11"/>
      <c r="G52" s="11"/>
      <c r="H52" s="11">
        <v>1000</v>
      </c>
      <c r="I52" s="15"/>
      <c r="J52" s="12">
        <f t="shared" si="2"/>
        <v>20833.330000000002</v>
      </c>
      <c r="K52" s="12">
        <f t="shared" si="3"/>
        <v>33327.17</v>
      </c>
    </row>
    <row r="53" spans="2:11" x14ac:dyDescent="0.25">
      <c r="B53" s="18">
        <v>43600</v>
      </c>
      <c r="C53" s="13" t="s">
        <v>465</v>
      </c>
      <c r="D53" s="11"/>
      <c r="E53" s="11"/>
      <c r="F53" s="11"/>
      <c r="G53" s="11"/>
      <c r="H53" s="11">
        <v>350</v>
      </c>
      <c r="I53" s="15"/>
      <c r="J53" s="12">
        <f t="shared" ref="J53:J58" si="4">+J52+E53-G53</f>
        <v>20833.330000000002</v>
      </c>
      <c r="K53" s="12">
        <f t="shared" ref="K53:K59" si="5">+K52+D53-H53</f>
        <v>32977.17</v>
      </c>
    </row>
    <row r="54" spans="2:11" x14ac:dyDescent="0.25">
      <c r="B54" s="18">
        <v>43600</v>
      </c>
      <c r="C54" s="35" t="s">
        <v>466</v>
      </c>
      <c r="D54" s="11"/>
      <c r="E54" s="11"/>
      <c r="F54" s="11"/>
      <c r="G54" s="11"/>
      <c r="H54" s="11">
        <v>250</v>
      </c>
      <c r="I54" s="15"/>
      <c r="J54" s="12">
        <f t="shared" si="4"/>
        <v>20833.330000000002</v>
      </c>
      <c r="K54" s="12">
        <f t="shared" si="5"/>
        <v>32727.17</v>
      </c>
    </row>
    <row r="55" spans="2:11" x14ac:dyDescent="0.25">
      <c r="B55" s="18">
        <v>43600</v>
      </c>
      <c r="C55" s="34" t="s">
        <v>467</v>
      </c>
      <c r="D55" s="11"/>
      <c r="E55" s="11"/>
      <c r="F55" s="11"/>
      <c r="G55" s="11"/>
      <c r="H55" s="11">
        <v>778</v>
      </c>
      <c r="I55" s="15"/>
      <c r="J55" s="12">
        <f t="shared" si="4"/>
        <v>20833.330000000002</v>
      </c>
      <c r="K55" s="12">
        <f t="shared" si="5"/>
        <v>31949.17</v>
      </c>
    </row>
    <row r="56" spans="2:11" x14ac:dyDescent="0.25">
      <c r="B56" s="18">
        <v>43602</v>
      </c>
      <c r="C56" s="9" t="s">
        <v>468</v>
      </c>
      <c r="D56" s="11"/>
      <c r="E56" s="11"/>
      <c r="F56" s="11"/>
      <c r="G56" s="11"/>
      <c r="H56" s="11">
        <v>800</v>
      </c>
      <c r="I56" s="15"/>
      <c r="J56" s="12">
        <f t="shared" si="4"/>
        <v>20833.330000000002</v>
      </c>
      <c r="K56" s="12">
        <f t="shared" si="5"/>
        <v>31149.17</v>
      </c>
    </row>
    <row r="57" spans="2:11" x14ac:dyDescent="0.25">
      <c r="B57" s="18">
        <v>43602</v>
      </c>
      <c r="C57" s="9" t="s">
        <v>469</v>
      </c>
      <c r="D57" s="11"/>
      <c r="E57" s="11"/>
      <c r="F57" s="11"/>
      <c r="G57" s="11"/>
      <c r="H57" s="11">
        <v>1250</v>
      </c>
      <c r="I57" s="15"/>
      <c r="J57" s="12">
        <f t="shared" si="4"/>
        <v>20833.330000000002</v>
      </c>
      <c r="K57" s="12">
        <f t="shared" si="5"/>
        <v>29899.17</v>
      </c>
    </row>
    <row r="58" spans="2:11" x14ac:dyDescent="0.25">
      <c r="B58" s="18">
        <v>43603</v>
      </c>
      <c r="C58" s="9" t="s">
        <v>470</v>
      </c>
      <c r="D58" s="11"/>
      <c r="E58" s="11"/>
      <c r="F58" s="11"/>
      <c r="G58" s="11"/>
      <c r="H58" s="11">
        <v>120</v>
      </c>
      <c r="I58" s="15"/>
      <c r="J58" s="12">
        <f t="shared" si="4"/>
        <v>20833.330000000002</v>
      </c>
      <c r="K58" s="12">
        <f t="shared" si="5"/>
        <v>29779.17</v>
      </c>
    </row>
    <row r="59" spans="2:11" ht="15.75" thickBot="1" x14ac:dyDescent="0.3">
      <c r="B59" s="18">
        <v>43604</v>
      </c>
      <c r="C59" s="9" t="s">
        <v>434</v>
      </c>
      <c r="D59" s="11"/>
      <c r="E59" s="11"/>
      <c r="F59" s="11"/>
      <c r="G59" s="11"/>
      <c r="H59" s="11">
        <v>84.5</v>
      </c>
      <c r="I59" s="15"/>
      <c r="J59" s="12">
        <f>+J58+E59-G59</f>
        <v>20833.330000000002</v>
      </c>
      <c r="K59" s="12">
        <f t="shared" si="5"/>
        <v>29694.67</v>
      </c>
    </row>
    <row r="60" spans="2:11" ht="15.75" thickBot="1" x14ac:dyDescent="0.3">
      <c r="B60" s="5"/>
      <c r="C60" s="7" t="s">
        <v>0</v>
      </c>
      <c r="D60" s="62">
        <f>SUM(D6:D59)</f>
        <v>68470</v>
      </c>
      <c r="E60" s="61">
        <f>SUM(E6:E59)</f>
        <v>0</v>
      </c>
      <c r="F60" s="71">
        <f>SUM(D60:E60)</f>
        <v>68470</v>
      </c>
      <c r="G60" s="71">
        <f>SUM(G6:G59)</f>
        <v>15000</v>
      </c>
      <c r="H60" s="62">
        <f>SUM(H6:H59)</f>
        <v>49893.3</v>
      </c>
      <c r="I60" s="71">
        <f>SUM(G60:H60)</f>
        <v>64893.3</v>
      </c>
      <c r="J60" s="20"/>
      <c r="K60" s="20"/>
    </row>
    <row r="61" spans="2:11" x14ac:dyDescent="0.25">
      <c r="B61" s="68" t="s">
        <v>1</v>
      </c>
      <c r="C61" s="68" t="s">
        <v>2</v>
      </c>
      <c r="D61" s="68" t="s">
        <v>3</v>
      </c>
      <c r="E61" s="68" t="s">
        <v>3</v>
      </c>
      <c r="F61" s="68" t="s">
        <v>22</v>
      </c>
      <c r="G61" s="68" t="s">
        <v>23</v>
      </c>
      <c r="H61" s="48" t="s">
        <v>23</v>
      </c>
      <c r="I61" s="48" t="s">
        <v>22</v>
      </c>
      <c r="J61" s="68" t="s">
        <v>8</v>
      </c>
      <c r="K61" s="48" t="s">
        <v>7</v>
      </c>
    </row>
    <row r="62" spans="2:11" ht="15.75" thickBot="1" x14ac:dyDescent="0.3">
      <c r="B62" s="69"/>
      <c r="C62" s="69"/>
      <c r="D62" s="69" t="s">
        <v>5</v>
      </c>
      <c r="E62" s="69" t="s">
        <v>24</v>
      </c>
      <c r="F62" s="69" t="s">
        <v>3</v>
      </c>
      <c r="G62" s="69" t="s">
        <v>24</v>
      </c>
      <c r="H62" s="70" t="s">
        <v>5</v>
      </c>
      <c r="I62" s="70" t="s">
        <v>4</v>
      </c>
      <c r="J62" s="69"/>
      <c r="K62" s="70"/>
    </row>
    <row r="63" spans="2:11" ht="15.75" thickBot="1" x14ac:dyDescent="0.3">
      <c r="B63" s="5"/>
      <c r="C63" s="7" t="s">
        <v>0</v>
      </c>
      <c r="D63" s="62">
        <v>68470</v>
      </c>
      <c r="E63" s="61">
        <f>SUM(E18:E62)</f>
        <v>0</v>
      </c>
      <c r="F63" s="71">
        <f>SUM(D63:E63)</f>
        <v>68470</v>
      </c>
      <c r="G63" s="71">
        <v>15000</v>
      </c>
      <c r="H63" s="62">
        <v>49893.3</v>
      </c>
      <c r="I63" s="71">
        <f>SUM(G63:H63)</f>
        <v>64893.3</v>
      </c>
      <c r="J63" s="20">
        <v>20833.330000000002</v>
      </c>
      <c r="K63" s="20">
        <v>29694.67</v>
      </c>
    </row>
    <row r="64" spans="2:11" x14ac:dyDescent="0.25">
      <c r="B64" s="18">
        <v>43604</v>
      </c>
      <c r="C64" s="9" t="s">
        <v>434</v>
      </c>
      <c r="D64" s="11"/>
      <c r="E64" s="11"/>
      <c r="F64" s="11"/>
      <c r="G64" s="11"/>
      <c r="H64" s="11">
        <v>32</v>
      </c>
      <c r="I64" s="15"/>
      <c r="J64" s="12">
        <f t="shared" ref="J64:J69" si="6">+J63+E64-G64</f>
        <v>20833.330000000002</v>
      </c>
      <c r="K64" s="12">
        <f t="shared" ref="K64:K69" si="7">+K63+D64-H64</f>
        <v>29662.67</v>
      </c>
    </row>
    <row r="65" spans="2:11" x14ac:dyDescent="0.25">
      <c r="B65" s="18">
        <v>43604</v>
      </c>
      <c r="C65" s="13" t="s">
        <v>454</v>
      </c>
      <c r="D65" s="41"/>
      <c r="E65" s="41"/>
      <c r="F65" s="41"/>
      <c r="G65" s="102"/>
      <c r="H65" s="11">
        <v>120</v>
      </c>
      <c r="I65" s="15"/>
      <c r="J65" s="12">
        <f t="shared" si="6"/>
        <v>20833.330000000002</v>
      </c>
      <c r="K65" s="12">
        <f t="shared" si="7"/>
        <v>29542.67</v>
      </c>
    </row>
    <row r="66" spans="2:11" x14ac:dyDescent="0.25">
      <c r="B66" s="18">
        <v>43604</v>
      </c>
      <c r="C66" s="9" t="s">
        <v>471</v>
      </c>
      <c r="D66" s="11"/>
      <c r="E66" s="11"/>
      <c r="F66" s="11"/>
      <c r="G66" s="11"/>
      <c r="H66" s="11">
        <v>300</v>
      </c>
      <c r="I66" s="15"/>
      <c r="J66" s="12">
        <f t="shared" si="6"/>
        <v>20833.330000000002</v>
      </c>
      <c r="K66" s="12">
        <f t="shared" si="7"/>
        <v>29242.67</v>
      </c>
    </row>
    <row r="67" spans="2:11" x14ac:dyDescent="0.25">
      <c r="B67" s="18">
        <v>43604</v>
      </c>
      <c r="C67" s="9" t="s">
        <v>472</v>
      </c>
      <c r="D67" s="11">
        <v>26800</v>
      </c>
      <c r="E67" s="11"/>
      <c r="F67" s="11"/>
      <c r="G67" s="11"/>
      <c r="H67" s="11"/>
      <c r="I67" s="15"/>
      <c r="J67" s="12">
        <f t="shared" si="6"/>
        <v>20833.330000000002</v>
      </c>
      <c r="K67" s="12">
        <f t="shared" si="7"/>
        <v>56042.67</v>
      </c>
    </row>
    <row r="68" spans="2:11" x14ac:dyDescent="0.25">
      <c r="B68" s="18">
        <v>43604</v>
      </c>
      <c r="C68" s="9" t="s">
        <v>473</v>
      </c>
      <c r="D68" s="11"/>
      <c r="E68" s="11"/>
      <c r="F68" s="11"/>
      <c r="G68" s="11"/>
      <c r="H68" s="11">
        <v>100</v>
      </c>
      <c r="I68" s="15"/>
      <c r="J68" s="12">
        <f t="shared" si="6"/>
        <v>20833.330000000002</v>
      </c>
      <c r="K68" s="12">
        <f t="shared" si="7"/>
        <v>55942.67</v>
      </c>
    </row>
    <row r="69" spans="2:11" x14ac:dyDescent="0.25">
      <c r="B69" s="18">
        <v>43605</v>
      </c>
      <c r="C69" s="9" t="s">
        <v>474</v>
      </c>
      <c r="D69" s="11"/>
      <c r="E69" s="11"/>
      <c r="F69" s="11"/>
      <c r="G69" s="11"/>
      <c r="H69" s="11">
        <v>250</v>
      </c>
      <c r="I69" s="15"/>
      <c r="J69" s="12">
        <f t="shared" si="6"/>
        <v>20833.330000000002</v>
      </c>
      <c r="K69" s="12">
        <f t="shared" si="7"/>
        <v>55692.67</v>
      </c>
    </row>
    <row r="70" spans="2:11" x14ac:dyDescent="0.25">
      <c r="B70" s="18">
        <v>43605</v>
      </c>
      <c r="C70" s="13" t="s">
        <v>461</v>
      </c>
      <c r="D70" s="11"/>
      <c r="E70" s="11">
        <v>12760</v>
      </c>
      <c r="F70" s="11"/>
      <c r="G70" s="11"/>
      <c r="H70" s="11"/>
      <c r="I70" s="15"/>
      <c r="J70" s="12">
        <f t="shared" ref="J70:J112" si="8">+J69+E70-G70</f>
        <v>33593.33</v>
      </c>
      <c r="K70" s="12">
        <f t="shared" ref="K70:K112" si="9">+K69+D70-H70</f>
        <v>55692.67</v>
      </c>
    </row>
    <row r="71" spans="2:11" x14ac:dyDescent="0.25">
      <c r="B71" s="18">
        <v>43605</v>
      </c>
      <c r="C71" s="9" t="s">
        <v>201</v>
      </c>
      <c r="D71" s="11"/>
      <c r="E71" s="11"/>
      <c r="F71" s="11"/>
      <c r="G71" s="11"/>
      <c r="H71" s="11">
        <v>190</v>
      </c>
      <c r="I71" s="15"/>
      <c r="J71" s="12">
        <f t="shared" si="8"/>
        <v>33593.33</v>
      </c>
      <c r="K71" s="12">
        <f t="shared" si="9"/>
        <v>55502.67</v>
      </c>
    </row>
    <row r="72" spans="2:11" x14ac:dyDescent="0.25">
      <c r="B72" s="18">
        <v>43607</v>
      </c>
      <c r="C72" s="9" t="s">
        <v>475</v>
      </c>
      <c r="D72" s="11"/>
      <c r="E72" s="11"/>
      <c r="F72" s="11"/>
      <c r="G72" s="11"/>
      <c r="H72" s="11">
        <v>205</v>
      </c>
      <c r="I72" s="15"/>
      <c r="J72" s="12">
        <f t="shared" si="8"/>
        <v>33593.33</v>
      </c>
      <c r="K72" s="12">
        <f t="shared" si="9"/>
        <v>55297.67</v>
      </c>
    </row>
    <row r="73" spans="2:11" x14ac:dyDescent="0.25">
      <c r="B73" s="18">
        <v>43607</v>
      </c>
      <c r="C73" s="9" t="s">
        <v>476</v>
      </c>
      <c r="D73" s="11"/>
      <c r="E73" s="11"/>
      <c r="F73" s="11"/>
      <c r="G73" s="11"/>
      <c r="H73" s="11">
        <v>18</v>
      </c>
      <c r="I73" s="15"/>
      <c r="J73" s="12">
        <f t="shared" si="8"/>
        <v>33593.33</v>
      </c>
      <c r="K73" s="12">
        <f t="shared" si="9"/>
        <v>55279.67</v>
      </c>
    </row>
    <row r="74" spans="2:11" x14ac:dyDescent="0.25">
      <c r="B74" s="18">
        <v>43607</v>
      </c>
      <c r="C74" s="9" t="s">
        <v>476</v>
      </c>
      <c r="D74" s="11"/>
      <c r="E74" s="11"/>
      <c r="F74" s="11"/>
      <c r="G74" s="11"/>
      <c r="H74" s="11">
        <v>3</v>
      </c>
      <c r="I74" s="15"/>
      <c r="J74" s="12">
        <f t="shared" si="8"/>
        <v>33593.33</v>
      </c>
      <c r="K74" s="12">
        <f t="shared" si="9"/>
        <v>55276.67</v>
      </c>
    </row>
    <row r="75" spans="2:11" x14ac:dyDescent="0.25">
      <c r="B75" s="107">
        <v>43607</v>
      </c>
      <c r="C75" s="123" t="s">
        <v>459</v>
      </c>
      <c r="D75" s="11"/>
      <c r="E75" s="11"/>
      <c r="F75" s="11"/>
      <c r="G75" s="11">
        <v>1760</v>
      </c>
      <c r="H75" s="11"/>
      <c r="I75" s="15"/>
      <c r="J75" s="12">
        <f t="shared" si="8"/>
        <v>31833.33</v>
      </c>
      <c r="K75" s="12">
        <f t="shared" si="9"/>
        <v>55276.67</v>
      </c>
    </row>
    <row r="76" spans="2:11" x14ac:dyDescent="0.25">
      <c r="B76" s="107">
        <v>43607</v>
      </c>
      <c r="C76" s="123" t="s">
        <v>460</v>
      </c>
      <c r="D76" s="11"/>
      <c r="E76" s="11"/>
      <c r="F76" s="11"/>
      <c r="G76" s="11">
        <v>1400</v>
      </c>
      <c r="H76" s="11"/>
      <c r="I76" s="15"/>
      <c r="J76" s="12">
        <f t="shared" si="8"/>
        <v>30433.33</v>
      </c>
      <c r="K76" s="12">
        <f t="shared" si="9"/>
        <v>55276.67</v>
      </c>
    </row>
    <row r="77" spans="2:11" x14ac:dyDescent="0.25">
      <c r="B77" s="18">
        <v>43609</v>
      </c>
      <c r="C77" s="9" t="s">
        <v>477</v>
      </c>
      <c r="D77" s="11"/>
      <c r="E77" s="11"/>
      <c r="F77" s="11"/>
      <c r="G77" s="11"/>
      <c r="H77" s="11">
        <v>300</v>
      </c>
      <c r="I77" s="15"/>
      <c r="J77" s="12">
        <f t="shared" si="8"/>
        <v>30433.33</v>
      </c>
      <c r="K77" s="12">
        <f t="shared" si="9"/>
        <v>54976.67</v>
      </c>
    </row>
    <row r="78" spans="2:11" x14ac:dyDescent="0.25">
      <c r="B78" s="18">
        <v>43609</v>
      </c>
      <c r="C78" s="9" t="s">
        <v>478</v>
      </c>
      <c r="D78" s="11"/>
      <c r="E78" s="11"/>
      <c r="F78" s="11"/>
      <c r="G78" s="11"/>
      <c r="H78" s="11">
        <v>400</v>
      </c>
      <c r="I78" s="15"/>
      <c r="J78" s="12">
        <f t="shared" si="8"/>
        <v>30433.33</v>
      </c>
      <c r="K78" s="12">
        <f t="shared" si="9"/>
        <v>54576.67</v>
      </c>
    </row>
    <row r="79" spans="2:11" x14ac:dyDescent="0.25">
      <c r="B79" s="18">
        <v>43609</v>
      </c>
      <c r="C79" s="9" t="s">
        <v>479</v>
      </c>
      <c r="D79" s="11"/>
      <c r="E79" s="11"/>
      <c r="F79" s="11"/>
      <c r="G79" s="11"/>
      <c r="H79" s="11">
        <v>1250</v>
      </c>
      <c r="I79" s="15"/>
      <c r="J79" s="12">
        <f t="shared" si="8"/>
        <v>30433.33</v>
      </c>
      <c r="K79" s="12">
        <f t="shared" si="9"/>
        <v>53326.67</v>
      </c>
    </row>
    <row r="80" spans="2:11" x14ac:dyDescent="0.25">
      <c r="B80" s="18">
        <v>43610</v>
      </c>
      <c r="C80" s="9" t="s">
        <v>423</v>
      </c>
      <c r="D80" s="11"/>
      <c r="E80" s="11"/>
      <c r="F80" s="11"/>
      <c r="G80" s="11"/>
      <c r="H80" s="11">
        <v>33.5</v>
      </c>
      <c r="I80" s="15"/>
      <c r="J80" s="12">
        <f t="shared" si="8"/>
        <v>30433.33</v>
      </c>
      <c r="K80" s="12">
        <f t="shared" si="9"/>
        <v>53293.17</v>
      </c>
    </row>
    <row r="81" spans="2:12" x14ac:dyDescent="0.25">
      <c r="B81" s="18">
        <v>43610</v>
      </c>
      <c r="C81" s="9" t="s">
        <v>423</v>
      </c>
      <c r="D81" s="11"/>
      <c r="E81" s="11"/>
      <c r="F81" s="11"/>
      <c r="G81" s="11"/>
      <c r="H81" s="11">
        <v>10</v>
      </c>
      <c r="I81" s="15"/>
      <c r="J81" s="12">
        <f t="shared" si="8"/>
        <v>30433.33</v>
      </c>
      <c r="K81" s="12">
        <f t="shared" si="9"/>
        <v>53283.17</v>
      </c>
    </row>
    <row r="82" spans="2:12" x14ac:dyDescent="0.25">
      <c r="B82" s="18">
        <v>43610</v>
      </c>
      <c r="C82" s="9" t="s">
        <v>480</v>
      </c>
      <c r="D82" s="41"/>
      <c r="E82" s="11"/>
      <c r="F82" s="11"/>
      <c r="G82" s="11"/>
      <c r="H82" s="11">
        <v>200</v>
      </c>
      <c r="I82" s="15"/>
      <c r="J82" s="12">
        <f t="shared" si="8"/>
        <v>30433.33</v>
      </c>
      <c r="K82" s="12">
        <f t="shared" si="9"/>
        <v>53083.17</v>
      </c>
    </row>
    <row r="83" spans="2:12" x14ac:dyDescent="0.25">
      <c r="B83" s="18">
        <v>43611</v>
      </c>
      <c r="C83" s="9" t="s">
        <v>454</v>
      </c>
      <c r="D83" s="101"/>
      <c r="E83" s="11"/>
      <c r="F83" s="11"/>
      <c r="G83" s="11"/>
      <c r="H83" s="11">
        <v>120</v>
      </c>
      <c r="I83" s="15"/>
      <c r="J83" s="12">
        <f t="shared" si="8"/>
        <v>30433.33</v>
      </c>
      <c r="K83" s="12">
        <f t="shared" si="9"/>
        <v>52963.17</v>
      </c>
    </row>
    <row r="84" spans="2:12" x14ac:dyDescent="0.25">
      <c r="B84" s="18">
        <v>43611</v>
      </c>
      <c r="C84" s="13" t="s">
        <v>423</v>
      </c>
      <c r="D84" s="11"/>
      <c r="E84" s="11"/>
      <c r="F84" s="11"/>
      <c r="G84" s="11"/>
      <c r="H84" s="11">
        <v>111.4</v>
      </c>
      <c r="I84" s="15"/>
      <c r="J84" s="12">
        <f t="shared" si="8"/>
        <v>30433.33</v>
      </c>
      <c r="K84" s="12">
        <f t="shared" si="9"/>
        <v>52851.77</v>
      </c>
    </row>
    <row r="85" spans="2:12" x14ac:dyDescent="0.25">
      <c r="B85" s="18">
        <v>43611</v>
      </c>
      <c r="C85" s="9" t="s">
        <v>486</v>
      </c>
      <c r="D85" s="11">
        <v>11000</v>
      </c>
      <c r="E85" s="11"/>
      <c r="F85" s="11"/>
      <c r="G85" s="11"/>
      <c r="H85" s="11"/>
      <c r="I85" s="15"/>
      <c r="J85" s="12">
        <f t="shared" si="8"/>
        <v>30433.33</v>
      </c>
      <c r="K85" s="12">
        <f t="shared" si="9"/>
        <v>63851.77</v>
      </c>
    </row>
    <row r="86" spans="2:12" x14ac:dyDescent="0.25">
      <c r="B86" s="18">
        <v>43611</v>
      </c>
      <c r="C86" s="9" t="s">
        <v>471</v>
      </c>
      <c r="D86" s="11"/>
      <c r="E86" s="11"/>
      <c r="F86" s="11"/>
      <c r="G86" s="11"/>
      <c r="H86" s="11">
        <v>300</v>
      </c>
      <c r="I86" s="15"/>
      <c r="J86" s="12">
        <f t="shared" si="8"/>
        <v>30433.33</v>
      </c>
      <c r="K86" s="12">
        <f t="shared" si="9"/>
        <v>63551.77</v>
      </c>
    </row>
    <row r="87" spans="2:12" x14ac:dyDescent="0.25">
      <c r="B87" s="18">
        <v>43612</v>
      </c>
      <c r="C87" s="9" t="s">
        <v>201</v>
      </c>
      <c r="D87" s="11"/>
      <c r="E87" s="11"/>
      <c r="F87" s="11"/>
      <c r="G87" s="11"/>
      <c r="H87" s="11">
        <v>190</v>
      </c>
      <c r="I87" s="15"/>
      <c r="J87" s="12">
        <f t="shared" si="8"/>
        <v>30433.33</v>
      </c>
      <c r="K87" s="12">
        <f t="shared" si="9"/>
        <v>63361.77</v>
      </c>
    </row>
    <row r="88" spans="2:12" x14ac:dyDescent="0.25">
      <c r="B88" s="18">
        <v>43612</v>
      </c>
      <c r="C88" s="9" t="s">
        <v>474</v>
      </c>
      <c r="D88" s="11"/>
      <c r="E88" s="11"/>
      <c r="F88" s="11"/>
      <c r="G88" s="11"/>
      <c r="H88" s="11">
        <v>250</v>
      </c>
      <c r="I88" s="15"/>
      <c r="J88" s="12">
        <f t="shared" si="8"/>
        <v>30433.33</v>
      </c>
      <c r="K88" s="12">
        <f t="shared" si="9"/>
        <v>63111.77</v>
      </c>
    </row>
    <row r="89" spans="2:12" x14ac:dyDescent="0.25">
      <c r="B89" s="18">
        <v>43612</v>
      </c>
      <c r="C89" s="9" t="s">
        <v>487</v>
      </c>
      <c r="D89" s="11"/>
      <c r="E89" s="11"/>
      <c r="F89" s="11"/>
      <c r="G89" s="11"/>
      <c r="H89" s="11">
        <v>537</v>
      </c>
      <c r="I89" s="15"/>
      <c r="J89" s="12">
        <f t="shared" si="8"/>
        <v>30433.33</v>
      </c>
      <c r="K89" s="12">
        <f t="shared" si="9"/>
        <v>62574.77</v>
      </c>
    </row>
    <row r="90" spans="2:12" x14ac:dyDescent="0.25">
      <c r="B90" s="18">
        <v>43612</v>
      </c>
      <c r="C90" s="9" t="s">
        <v>458</v>
      </c>
      <c r="D90" s="11"/>
      <c r="E90" s="11"/>
      <c r="F90" s="11"/>
      <c r="G90" s="11"/>
      <c r="H90" s="11">
        <v>8</v>
      </c>
      <c r="I90" s="15"/>
      <c r="J90" s="12">
        <f t="shared" si="8"/>
        <v>30433.33</v>
      </c>
      <c r="K90" s="12">
        <f t="shared" si="9"/>
        <v>62566.77</v>
      </c>
    </row>
    <row r="91" spans="2:12" x14ac:dyDescent="0.25">
      <c r="B91" s="18">
        <v>43613</v>
      </c>
      <c r="C91" s="9" t="s">
        <v>488</v>
      </c>
      <c r="D91" s="11"/>
      <c r="E91" s="11"/>
      <c r="F91" s="11"/>
      <c r="G91" s="11"/>
      <c r="H91" s="11">
        <v>1055</v>
      </c>
      <c r="I91" s="15"/>
      <c r="J91" s="12">
        <f t="shared" si="8"/>
        <v>30433.33</v>
      </c>
      <c r="K91" s="12">
        <f t="shared" si="9"/>
        <v>61511.77</v>
      </c>
    </row>
    <row r="92" spans="2:12" x14ac:dyDescent="0.25">
      <c r="B92" s="18">
        <v>43614</v>
      </c>
      <c r="C92" s="9" t="s">
        <v>423</v>
      </c>
      <c r="D92" s="11"/>
      <c r="E92" s="11"/>
      <c r="F92" s="11"/>
      <c r="G92" s="11"/>
      <c r="H92" s="11">
        <v>30.5</v>
      </c>
      <c r="I92" s="15"/>
      <c r="J92" s="12">
        <f t="shared" si="8"/>
        <v>30433.33</v>
      </c>
      <c r="K92" s="12">
        <f t="shared" si="9"/>
        <v>61481.27</v>
      </c>
    </row>
    <row r="93" spans="2:12" x14ac:dyDescent="0.25">
      <c r="B93" s="18">
        <v>43614</v>
      </c>
      <c r="C93" s="9" t="s">
        <v>489</v>
      </c>
      <c r="D93" s="11"/>
      <c r="E93" s="11"/>
      <c r="F93" s="11"/>
      <c r="G93" s="11"/>
      <c r="H93" s="11">
        <v>359</v>
      </c>
      <c r="I93" s="15"/>
      <c r="J93" s="12">
        <f t="shared" si="8"/>
        <v>30433.33</v>
      </c>
      <c r="K93" s="12">
        <f t="shared" si="9"/>
        <v>61122.27</v>
      </c>
    </row>
    <row r="94" spans="2:12" x14ac:dyDescent="0.25">
      <c r="B94" s="18">
        <v>43615</v>
      </c>
      <c r="C94" s="9" t="s">
        <v>431</v>
      </c>
      <c r="D94" s="11"/>
      <c r="E94" s="11"/>
      <c r="F94" s="11"/>
      <c r="G94" s="11"/>
      <c r="H94" s="11">
        <v>120</v>
      </c>
      <c r="I94" s="15"/>
      <c r="J94" s="12">
        <f t="shared" si="8"/>
        <v>30433.33</v>
      </c>
      <c r="K94" s="12">
        <f t="shared" si="9"/>
        <v>61002.27</v>
      </c>
    </row>
    <row r="95" spans="2:12" x14ac:dyDescent="0.25">
      <c r="B95" s="18">
        <v>43616</v>
      </c>
      <c r="C95" s="9" t="s">
        <v>490</v>
      </c>
      <c r="D95" s="11"/>
      <c r="E95" s="11"/>
      <c r="F95" s="11"/>
      <c r="G95" s="11"/>
      <c r="H95" s="11">
        <v>1250</v>
      </c>
      <c r="I95" s="15"/>
      <c r="J95" s="12">
        <f t="shared" si="8"/>
        <v>30433.33</v>
      </c>
      <c r="K95" s="12">
        <f t="shared" si="9"/>
        <v>59752.27</v>
      </c>
      <c r="L95" s="1"/>
    </row>
    <row r="96" spans="2:12" x14ac:dyDescent="0.25">
      <c r="B96" s="18">
        <v>43616</v>
      </c>
      <c r="C96" s="9" t="s">
        <v>481</v>
      </c>
      <c r="D96" s="11"/>
      <c r="E96" s="11"/>
      <c r="F96" s="11"/>
      <c r="G96" s="11"/>
      <c r="H96" s="11">
        <v>300</v>
      </c>
      <c r="I96" s="15"/>
      <c r="J96" s="12">
        <f t="shared" si="8"/>
        <v>30433.33</v>
      </c>
      <c r="K96" s="12">
        <f t="shared" si="9"/>
        <v>59452.27</v>
      </c>
    </row>
    <row r="97" spans="2:11" x14ac:dyDescent="0.25">
      <c r="B97" s="18">
        <v>43616</v>
      </c>
      <c r="C97" s="9" t="s">
        <v>416</v>
      </c>
      <c r="D97" s="11"/>
      <c r="E97" s="11"/>
      <c r="F97" s="11"/>
      <c r="G97" s="11"/>
      <c r="H97" s="11">
        <v>550</v>
      </c>
      <c r="I97" s="15"/>
      <c r="J97" s="12">
        <f t="shared" si="8"/>
        <v>30433.33</v>
      </c>
      <c r="K97" s="12">
        <f t="shared" si="9"/>
        <v>58902.27</v>
      </c>
    </row>
    <row r="98" spans="2:11" x14ac:dyDescent="0.25">
      <c r="B98" s="18">
        <v>43616</v>
      </c>
      <c r="C98" s="9" t="s">
        <v>482</v>
      </c>
      <c r="D98" s="11"/>
      <c r="E98" s="11"/>
      <c r="F98" s="11"/>
      <c r="G98" s="11"/>
      <c r="H98" s="11">
        <v>2000</v>
      </c>
      <c r="I98" s="15"/>
      <c r="J98" s="12">
        <f t="shared" si="8"/>
        <v>30433.33</v>
      </c>
      <c r="K98" s="12">
        <f t="shared" si="9"/>
        <v>56902.27</v>
      </c>
    </row>
    <row r="99" spans="2:11" x14ac:dyDescent="0.25">
      <c r="B99" s="18">
        <v>43616</v>
      </c>
      <c r="C99" s="9" t="s">
        <v>224</v>
      </c>
      <c r="D99" s="11"/>
      <c r="E99" s="11"/>
      <c r="F99" s="11"/>
      <c r="G99" s="11"/>
      <c r="H99" s="11">
        <v>4000</v>
      </c>
      <c r="I99" s="15"/>
      <c r="J99" s="12">
        <f t="shared" si="8"/>
        <v>30433.33</v>
      </c>
      <c r="K99" s="12">
        <f t="shared" si="9"/>
        <v>52902.27</v>
      </c>
    </row>
    <row r="100" spans="2:11" x14ac:dyDescent="0.25">
      <c r="B100" s="18">
        <v>43616</v>
      </c>
      <c r="C100" s="21" t="s">
        <v>483</v>
      </c>
      <c r="D100" s="11"/>
      <c r="E100" s="11"/>
      <c r="F100" s="11"/>
      <c r="G100" s="11"/>
      <c r="H100" s="11">
        <v>30000</v>
      </c>
      <c r="I100" s="15"/>
      <c r="J100" s="12">
        <f t="shared" si="8"/>
        <v>30433.33</v>
      </c>
      <c r="K100" s="12">
        <f t="shared" si="9"/>
        <v>22902.269999999997</v>
      </c>
    </row>
    <row r="101" spans="2:11" x14ac:dyDescent="0.25">
      <c r="B101" s="18">
        <v>43616</v>
      </c>
      <c r="C101" s="9" t="s">
        <v>484</v>
      </c>
      <c r="D101" s="11"/>
      <c r="E101" s="11"/>
      <c r="F101" s="11"/>
      <c r="G101" s="11">
        <v>10000</v>
      </c>
      <c r="H101" s="11"/>
      <c r="I101" s="15"/>
      <c r="J101" s="12">
        <f t="shared" si="8"/>
        <v>20433.330000000002</v>
      </c>
      <c r="K101" s="12">
        <f t="shared" si="9"/>
        <v>22902.269999999997</v>
      </c>
    </row>
    <row r="102" spans="2:11" x14ac:dyDescent="0.25">
      <c r="B102" s="18">
        <v>43616</v>
      </c>
      <c r="C102" s="9" t="s">
        <v>485</v>
      </c>
      <c r="D102" s="11">
        <v>3700</v>
      </c>
      <c r="E102" s="11"/>
      <c r="F102" s="11"/>
      <c r="G102" s="11"/>
      <c r="H102" s="11"/>
      <c r="I102" s="15"/>
      <c r="J102" s="12">
        <f t="shared" si="8"/>
        <v>20433.330000000002</v>
      </c>
      <c r="K102" s="12">
        <f t="shared" si="9"/>
        <v>26602.269999999997</v>
      </c>
    </row>
    <row r="103" spans="2:11" x14ac:dyDescent="0.25">
      <c r="B103" s="18">
        <v>43587</v>
      </c>
      <c r="C103" s="9" t="s">
        <v>492</v>
      </c>
      <c r="D103" s="11"/>
      <c r="E103" s="11">
        <v>200</v>
      </c>
      <c r="F103" s="11"/>
      <c r="G103" s="11"/>
      <c r="H103" s="11"/>
      <c r="I103" s="15"/>
      <c r="J103" s="12">
        <f t="shared" si="8"/>
        <v>20633.330000000002</v>
      </c>
      <c r="K103" s="12">
        <f t="shared" si="9"/>
        <v>26602.269999999997</v>
      </c>
    </row>
    <row r="104" spans="2:11" x14ac:dyDescent="0.25">
      <c r="B104" s="18">
        <v>43589</v>
      </c>
      <c r="C104" s="9" t="s">
        <v>491</v>
      </c>
      <c r="D104" s="11"/>
      <c r="E104" s="11">
        <v>400.46</v>
      </c>
      <c r="F104" s="11"/>
      <c r="G104" s="11"/>
      <c r="H104" s="11"/>
      <c r="I104" s="15"/>
      <c r="J104" s="12">
        <f t="shared" si="8"/>
        <v>21033.79</v>
      </c>
      <c r="K104" s="12">
        <f t="shared" si="9"/>
        <v>26602.269999999997</v>
      </c>
    </row>
    <row r="105" spans="2:11" x14ac:dyDescent="0.25">
      <c r="B105" s="18">
        <v>43591</v>
      </c>
      <c r="C105" s="9" t="s">
        <v>493</v>
      </c>
      <c r="D105" s="11"/>
      <c r="E105" s="11">
        <v>200.15</v>
      </c>
      <c r="F105" s="11"/>
      <c r="G105" s="11"/>
      <c r="H105" s="11"/>
      <c r="I105" s="15"/>
      <c r="J105" s="12">
        <f t="shared" si="8"/>
        <v>21233.940000000002</v>
      </c>
      <c r="K105" s="12">
        <f t="shared" si="9"/>
        <v>26602.269999999997</v>
      </c>
    </row>
    <row r="106" spans="2:11" x14ac:dyDescent="0.25">
      <c r="B106" s="18">
        <v>43598</v>
      </c>
      <c r="C106" s="9" t="s">
        <v>494</v>
      </c>
      <c r="D106" s="11"/>
      <c r="E106" s="11">
        <v>400.29</v>
      </c>
      <c r="F106" s="11"/>
      <c r="G106" s="11"/>
      <c r="H106" s="11"/>
      <c r="I106" s="15"/>
      <c r="J106" s="12">
        <f t="shared" si="8"/>
        <v>21634.230000000003</v>
      </c>
      <c r="K106" s="12">
        <f t="shared" si="9"/>
        <v>26602.269999999997</v>
      </c>
    </row>
    <row r="107" spans="2:11" x14ac:dyDescent="0.25">
      <c r="B107" s="18">
        <v>43608</v>
      </c>
      <c r="C107" s="13" t="s">
        <v>495</v>
      </c>
      <c r="D107" s="11"/>
      <c r="E107" s="11">
        <v>1400</v>
      </c>
      <c r="F107" s="11"/>
      <c r="G107" s="11"/>
      <c r="H107" s="11"/>
      <c r="I107" s="15"/>
      <c r="J107" s="12">
        <f t="shared" si="8"/>
        <v>23034.230000000003</v>
      </c>
      <c r="K107" s="12">
        <f t="shared" si="9"/>
        <v>26602.269999999997</v>
      </c>
    </row>
    <row r="108" spans="2:11" x14ac:dyDescent="0.25">
      <c r="B108" s="18">
        <v>43614</v>
      </c>
      <c r="C108" s="9" t="s">
        <v>496</v>
      </c>
      <c r="D108" s="11"/>
      <c r="E108" s="11"/>
      <c r="F108" s="11"/>
      <c r="G108" s="11">
        <v>200</v>
      </c>
      <c r="H108" s="11"/>
      <c r="I108" s="15"/>
      <c r="J108" s="12">
        <f t="shared" si="8"/>
        <v>22834.230000000003</v>
      </c>
      <c r="K108" s="12">
        <f t="shared" si="9"/>
        <v>26602.269999999997</v>
      </c>
    </row>
    <row r="109" spans="2:11" x14ac:dyDescent="0.25">
      <c r="B109" s="18">
        <v>43614</v>
      </c>
      <c r="C109" s="13" t="s">
        <v>497</v>
      </c>
      <c r="D109" s="11"/>
      <c r="E109" s="11"/>
      <c r="F109" s="11"/>
      <c r="G109" s="11">
        <v>32</v>
      </c>
      <c r="H109" s="11"/>
      <c r="I109" s="15"/>
      <c r="J109" s="12">
        <f t="shared" si="8"/>
        <v>22802.230000000003</v>
      </c>
      <c r="K109" s="12">
        <f t="shared" si="9"/>
        <v>26602.269999999997</v>
      </c>
    </row>
    <row r="110" spans="2:11" x14ac:dyDescent="0.25">
      <c r="B110" s="18">
        <v>43616</v>
      </c>
      <c r="C110" s="9" t="s">
        <v>69</v>
      </c>
      <c r="D110" s="11"/>
      <c r="E110" s="11"/>
      <c r="F110" s="11"/>
      <c r="G110" s="11">
        <v>54</v>
      </c>
      <c r="H110" s="11"/>
      <c r="I110" s="15"/>
      <c r="J110" s="12">
        <f t="shared" si="8"/>
        <v>22748.230000000003</v>
      </c>
      <c r="K110" s="12">
        <f t="shared" si="9"/>
        <v>26602.269999999997</v>
      </c>
    </row>
    <row r="111" spans="2:11" x14ac:dyDescent="0.25">
      <c r="B111" s="18">
        <v>43616</v>
      </c>
      <c r="C111" s="13" t="s">
        <v>70</v>
      </c>
      <c r="D111" s="11"/>
      <c r="E111" s="11"/>
      <c r="F111" s="11"/>
      <c r="G111" s="11">
        <v>8.64</v>
      </c>
      <c r="H111" s="11"/>
      <c r="I111" s="15"/>
      <c r="J111" s="12">
        <f t="shared" si="8"/>
        <v>22739.590000000004</v>
      </c>
      <c r="K111" s="12">
        <f t="shared" si="9"/>
        <v>26602.269999999997</v>
      </c>
    </row>
    <row r="112" spans="2:11" ht="15.75" thickBot="1" x14ac:dyDescent="0.3">
      <c r="B112" s="18"/>
      <c r="C112" s="9"/>
      <c r="D112" s="11"/>
      <c r="E112" s="11"/>
      <c r="F112" s="11"/>
      <c r="G112" s="11"/>
      <c r="H112" s="11"/>
      <c r="I112" s="15"/>
      <c r="J112" s="12">
        <f t="shared" si="8"/>
        <v>22739.590000000004</v>
      </c>
      <c r="K112" s="12">
        <f t="shared" si="9"/>
        <v>26602.269999999997</v>
      </c>
    </row>
    <row r="113" spans="2:11" ht="15.75" thickBot="1" x14ac:dyDescent="0.3">
      <c r="B113" s="5"/>
      <c r="C113" s="7" t="s">
        <v>0</v>
      </c>
      <c r="D113" s="62">
        <f>SUM(D63:D112)</f>
        <v>109970</v>
      </c>
      <c r="E113" s="61">
        <f>SUM(E63:E112)</f>
        <v>15360.9</v>
      </c>
      <c r="F113" s="71">
        <f>SUM(D113:E113)</f>
        <v>125330.9</v>
      </c>
      <c r="G113" s="71">
        <f>SUM(G63:G112)</f>
        <v>28454.639999999999</v>
      </c>
      <c r="H113" s="62">
        <f>SUM(H63:H112)</f>
        <v>94485.700000000012</v>
      </c>
      <c r="I113" s="71">
        <f>SUM(G113:H113)</f>
        <v>122940.34000000001</v>
      </c>
      <c r="J113" s="20"/>
      <c r="K113" s="20"/>
    </row>
    <row r="114" spans="2:11" ht="15.75" thickBot="1" x14ac:dyDescent="0.3">
      <c r="D114" s="1"/>
      <c r="E114" s="1"/>
      <c r="F114" s="1"/>
      <c r="G114" s="1"/>
      <c r="I114" s="74" t="s">
        <v>8</v>
      </c>
      <c r="J114" s="74" t="s">
        <v>7</v>
      </c>
      <c r="K114" s="95" t="s">
        <v>0</v>
      </c>
    </row>
    <row r="115" spans="2:11" ht="15.75" thickBot="1" x14ac:dyDescent="0.3">
      <c r="D115" s="1"/>
      <c r="E115" s="1"/>
      <c r="F115" s="1"/>
      <c r="G115" s="1"/>
      <c r="I115" s="26">
        <v>22739.59</v>
      </c>
      <c r="J115" s="26">
        <v>26702.27</v>
      </c>
      <c r="K115" s="20">
        <f>SUM(I115:J115)</f>
        <v>49441.86</v>
      </c>
    </row>
    <row r="116" spans="2:11" x14ac:dyDescent="0.25">
      <c r="D116" s="1"/>
      <c r="E116" s="1"/>
      <c r="F116" s="1"/>
      <c r="G116" s="1"/>
      <c r="J116" s="1"/>
    </row>
    <row r="117" spans="2:11" x14ac:dyDescent="0.25">
      <c r="D117" s="1"/>
      <c r="E117" s="1"/>
      <c r="F117" s="1"/>
      <c r="G117" s="1"/>
      <c r="J117" s="1"/>
    </row>
    <row r="118" spans="2:11" x14ac:dyDescent="0.25">
      <c r="D118" s="1"/>
      <c r="E118" s="1"/>
      <c r="F118" s="1"/>
      <c r="G118" s="1"/>
      <c r="J118" s="1"/>
    </row>
    <row r="119" spans="2:11" x14ac:dyDescent="0.25">
      <c r="D119" s="1"/>
      <c r="E119" s="1"/>
      <c r="F119" s="1"/>
      <c r="G119" s="1"/>
      <c r="J119" s="1"/>
    </row>
    <row r="120" spans="2:11" x14ac:dyDescent="0.25">
      <c r="D120" s="1"/>
      <c r="E120" s="1"/>
      <c r="F120" s="1"/>
      <c r="G120" s="1"/>
      <c r="J120" s="1"/>
    </row>
    <row r="121" spans="2:11" x14ac:dyDescent="0.25">
      <c r="D121" s="1"/>
      <c r="E121" s="1"/>
      <c r="F121" s="1"/>
      <c r="G121" s="1"/>
      <c r="J121" s="1"/>
    </row>
    <row r="122" spans="2:11" x14ac:dyDescent="0.25">
      <c r="D122" s="1"/>
      <c r="E122" s="1"/>
      <c r="F122" s="1"/>
      <c r="G122" s="1"/>
      <c r="J122" s="1"/>
    </row>
    <row r="123" spans="2:11" x14ac:dyDescent="0.25">
      <c r="D123" s="1"/>
      <c r="E123" s="1"/>
      <c r="F123" s="1"/>
      <c r="G123" s="1"/>
      <c r="J123" s="1"/>
    </row>
    <row r="124" spans="2:11" x14ac:dyDescent="0.25">
      <c r="D124" s="1"/>
      <c r="E124" s="1"/>
      <c r="F124" s="1"/>
      <c r="G124" s="1"/>
      <c r="J124" s="1"/>
    </row>
    <row r="125" spans="2:11" x14ac:dyDescent="0.25">
      <c r="D125" s="1"/>
      <c r="E125" s="1"/>
      <c r="F125" s="1"/>
      <c r="G125" s="1"/>
      <c r="J125" s="1"/>
    </row>
    <row r="126" spans="2:11" x14ac:dyDescent="0.25">
      <c r="D126" s="1"/>
      <c r="E126" s="1"/>
      <c r="F126" s="1"/>
      <c r="G126" s="1"/>
      <c r="J126" s="1"/>
    </row>
    <row r="127" spans="2:11" x14ac:dyDescent="0.25">
      <c r="D127" s="1"/>
      <c r="E127" s="1"/>
      <c r="F127" s="1"/>
      <c r="G127" s="1"/>
      <c r="J127" s="1"/>
    </row>
    <row r="128" spans="2:11" x14ac:dyDescent="0.25">
      <c r="D128" s="1"/>
      <c r="E128" s="1"/>
      <c r="F128" s="1"/>
      <c r="G128" s="1"/>
      <c r="J128" s="1"/>
    </row>
    <row r="129" spans="4:10" x14ac:dyDescent="0.25">
      <c r="D129" s="1"/>
      <c r="E129" s="1"/>
      <c r="F129" s="1"/>
      <c r="G129" s="1"/>
      <c r="J129" s="1"/>
    </row>
    <row r="130" spans="4:10" x14ac:dyDescent="0.25">
      <c r="D130" s="1"/>
      <c r="E130" s="1"/>
      <c r="F130" s="1"/>
      <c r="G130" s="1"/>
      <c r="J130" s="1"/>
    </row>
    <row r="131" spans="4:10" x14ac:dyDescent="0.25">
      <c r="D131" s="1"/>
      <c r="E131" s="1"/>
      <c r="F131" s="1"/>
      <c r="G131" s="1"/>
      <c r="J131" s="1"/>
    </row>
    <row r="132" spans="4:10" x14ac:dyDescent="0.25">
      <c r="D132" s="1"/>
      <c r="E132" s="1"/>
      <c r="F132" s="1"/>
      <c r="G132" s="1"/>
      <c r="J132" s="1"/>
    </row>
    <row r="133" spans="4:10" x14ac:dyDescent="0.25">
      <c r="D133" s="1"/>
      <c r="E133" s="1"/>
      <c r="F133" s="1"/>
      <c r="G133" s="1"/>
      <c r="J133" s="1"/>
    </row>
    <row r="134" spans="4:10" x14ac:dyDescent="0.25">
      <c r="D134" s="1"/>
      <c r="E134" s="1"/>
      <c r="F134" s="1"/>
      <c r="G134" s="1"/>
      <c r="J134" s="1"/>
    </row>
    <row r="135" spans="4:10" x14ac:dyDescent="0.25">
      <c r="D135" s="1"/>
      <c r="E135" s="1"/>
      <c r="F135" s="1"/>
      <c r="G135" s="1"/>
      <c r="J135" s="1"/>
    </row>
    <row r="136" spans="4:10" x14ac:dyDescent="0.25">
      <c r="D136" s="1"/>
      <c r="E136" s="1"/>
      <c r="F136" s="1"/>
      <c r="G136" s="1"/>
      <c r="J136" s="1"/>
    </row>
    <row r="137" spans="4:10" x14ac:dyDescent="0.25">
      <c r="D137" s="1"/>
      <c r="E137" s="1"/>
      <c r="F137" s="1"/>
      <c r="G137" s="1"/>
      <c r="J137" s="1"/>
    </row>
    <row r="138" spans="4:10" x14ac:dyDescent="0.25">
      <c r="D138" s="1"/>
      <c r="E138" s="1"/>
      <c r="F138" s="1"/>
      <c r="G138" s="1"/>
      <c r="J138" s="1"/>
    </row>
    <row r="139" spans="4:10" x14ac:dyDescent="0.25">
      <c r="D139" s="1"/>
      <c r="E139" s="1"/>
      <c r="F139" s="1"/>
      <c r="G139" s="1"/>
      <c r="J139" s="1"/>
    </row>
    <row r="140" spans="4:10" x14ac:dyDescent="0.25">
      <c r="D140" s="1"/>
      <c r="E140" s="1"/>
      <c r="F140" s="1"/>
      <c r="G140" s="1"/>
      <c r="J140" s="1"/>
    </row>
    <row r="141" spans="4:10" x14ac:dyDescent="0.25">
      <c r="D141" s="1"/>
      <c r="E141" s="1"/>
      <c r="F141" s="1"/>
      <c r="G141" s="1"/>
      <c r="J141" s="1"/>
    </row>
    <row r="142" spans="4:10" x14ac:dyDescent="0.25">
      <c r="D142" s="1"/>
      <c r="E142" s="1"/>
      <c r="F142" s="1"/>
      <c r="G142" s="1"/>
      <c r="J142" s="1"/>
    </row>
    <row r="143" spans="4:10" x14ac:dyDescent="0.25">
      <c r="D143" s="1"/>
      <c r="E143" s="1"/>
      <c r="F143" s="1"/>
      <c r="G143" s="1"/>
      <c r="J143" s="1"/>
    </row>
    <row r="144" spans="4:10" x14ac:dyDescent="0.25">
      <c r="D144" s="1"/>
      <c r="E144" s="1"/>
      <c r="F144" s="1"/>
      <c r="G144" s="1"/>
      <c r="J144" s="1"/>
    </row>
    <row r="145" spans="4:10" x14ac:dyDescent="0.25">
      <c r="D145" s="1"/>
      <c r="E145" s="1"/>
      <c r="F145" s="1"/>
      <c r="G145" s="1"/>
      <c r="J145" s="1"/>
    </row>
    <row r="146" spans="4:10" x14ac:dyDescent="0.25">
      <c r="D146" s="1"/>
      <c r="E146" s="1"/>
      <c r="F146" s="1"/>
      <c r="G146" s="1"/>
      <c r="J146" s="1"/>
    </row>
    <row r="147" spans="4:10" x14ac:dyDescent="0.25">
      <c r="D147" s="1"/>
      <c r="E147" s="1"/>
      <c r="F147" s="1"/>
      <c r="G147" s="1"/>
      <c r="J147" s="1"/>
    </row>
    <row r="148" spans="4:10" x14ac:dyDescent="0.25">
      <c r="D148" s="1"/>
      <c r="E148" s="1"/>
      <c r="F148" s="1"/>
      <c r="G148" s="1"/>
      <c r="J148" s="1"/>
    </row>
    <row r="149" spans="4:10" x14ac:dyDescent="0.25">
      <c r="D149" s="1"/>
      <c r="E149" s="1"/>
      <c r="F149" s="1"/>
      <c r="G149" s="1"/>
      <c r="J149" s="1"/>
    </row>
    <row r="150" spans="4:10" x14ac:dyDescent="0.25">
      <c r="D150" s="1"/>
      <c r="E150" s="1"/>
      <c r="F150" s="1"/>
      <c r="G150" s="1"/>
      <c r="J150" s="1"/>
    </row>
    <row r="151" spans="4:10" x14ac:dyDescent="0.25">
      <c r="D151" s="1"/>
      <c r="E151" s="1"/>
      <c r="F151" s="1"/>
      <c r="G151" s="1"/>
      <c r="J151" s="1"/>
    </row>
    <row r="152" spans="4:10" x14ac:dyDescent="0.25">
      <c r="D152" s="1"/>
      <c r="E152" s="1"/>
      <c r="F152" s="1"/>
      <c r="G152" s="1"/>
      <c r="J152" s="1"/>
    </row>
    <row r="153" spans="4:10" x14ac:dyDescent="0.25">
      <c r="D153" s="1"/>
      <c r="E153" s="1"/>
      <c r="F153" s="1"/>
      <c r="G153" s="1"/>
      <c r="J153" s="1"/>
    </row>
    <row r="154" spans="4:10" x14ac:dyDescent="0.25">
      <c r="D154" s="1"/>
      <c r="E154" s="1"/>
      <c r="F154" s="1"/>
      <c r="G154" s="1"/>
      <c r="J154" s="1"/>
    </row>
    <row r="155" spans="4:10" x14ac:dyDescent="0.25">
      <c r="D155" s="1"/>
      <c r="E155" s="1"/>
      <c r="F155" s="1"/>
      <c r="G155" s="1"/>
      <c r="J155" s="1"/>
    </row>
    <row r="156" spans="4:10" x14ac:dyDescent="0.25">
      <c r="D156" s="1"/>
      <c r="E156" s="1"/>
      <c r="F156" s="1"/>
      <c r="G156" s="1"/>
      <c r="J156" s="1"/>
    </row>
    <row r="157" spans="4:10" x14ac:dyDescent="0.25">
      <c r="D157" s="1"/>
      <c r="E157" s="1"/>
      <c r="F157" s="1"/>
      <c r="G157" s="1"/>
      <c r="J157" s="1"/>
    </row>
    <row r="158" spans="4:10" x14ac:dyDescent="0.25">
      <c r="D158" s="1"/>
      <c r="E158" s="1"/>
      <c r="F158" s="1"/>
      <c r="G158" s="1"/>
      <c r="J158" s="1"/>
    </row>
    <row r="159" spans="4:10" x14ac:dyDescent="0.25">
      <c r="D159" s="1"/>
      <c r="E159" s="1"/>
      <c r="F159" s="1"/>
      <c r="G159" s="1"/>
      <c r="J159" s="1"/>
    </row>
    <row r="160" spans="4:10" x14ac:dyDescent="0.25">
      <c r="D160" s="1"/>
      <c r="E160" s="1"/>
      <c r="F160" s="1"/>
      <c r="G160" s="1"/>
      <c r="J160" s="1"/>
    </row>
    <row r="161" spans="4:10" x14ac:dyDescent="0.25">
      <c r="D161" s="1"/>
      <c r="E161" s="1"/>
      <c r="F161" s="1"/>
      <c r="G161" s="1"/>
      <c r="J161" s="1"/>
    </row>
    <row r="162" spans="4:10" x14ac:dyDescent="0.25">
      <c r="D162" s="1"/>
      <c r="E162" s="1"/>
      <c r="F162" s="1"/>
      <c r="G162" s="1"/>
      <c r="J162" s="1"/>
    </row>
    <row r="163" spans="4:10" x14ac:dyDescent="0.25">
      <c r="D163" s="1"/>
      <c r="E163" s="1"/>
      <c r="F163" s="1"/>
      <c r="G163" s="1"/>
      <c r="J163" s="1"/>
    </row>
    <row r="164" spans="4:10" x14ac:dyDescent="0.25">
      <c r="D164" s="1"/>
      <c r="E164" s="1"/>
      <c r="F164" s="1"/>
      <c r="G164" s="1"/>
      <c r="J164" s="1"/>
    </row>
    <row r="165" spans="4:10" x14ac:dyDescent="0.25">
      <c r="D165" s="1"/>
      <c r="E165" s="1"/>
      <c r="F165" s="1"/>
      <c r="G165" s="1"/>
      <c r="J165" s="1"/>
    </row>
    <row r="166" spans="4:10" x14ac:dyDescent="0.25">
      <c r="D166" s="1"/>
      <c r="E166" s="1"/>
      <c r="F166" s="1"/>
      <c r="G166" s="1"/>
      <c r="J166" s="1"/>
    </row>
    <row r="167" spans="4:10" x14ac:dyDescent="0.25">
      <c r="D167" s="1"/>
      <c r="E167" s="1"/>
      <c r="F167" s="1"/>
      <c r="G167" s="1"/>
      <c r="J167" s="1"/>
    </row>
    <row r="168" spans="4:10" x14ac:dyDescent="0.25">
      <c r="D168" s="1"/>
      <c r="E168" s="1"/>
      <c r="F168" s="1"/>
      <c r="G168" s="1"/>
      <c r="J168" s="1"/>
    </row>
  </sheetData>
  <mergeCells count="2">
    <mergeCell ref="B2:K2"/>
    <mergeCell ref="B3:K3"/>
  </mergeCells>
  <printOptions horizontalCentered="1"/>
  <pageMargins left="0.59055118110236227" right="0.43307086614173229" top="0" bottom="0" header="0.31496062992125984" footer="0.31496062992125984"/>
  <pageSetup paperSize="9" scale="70" fitToHeight="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2">
    <pageSetUpPr fitToPage="1"/>
  </sheetPr>
  <dimension ref="B1:L125"/>
  <sheetViews>
    <sheetView zoomScale="90" zoomScaleNormal="90" workbookViewId="0">
      <pane ySplit="3" topLeftCell="A105" activePane="bottomLeft" state="frozen"/>
      <selection pane="bottomLeft" activeCell="C106" sqref="C106"/>
    </sheetView>
  </sheetViews>
  <sheetFormatPr baseColWidth="10" defaultRowHeight="15" x14ac:dyDescent="0.25"/>
  <cols>
    <col min="1" max="1" width="10.85546875" customWidth="1"/>
    <col min="2" max="2" width="11.7109375" customWidth="1"/>
    <col min="3" max="3" width="86" customWidth="1"/>
    <col min="4" max="5" width="10.85546875" customWidth="1"/>
    <col min="6" max="6" width="10.7109375" customWidth="1"/>
    <col min="7" max="7" width="10.85546875" customWidth="1"/>
    <col min="8" max="10" width="10.7109375" customWidth="1"/>
    <col min="11" max="11" width="10.85546875" customWidth="1"/>
  </cols>
  <sheetData>
    <row r="1" spans="2:11" ht="16.5" thickBot="1" x14ac:dyDescent="0.3">
      <c r="B1" s="79"/>
      <c r="C1" s="81" t="s">
        <v>46</v>
      </c>
    </row>
    <row r="2" spans="2:11" x14ac:dyDescent="0.25">
      <c r="B2" s="68" t="s">
        <v>1</v>
      </c>
      <c r="C2" s="68" t="s">
        <v>2</v>
      </c>
      <c r="D2" s="68" t="s">
        <v>3</v>
      </c>
      <c r="E2" s="68" t="s">
        <v>3</v>
      </c>
      <c r="F2" s="68" t="s">
        <v>22</v>
      </c>
      <c r="G2" s="68" t="s">
        <v>23</v>
      </c>
      <c r="H2" s="48" t="s">
        <v>23</v>
      </c>
      <c r="I2" s="48" t="s">
        <v>22</v>
      </c>
      <c r="J2" s="68" t="s">
        <v>8</v>
      </c>
      <c r="K2" s="48" t="s">
        <v>7</v>
      </c>
    </row>
    <row r="3" spans="2:11" ht="15.75" thickBot="1" x14ac:dyDescent="0.3">
      <c r="B3" s="69"/>
      <c r="C3" s="96"/>
      <c r="D3" s="69" t="s">
        <v>5</v>
      </c>
      <c r="E3" s="69" t="s">
        <v>24</v>
      </c>
      <c r="F3" s="69" t="s">
        <v>3</v>
      </c>
      <c r="G3" s="69" t="s">
        <v>24</v>
      </c>
      <c r="H3" s="70" t="s">
        <v>5</v>
      </c>
      <c r="I3" s="70" t="s">
        <v>4</v>
      </c>
      <c r="J3" s="69"/>
      <c r="K3" s="70"/>
    </row>
    <row r="4" spans="2:11" x14ac:dyDescent="0.25">
      <c r="B4" s="23">
        <v>43616</v>
      </c>
      <c r="C4" s="65" t="s">
        <v>47</v>
      </c>
      <c r="D4" s="66"/>
      <c r="E4" s="63"/>
      <c r="F4" s="63"/>
      <c r="G4" s="63"/>
      <c r="H4" s="17"/>
      <c r="I4" s="64"/>
      <c r="J4" s="73">
        <v>22739.59</v>
      </c>
      <c r="K4" s="67">
        <v>26602.27</v>
      </c>
    </row>
    <row r="5" spans="2:11" x14ac:dyDescent="0.25">
      <c r="B5" s="23">
        <v>43617</v>
      </c>
      <c r="C5" s="9" t="s">
        <v>498</v>
      </c>
      <c r="D5" s="11"/>
      <c r="E5" s="11"/>
      <c r="F5" s="11"/>
      <c r="G5" s="11"/>
      <c r="H5" s="11">
        <v>250</v>
      </c>
      <c r="I5" s="15"/>
      <c r="J5" s="12">
        <f>+J4+E5-G5</f>
        <v>22739.59</v>
      </c>
      <c r="K5" s="12">
        <f>+K4+D5-H5</f>
        <v>26352.27</v>
      </c>
    </row>
    <row r="6" spans="2:11" x14ac:dyDescent="0.25">
      <c r="B6" s="23">
        <v>43618</v>
      </c>
      <c r="C6" s="13" t="s">
        <v>499</v>
      </c>
      <c r="D6" s="11"/>
      <c r="E6" s="11"/>
      <c r="F6" s="11"/>
      <c r="G6" s="11"/>
      <c r="H6" s="11">
        <v>130.5</v>
      </c>
      <c r="I6" s="15"/>
      <c r="J6" s="12">
        <f t="shared" ref="J6:J35" si="0">+J5+E6-G6</f>
        <v>22739.59</v>
      </c>
      <c r="K6" s="12">
        <f t="shared" ref="K6:K35" si="1">+K5+D6-H6</f>
        <v>26221.77</v>
      </c>
    </row>
    <row r="7" spans="2:11" x14ac:dyDescent="0.25">
      <c r="B7" s="18">
        <v>43618</v>
      </c>
      <c r="C7" s="9" t="s">
        <v>500</v>
      </c>
      <c r="D7" s="11"/>
      <c r="E7" s="11"/>
      <c r="F7" s="11"/>
      <c r="G7" s="11"/>
      <c r="H7" s="59">
        <v>50.5</v>
      </c>
      <c r="I7" s="15"/>
      <c r="J7" s="12">
        <f t="shared" si="0"/>
        <v>22739.59</v>
      </c>
      <c r="K7" s="12">
        <f t="shared" si="1"/>
        <v>26171.27</v>
      </c>
    </row>
    <row r="8" spans="2:11" x14ac:dyDescent="0.25">
      <c r="B8" s="18">
        <v>43618</v>
      </c>
      <c r="C8" s="13" t="s">
        <v>131</v>
      </c>
      <c r="D8" s="11"/>
      <c r="E8" s="11"/>
      <c r="F8" s="11"/>
      <c r="G8" s="11"/>
      <c r="H8" s="11">
        <v>120</v>
      </c>
      <c r="I8" s="15"/>
      <c r="J8" s="12">
        <f t="shared" si="0"/>
        <v>22739.59</v>
      </c>
      <c r="K8" s="12">
        <f t="shared" si="1"/>
        <v>26051.27</v>
      </c>
    </row>
    <row r="9" spans="2:11" x14ac:dyDescent="0.25">
      <c r="B9" s="18">
        <v>43618</v>
      </c>
      <c r="C9" s="9" t="s">
        <v>502</v>
      </c>
      <c r="D9" s="11">
        <v>18250</v>
      </c>
      <c r="E9" s="11"/>
      <c r="F9" s="11"/>
      <c r="G9" s="11"/>
      <c r="H9" s="59"/>
      <c r="I9" s="15"/>
      <c r="J9" s="12">
        <f t="shared" si="0"/>
        <v>22739.59</v>
      </c>
      <c r="K9" s="12">
        <f t="shared" si="1"/>
        <v>44301.270000000004</v>
      </c>
    </row>
    <row r="10" spans="2:11" x14ac:dyDescent="0.25">
      <c r="B10" s="18">
        <v>43619</v>
      </c>
      <c r="C10" s="9" t="s">
        <v>501</v>
      </c>
      <c r="D10" s="11"/>
      <c r="E10" s="11"/>
      <c r="F10" s="11"/>
      <c r="G10" s="11"/>
      <c r="H10" s="11">
        <v>1900</v>
      </c>
      <c r="I10" s="15"/>
      <c r="J10" s="12">
        <f t="shared" si="0"/>
        <v>22739.59</v>
      </c>
      <c r="K10" s="12">
        <f t="shared" si="1"/>
        <v>42401.270000000004</v>
      </c>
    </row>
    <row r="11" spans="2:11" x14ac:dyDescent="0.25">
      <c r="B11" s="18">
        <v>43619</v>
      </c>
      <c r="C11" s="9" t="s">
        <v>503</v>
      </c>
      <c r="D11" s="11"/>
      <c r="E11" s="11"/>
      <c r="F11" s="11"/>
      <c r="G11" s="11"/>
      <c r="H11" s="11">
        <v>600</v>
      </c>
      <c r="I11" s="15"/>
      <c r="J11" s="12">
        <f t="shared" si="0"/>
        <v>22739.59</v>
      </c>
      <c r="K11" s="12">
        <f t="shared" si="1"/>
        <v>41801.270000000004</v>
      </c>
    </row>
    <row r="12" spans="2:11" x14ac:dyDescent="0.25">
      <c r="B12" s="18">
        <v>43619</v>
      </c>
      <c r="C12" s="9" t="s">
        <v>504</v>
      </c>
      <c r="D12" s="11"/>
      <c r="E12" s="11"/>
      <c r="F12" s="11"/>
      <c r="G12" s="11"/>
      <c r="H12" s="59">
        <v>300</v>
      </c>
      <c r="I12" s="15"/>
      <c r="J12" s="12">
        <f t="shared" si="0"/>
        <v>22739.59</v>
      </c>
      <c r="K12" s="12">
        <f t="shared" si="1"/>
        <v>41501.270000000004</v>
      </c>
    </row>
    <row r="13" spans="2:11" x14ac:dyDescent="0.25">
      <c r="B13" s="18">
        <v>43619</v>
      </c>
      <c r="C13" s="9" t="s">
        <v>505</v>
      </c>
      <c r="D13" s="11"/>
      <c r="E13" s="11"/>
      <c r="F13" s="11"/>
      <c r="G13" s="11"/>
      <c r="H13" s="11">
        <v>190</v>
      </c>
      <c r="I13" s="15"/>
      <c r="J13" s="12">
        <f t="shared" si="0"/>
        <v>22739.59</v>
      </c>
      <c r="K13" s="12">
        <f t="shared" si="1"/>
        <v>41311.270000000004</v>
      </c>
    </row>
    <row r="14" spans="2:11" x14ac:dyDescent="0.25">
      <c r="B14" s="18">
        <v>43619</v>
      </c>
      <c r="C14" s="9" t="s">
        <v>506</v>
      </c>
      <c r="D14" s="11"/>
      <c r="E14" s="11"/>
      <c r="F14" s="11"/>
      <c r="G14" s="11"/>
      <c r="H14" s="59">
        <v>19</v>
      </c>
      <c r="I14" s="15"/>
      <c r="J14" s="12">
        <f t="shared" si="0"/>
        <v>22739.59</v>
      </c>
      <c r="K14" s="12">
        <f t="shared" si="1"/>
        <v>41292.270000000004</v>
      </c>
    </row>
    <row r="15" spans="2:11" x14ac:dyDescent="0.25">
      <c r="B15" s="18">
        <v>43620</v>
      </c>
      <c r="C15" s="9" t="s">
        <v>507</v>
      </c>
      <c r="D15" s="11"/>
      <c r="E15" s="11"/>
      <c r="F15" s="11"/>
      <c r="G15" s="11"/>
      <c r="H15" s="11">
        <v>450</v>
      </c>
      <c r="I15" s="15"/>
      <c r="J15" s="12">
        <f t="shared" si="0"/>
        <v>22739.59</v>
      </c>
      <c r="K15" s="12">
        <f t="shared" si="1"/>
        <v>40842.270000000004</v>
      </c>
    </row>
    <row r="16" spans="2:11" x14ac:dyDescent="0.25">
      <c r="B16" s="18">
        <v>43620</v>
      </c>
      <c r="C16" s="9" t="s">
        <v>508</v>
      </c>
      <c r="D16" s="11"/>
      <c r="E16" s="11"/>
      <c r="F16" s="11"/>
      <c r="G16" s="11"/>
      <c r="H16" s="11">
        <v>400</v>
      </c>
      <c r="I16" s="15"/>
      <c r="J16" s="12">
        <f t="shared" si="0"/>
        <v>22739.59</v>
      </c>
      <c r="K16" s="12">
        <f t="shared" si="1"/>
        <v>40442.270000000004</v>
      </c>
    </row>
    <row r="17" spans="2:11" x14ac:dyDescent="0.25">
      <c r="B17" s="18">
        <v>43623</v>
      </c>
      <c r="C17" s="9" t="s">
        <v>509</v>
      </c>
      <c r="D17" s="11"/>
      <c r="E17" s="11"/>
      <c r="F17" s="11"/>
      <c r="G17" s="11"/>
      <c r="H17" s="11">
        <v>1500</v>
      </c>
      <c r="I17" s="15"/>
      <c r="J17" s="12">
        <f t="shared" si="0"/>
        <v>22739.59</v>
      </c>
      <c r="K17" s="12">
        <f t="shared" si="1"/>
        <v>38942.270000000004</v>
      </c>
    </row>
    <row r="18" spans="2:11" x14ac:dyDescent="0.25">
      <c r="B18" s="18">
        <v>43623</v>
      </c>
      <c r="C18" s="9" t="s">
        <v>510</v>
      </c>
      <c r="D18" s="11"/>
      <c r="E18" s="11"/>
      <c r="F18" s="11"/>
      <c r="G18" s="11"/>
      <c r="H18" s="11">
        <v>1700</v>
      </c>
      <c r="I18" s="15"/>
      <c r="J18" s="12">
        <f t="shared" si="0"/>
        <v>22739.59</v>
      </c>
      <c r="K18" s="12">
        <f t="shared" si="1"/>
        <v>37242.270000000004</v>
      </c>
    </row>
    <row r="19" spans="2:11" x14ac:dyDescent="0.25">
      <c r="B19" s="18">
        <v>43623</v>
      </c>
      <c r="C19" s="9" t="s">
        <v>511</v>
      </c>
      <c r="D19" s="11"/>
      <c r="E19" s="11"/>
      <c r="F19" s="11"/>
      <c r="G19" s="11"/>
      <c r="H19" s="11">
        <v>300</v>
      </c>
      <c r="I19" s="15"/>
      <c r="J19" s="12">
        <f t="shared" si="0"/>
        <v>22739.59</v>
      </c>
      <c r="K19" s="12">
        <f t="shared" si="1"/>
        <v>36942.270000000004</v>
      </c>
    </row>
    <row r="20" spans="2:11" x14ac:dyDescent="0.25">
      <c r="B20" s="18">
        <v>43624</v>
      </c>
      <c r="C20" s="9" t="s">
        <v>512</v>
      </c>
      <c r="D20" s="11"/>
      <c r="E20" s="11"/>
      <c r="F20" s="11"/>
      <c r="G20" s="11"/>
      <c r="H20" s="11">
        <v>300</v>
      </c>
      <c r="I20" s="15"/>
      <c r="J20" s="12">
        <f t="shared" si="0"/>
        <v>22739.59</v>
      </c>
      <c r="K20" s="12">
        <f t="shared" si="1"/>
        <v>36642.270000000004</v>
      </c>
    </row>
    <row r="21" spans="2:11" x14ac:dyDescent="0.25">
      <c r="B21" s="18">
        <v>43624</v>
      </c>
      <c r="C21" s="9" t="s">
        <v>513</v>
      </c>
      <c r="D21" s="11"/>
      <c r="E21" s="11"/>
      <c r="F21" s="11"/>
      <c r="G21" s="11"/>
      <c r="H21" s="59">
        <v>450</v>
      </c>
      <c r="I21" s="15"/>
      <c r="J21" s="12">
        <f t="shared" si="0"/>
        <v>22739.59</v>
      </c>
      <c r="K21" s="12">
        <f t="shared" si="1"/>
        <v>36192.270000000004</v>
      </c>
    </row>
    <row r="22" spans="2:11" x14ac:dyDescent="0.25">
      <c r="B22" s="18">
        <v>43625</v>
      </c>
      <c r="C22" s="9" t="s">
        <v>514</v>
      </c>
      <c r="D22" s="11"/>
      <c r="E22" s="11"/>
      <c r="F22" s="11"/>
      <c r="G22" s="11"/>
      <c r="H22" s="59">
        <v>120</v>
      </c>
      <c r="I22" s="15"/>
      <c r="J22" s="12">
        <f t="shared" si="0"/>
        <v>22739.59</v>
      </c>
      <c r="K22" s="12">
        <f t="shared" si="1"/>
        <v>36072.270000000004</v>
      </c>
    </row>
    <row r="23" spans="2:11" x14ac:dyDescent="0.25">
      <c r="B23" s="18">
        <v>43625</v>
      </c>
      <c r="C23" s="9" t="s">
        <v>500</v>
      </c>
      <c r="D23" s="11"/>
      <c r="E23" s="11"/>
      <c r="F23" s="11"/>
      <c r="G23" s="11"/>
      <c r="H23" s="11">
        <v>119.5</v>
      </c>
      <c r="I23" s="15"/>
      <c r="J23" s="12">
        <f t="shared" si="0"/>
        <v>22739.59</v>
      </c>
      <c r="K23" s="12">
        <f t="shared" si="1"/>
        <v>35952.770000000004</v>
      </c>
    </row>
    <row r="24" spans="2:11" x14ac:dyDescent="0.25">
      <c r="B24" s="18">
        <v>43625</v>
      </c>
      <c r="C24" s="9" t="s">
        <v>515</v>
      </c>
      <c r="D24" s="11"/>
      <c r="E24" s="11"/>
      <c r="F24" s="11"/>
      <c r="G24" s="11"/>
      <c r="H24" s="11">
        <v>80</v>
      </c>
      <c r="I24" s="15"/>
      <c r="J24" s="12">
        <f t="shared" si="0"/>
        <v>22739.59</v>
      </c>
      <c r="K24" s="12">
        <f t="shared" si="1"/>
        <v>35872.770000000004</v>
      </c>
    </row>
    <row r="25" spans="2:11" x14ac:dyDescent="0.25">
      <c r="B25" s="18">
        <v>43625</v>
      </c>
      <c r="C25" s="9" t="s">
        <v>516</v>
      </c>
      <c r="D25" s="11">
        <v>28740</v>
      </c>
      <c r="E25" s="11"/>
      <c r="F25" s="11"/>
      <c r="G25" s="11"/>
      <c r="H25" s="11"/>
      <c r="I25" s="15"/>
      <c r="J25" s="12">
        <f t="shared" si="0"/>
        <v>22739.59</v>
      </c>
      <c r="K25" s="12">
        <f t="shared" si="1"/>
        <v>64612.770000000004</v>
      </c>
    </row>
    <row r="26" spans="2:11" x14ac:dyDescent="0.25">
      <c r="B26" s="18">
        <v>43626</v>
      </c>
      <c r="C26" s="9" t="s">
        <v>517</v>
      </c>
      <c r="D26" s="11"/>
      <c r="E26" s="11"/>
      <c r="F26" s="11"/>
      <c r="G26" s="11"/>
      <c r="H26" s="11">
        <v>400</v>
      </c>
      <c r="I26" s="15"/>
      <c r="J26" s="12">
        <f t="shared" si="0"/>
        <v>22739.59</v>
      </c>
      <c r="K26" s="12">
        <f t="shared" si="1"/>
        <v>64212.770000000004</v>
      </c>
    </row>
    <row r="27" spans="2:11" x14ac:dyDescent="0.25">
      <c r="B27" s="18">
        <v>43626</v>
      </c>
      <c r="C27" s="9" t="s">
        <v>505</v>
      </c>
      <c r="D27" s="11"/>
      <c r="E27" s="11"/>
      <c r="F27" s="11"/>
      <c r="G27" s="11"/>
      <c r="H27" s="11">
        <v>190</v>
      </c>
      <c r="I27" s="15"/>
      <c r="J27" s="12">
        <f t="shared" si="0"/>
        <v>22739.59</v>
      </c>
      <c r="K27" s="12">
        <f t="shared" si="1"/>
        <v>64022.770000000004</v>
      </c>
    </row>
    <row r="28" spans="2:11" x14ac:dyDescent="0.25">
      <c r="B28" s="18">
        <v>43626</v>
      </c>
      <c r="C28" s="9" t="s">
        <v>518</v>
      </c>
      <c r="D28" s="11"/>
      <c r="E28" s="11"/>
      <c r="F28" s="11"/>
      <c r="G28" s="11"/>
      <c r="H28" s="11">
        <v>800</v>
      </c>
      <c r="I28" s="15"/>
      <c r="J28" s="12">
        <f t="shared" si="0"/>
        <v>22739.59</v>
      </c>
      <c r="K28" s="12">
        <f t="shared" si="1"/>
        <v>63222.770000000004</v>
      </c>
    </row>
    <row r="29" spans="2:11" x14ac:dyDescent="0.25">
      <c r="B29" s="18">
        <v>43627</v>
      </c>
      <c r="C29" s="13" t="s">
        <v>519</v>
      </c>
      <c r="D29" s="41"/>
      <c r="E29" s="41"/>
      <c r="F29" s="41"/>
      <c r="G29" s="102"/>
      <c r="H29" s="11">
        <v>100.07</v>
      </c>
      <c r="I29" s="15"/>
      <c r="J29" s="12">
        <f t="shared" si="0"/>
        <v>22739.59</v>
      </c>
      <c r="K29" s="12">
        <f t="shared" si="1"/>
        <v>63122.700000000004</v>
      </c>
    </row>
    <row r="30" spans="2:11" x14ac:dyDescent="0.25">
      <c r="B30" s="18">
        <v>43627</v>
      </c>
      <c r="C30" s="9" t="s">
        <v>520</v>
      </c>
      <c r="D30" s="11"/>
      <c r="E30" s="11"/>
      <c r="F30" s="11"/>
      <c r="G30" s="11"/>
      <c r="H30" s="59">
        <v>450</v>
      </c>
      <c r="I30" s="15"/>
      <c r="J30" s="12">
        <f t="shared" si="0"/>
        <v>22739.59</v>
      </c>
      <c r="K30" s="12">
        <f t="shared" si="1"/>
        <v>62672.700000000004</v>
      </c>
    </row>
    <row r="31" spans="2:11" x14ac:dyDescent="0.25">
      <c r="B31" s="18">
        <v>43627</v>
      </c>
      <c r="C31" s="9" t="s">
        <v>521</v>
      </c>
      <c r="D31" s="11"/>
      <c r="E31" s="11"/>
      <c r="F31" s="11"/>
      <c r="G31" s="11"/>
      <c r="H31" s="11">
        <v>85</v>
      </c>
      <c r="I31" s="15"/>
      <c r="J31" s="12">
        <f t="shared" si="0"/>
        <v>22739.59</v>
      </c>
      <c r="K31" s="12">
        <f t="shared" si="1"/>
        <v>62587.700000000004</v>
      </c>
    </row>
    <row r="32" spans="2:11" x14ac:dyDescent="0.25">
      <c r="B32" s="18">
        <v>43627</v>
      </c>
      <c r="C32" s="9" t="s">
        <v>522</v>
      </c>
      <c r="D32" s="11"/>
      <c r="E32" s="11"/>
      <c r="F32" s="11"/>
      <c r="G32" s="11"/>
      <c r="H32" s="11">
        <v>2</v>
      </c>
      <c r="I32" s="15"/>
      <c r="J32" s="12">
        <f t="shared" si="0"/>
        <v>22739.59</v>
      </c>
      <c r="K32" s="12">
        <f t="shared" si="1"/>
        <v>62585.700000000004</v>
      </c>
    </row>
    <row r="33" spans="2:11" x14ac:dyDescent="0.25">
      <c r="B33" s="18">
        <v>43627</v>
      </c>
      <c r="C33" s="9" t="s">
        <v>523</v>
      </c>
      <c r="D33" s="11"/>
      <c r="E33" s="11"/>
      <c r="F33" s="11"/>
      <c r="G33" s="11"/>
      <c r="H33" s="11">
        <v>289</v>
      </c>
      <c r="I33" s="15"/>
      <c r="J33" s="12">
        <f t="shared" si="0"/>
        <v>22739.59</v>
      </c>
      <c r="K33" s="12">
        <f t="shared" si="1"/>
        <v>62296.700000000004</v>
      </c>
    </row>
    <row r="34" spans="2:11" x14ac:dyDescent="0.25">
      <c r="B34" s="18">
        <v>43628</v>
      </c>
      <c r="C34" s="9" t="s">
        <v>524</v>
      </c>
      <c r="D34" s="11"/>
      <c r="E34" s="11"/>
      <c r="F34" s="11"/>
      <c r="G34" s="11"/>
      <c r="H34" s="11">
        <v>75</v>
      </c>
      <c r="I34" s="15"/>
      <c r="J34" s="12">
        <f t="shared" si="0"/>
        <v>22739.59</v>
      </c>
      <c r="K34" s="12">
        <f t="shared" si="1"/>
        <v>62221.700000000004</v>
      </c>
    </row>
    <row r="35" spans="2:11" x14ac:dyDescent="0.25">
      <c r="B35" s="18">
        <v>43628</v>
      </c>
      <c r="C35" s="9" t="s">
        <v>524</v>
      </c>
      <c r="D35" s="11"/>
      <c r="E35" s="11"/>
      <c r="F35" s="11"/>
      <c r="G35" s="11"/>
      <c r="H35" s="11">
        <v>84.5</v>
      </c>
      <c r="I35" s="15"/>
      <c r="J35" s="12">
        <f t="shared" si="0"/>
        <v>22739.59</v>
      </c>
      <c r="K35" s="12">
        <f t="shared" si="1"/>
        <v>62137.200000000004</v>
      </c>
    </row>
    <row r="36" spans="2:11" x14ac:dyDescent="0.25">
      <c r="B36" s="18">
        <v>43628</v>
      </c>
      <c r="C36" s="9" t="s">
        <v>525</v>
      </c>
      <c r="D36" s="11"/>
      <c r="E36" s="11"/>
      <c r="F36" s="11"/>
      <c r="G36" s="11"/>
      <c r="H36" s="11">
        <v>150</v>
      </c>
      <c r="I36" s="15"/>
      <c r="J36" s="12">
        <f>+J35+E36-G36</f>
        <v>22739.59</v>
      </c>
      <c r="K36" s="12">
        <f>+K35+D36-H36</f>
        <v>61987.200000000004</v>
      </c>
    </row>
    <row r="37" spans="2:11" x14ac:dyDescent="0.25">
      <c r="B37" s="18">
        <v>43629</v>
      </c>
      <c r="C37" s="9" t="s">
        <v>526</v>
      </c>
      <c r="D37" s="11"/>
      <c r="E37" s="11"/>
      <c r="F37" s="11"/>
      <c r="G37" s="11"/>
      <c r="H37" s="11">
        <v>1600</v>
      </c>
      <c r="I37" s="15"/>
      <c r="J37" s="12">
        <f>+J36+E37-G37</f>
        <v>22739.59</v>
      </c>
      <c r="K37" s="12">
        <f>+K36+D37-H37</f>
        <v>60387.200000000004</v>
      </c>
    </row>
    <row r="38" spans="2:11" x14ac:dyDescent="0.25">
      <c r="B38" s="18">
        <v>43629</v>
      </c>
      <c r="C38" s="9" t="s">
        <v>527</v>
      </c>
      <c r="D38" s="11"/>
      <c r="E38" s="11"/>
      <c r="F38" s="11"/>
      <c r="G38" s="11"/>
      <c r="H38" s="11">
        <v>400</v>
      </c>
      <c r="I38" s="15"/>
      <c r="J38" s="12">
        <f>+J37+E38-G38</f>
        <v>22739.59</v>
      </c>
      <c r="K38" s="12">
        <f>+K37+D38-H38</f>
        <v>59987.200000000004</v>
      </c>
    </row>
    <row r="39" spans="2:11" x14ac:dyDescent="0.25">
      <c r="B39" s="18">
        <v>43629</v>
      </c>
      <c r="C39" s="9" t="s">
        <v>529</v>
      </c>
      <c r="D39" s="11"/>
      <c r="E39" s="11"/>
      <c r="F39" s="11"/>
      <c r="G39" s="11"/>
      <c r="H39" s="11">
        <v>778</v>
      </c>
      <c r="I39" s="15"/>
      <c r="J39" s="12">
        <f>+J38+E39-G39</f>
        <v>22739.59</v>
      </c>
      <c r="K39" s="12">
        <f>+K38+D39-H39</f>
        <v>59209.200000000004</v>
      </c>
    </row>
    <row r="40" spans="2:11" x14ac:dyDescent="0.25">
      <c r="B40" s="18">
        <v>43629</v>
      </c>
      <c r="C40" s="9" t="s">
        <v>530</v>
      </c>
      <c r="D40" s="11"/>
      <c r="E40" s="11"/>
      <c r="F40" s="11"/>
      <c r="G40" s="11"/>
      <c r="H40" s="11">
        <v>200</v>
      </c>
      <c r="I40" s="15"/>
      <c r="J40" s="12">
        <f>+J39+E40-G40</f>
        <v>22739.59</v>
      </c>
      <c r="K40" s="12">
        <f>+K39+D40-H40</f>
        <v>59009.200000000004</v>
      </c>
    </row>
    <row r="41" spans="2:11" x14ac:dyDescent="0.25">
      <c r="B41" s="18">
        <v>43630</v>
      </c>
      <c r="C41" s="9" t="s">
        <v>531</v>
      </c>
      <c r="D41" s="11"/>
      <c r="E41" s="11"/>
      <c r="F41" s="11"/>
      <c r="G41" s="11"/>
      <c r="H41" s="11">
        <v>52</v>
      </c>
      <c r="I41" s="15"/>
      <c r="J41" s="12">
        <f t="shared" ref="J41:J52" si="2">+J40+E41-G41</f>
        <v>22739.59</v>
      </c>
      <c r="K41" s="12">
        <f t="shared" ref="K41:K52" si="3">+K40+D41-H41</f>
        <v>58957.200000000004</v>
      </c>
    </row>
    <row r="42" spans="2:11" x14ac:dyDescent="0.25">
      <c r="B42" s="18">
        <v>43630</v>
      </c>
      <c r="C42" s="9" t="s">
        <v>531</v>
      </c>
      <c r="D42" s="11"/>
      <c r="E42" s="11"/>
      <c r="F42" s="11"/>
      <c r="G42" s="11"/>
      <c r="H42" s="11">
        <v>30.5</v>
      </c>
      <c r="I42" s="15"/>
      <c r="J42" s="12">
        <f t="shared" si="2"/>
        <v>22739.59</v>
      </c>
      <c r="K42" s="12">
        <f t="shared" si="3"/>
        <v>58926.700000000004</v>
      </c>
    </row>
    <row r="43" spans="2:11" x14ac:dyDescent="0.25">
      <c r="B43" s="18">
        <v>43630</v>
      </c>
      <c r="C43" s="9" t="s">
        <v>532</v>
      </c>
      <c r="D43" s="11"/>
      <c r="E43" s="11"/>
      <c r="F43" s="11"/>
      <c r="G43" s="11"/>
      <c r="H43" s="11">
        <v>30.2</v>
      </c>
      <c r="I43" s="15"/>
      <c r="J43" s="12">
        <f t="shared" si="2"/>
        <v>22739.59</v>
      </c>
      <c r="K43" s="12">
        <f t="shared" si="3"/>
        <v>58896.500000000007</v>
      </c>
    </row>
    <row r="44" spans="2:11" x14ac:dyDescent="0.25">
      <c r="B44" s="18">
        <v>43630</v>
      </c>
      <c r="C44" s="123" t="s">
        <v>582</v>
      </c>
      <c r="D44" s="11"/>
      <c r="E44" s="11"/>
      <c r="F44" s="11"/>
      <c r="G44" s="11">
        <v>1760</v>
      </c>
      <c r="H44" s="59"/>
      <c r="I44" s="15"/>
      <c r="J44" s="12">
        <f t="shared" si="2"/>
        <v>20979.59</v>
      </c>
      <c r="K44" s="12">
        <f t="shared" si="3"/>
        <v>58896.500000000007</v>
      </c>
    </row>
    <row r="45" spans="2:11" x14ac:dyDescent="0.25">
      <c r="B45" s="18">
        <v>43630</v>
      </c>
      <c r="C45" s="123" t="s">
        <v>583</v>
      </c>
      <c r="D45" s="11"/>
      <c r="E45" s="11"/>
      <c r="F45" s="11"/>
      <c r="G45" s="11">
        <v>1400</v>
      </c>
      <c r="H45" s="59"/>
      <c r="I45" s="15"/>
      <c r="J45" s="12">
        <f t="shared" si="2"/>
        <v>19579.59</v>
      </c>
      <c r="K45" s="12">
        <f t="shared" si="3"/>
        <v>58896.500000000007</v>
      </c>
    </row>
    <row r="46" spans="2:11" x14ac:dyDescent="0.25">
      <c r="B46" s="18">
        <v>43630</v>
      </c>
      <c r="C46" s="9" t="s">
        <v>533</v>
      </c>
      <c r="D46" s="11"/>
      <c r="E46" s="11"/>
      <c r="F46" s="11"/>
      <c r="G46" s="11"/>
      <c r="H46" s="59">
        <v>1500</v>
      </c>
      <c r="I46" s="15"/>
      <c r="J46" s="12">
        <f t="shared" si="2"/>
        <v>19579.59</v>
      </c>
      <c r="K46" s="12">
        <f t="shared" si="3"/>
        <v>57396.500000000007</v>
      </c>
    </row>
    <row r="47" spans="2:11" x14ac:dyDescent="0.25">
      <c r="B47" s="18">
        <v>43631</v>
      </c>
      <c r="C47" s="9" t="s">
        <v>524</v>
      </c>
      <c r="D47" s="11"/>
      <c r="E47" s="11"/>
      <c r="F47" s="11"/>
      <c r="G47" s="11"/>
      <c r="H47" s="59">
        <v>18</v>
      </c>
      <c r="I47" s="15"/>
      <c r="J47" s="12">
        <f t="shared" si="2"/>
        <v>19579.59</v>
      </c>
      <c r="K47" s="12">
        <f t="shared" si="3"/>
        <v>57378.500000000007</v>
      </c>
    </row>
    <row r="48" spans="2:11" x14ac:dyDescent="0.25">
      <c r="B48" s="18">
        <v>43631</v>
      </c>
      <c r="C48" s="9" t="s">
        <v>534</v>
      </c>
      <c r="D48" s="11"/>
      <c r="E48" s="11"/>
      <c r="F48" s="11"/>
      <c r="G48" s="11"/>
      <c r="H48" s="59">
        <v>24.78</v>
      </c>
      <c r="I48" s="15"/>
      <c r="J48" s="12">
        <f>+J47+E48-G48</f>
        <v>19579.59</v>
      </c>
      <c r="K48" s="12">
        <f>+K47+D48-H48</f>
        <v>57353.720000000008</v>
      </c>
    </row>
    <row r="49" spans="2:11" x14ac:dyDescent="0.25">
      <c r="B49" s="18">
        <v>43631</v>
      </c>
      <c r="C49" s="9" t="s">
        <v>536</v>
      </c>
      <c r="D49" s="11"/>
      <c r="E49" s="11"/>
      <c r="F49" s="11"/>
      <c r="G49" s="11"/>
      <c r="H49" s="59">
        <v>57</v>
      </c>
      <c r="I49" s="15"/>
      <c r="J49" s="12">
        <f t="shared" si="2"/>
        <v>19579.59</v>
      </c>
      <c r="K49" s="12">
        <f t="shared" si="3"/>
        <v>57296.720000000008</v>
      </c>
    </row>
    <row r="50" spans="2:11" x14ac:dyDescent="0.25">
      <c r="B50" s="18">
        <v>43631</v>
      </c>
      <c r="C50" s="9" t="s">
        <v>535</v>
      </c>
      <c r="D50" s="11"/>
      <c r="E50" s="11"/>
      <c r="F50" s="11"/>
      <c r="G50" s="11"/>
      <c r="H50" s="59">
        <v>31</v>
      </c>
      <c r="I50" s="15"/>
      <c r="J50" s="12">
        <f t="shared" si="2"/>
        <v>19579.59</v>
      </c>
      <c r="K50" s="12">
        <f t="shared" si="3"/>
        <v>57265.720000000008</v>
      </c>
    </row>
    <row r="51" spans="2:11" x14ac:dyDescent="0.25">
      <c r="B51" s="18">
        <v>43631</v>
      </c>
      <c r="C51" s="9" t="s">
        <v>537</v>
      </c>
      <c r="D51" s="11"/>
      <c r="E51" s="11"/>
      <c r="F51" s="11"/>
      <c r="G51" s="11"/>
      <c r="H51" s="59">
        <v>350</v>
      </c>
      <c r="I51" s="15"/>
      <c r="J51" s="12">
        <f t="shared" si="2"/>
        <v>19579.59</v>
      </c>
      <c r="K51" s="12">
        <f t="shared" si="3"/>
        <v>56915.720000000008</v>
      </c>
    </row>
    <row r="52" spans="2:11" ht="15.75" thickBot="1" x14ac:dyDescent="0.3">
      <c r="B52" s="18">
        <v>43631</v>
      </c>
      <c r="C52" s="9" t="s">
        <v>538</v>
      </c>
      <c r="D52" s="11"/>
      <c r="E52" s="11"/>
      <c r="F52" s="11"/>
      <c r="G52" s="11"/>
      <c r="H52" s="59">
        <v>550</v>
      </c>
      <c r="I52" s="15"/>
      <c r="J52" s="12">
        <f t="shared" si="2"/>
        <v>19579.59</v>
      </c>
      <c r="K52" s="12">
        <f t="shared" si="3"/>
        <v>56365.720000000008</v>
      </c>
    </row>
    <row r="53" spans="2:11" ht="15.75" thickBot="1" x14ac:dyDescent="0.3">
      <c r="B53" s="5"/>
      <c r="C53" s="7" t="s">
        <v>0</v>
      </c>
      <c r="D53" s="62">
        <f>SUM(D4:D52)</f>
        <v>46990</v>
      </c>
      <c r="E53" s="61">
        <f>SUM(E4:E52)</f>
        <v>0</v>
      </c>
      <c r="F53" s="71">
        <f>SUM(D53:E53)</f>
        <v>46990</v>
      </c>
      <c r="G53" s="80">
        <f>SUM(G4:G52)</f>
        <v>3160</v>
      </c>
      <c r="H53" s="62">
        <f>SUM(H4:H52)</f>
        <v>17226.550000000003</v>
      </c>
      <c r="I53" s="71">
        <f>SUM(G53:H53)</f>
        <v>20386.550000000003</v>
      </c>
      <c r="J53" s="20"/>
      <c r="K53" s="20"/>
    </row>
    <row r="54" spans="2:11" x14ac:dyDescent="0.25">
      <c r="B54" s="68" t="s">
        <v>1</v>
      </c>
      <c r="C54" s="68" t="s">
        <v>2</v>
      </c>
      <c r="D54" s="68" t="s">
        <v>3</v>
      </c>
      <c r="E54" s="68" t="s">
        <v>3</v>
      </c>
      <c r="F54" s="68" t="s">
        <v>22</v>
      </c>
      <c r="G54" s="68" t="s">
        <v>23</v>
      </c>
      <c r="H54" s="48" t="s">
        <v>23</v>
      </c>
      <c r="I54" s="48" t="s">
        <v>22</v>
      </c>
      <c r="J54" s="68" t="s">
        <v>8</v>
      </c>
      <c r="K54" s="48" t="s">
        <v>7</v>
      </c>
    </row>
    <row r="55" spans="2:11" ht="15.75" thickBot="1" x14ac:dyDescent="0.3">
      <c r="B55" s="69"/>
      <c r="C55" s="69"/>
      <c r="D55" s="69" t="s">
        <v>5</v>
      </c>
      <c r="E55" s="69" t="s">
        <v>24</v>
      </c>
      <c r="F55" s="69" t="s">
        <v>3</v>
      </c>
      <c r="G55" s="69" t="s">
        <v>24</v>
      </c>
      <c r="H55" s="70" t="s">
        <v>5</v>
      </c>
      <c r="I55" s="70" t="s">
        <v>4</v>
      </c>
      <c r="J55" s="69"/>
      <c r="K55" s="70"/>
    </row>
    <row r="56" spans="2:11" ht="15.75" thickBot="1" x14ac:dyDescent="0.3">
      <c r="B56" s="5"/>
      <c r="C56" s="7" t="s">
        <v>0</v>
      </c>
      <c r="D56" s="62">
        <v>46990</v>
      </c>
      <c r="E56" s="61">
        <v>0</v>
      </c>
      <c r="F56" s="71">
        <f>SUM(D56:E56)</f>
        <v>46990</v>
      </c>
      <c r="G56" s="80">
        <v>3160</v>
      </c>
      <c r="H56" s="62">
        <v>17226.55</v>
      </c>
      <c r="I56" s="71">
        <f>SUM(G56:H56)</f>
        <v>20386.55</v>
      </c>
      <c r="J56" s="78">
        <v>19579.59</v>
      </c>
      <c r="K56" s="20">
        <v>56365.72</v>
      </c>
    </row>
    <row r="57" spans="2:11" x14ac:dyDescent="0.25">
      <c r="B57" s="18">
        <v>43631</v>
      </c>
      <c r="C57" s="9" t="s">
        <v>539</v>
      </c>
      <c r="D57" s="11"/>
      <c r="E57" s="11"/>
      <c r="F57" s="11"/>
      <c r="G57" s="11"/>
      <c r="H57" s="59">
        <v>2000</v>
      </c>
      <c r="I57" s="15"/>
      <c r="J57" s="12">
        <f>+J56+E57-G57</f>
        <v>19579.59</v>
      </c>
      <c r="K57" s="12">
        <f>+K56+D57-H57</f>
        <v>54365.72</v>
      </c>
    </row>
    <row r="58" spans="2:11" x14ac:dyDescent="0.25">
      <c r="B58" s="18">
        <v>43631</v>
      </c>
      <c r="C58" s="9" t="s">
        <v>445</v>
      </c>
      <c r="D58" s="11"/>
      <c r="E58" s="11"/>
      <c r="F58" s="11"/>
      <c r="G58" s="11"/>
      <c r="H58" s="59">
        <v>4000</v>
      </c>
      <c r="I58" s="15"/>
      <c r="J58" s="12">
        <f t="shared" ref="J58:J92" si="4">+J57+E58-G58</f>
        <v>19579.59</v>
      </c>
      <c r="K58" s="12">
        <f t="shared" ref="K58:K92" si="5">+K57+D58-H58</f>
        <v>50365.72</v>
      </c>
    </row>
    <row r="59" spans="2:11" x14ac:dyDescent="0.25">
      <c r="B59" s="18">
        <v>43631</v>
      </c>
      <c r="C59" s="21" t="s">
        <v>540</v>
      </c>
      <c r="D59" s="11"/>
      <c r="E59" s="11"/>
      <c r="F59" s="11"/>
      <c r="G59" s="11"/>
      <c r="H59" s="59">
        <v>30000</v>
      </c>
      <c r="I59" s="15"/>
      <c r="J59" s="12">
        <f t="shared" si="4"/>
        <v>19579.59</v>
      </c>
      <c r="K59" s="12">
        <f t="shared" si="5"/>
        <v>20365.72</v>
      </c>
    </row>
    <row r="60" spans="2:11" x14ac:dyDescent="0.25">
      <c r="B60" s="18">
        <v>43631</v>
      </c>
      <c r="C60" s="9" t="s">
        <v>541</v>
      </c>
      <c r="D60" s="11"/>
      <c r="E60" s="11"/>
      <c r="F60" s="11"/>
      <c r="G60" s="11">
        <v>10000</v>
      </c>
      <c r="H60" s="11"/>
      <c r="I60" s="15"/>
      <c r="J60" s="12">
        <f t="shared" si="4"/>
        <v>9579.59</v>
      </c>
      <c r="K60" s="12">
        <f t="shared" si="5"/>
        <v>20365.72</v>
      </c>
    </row>
    <row r="61" spans="2:11" x14ac:dyDescent="0.25">
      <c r="B61" s="18">
        <v>43632</v>
      </c>
      <c r="C61" s="13" t="s">
        <v>542</v>
      </c>
      <c r="D61" s="11"/>
      <c r="E61" s="11"/>
      <c r="F61" s="11"/>
      <c r="G61" s="11"/>
      <c r="H61" s="11">
        <v>78</v>
      </c>
      <c r="I61" s="15"/>
      <c r="J61" s="12">
        <f t="shared" si="4"/>
        <v>9579.59</v>
      </c>
      <c r="K61" s="12">
        <f t="shared" si="5"/>
        <v>20287.72</v>
      </c>
    </row>
    <row r="62" spans="2:11" x14ac:dyDescent="0.25">
      <c r="B62" s="18">
        <v>43632</v>
      </c>
      <c r="C62" s="9" t="s">
        <v>500</v>
      </c>
      <c r="D62" s="11"/>
      <c r="E62" s="11"/>
      <c r="F62" s="11"/>
      <c r="G62" s="11"/>
      <c r="H62" s="11">
        <v>50.5</v>
      </c>
      <c r="I62" s="15"/>
      <c r="J62" s="12">
        <f t="shared" si="4"/>
        <v>9579.59</v>
      </c>
      <c r="K62" s="12">
        <f t="shared" si="5"/>
        <v>20237.22</v>
      </c>
    </row>
    <row r="63" spans="2:11" x14ac:dyDescent="0.25">
      <c r="B63" s="18">
        <v>43632</v>
      </c>
      <c r="C63" s="9" t="s">
        <v>543</v>
      </c>
      <c r="D63" s="11"/>
      <c r="E63" s="11"/>
      <c r="F63" s="11"/>
      <c r="G63" s="11"/>
      <c r="H63" s="11">
        <v>61</v>
      </c>
      <c r="I63" s="15"/>
      <c r="J63" s="12">
        <f t="shared" si="4"/>
        <v>9579.59</v>
      </c>
      <c r="K63" s="12">
        <f t="shared" si="5"/>
        <v>20176.22</v>
      </c>
    </row>
    <row r="64" spans="2:11" x14ac:dyDescent="0.25">
      <c r="B64" s="18">
        <v>43632</v>
      </c>
      <c r="C64" s="13" t="s">
        <v>131</v>
      </c>
      <c r="D64" s="11"/>
      <c r="E64" s="11"/>
      <c r="F64" s="11"/>
      <c r="G64" s="11"/>
      <c r="H64" s="11">
        <v>120</v>
      </c>
      <c r="I64" s="15"/>
      <c r="J64" s="12">
        <f t="shared" si="4"/>
        <v>9579.59</v>
      </c>
      <c r="K64" s="12">
        <f t="shared" si="5"/>
        <v>20056.22</v>
      </c>
    </row>
    <row r="65" spans="2:12" x14ac:dyDescent="0.25">
      <c r="B65" s="18">
        <v>43632</v>
      </c>
      <c r="C65" s="9" t="s">
        <v>512</v>
      </c>
      <c r="D65" s="11"/>
      <c r="E65" s="11"/>
      <c r="F65" s="11"/>
      <c r="G65" s="11"/>
      <c r="H65" s="11">
        <v>300</v>
      </c>
      <c r="I65" s="15"/>
      <c r="J65" s="12">
        <f t="shared" si="4"/>
        <v>9579.59</v>
      </c>
      <c r="K65" s="12">
        <f t="shared" si="5"/>
        <v>19756.22</v>
      </c>
    </row>
    <row r="66" spans="2:12" x14ac:dyDescent="0.25">
      <c r="B66" s="18">
        <v>43632</v>
      </c>
      <c r="C66" s="9" t="s">
        <v>544</v>
      </c>
      <c r="D66" s="11">
        <v>24050</v>
      </c>
      <c r="E66" s="11"/>
      <c r="F66" s="11"/>
      <c r="G66" s="11"/>
      <c r="H66" s="11"/>
      <c r="I66" s="15"/>
      <c r="J66" s="12">
        <f t="shared" si="4"/>
        <v>9579.59</v>
      </c>
      <c r="K66" s="12">
        <f t="shared" si="5"/>
        <v>43806.22</v>
      </c>
    </row>
    <row r="67" spans="2:12" x14ac:dyDescent="0.25">
      <c r="B67" s="18">
        <v>43633</v>
      </c>
      <c r="C67" s="34" t="s">
        <v>545</v>
      </c>
      <c r="D67" s="11"/>
      <c r="E67" s="11"/>
      <c r="F67" s="11"/>
      <c r="G67" s="11"/>
      <c r="H67" s="11">
        <v>100</v>
      </c>
      <c r="I67" s="15"/>
      <c r="J67" s="12">
        <f t="shared" si="4"/>
        <v>9579.59</v>
      </c>
      <c r="K67" s="12">
        <f t="shared" si="5"/>
        <v>43706.22</v>
      </c>
    </row>
    <row r="68" spans="2:12" x14ac:dyDescent="0.25">
      <c r="B68" s="18">
        <v>43633</v>
      </c>
      <c r="C68" s="9" t="s">
        <v>546</v>
      </c>
      <c r="D68" s="11"/>
      <c r="E68" s="11"/>
      <c r="F68" s="11"/>
      <c r="G68" s="11"/>
      <c r="H68" s="11">
        <v>120</v>
      </c>
      <c r="I68" s="15"/>
      <c r="J68" s="12">
        <f t="shared" si="4"/>
        <v>9579.59</v>
      </c>
      <c r="K68" s="12">
        <f t="shared" si="5"/>
        <v>43586.22</v>
      </c>
    </row>
    <row r="69" spans="2:12" x14ac:dyDescent="0.25">
      <c r="B69" s="18">
        <v>43633</v>
      </c>
      <c r="C69" s="9" t="s">
        <v>547</v>
      </c>
      <c r="D69" s="11"/>
      <c r="E69" s="11"/>
      <c r="F69" s="11"/>
      <c r="G69" s="11"/>
      <c r="H69" s="11">
        <v>5</v>
      </c>
      <c r="I69" s="15"/>
      <c r="J69" s="12">
        <f t="shared" si="4"/>
        <v>9579.59</v>
      </c>
      <c r="K69" s="12">
        <f t="shared" si="5"/>
        <v>43581.22</v>
      </c>
    </row>
    <row r="70" spans="2:12" x14ac:dyDescent="0.25">
      <c r="B70" s="18">
        <v>43633</v>
      </c>
      <c r="C70" s="9" t="s">
        <v>505</v>
      </c>
      <c r="D70" s="11"/>
      <c r="E70" s="11"/>
      <c r="F70" s="11"/>
      <c r="G70" s="11"/>
      <c r="H70" s="11">
        <v>190</v>
      </c>
      <c r="I70" s="15"/>
      <c r="J70" s="12">
        <f t="shared" si="4"/>
        <v>9579.59</v>
      </c>
      <c r="K70" s="12">
        <f t="shared" si="5"/>
        <v>43391.22</v>
      </c>
    </row>
    <row r="71" spans="2:12" x14ac:dyDescent="0.25">
      <c r="B71" s="18">
        <v>43633</v>
      </c>
      <c r="C71" s="9" t="s">
        <v>548</v>
      </c>
      <c r="D71" s="11"/>
      <c r="E71" s="11"/>
      <c r="F71" s="11"/>
      <c r="G71" s="11"/>
      <c r="H71" s="11">
        <v>250</v>
      </c>
      <c r="I71" s="15"/>
      <c r="J71" s="12">
        <f t="shared" si="4"/>
        <v>9579.59</v>
      </c>
      <c r="K71" s="12">
        <f t="shared" si="5"/>
        <v>43141.22</v>
      </c>
    </row>
    <row r="72" spans="2:12" x14ac:dyDescent="0.25">
      <c r="B72" s="18">
        <v>43634</v>
      </c>
      <c r="C72" s="9" t="s">
        <v>549</v>
      </c>
      <c r="D72" s="11"/>
      <c r="E72" s="11"/>
      <c r="F72" s="11"/>
      <c r="G72" s="11"/>
      <c r="H72" s="11">
        <v>3500</v>
      </c>
      <c r="I72" s="15"/>
      <c r="J72" s="12">
        <f t="shared" si="4"/>
        <v>9579.59</v>
      </c>
      <c r="K72" s="12">
        <f t="shared" si="5"/>
        <v>39641.22</v>
      </c>
    </row>
    <row r="73" spans="2:12" x14ac:dyDescent="0.25">
      <c r="B73" s="18">
        <v>43635</v>
      </c>
      <c r="C73" s="9" t="s">
        <v>550</v>
      </c>
      <c r="D73" s="11"/>
      <c r="E73" s="11"/>
      <c r="F73" s="11"/>
      <c r="G73" s="11"/>
      <c r="H73" s="11">
        <v>84</v>
      </c>
      <c r="I73" s="15"/>
      <c r="J73" s="12">
        <f t="shared" si="4"/>
        <v>9579.59</v>
      </c>
      <c r="K73" s="12">
        <f t="shared" si="5"/>
        <v>39557.22</v>
      </c>
    </row>
    <row r="74" spans="2:12" x14ac:dyDescent="0.25">
      <c r="B74" s="18">
        <v>43635</v>
      </c>
      <c r="C74" s="34" t="s">
        <v>551</v>
      </c>
      <c r="D74" s="11"/>
      <c r="E74" s="11"/>
      <c r="F74" s="11"/>
      <c r="G74" s="11"/>
      <c r="H74" s="11">
        <v>1350</v>
      </c>
      <c r="I74" s="15"/>
      <c r="J74" s="12">
        <f t="shared" si="4"/>
        <v>9579.59</v>
      </c>
      <c r="K74" s="12">
        <f t="shared" si="5"/>
        <v>38207.22</v>
      </c>
    </row>
    <row r="75" spans="2:12" x14ac:dyDescent="0.25">
      <c r="B75" s="18">
        <v>43635</v>
      </c>
      <c r="C75" s="9" t="s">
        <v>552</v>
      </c>
      <c r="D75" s="11"/>
      <c r="E75" s="11"/>
      <c r="F75" s="11"/>
      <c r="G75" s="11"/>
      <c r="H75" s="11">
        <v>450</v>
      </c>
      <c r="I75" s="15"/>
      <c r="J75" s="12">
        <f t="shared" si="4"/>
        <v>9579.59</v>
      </c>
      <c r="K75" s="12">
        <f t="shared" si="5"/>
        <v>37757.22</v>
      </c>
    </row>
    <row r="76" spans="2:12" x14ac:dyDescent="0.25">
      <c r="B76" s="18">
        <v>43635</v>
      </c>
      <c r="C76" s="9" t="s">
        <v>553</v>
      </c>
      <c r="D76" s="11"/>
      <c r="E76" s="11"/>
      <c r="F76" s="11"/>
      <c r="G76" s="11"/>
      <c r="H76" s="11">
        <v>250</v>
      </c>
      <c r="I76" s="15"/>
      <c r="J76" s="12">
        <f t="shared" si="4"/>
        <v>9579.59</v>
      </c>
      <c r="K76" s="12">
        <f t="shared" si="5"/>
        <v>37507.22</v>
      </c>
    </row>
    <row r="77" spans="2:12" x14ac:dyDescent="0.25">
      <c r="B77" s="18">
        <v>43637</v>
      </c>
      <c r="C77" s="13" t="s">
        <v>528</v>
      </c>
      <c r="D77" s="11"/>
      <c r="E77" s="11">
        <v>12760</v>
      </c>
      <c r="F77" s="11"/>
      <c r="G77" s="11"/>
      <c r="H77" s="11"/>
      <c r="I77" s="15"/>
      <c r="J77" s="12">
        <f t="shared" si="4"/>
        <v>22339.59</v>
      </c>
      <c r="K77" s="12">
        <f t="shared" si="5"/>
        <v>37507.22</v>
      </c>
    </row>
    <row r="78" spans="2:12" x14ac:dyDescent="0.25">
      <c r="B78" s="18">
        <v>43637</v>
      </c>
      <c r="C78" s="114" t="s">
        <v>554</v>
      </c>
      <c r="D78" s="11"/>
      <c r="E78" s="11"/>
      <c r="F78" s="11"/>
      <c r="G78" s="11"/>
      <c r="H78" s="11">
        <v>1500</v>
      </c>
      <c r="I78" s="15"/>
      <c r="J78" s="12">
        <f t="shared" si="4"/>
        <v>22339.59</v>
      </c>
      <c r="K78" s="12">
        <f t="shared" si="5"/>
        <v>36007.22</v>
      </c>
    </row>
    <row r="79" spans="2:12" x14ac:dyDescent="0.25">
      <c r="B79" s="18">
        <v>43637</v>
      </c>
      <c r="C79" s="9" t="s">
        <v>555</v>
      </c>
      <c r="D79" s="11"/>
      <c r="E79" s="11"/>
      <c r="F79" s="11"/>
      <c r="G79" s="11"/>
      <c r="H79" s="11">
        <v>500</v>
      </c>
      <c r="I79" s="15"/>
      <c r="J79" s="12">
        <f t="shared" si="4"/>
        <v>22339.59</v>
      </c>
      <c r="K79" s="12">
        <f t="shared" si="5"/>
        <v>35507.22</v>
      </c>
      <c r="L79" s="1">
        <f>SUM(J79:K79)</f>
        <v>57846.81</v>
      </c>
    </row>
    <row r="80" spans="2:12" x14ac:dyDescent="0.25">
      <c r="B80" s="18">
        <v>43638</v>
      </c>
      <c r="C80" s="13" t="s">
        <v>556</v>
      </c>
      <c r="D80" s="41"/>
      <c r="E80" s="41"/>
      <c r="F80" s="41"/>
      <c r="G80" s="41"/>
      <c r="H80" s="11">
        <v>1500</v>
      </c>
      <c r="I80" s="15"/>
      <c r="J80" s="12">
        <f t="shared" si="4"/>
        <v>22339.59</v>
      </c>
      <c r="K80" s="12">
        <f t="shared" si="5"/>
        <v>34007.22</v>
      </c>
    </row>
    <row r="81" spans="2:11" x14ac:dyDescent="0.25">
      <c r="B81" s="18">
        <v>43638</v>
      </c>
      <c r="C81" s="13" t="s">
        <v>557</v>
      </c>
      <c r="D81" s="41"/>
      <c r="E81" s="41"/>
      <c r="F81" s="41"/>
      <c r="G81" s="16"/>
      <c r="H81" s="11">
        <v>300</v>
      </c>
      <c r="I81" s="15"/>
      <c r="J81" s="12">
        <f t="shared" si="4"/>
        <v>22339.59</v>
      </c>
      <c r="K81" s="12">
        <f t="shared" si="5"/>
        <v>33707.22</v>
      </c>
    </row>
    <row r="82" spans="2:11" x14ac:dyDescent="0.25">
      <c r="B82" s="18">
        <v>43639</v>
      </c>
      <c r="C82" s="13" t="s">
        <v>500</v>
      </c>
      <c r="D82" s="41"/>
      <c r="E82" s="41"/>
      <c r="F82" s="41"/>
      <c r="G82" s="41"/>
      <c r="H82" s="11">
        <v>87</v>
      </c>
      <c r="I82" s="15"/>
      <c r="J82" s="12">
        <f t="shared" si="4"/>
        <v>22339.59</v>
      </c>
      <c r="K82" s="12">
        <f t="shared" si="5"/>
        <v>33620.22</v>
      </c>
    </row>
    <row r="83" spans="2:11" x14ac:dyDescent="0.25">
      <c r="B83" s="18">
        <v>43639</v>
      </c>
      <c r="C83" s="9" t="s">
        <v>515</v>
      </c>
      <c r="D83" s="11"/>
      <c r="E83" s="11"/>
      <c r="F83" s="11"/>
      <c r="G83" s="11"/>
      <c r="H83" s="11">
        <v>120</v>
      </c>
      <c r="I83" s="15"/>
      <c r="J83" s="12">
        <f t="shared" si="4"/>
        <v>22339.59</v>
      </c>
      <c r="K83" s="12">
        <f t="shared" si="5"/>
        <v>33500.22</v>
      </c>
    </row>
    <row r="84" spans="2:11" x14ac:dyDescent="0.25">
      <c r="B84" s="18">
        <v>43639</v>
      </c>
      <c r="C84" s="9" t="s">
        <v>131</v>
      </c>
      <c r="D84" s="11"/>
      <c r="E84" s="11"/>
      <c r="F84" s="11"/>
      <c r="G84" s="11"/>
      <c r="H84" s="11">
        <v>120</v>
      </c>
      <c r="I84" s="15"/>
      <c r="J84" s="12">
        <f t="shared" si="4"/>
        <v>22339.59</v>
      </c>
      <c r="K84" s="12">
        <f t="shared" si="5"/>
        <v>33380.22</v>
      </c>
    </row>
    <row r="85" spans="2:11" x14ac:dyDescent="0.25">
      <c r="B85" s="18">
        <v>43639</v>
      </c>
      <c r="C85" s="9" t="s">
        <v>514</v>
      </c>
      <c r="D85" s="11"/>
      <c r="E85" s="11"/>
      <c r="F85" s="11"/>
      <c r="G85" s="11"/>
      <c r="H85" s="11">
        <v>150</v>
      </c>
      <c r="I85" s="15"/>
      <c r="J85" s="12">
        <f t="shared" si="4"/>
        <v>22339.59</v>
      </c>
      <c r="K85" s="12">
        <f t="shared" si="5"/>
        <v>33230.22</v>
      </c>
    </row>
    <row r="86" spans="2:11" x14ac:dyDescent="0.25">
      <c r="B86" s="18">
        <v>43547</v>
      </c>
      <c r="C86" s="9" t="s">
        <v>558</v>
      </c>
      <c r="D86" s="11">
        <v>16500</v>
      </c>
      <c r="E86" s="11"/>
      <c r="F86" s="11"/>
      <c r="G86" s="11"/>
      <c r="H86" s="11"/>
      <c r="I86" s="15"/>
      <c r="J86" s="12">
        <f t="shared" si="4"/>
        <v>22339.59</v>
      </c>
      <c r="K86" s="12">
        <f t="shared" si="5"/>
        <v>49730.22</v>
      </c>
    </row>
    <row r="87" spans="2:11" x14ac:dyDescent="0.25">
      <c r="B87" s="18">
        <v>43639</v>
      </c>
      <c r="C87" s="9" t="s">
        <v>504</v>
      </c>
      <c r="D87" s="11"/>
      <c r="E87" s="11"/>
      <c r="F87" s="11"/>
      <c r="G87" s="11"/>
      <c r="H87" s="11">
        <v>300</v>
      </c>
      <c r="I87" s="15"/>
      <c r="J87" s="12">
        <f t="shared" si="4"/>
        <v>22339.59</v>
      </c>
      <c r="K87" s="12">
        <f t="shared" si="5"/>
        <v>49430.22</v>
      </c>
    </row>
    <row r="88" spans="2:11" x14ac:dyDescent="0.25">
      <c r="B88" s="18">
        <v>43640</v>
      </c>
      <c r="C88" s="9" t="s">
        <v>505</v>
      </c>
      <c r="D88" s="11"/>
      <c r="E88" s="11"/>
      <c r="F88" s="11"/>
      <c r="G88" s="11"/>
      <c r="H88" s="11">
        <v>190</v>
      </c>
      <c r="I88" s="15"/>
      <c r="J88" s="12">
        <f t="shared" si="4"/>
        <v>22339.59</v>
      </c>
      <c r="K88" s="12">
        <f t="shared" si="5"/>
        <v>49240.22</v>
      </c>
    </row>
    <row r="89" spans="2:11" x14ac:dyDescent="0.25">
      <c r="B89" s="18">
        <v>43640</v>
      </c>
      <c r="C89" s="13" t="s">
        <v>559</v>
      </c>
      <c r="D89" s="11"/>
      <c r="E89" s="11"/>
      <c r="F89" s="11"/>
      <c r="G89" s="11"/>
      <c r="H89" s="11">
        <v>450</v>
      </c>
      <c r="I89" s="15"/>
      <c r="J89" s="12">
        <f t="shared" si="4"/>
        <v>22339.59</v>
      </c>
      <c r="K89" s="12">
        <f t="shared" si="5"/>
        <v>48790.22</v>
      </c>
    </row>
    <row r="90" spans="2:11" x14ac:dyDescent="0.25">
      <c r="B90" s="18">
        <v>43640</v>
      </c>
      <c r="C90" s="9" t="s">
        <v>560</v>
      </c>
      <c r="D90" s="11"/>
      <c r="E90" s="11"/>
      <c r="F90" s="11"/>
      <c r="G90" s="11"/>
      <c r="H90" s="11">
        <v>500</v>
      </c>
      <c r="I90" s="15"/>
      <c r="J90" s="12">
        <f t="shared" si="4"/>
        <v>22339.59</v>
      </c>
      <c r="K90" s="12">
        <f t="shared" si="5"/>
        <v>48290.22</v>
      </c>
    </row>
    <row r="91" spans="2:11" x14ac:dyDescent="0.25">
      <c r="B91" s="18">
        <v>43640</v>
      </c>
      <c r="C91" s="9" t="s">
        <v>562</v>
      </c>
      <c r="D91" s="11"/>
      <c r="E91" s="11"/>
      <c r="F91" s="11"/>
      <c r="G91" s="11"/>
      <c r="H91" s="11">
        <v>400</v>
      </c>
      <c r="I91" s="15"/>
      <c r="J91" s="12">
        <f t="shared" si="4"/>
        <v>22339.59</v>
      </c>
      <c r="K91" s="12">
        <f t="shared" si="5"/>
        <v>47890.22</v>
      </c>
    </row>
    <row r="92" spans="2:11" x14ac:dyDescent="0.25">
      <c r="B92" s="18">
        <v>43642</v>
      </c>
      <c r="C92" s="9" t="s">
        <v>561</v>
      </c>
      <c r="D92" s="11"/>
      <c r="E92" s="11"/>
      <c r="F92" s="11"/>
      <c r="G92" s="11"/>
      <c r="H92" s="11">
        <v>300</v>
      </c>
      <c r="I92" s="15"/>
      <c r="J92" s="12">
        <f t="shared" si="4"/>
        <v>22339.59</v>
      </c>
      <c r="K92" s="12">
        <f t="shared" si="5"/>
        <v>47590.22</v>
      </c>
    </row>
    <row r="93" spans="2:11" x14ac:dyDescent="0.25">
      <c r="B93" s="18">
        <v>43644</v>
      </c>
      <c r="C93" s="9" t="s">
        <v>524</v>
      </c>
      <c r="D93" s="11"/>
      <c r="E93" s="11"/>
      <c r="F93" s="11"/>
      <c r="G93" s="11"/>
      <c r="H93" s="59">
        <v>36.6</v>
      </c>
      <c r="I93" s="15"/>
      <c r="J93" s="12">
        <f t="shared" ref="J93:J103" si="6">+J92+E93-G93</f>
        <v>22339.59</v>
      </c>
      <c r="K93" s="12">
        <f t="shared" ref="K93:K103" si="7">+K92+D93-H93</f>
        <v>47553.62</v>
      </c>
    </row>
    <row r="94" spans="2:11" x14ac:dyDescent="0.25">
      <c r="B94" s="18">
        <v>43644</v>
      </c>
      <c r="C94" s="9" t="s">
        <v>524</v>
      </c>
      <c r="D94" s="11"/>
      <c r="E94" s="11"/>
      <c r="F94" s="11"/>
      <c r="G94" s="11"/>
      <c r="H94" s="59">
        <v>65.5</v>
      </c>
      <c r="I94" s="15"/>
      <c r="J94" s="12">
        <f t="shared" si="6"/>
        <v>22339.59</v>
      </c>
      <c r="K94" s="12">
        <f t="shared" si="7"/>
        <v>47488.12</v>
      </c>
    </row>
    <row r="95" spans="2:11" x14ac:dyDescent="0.25">
      <c r="B95" s="18">
        <v>43644</v>
      </c>
      <c r="C95" s="9" t="s">
        <v>570</v>
      </c>
      <c r="D95" s="11"/>
      <c r="E95" s="11"/>
      <c r="F95" s="11"/>
      <c r="G95" s="11"/>
      <c r="H95" s="59">
        <v>1500</v>
      </c>
      <c r="I95" s="15"/>
      <c r="J95" s="12">
        <f t="shared" si="6"/>
        <v>22339.59</v>
      </c>
      <c r="K95" s="12">
        <f t="shared" si="7"/>
        <v>45988.12</v>
      </c>
    </row>
    <row r="96" spans="2:11" x14ac:dyDescent="0.25">
      <c r="B96" s="18">
        <v>43645</v>
      </c>
      <c r="C96" s="9" t="s">
        <v>571</v>
      </c>
      <c r="D96" s="11"/>
      <c r="E96" s="11"/>
      <c r="F96" s="11"/>
      <c r="G96" s="11"/>
      <c r="H96" s="59">
        <v>60</v>
      </c>
      <c r="I96" s="15"/>
      <c r="J96" s="12">
        <f t="shared" si="6"/>
        <v>22339.59</v>
      </c>
      <c r="K96" s="12">
        <f t="shared" si="7"/>
        <v>45928.12</v>
      </c>
    </row>
    <row r="97" spans="2:11" x14ac:dyDescent="0.25">
      <c r="B97" s="18">
        <v>43645</v>
      </c>
      <c r="C97" s="21" t="s">
        <v>572</v>
      </c>
      <c r="D97" s="11"/>
      <c r="E97" s="11"/>
      <c r="F97" s="11"/>
      <c r="G97" s="11"/>
      <c r="H97" s="59">
        <v>38</v>
      </c>
      <c r="I97" s="15"/>
      <c r="J97" s="12">
        <f t="shared" si="6"/>
        <v>22339.59</v>
      </c>
      <c r="K97" s="12">
        <f t="shared" si="7"/>
        <v>45890.12</v>
      </c>
    </row>
    <row r="98" spans="2:11" x14ac:dyDescent="0.25">
      <c r="B98" s="18">
        <v>43645</v>
      </c>
      <c r="C98" s="9" t="s">
        <v>524</v>
      </c>
      <c r="D98" s="11"/>
      <c r="E98" s="11"/>
      <c r="F98" s="11"/>
      <c r="G98" s="11"/>
      <c r="H98" s="11">
        <v>120</v>
      </c>
      <c r="I98" s="15"/>
      <c r="J98" s="12">
        <f t="shared" si="6"/>
        <v>22339.59</v>
      </c>
      <c r="K98" s="12">
        <f t="shared" si="7"/>
        <v>45770.12</v>
      </c>
    </row>
    <row r="99" spans="2:11" x14ac:dyDescent="0.25">
      <c r="B99" s="18">
        <v>43645</v>
      </c>
      <c r="C99" s="9" t="s">
        <v>524</v>
      </c>
      <c r="D99" s="11"/>
      <c r="E99" s="11"/>
      <c r="F99" s="11"/>
      <c r="G99" s="11"/>
      <c r="H99" s="11">
        <v>62.5</v>
      </c>
      <c r="I99" s="15"/>
      <c r="J99" s="12">
        <f t="shared" si="6"/>
        <v>22339.59</v>
      </c>
      <c r="K99" s="12">
        <f t="shared" si="7"/>
        <v>45707.62</v>
      </c>
    </row>
    <row r="100" spans="2:11" x14ac:dyDescent="0.25">
      <c r="B100" s="18">
        <v>43646</v>
      </c>
      <c r="C100" s="9" t="s">
        <v>515</v>
      </c>
      <c r="D100" s="11"/>
      <c r="E100" s="11"/>
      <c r="F100" s="11"/>
      <c r="G100" s="11"/>
      <c r="H100" s="11">
        <v>112</v>
      </c>
      <c r="I100" s="15"/>
      <c r="J100" s="12">
        <f t="shared" si="6"/>
        <v>22339.59</v>
      </c>
      <c r="K100" s="12">
        <f t="shared" si="7"/>
        <v>45595.62</v>
      </c>
    </row>
    <row r="101" spans="2:11" x14ac:dyDescent="0.25">
      <c r="B101" s="18">
        <v>43646</v>
      </c>
      <c r="C101" s="9" t="s">
        <v>500</v>
      </c>
      <c r="D101" s="11"/>
      <c r="E101" s="11"/>
      <c r="F101" s="11"/>
      <c r="G101" s="11"/>
      <c r="H101" s="11">
        <v>86.5</v>
      </c>
      <c r="I101" s="15"/>
      <c r="J101" s="12">
        <f t="shared" si="6"/>
        <v>22339.59</v>
      </c>
      <c r="K101" s="12">
        <f t="shared" si="7"/>
        <v>45509.120000000003</v>
      </c>
    </row>
    <row r="102" spans="2:11" x14ac:dyDescent="0.25">
      <c r="B102" s="18">
        <v>43646</v>
      </c>
      <c r="C102" s="9" t="s">
        <v>131</v>
      </c>
      <c r="D102" s="11"/>
      <c r="E102" s="11"/>
      <c r="F102" s="11"/>
      <c r="G102" s="11"/>
      <c r="H102" s="11">
        <v>120</v>
      </c>
      <c r="I102" s="15"/>
      <c r="J102" s="12">
        <f t="shared" si="6"/>
        <v>22339.59</v>
      </c>
      <c r="K102" s="12">
        <f t="shared" si="7"/>
        <v>45389.120000000003</v>
      </c>
    </row>
    <row r="103" spans="2:11" x14ac:dyDescent="0.25">
      <c r="B103" s="18">
        <v>43646</v>
      </c>
      <c r="C103" s="9" t="s">
        <v>514</v>
      </c>
      <c r="D103" s="11"/>
      <c r="E103" s="11"/>
      <c r="F103" s="11"/>
      <c r="G103" s="11"/>
      <c r="H103" s="59">
        <v>150</v>
      </c>
      <c r="I103" s="15"/>
      <c r="J103" s="12">
        <f t="shared" si="6"/>
        <v>22339.59</v>
      </c>
      <c r="K103" s="12">
        <f t="shared" si="7"/>
        <v>45239.12</v>
      </c>
    </row>
    <row r="104" spans="2:11" x14ac:dyDescent="0.25">
      <c r="B104" s="18">
        <v>43646</v>
      </c>
      <c r="C104" s="9" t="s">
        <v>504</v>
      </c>
      <c r="D104" s="11"/>
      <c r="E104" s="11"/>
      <c r="F104" s="11"/>
      <c r="G104" s="11"/>
      <c r="H104" s="59">
        <v>300</v>
      </c>
      <c r="I104" s="15"/>
      <c r="J104" s="12">
        <f t="shared" ref="J104:J105" si="8">+J103+E104-G104</f>
        <v>22339.59</v>
      </c>
      <c r="K104" s="12">
        <f t="shared" ref="K104:K105" si="9">+K103+D104-H104</f>
        <v>44939.12</v>
      </c>
    </row>
    <row r="105" spans="2:11" ht="15.75" thickBot="1" x14ac:dyDescent="0.3">
      <c r="B105" s="18">
        <v>43646</v>
      </c>
      <c r="C105" s="9" t="s">
        <v>563</v>
      </c>
      <c r="D105" s="11"/>
      <c r="E105" s="11"/>
      <c r="F105" s="11"/>
      <c r="G105" s="11"/>
      <c r="H105" s="59">
        <v>300</v>
      </c>
      <c r="I105" s="15"/>
      <c r="J105" s="12">
        <f t="shared" si="8"/>
        <v>22339.59</v>
      </c>
      <c r="K105" s="12">
        <f t="shared" si="9"/>
        <v>44639.12</v>
      </c>
    </row>
    <row r="106" spans="2:11" ht="15.75" thickBot="1" x14ac:dyDescent="0.3">
      <c r="B106" s="5"/>
      <c r="C106" s="7" t="s">
        <v>0</v>
      </c>
      <c r="D106" s="62">
        <f>SUM(D56:D105)</f>
        <v>87540</v>
      </c>
      <c r="E106" s="61">
        <f>SUM(E56:E105)</f>
        <v>12760</v>
      </c>
      <c r="F106" s="71">
        <f>SUM(D106:E106)</f>
        <v>100300</v>
      </c>
      <c r="G106" s="80">
        <f>SUM(G56:G105)</f>
        <v>13160</v>
      </c>
      <c r="H106" s="62">
        <f>SUM(H56:H105)</f>
        <v>69503.150000000009</v>
      </c>
      <c r="I106" s="71">
        <f>SUM(G106:H106)</f>
        <v>82663.150000000009</v>
      </c>
      <c r="J106" s="20"/>
      <c r="K106" s="20"/>
    </row>
    <row r="107" spans="2:11" x14ac:dyDescent="0.25">
      <c r="B107" s="68" t="s">
        <v>1</v>
      </c>
      <c r="C107" s="68" t="s">
        <v>2</v>
      </c>
      <c r="D107" s="68" t="s">
        <v>3</v>
      </c>
      <c r="E107" s="68" t="s">
        <v>3</v>
      </c>
      <c r="F107" s="68" t="s">
        <v>22</v>
      </c>
      <c r="G107" s="68" t="s">
        <v>23</v>
      </c>
      <c r="H107" s="48" t="s">
        <v>23</v>
      </c>
      <c r="I107" s="48" t="s">
        <v>22</v>
      </c>
      <c r="J107" s="68" t="s">
        <v>8</v>
      </c>
      <c r="K107" s="48" t="s">
        <v>7</v>
      </c>
    </row>
    <row r="108" spans="2:11" ht="15.75" thickBot="1" x14ac:dyDescent="0.3">
      <c r="B108" s="69"/>
      <c r="C108" s="96"/>
      <c r="D108" s="69" t="s">
        <v>5</v>
      </c>
      <c r="E108" s="69" t="s">
        <v>24</v>
      </c>
      <c r="F108" s="69" t="s">
        <v>3</v>
      </c>
      <c r="G108" s="69" t="s">
        <v>24</v>
      </c>
      <c r="H108" s="70" t="s">
        <v>5</v>
      </c>
      <c r="I108" s="70" t="s">
        <v>4</v>
      </c>
      <c r="J108" s="69"/>
      <c r="K108" s="70"/>
    </row>
    <row r="109" spans="2:11" ht="15.75" thickBot="1" x14ac:dyDescent="0.3">
      <c r="B109" s="5"/>
      <c r="C109" s="7" t="s">
        <v>0</v>
      </c>
      <c r="D109" s="62">
        <v>87540</v>
      </c>
      <c r="E109" s="61">
        <v>12760</v>
      </c>
      <c r="F109" s="71">
        <f>SUM(D109:E109)</f>
        <v>100300</v>
      </c>
      <c r="G109" s="80">
        <v>13160</v>
      </c>
      <c r="H109" s="62">
        <v>69503.149999999994</v>
      </c>
      <c r="I109" s="71">
        <f>SUM(G109:H109)</f>
        <v>82663.149999999994</v>
      </c>
      <c r="J109" s="20">
        <v>22339.59</v>
      </c>
      <c r="K109" s="20">
        <v>44639.12</v>
      </c>
    </row>
    <row r="110" spans="2:11" x14ac:dyDescent="0.25">
      <c r="B110" s="18">
        <v>43646</v>
      </c>
      <c r="C110" s="9" t="s">
        <v>564</v>
      </c>
      <c r="D110" s="11"/>
      <c r="E110" s="11"/>
      <c r="F110" s="11"/>
      <c r="G110" s="11"/>
      <c r="H110" s="59">
        <v>550</v>
      </c>
      <c r="I110" s="15"/>
      <c r="J110" s="12">
        <f t="shared" ref="J110" si="10">+J109+E110-G110</f>
        <v>22339.59</v>
      </c>
      <c r="K110" s="12">
        <f t="shared" ref="K110" si="11">+K109+D110-H110</f>
        <v>44089.120000000003</v>
      </c>
    </row>
    <row r="111" spans="2:11" x14ac:dyDescent="0.25">
      <c r="B111" s="18">
        <v>43646</v>
      </c>
      <c r="C111" s="9" t="s">
        <v>565</v>
      </c>
      <c r="D111" s="11"/>
      <c r="E111" s="11"/>
      <c r="F111" s="11"/>
      <c r="G111" s="11"/>
      <c r="H111" s="59">
        <v>2000</v>
      </c>
      <c r="I111" s="15"/>
      <c r="J111" s="12">
        <f t="shared" ref="J111:J118" si="12">+J110+E111-G111</f>
        <v>22339.59</v>
      </c>
      <c r="K111" s="12">
        <f t="shared" ref="K111:K118" si="13">+K110+D111-H111</f>
        <v>42089.120000000003</v>
      </c>
    </row>
    <row r="112" spans="2:11" x14ac:dyDescent="0.25">
      <c r="B112" s="18">
        <v>43646</v>
      </c>
      <c r="C112" s="9" t="s">
        <v>566</v>
      </c>
      <c r="D112" s="11"/>
      <c r="E112" s="11"/>
      <c r="F112" s="11"/>
      <c r="G112" s="11"/>
      <c r="H112" s="59">
        <v>4000</v>
      </c>
      <c r="I112" s="15"/>
      <c r="J112" s="12">
        <f t="shared" si="12"/>
        <v>22339.59</v>
      </c>
      <c r="K112" s="12">
        <f t="shared" si="13"/>
        <v>38089.120000000003</v>
      </c>
    </row>
    <row r="113" spans="2:11" x14ac:dyDescent="0.25">
      <c r="B113" s="18">
        <v>43646</v>
      </c>
      <c r="C113" s="21" t="s">
        <v>567</v>
      </c>
      <c r="D113" s="11"/>
      <c r="E113" s="11"/>
      <c r="F113" s="11"/>
      <c r="G113" s="11"/>
      <c r="H113" s="59">
        <v>30000</v>
      </c>
      <c r="I113" s="15"/>
      <c r="J113" s="12">
        <f t="shared" si="12"/>
        <v>22339.59</v>
      </c>
      <c r="K113" s="12">
        <f t="shared" si="13"/>
        <v>8089.1200000000026</v>
      </c>
    </row>
    <row r="114" spans="2:11" x14ac:dyDescent="0.25">
      <c r="B114" s="18">
        <v>43646</v>
      </c>
      <c r="C114" s="9" t="s">
        <v>568</v>
      </c>
      <c r="D114" s="11"/>
      <c r="E114" s="11"/>
      <c r="F114" s="11"/>
      <c r="G114" s="11">
        <v>10000</v>
      </c>
      <c r="H114" s="11"/>
      <c r="I114" s="15"/>
      <c r="J114" s="12">
        <f t="shared" si="12"/>
        <v>12339.59</v>
      </c>
      <c r="K114" s="12">
        <f t="shared" si="13"/>
        <v>8089.1200000000026</v>
      </c>
    </row>
    <row r="115" spans="2:11" x14ac:dyDescent="0.25">
      <c r="B115" s="18">
        <v>43646</v>
      </c>
      <c r="C115" s="9" t="s">
        <v>569</v>
      </c>
      <c r="D115" s="11">
        <v>28250</v>
      </c>
      <c r="E115" s="11"/>
      <c r="F115" s="11"/>
      <c r="G115" s="11"/>
      <c r="H115" s="11"/>
      <c r="I115" s="15"/>
      <c r="J115" s="12">
        <f t="shared" si="12"/>
        <v>12339.59</v>
      </c>
      <c r="K115" s="12">
        <f t="shared" si="13"/>
        <v>36339.120000000003</v>
      </c>
    </row>
    <row r="116" spans="2:11" x14ac:dyDescent="0.25">
      <c r="B116" s="18">
        <v>43620</v>
      </c>
      <c r="C116" s="9" t="s">
        <v>573</v>
      </c>
      <c r="D116" s="11"/>
      <c r="E116" s="11">
        <v>400.46</v>
      </c>
      <c r="F116" s="11"/>
      <c r="G116" s="11"/>
      <c r="H116" s="11"/>
      <c r="I116" s="15"/>
      <c r="J116" s="12">
        <f t="shared" si="12"/>
        <v>12740.05</v>
      </c>
      <c r="K116" s="12">
        <f t="shared" si="13"/>
        <v>36339.120000000003</v>
      </c>
    </row>
    <row r="117" spans="2:11" x14ac:dyDescent="0.25">
      <c r="B117" s="18">
        <v>43646</v>
      </c>
      <c r="C117" s="9" t="s">
        <v>496</v>
      </c>
      <c r="D117" s="11"/>
      <c r="E117" s="11"/>
      <c r="F117" s="11"/>
      <c r="G117" s="11">
        <v>200</v>
      </c>
      <c r="H117" s="11"/>
      <c r="I117" s="15"/>
      <c r="J117" s="12">
        <f t="shared" si="12"/>
        <v>12540.05</v>
      </c>
      <c r="K117" s="12">
        <f t="shared" si="13"/>
        <v>36339.120000000003</v>
      </c>
    </row>
    <row r="118" spans="2:11" x14ac:dyDescent="0.25">
      <c r="B118" s="18">
        <v>43646</v>
      </c>
      <c r="C118" s="13" t="s">
        <v>497</v>
      </c>
      <c r="D118" s="11"/>
      <c r="E118" s="11"/>
      <c r="F118" s="11"/>
      <c r="G118" s="11">
        <v>32</v>
      </c>
      <c r="H118" s="11"/>
      <c r="I118" s="15"/>
      <c r="J118" s="12">
        <f t="shared" si="12"/>
        <v>12508.05</v>
      </c>
      <c r="K118" s="12">
        <f t="shared" si="13"/>
        <v>36339.120000000003</v>
      </c>
    </row>
    <row r="119" spans="2:11" x14ac:dyDescent="0.25">
      <c r="B119" s="18">
        <v>43646</v>
      </c>
      <c r="C119" s="9" t="s">
        <v>69</v>
      </c>
      <c r="D119" s="11"/>
      <c r="E119" s="11"/>
      <c r="F119" s="11"/>
      <c r="G119" s="11">
        <v>54</v>
      </c>
      <c r="H119" s="11"/>
      <c r="I119" s="15"/>
      <c r="J119" s="12">
        <f t="shared" ref="J119:J121" si="14">+J118+E119-G119</f>
        <v>12454.05</v>
      </c>
      <c r="K119" s="12">
        <f t="shared" ref="K119:K121" si="15">+K118+D119-H119</f>
        <v>36339.120000000003</v>
      </c>
    </row>
    <row r="120" spans="2:11" x14ac:dyDescent="0.25">
      <c r="B120" s="18">
        <v>43646</v>
      </c>
      <c r="C120" s="13" t="s">
        <v>70</v>
      </c>
      <c r="D120" s="11"/>
      <c r="E120" s="11"/>
      <c r="F120" s="11"/>
      <c r="G120" s="11">
        <v>8.64</v>
      </c>
      <c r="H120" s="11"/>
      <c r="I120" s="15"/>
      <c r="J120" s="12">
        <f t="shared" si="14"/>
        <v>12445.41</v>
      </c>
      <c r="K120" s="12">
        <f t="shared" si="15"/>
        <v>36339.120000000003</v>
      </c>
    </row>
    <row r="121" spans="2:11" ht="15.75" thickBot="1" x14ac:dyDescent="0.3">
      <c r="B121" s="18"/>
      <c r="C121" s="9"/>
      <c r="D121" s="41"/>
      <c r="E121" s="41"/>
      <c r="F121" s="11"/>
      <c r="G121" s="11"/>
      <c r="H121" s="11"/>
      <c r="I121" s="15"/>
      <c r="J121" s="12">
        <f t="shared" si="14"/>
        <v>12445.41</v>
      </c>
      <c r="K121" s="12">
        <f t="shared" si="15"/>
        <v>36339.120000000003</v>
      </c>
    </row>
    <row r="122" spans="2:11" ht="15.75" thickBot="1" x14ac:dyDescent="0.3">
      <c r="B122" s="5"/>
      <c r="C122" s="7" t="s">
        <v>0</v>
      </c>
      <c r="D122" s="62">
        <f>SUM(D109:D121)</f>
        <v>115790</v>
      </c>
      <c r="E122" s="61">
        <f>SUM(E109:E121)</f>
        <v>13160.46</v>
      </c>
      <c r="F122" s="71">
        <f>SUM(D122:E122)</f>
        <v>128950.45999999999</v>
      </c>
      <c r="G122" s="80">
        <f>SUM(G109:G121)</f>
        <v>23454.639999999999</v>
      </c>
      <c r="H122" s="62">
        <f>SUM(H109:H121)</f>
        <v>106053.15</v>
      </c>
      <c r="I122" s="71">
        <f>SUM(G122:H122)</f>
        <v>129507.79</v>
      </c>
      <c r="J122" s="20"/>
      <c r="K122" s="20"/>
    </row>
    <row r="123" spans="2:11" ht="15.75" thickBot="1" x14ac:dyDescent="0.3"/>
    <row r="124" spans="2:11" ht="15.75" thickBot="1" x14ac:dyDescent="0.3">
      <c r="I124" s="74" t="s">
        <v>8</v>
      </c>
      <c r="J124" s="74" t="s">
        <v>7</v>
      </c>
      <c r="K124" s="95" t="s">
        <v>0</v>
      </c>
    </row>
    <row r="125" spans="2:11" ht="15.75" thickBot="1" x14ac:dyDescent="0.3">
      <c r="I125" s="26">
        <v>12445.41</v>
      </c>
      <c r="J125" s="26">
        <v>36339.120000000003</v>
      </c>
      <c r="K125" s="20">
        <f>SUM(I125:J125)</f>
        <v>48784.53</v>
      </c>
    </row>
  </sheetData>
  <printOptions verticalCentered="1"/>
  <pageMargins left="0.23622047244094491" right="0.23622047244094491" top="0.19685039370078741" bottom="0" header="0.31496062992125984" footer="0.31496062992125984"/>
  <pageSetup paperSize="9" scale="73" fitToHeight="0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3">
    <pageSetUpPr fitToPage="1"/>
  </sheetPr>
  <dimension ref="B1:K107"/>
  <sheetViews>
    <sheetView zoomScale="90" zoomScaleNormal="90" workbookViewId="0">
      <pane ySplit="3" topLeftCell="A30" activePane="bottomLeft" state="frozen"/>
      <selection pane="bottomLeft" activeCell="C44" sqref="C44"/>
    </sheetView>
  </sheetViews>
  <sheetFormatPr baseColWidth="10" defaultRowHeight="15" x14ac:dyDescent="0.25"/>
  <cols>
    <col min="1" max="1" width="10.7109375" customWidth="1"/>
    <col min="2" max="2" width="11.7109375" customWidth="1"/>
    <col min="3" max="3" width="86" customWidth="1"/>
    <col min="4" max="6" width="11.42578125" customWidth="1"/>
    <col min="8" max="10" width="11.42578125" customWidth="1"/>
    <col min="11" max="11" width="11.7109375" customWidth="1"/>
  </cols>
  <sheetData>
    <row r="1" spans="2:11" ht="16.5" thickBot="1" x14ac:dyDescent="0.3">
      <c r="B1" s="79"/>
      <c r="C1" s="81" t="s">
        <v>49</v>
      </c>
    </row>
    <row r="2" spans="2:11" x14ac:dyDescent="0.25">
      <c r="B2" s="68" t="s">
        <v>1</v>
      </c>
      <c r="C2" s="68" t="s">
        <v>2</v>
      </c>
      <c r="D2" s="68" t="s">
        <v>3</v>
      </c>
      <c r="E2" s="68" t="s">
        <v>3</v>
      </c>
      <c r="F2" s="68" t="s">
        <v>22</v>
      </c>
      <c r="G2" s="68" t="s">
        <v>23</v>
      </c>
      <c r="H2" s="48" t="s">
        <v>23</v>
      </c>
      <c r="I2" s="48" t="s">
        <v>22</v>
      </c>
      <c r="J2" s="68" t="s">
        <v>8</v>
      </c>
      <c r="K2" s="48" t="s">
        <v>7</v>
      </c>
    </row>
    <row r="3" spans="2:11" ht="15.75" thickBot="1" x14ac:dyDescent="0.3">
      <c r="B3" s="69"/>
      <c r="C3" s="69"/>
      <c r="D3" s="69" t="s">
        <v>5</v>
      </c>
      <c r="E3" s="69" t="s">
        <v>24</v>
      </c>
      <c r="F3" s="69" t="s">
        <v>3</v>
      </c>
      <c r="G3" s="69" t="s">
        <v>24</v>
      </c>
      <c r="H3" s="70" t="s">
        <v>5</v>
      </c>
      <c r="I3" s="70" t="s">
        <v>4</v>
      </c>
      <c r="J3" s="69"/>
      <c r="K3" s="70"/>
    </row>
    <row r="4" spans="2:11" x14ac:dyDescent="0.25">
      <c r="B4" s="23">
        <v>43281</v>
      </c>
      <c r="C4" s="65" t="s">
        <v>37</v>
      </c>
      <c r="D4" s="66"/>
      <c r="E4" s="63"/>
      <c r="F4" s="63"/>
      <c r="G4" s="63"/>
      <c r="H4" s="17"/>
      <c r="I4" s="64"/>
      <c r="J4" s="73">
        <v>12445.41</v>
      </c>
      <c r="K4" s="67">
        <v>36339.120000000003</v>
      </c>
    </row>
    <row r="5" spans="2:11" x14ac:dyDescent="0.25">
      <c r="B5" s="23">
        <v>43647</v>
      </c>
      <c r="C5" s="9" t="s">
        <v>574</v>
      </c>
      <c r="D5" s="11"/>
      <c r="E5" s="11"/>
      <c r="F5" s="11"/>
      <c r="G5" s="11"/>
      <c r="H5" s="11">
        <v>600</v>
      </c>
      <c r="I5" s="15"/>
      <c r="J5" s="12">
        <f>+J4+E5-G5</f>
        <v>12445.41</v>
      </c>
      <c r="K5" s="12">
        <f>+K4+D5-H5</f>
        <v>35739.120000000003</v>
      </c>
    </row>
    <row r="6" spans="2:11" x14ac:dyDescent="0.25">
      <c r="B6" s="23">
        <v>43647</v>
      </c>
      <c r="C6" s="13" t="s">
        <v>575</v>
      </c>
      <c r="D6" s="11"/>
      <c r="E6" s="11"/>
      <c r="F6" s="11"/>
      <c r="G6" s="11"/>
      <c r="H6" s="11">
        <v>250</v>
      </c>
      <c r="I6" s="15"/>
      <c r="J6" s="12">
        <f>+J5+E6-G6</f>
        <v>12445.41</v>
      </c>
      <c r="K6" s="12">
        <f t="shared" ref="K6:K22" si="0">+K5+D6-H6</f>
        <v>35489.120000000003</v>
      </c>
    </row>
    <row r="7" spans="2:11" x14ac:dyDescent="0.25">
      <c r="B7" s="18">
        <v>43466</v>
      </c>
      <c r="C7" s="9" t="s">
        <v>576</v>
      </c>
      <c r="D7" s="11"/>
      <c r="E7" s="11"/>
      <c r="F7" s="11"/>
      <c r="G7" s="11"/>
      <c r="H7" s="59">
        <v>90</v>
      </c>
      <c r="I7" s="15"/>
      <c r="J7" s="12">
        <f t="shared" ref="J7:J25" si="1">+J6+E7-G7</f>
        <v>12445.41</v>
      </c>
      <c r="K7" s="12">
        <f t="shared" si="0"/>
        <v>35399.120000000003</v>
      </c>
    </row>
    <row r="8" spans="2:11" x14ac:dyDescent="0.25">
      <c r="B8" s="18">
        <v>43466</v>
      </c>
      <c r="C8" s="13" t="s">
        <v>577</v>
      </c>
      <c r="D8" s="11"/>
      <c r="E8" s="11"/>
      <c r="F8" s="11"/>
      <c r="G8" s="11"/>
      <c r="H8" s="11">
        <v>400</v>
      </c>
      <c r="I8" s="15"/>
      <c r="J8" s="12">
        <f t="shared" si="1"/>
        <v>12445.41</v>
      </c>
      <c r="K8" s="12">
        <f t="shared" si="0"/>
        <v>34999.120000000003</v>
      </c>
    </row>
    <row r="9" spans="2:11" x14ac:dyDescent="0.25">
      <c r="B9" s="18">
        <v>43647</v>
      </c>
      <c r="C9" s="9" t="s">
        <v>578</v>
      </c>
      <c r="D9" s="11"/>
      <c r="E9" s="11"/>
      <c r="F9" s="11"/>
      <c r="G9" s="11"/>
      <c r="H9" s="59">
        <v>2150</v>
      </c>
      <c r="I9" s="15"/>
      <c r="J9" s="12">
        <f t="shared" si="1"/>
        <v>12445.41</v>
      </c>
      <c r="K9" s="12">
        <f t="shared" si="0"/>
        <v>32849.120000000003</v>
      </c>
    </row>
    <row r="10" spans="2:11" x14ac:dyDescent="0.25">
      <c r="B10" s="18">
        <v>43466</v>
      </c>
      <c r="C10" s="9" t="s">
        <v>579</v>
      </c>
      <c r="D10" s="11"/>
      <c r="E10" s="11"/>
      <c r="F10" s="11"/>
      <c r="G10" s="11"/>
      <c r="H10" s="11">
        <v>350</v>
      </c>
      <c r="I10" s="15"/>
      <c r="J10" s="12">
        <f t="shared" si="1"/>
        <v>12445.41</v>
      </c>
      <c r="K10" s="12">
        <f t="shared" si="0"/>
        <v>32499.120000000003</v>
      </c>
    </row>
    <row r="11" spans="2:11" x14ac:dyDescent="0.25">
      <c r="B11" s="18">
        <v>43647</v>
      </c>
      <c r="C11" s="9" t="s">
        <v>580</v>
      </c>
      <c r="D11" s="11"/>
      <c r="E11" s="11"/>
      <c r="F11" s="11"/>
      <c r="G11" s="11"/>
      <c r="H11" s="11">
        <v>190</v>
      </c>
      <c r="I11" s="15"/>
      <c r="J11" s="12">
        <f t="shared" si="1"/>
        <v>12445.41</v>
      </c>
      <c r="K11" s="12">
        <f t="shared" si="0"/>
        <v>32309.120000000003</v>
      </c>
    </row>
    <row r="12" spans="2:11" x14ac:dyDescent="0.25">
      <c r="B12" s="18">
        <v>43648</v>
      </c>
      <c r="C12" s="9" t="s">
        <v>581</v>
      </c>
      <c r="D12" s="11"/>
      <c r="E12" s="11"/>
      <c r="F12" s="11"/>
      <c r="G12" s="11"/>
      <c r="H12" s="59">
        <v>1500</v>
      </c>
      <c r="I12" s="15"/>
      <c r="J12" s="12">
        <f t="shared" si="1"/>
        <v>12445.41</v>
      </c>
      <c r="K12" s="12">
        <f t="shared" si="0"/>
        <v>30809.120000000003</v>
      </c>
    </row>
    <row r="13" spans="2:11" x14ac:dyDescent="0.25">
      <c r="B13" s="18">
        <v>43648</v>
      </c>
      <c r="C13" s="9" t="s">
        <v>587</v>
      </c>
      <c r="D13" s="11"/>
      <c r="E13" s="11"/>
      <c r="F13" s="11"/>
      <c r="G13" s="11"/>
      <c r="H13" s="11">
        <v>450</v>
      </c>
      <c r="I13" s="15"/>
      <c r="J13" s="12">
        <f t="shared" si="1"/>
        <v>12445.41</v>
      </c>
      <c r="K13" s="12">
        <f t="shared" si="0"/>
        <v>30359.120000000003</v>
      </c>
    </row>
    <row r="14" spans="2:11" x14ac:dyDescent="0.25">
      <c r="B14" s="18">
        <v>43648</v>
      </c>
      <c r="C14" s="9" t="s">
        <v>588</v>
      </c>
      <c r="D14" s="11"/>
      <c r="E14" s="11"/>
      <c r="F14" s="11"/>
      <c r="G14" s="11"/>
      <c r="H14" s="59">
        <v>550</v>
      </c>
      <c r="I14" s="15"/>
      <c r="J14" s="12">
        <f t="shared" si="1"/>
        <v>12445.41</v>
      </c>
      <c r="K14" s="12">
        <f t="shared" si="0"/>
        <v>29809.120000000003</v>
      </c>
    </row>
    <row r="15" spans="2:11" x14ac:dyDescent="0.25">
      <c r="B15" s="18">
        <v>43650</v>
      </c>
      <c r="C15" s="9" t="s">
        <v>589</v>
      </c>
      <c r="D15" s="11"/>
      <c r="E15" s="11"/>
      <c r="F15" s="11"/>
      <c r="G15" s="11"/>
      <c r="H15" s="11">
        <v>100</v>
      </c>
      <c r="I15" s="15"/>
      <c r="J15" s="12">
        <f t="shared" si="1"/>
        <v>12445.41</v>
      </c>
      <c r="K15" s="12">
        <f t="shared" si="0"/>
        <v>29709.120000000003</v>
      </c>
    </row>
    <row r="16" spans="2:11" x14ac:dyDescent="0.25">
      <c r="B16" s="18">
        <v>43650</v>
      </c>
      <c r="C16" s="125" t="s">
        <v>590</v>
      </c>
      <c r="D16" s="126"/>
      <c r="E16" s="11"/>
      <c r="F16" s="11"/>
      <c r="G16" s="11"/>
      <c r="H16" s="11">
        <v>490</v>
      </c>
      <c r="I16" s="15"/>
      <c r="J16" s="12">
        <f t="shared" si="1"/>
        <v>12445.41</v>
      </c>
      <c r="K16" s="12">
        <f t="shared" si="0"/>
        <v>29219.120000000003</v>
      </c>
    </row>
    <row r="17" spans="2:11" x14ac:dyDescent="0.25">
      <c r="B17" s="18">
        <v>43651</v>
      </c>
      <c r="C17" s="13" t="s">
        <v>591</v>
      </c>
      <c r="D17" s="11"/>
      <c r="E17" s="11"/>
      <c r="F17" s="11"/>
      <c r="G17" s="11"/>
      <c r="H17" s="11">
        <v>1500</v>
      </c>
      <c r="I17" s="15"/>
      <c r="J17" s="12">
        <f t="shared" si="1"/>
        <v>12445.41</v>
      </c>
      <c r="K17" s="12">
        <f t="shared" si="0"/>
        <v>27719.120000000003</v>
      </c>
    </row>
    <row r="18" spans="2:11" x14ac:dyDescent="0.25">
      <c r="B18" s="18">
        <v>43651</v>
      </c>
      <c r="C18" s="9" t="s">
        <v>592</v>
      </c>
      <c r="D18" s="11"/>
      <c r="E18" s="11"/>
      <c r="F18" s="11"/>
      <c r="G18" s="11"/>
      <c r="H18" s="11">
        <v>250</v>
      </c>
      <c r="I18" s="15"/>
      <c r="J18" s="12">
        <f t="shared" si="1"/>
        <v>12445.41</v>
      </c>
      <c r="K18" s="12">
        <f t="shared" si="0"/>
        <v>27469.120000000003</v>
      </c>
    </row>
    <row r="19" spans="2:11" x14ac:dyDescent="0.25">
      <c r="B19" s="18">
        <v>43651</v>
      </c>
      <c r="C19" s="9" t="s">
        <v>593</v>
      </c>
      <c r="D19" s="11"/>
      <c r="E19" s="11"/>
      <c r="F19" s="11"/>
      <c r="G19" s="11"/>
      <c r="H19" s="11">
        <v>300</v>
      </c>
      <c r="I19" s="15"/>
      <c r="J19" s="12">
        <f t="shared" si="1"/>
        <v>12445.41</v>
      </c>
      <c r="K19" s="12">
        <f t="shared" si="0"/>
        <v>27169.120000000003</v>
      </c>
    </row>
    <row r="20" spans="2:11" x14ac:dyDescent="0.25">
      <c r="B20" s="18">
        <v>43651</v>
      </c>
      <c r="C20" s="9" t="s">
        <v>594</v>
      </c>
      <c r="D20" s="11"/>
      <c r="E20" s="11"/>
      <c r="F20" s="11"/>
      <c r="G20" s="11"/>
      <c r="H20" s="11">
        <v>300</v>
      </c>
      <c r="I20" s="15"/>
      <c r="J20" s="12">
        <f t="shared" si="1"/>
        <v>12445.41</v>
      </c>
      <c r="K20" s="12">
        <f t="shared" si="0"/>
        <v>26869.120000000003</v>
      </c>
    </row>
    <row r="21" spans="2:11" x14ac:dyDescent="0.25">
      <c r="B21" s="18">
        <v>43653</v>
      </c>
      <c r="C21" s="9" t="s">
        <v>595</v>
      </c>
      <c r="D21" s="11"/>
      <c r="E21" s="11"/>
      <c r="F21" s="11"/>
      <c r="G21" s="11"/>
      <c r="H21" s="59">
        <v>300</v>
      </c>
      <c r="I21" s="15"/>
      <c r="J21" s="12">
        <f t="shared" si="1"/>
        <v>12445.41</v>
      </c>
      <c r="K21" s="12">
        <f t="shared" si="0"/>
        <v>26569.120000000003</v>
      </c>
    </row>
    <row r="22" spans="2:11" x14ac:dyDescent="0.25">
      <c r="B22" s="18">
        <v>43653</v>
      </c>
      <c r="C22" s="9" t="s">
        <v>596</v>
      </c>
      <c r="D22" s="11"/>
      <c r="E22" s="11"/>
      <c r="F22" s="11"/>
      <c r="G22" s="11"/>
      <c r="H22" s="59">
        <v>10</v>
      </c>
      <c r="I22" s="15"/>
      <c r="J22" s="12">
        <f t="shared" si="1"/>
        <v>12445.41</v>
      </c>
      <c r="K22" s="12">
        <f t="shared" si="0"/>
        <v>26559.120000000003</v>
      </c>
    </row>
    <row r="23" spans="2:11" x14ac:dyDescent="0.25">
      <c r="B23" s="18">
        <v>43653</v>
      </c>
      <c r="C23" s="9" t="s">
        <v>597</v>
      </c>
      <c r="D23" s="11"/>
      <c r="E23" s="11"/>
      <c r="F23" s="11"/>
      <c r="G23" s="11"/>
      <c r="H23" s="11">
        <v>152</v>
      </c>
      <c r="I23" s="15"/>
      <c r="J23" s="12">
        <f t="shared" si="1"/>
        <v>12445.41</v>
      </c>
      <c r="K23" s="12">
        <f>+K22+D23-H23</f>
        <v>26407.120000000003</v>
      </c>
    </row>
    <row r="24" spans="2:11" x14ac:dyDescent="0.25">
      <c r="B24" s="18">
        <v>43653</v>
      </c>
      <c r="C24" s="9" t="s">
        <v>598</v>
      </c>
      <c r="D24" s="11"/>
      <c r="E24" s="11"/>
      <c r="F24" s="11"/>
      <c r="G24" s="11"/>
      <c r="H24" s="11">
        <v>120</v>
      </c>
      <c r="I24" s="15"/>
      <c r="J24" s="12">
        <f t="shared" si="1"/>
        <v>12445.41</v>
      </c>
      <c r="K24" s="12">
        <f>+K23+D24-H24</f>
        <v>26287.120000000003</v>
      </c>
    </row>
    <row r="25" spans="2:11" x14ac:dyDescent="0.25">
      <c r="B25" s="18">
        <v>43653</v>
      </c>
      <c r="C25" s="9" t="s">
        <v>599</v>
      </c>
      <c r="D25" s="11"/>
      <c r="E25" s="11"/>
      <c r="F25" s="11"/>
      <c r="G25" s="11"/>
      <c r="H25" s="11">
        <v>150</v>
      </c>
      <c r="I25" s="15"/>
      <c r="J25" s="12">
        <f t="shared" si="1"/>
        <v>12445.41</v>
      </c>
      <c r="K25" s="12">
        <f>+K24+D25-H25</f>
        <v>26137.120000000003</v>
      </c>
    </row>
    <row r="26" spans="2:11" x14ac:dyDescent="0.25">
      <c r="B26" s="18">
        <v>43653</v>
      </c>
      <c r="C26" s="9" t="s">
        <v>600</v>
      </c>
      <c r="D26" s="11">
        <v>22150</v>
      </c>
      <c r="E26" s="11"/>
      <c r="F26" s="11"/>
      <c r="G26" s="11"/>
      <c r="H26" s="11"/>
      <c r="I26" s="15"/>
      <c r="J26" s="12">
        <f t="shared" ref="J26:J45" si="2">+J25+E26-G26</f>
        <v>12445.41</v>
      </c>
      <c r="K26" s="12">
        <f t="shared" ref="K26:K45" si="3">+K25+D26-H26</f>
        <v>48287.12</v>
      </c>
    </row>
    <row r="27" spans="2:11" x14ac:dyDescent="0.25">
      <c r="B27" s="18">
        <v>43654</v>
      </c>
      <c r="C27" s="9" t="s">
        <v>580</v>
      </c>
      <c r="D27" s="11"/>
      <c r="E27" s="11"/>
      <c r="F27" s="11"/>
      <c r="G27" s="11"/>
      <c r="H27" s="11">
        <v>228</v>
      </c>
      <c r="I27" s="15"/>
      <c r="J27" s="12">
        <f t="shared" si="2"/>
        <v>12445.41</v>
      </c>
      <c r="K27" s="12">
        <f t="shared" si="3"/>
        <v>48059.12</v>
      </c>
    </row>
    <row r="28" spans="2:11" x14ac:dyDescent="0.25">
      <c r="B28" s="18">
        <v>43655</v>
      </c>
      <c r="C28" s="9" t="s">
        <v>601</v>
      </c>
      <c r="D28" s="11"/>
      <c r="E28" s="11"/>
      <c r="F28" s="11"/>
      <c r="G28" s="11"/>
      <c r="H28" s="11">
        <v>150</v>
      </c>
      <c r="I28" s="15"/>
      <c r="J28" s="12">
        <f t="shared" si="2"/>
        <v>12445.41</v>
      </c>
      <c r="K28" s="12">
        <f t="shared" si="3"/>
        <v>47909.120000000003</v>
      </c>
    </row>
    <row r="29" spans="2:11" x14ac:dyDescent="0.25">
      <c r="B29" s="18">
        <v>43656</v>
      </c>
      <c r="C29" s="9" t="s">
        <v>602</v>
      </c>
      <c r="D29" s="11"/>
      <c r="E29" s="11"/>
      <c r="F29" s="11"/>
      <c r="G29" s="11"/>
      <c r="H29" s="11">
        <v>250</v>
      </c>
      <c r="I29" s="15"/>
      <c r="J29" s="12">
        <f t="shared" si="2"/>
        <v>12445.41</v>
      </c>
      <c r="K29" s="12">
        <f t="shared" si="3"/>
        <v>47659.12</v>
      </c>
    </row>
    <row r="30" spans="2:11" x14ac:dyDescent="0.25">
      <c r="B30" s="18">
        <v>43656</v>
      </c>
      <c r="C30" s="9" t="s">
        <v>603</v>
      </c>
      <c r="D30" s="11"/>
      <c r="E30" s="11"/>
      <c r="F30" s="11"/>
      <c r="G30" s="11"/>
      <c r="H30" s="11">
        <v>250</v>
      </c>
      <c r="I30" s="15"/>
      <c r="J30" s="12">
        <f t="shared" si="2"/>
        <v>12445.41</v>
      </c>
      <c r="K30" s="12">
        <f t="shared" si="3"/>
        <v>47409.120000000003</v>
      </c>
    </row>
    <row r="31" spans="2:11" x14ac:dyDescent="0.25">
      <c r="B31" s="18">
        <v>43658</v>
      </c>
      <c r="C31" s="9" t="s">
        <v>604</v>
      </c>
      <c r="D31" s="11"/>
      <c r="E31" s="11"/>
      <c r="F31" s="11"/>
      <c r="G31" s="11"/>
      <c r="H31" s="11">
        <v>26</v>
      </c>
      <c r="I31" s="15"/>
      <c r="J31" s="12">
        <f t="shared" si="2"/>
        <v>12445.41</v>
      </c>
      <c r="K31" s="12">
        <f t="shared" si="3"/>
        <v>47383.12</v>
      </c>
    </row>
    <row r="32" spans="2:11" x14ac:dyDescent="0.25">
      <c r="B32" s="18">
        <v>43658</v>
      </c>
      <c r="C32" s="9" t="s">
        <v>605</v>
      </c>
      <c r="D32" s="11"/>
      <c r="E32" s="11"/>
      <c r="F32" s="11"/>
      <c r="G32" s="11"/>
      <c r="H32" s="59">
        <v>1500</v>
      </c>
      <c r="I32" s="15"/>
      <c r="J32" s="12">
        <f t="shared" si="2"/>
        <v>12445.41</v>
      </c>
      <c r="K32" s="12">
        <f t="shared" si="3"/>
        <v>45883.12</v>
      </c>
    </row>
    <row r="33" spans="2:11" x14ac:dyDescent="0.25">
      <c r="B33" s="18">
        <v>43659</v>
      </c>
      <c r="C33" s="9" t="s">
        <v>571</v>
      </c>
      <c r="D33" s="11"/>
      <c r="E33" s="11"/>
      <c r="F33" s="11"/>
      <c r="G33" s="11"/>
      <c r="H33" s="11">
        <v>95</v>
      </c>
      <c r="I33" s="15"/>
      <c r="J33" s="12">
        <f t="shared" si="2"/>
        <v>12445.41</v>
      </c>
      <c r="K33" s="12">
        <f t="shared" si="3"/>
        <v>45788.12</v>
      </c>
    </row>
    <row r="34" spans="2:11" x14ac:dyDescent="0.25">
      <c r="B34" s="18">
        <v>43659</v>
      </c>
      <c r="C34" s="9" t="s">
        <v>606</v>
      </c>
      <c r="D34" s="11"/>
      <c r="E34" s="11"/>
      <c r="F34" s="11"/>
      <c r="G34" s="11"/>
      <c r="H34" s="11">
        <v>60</v>
      </c>
      <c r="I34" s="15"/>
      <c r="J34" s="12">
        <f t="shared" si="2"/>
        <v>12445.41</v>
      </c>
      <c r="K34" s="12">
        <f t="shared" si="3"/>
        <v>45728.12</v>
      </c>
    </row>
    <row r="35" spans="2:11" x14ac:dyDescent="0.25">
      <c r="B35" s="18">
        <v>43659</v>
      </c>
      <c r="C35" s="9" t="s">
        <v>607</v>
      </c>
      <c r="D35" s="11"/>
      <c r="E35" s="11"/>
      <c r="F35" s="11"/>
      <c r="G35" s="11"/>
      <c r="H35" s="11">
        <v>80</v>
      </c>
      <c r="I35" s="15"/>
      <c r="J35" s="12">
        <f t="shared" si="2"/>
        <v>12445.41</v>
      </c>
      <c r="K35" s="12">
        <f t="shared" si="3"/>
        <v>45648.12</v>
      </c>
    </row>
    <row r="36" spans="2:11" x14ac:dyDescent="0.25">
      <c r="B36" s="18">
        <v>43660</v>
      </c>
      <c r="C36" s="9" t="s">
        <v>595</v>
      </c>
      <c r="D36" s="11"/>
      <c r="E36" s="11"/>
      <c r="F36" s="11"/>
      <c r="G36" s="11"/>
      <c r="H36" s="11">
        <v>300</v>
      </c>
      <c r="I36" s="15"/>
      <c r="J36" s="12">
        <f t="shared" si="2"/>
        <v>12445.41</v>
      </c>
      <c r="K36" s="12">
        <f t="shared" si="3"/>
        <v>45348.12</v>
      </c>
    </row>
    <row r="37" spans="2:11" x14ac:dyDescent="0.25">
      <c r="B37" s="18">
        <v>43660</v>
      </c>
      <c r="C37" s="9" t="s">
        <v>608</v>
      </c>
      <c r="D37" s="11"/>
      <c r="E37" s="11"/>
      <c r="F37" s="11"/>
      <c r="G37" s="11"/>
      <c r="H37" s="11">
        <v>81.5</v>
      </c>
      <c r="I37" s="15"/>
      <c r="J37" s="12">
        <f t="shared" si="2"/>
        <v>12445.41</v>
      </c>
      <c r="K37" s="12">
        <f t="shared" si="3"/>
        <v>45266.62</v>
      </c>
    </row>
    <row r="38" spans="2:11" x14ac:dyDescent="0.25">
      <c r="B38" s="18">
        <v>43660</v>
      </c>
      <c r="C38" s="9" t="s">
        <v>598</v>
      </c>
      <c r="D38" s="11"/>
      <c r="E38" s="11"/>
      <c r="F38" s="11"/>
      <c r="G38" s="11"/>
      <c r="H38" s="11">
        <v>120</v>
      </c>
      <c r="I38" s="15"/>
      <c r="J38" s="12">
        <f t="shared" si="2"/>
        <v>12445.41</v>
      </c>
      <c r="K38" s="12">
        <f t="shared" si="3"/>
        <v>45146.62</v>
      </c>
    </row>
    <row r="39" spans="2:11" x14ac:dyDescent="0.25">
      <c r="B39" s="18">
        <v>43660</v>
      </c>
      <c r="C39" s="9" t="s">
        <v>609</v>
      </c>
      <c r="D39" s="11">
        <v>40740</v>
      </c>
      <c r="E39" s="11"/>
      <c r="F39" s="11"/>
      <c r="G39" s="11"/>
      <c r="H39" s="11"/>
      <c r="I39" s="15"/>
      <c r="J39" s="12">
        <f t="shared" si="2"/>
        <v>12445.41</v>
      </c>
      <c r="K39" s="12">
        <f t="shared" si="3"/>
        <v>85886.62</v>
      </c>
    </row>
    <row r="40" spans="2:11" x14ac:dyDescent="0.25">
      <c r="B40" s="18">
        <v>43660</v>
      </c>
      <c r="C40" s="9" t="s">
        <v>610</v>
      </c>
      <c r="D40" s="11"/>
      <c r="E40" s="11"/>
      <c r="F40" s="11"/>
      <c r="G40" s="11"/>
      <c r="H40" s="11">
        <v>778</v>
      </c>
      <c r="I40" s="15"/>
      <c r="J40" s="12">
        <f t="shared" si="2"/>
        <v>12445.41</v>
      </c>
      <c r="K40" s="12">
        <f t="shared" si="3"/>
        <v>85108.62</v>
      </c>
    </row>
    <row r="41" spans="2:11" x14ac:dyDescent="0.25">
      <c r="B41" s="18">
        <v>43661</v>
      </c>
      <c r="C41" s="9" t="s">
        <v>584</v>
      </c>
      <c r="D41" s="11"/>
      <c r="E41" s="11"/>
      <c r="F41" s="11"/>
      <c r="G41" s="11"/>
      <c r="H41" s="11">
        <v>350</v>
      </c>
      <c r="I41" s="15"/>
      <c r="J41" s="12">
        <f t="shared" si="2"/>
        <v>12445.41</v>
      </c>
      <c r="K41" s="12">
        <f t="shared" si="3"/>
        <v>84758.62</v>
      </c>
    </row>
    <row r="42" spans="2:11" x14ac:dyDescent="0.25">
      <c r="B42" s="18">
        <v>43661</v>
      </c>
      <c r="C42" s="9" t="s">
        <v>585</v>
      </c>
      <c r="D42" s="11"/>
      <c r="E42" s="11"/>
      <c r="F42" s="11"/>
      <c r="G42" s="11"/>
      <c r="H42" s="59">
        <v>550</v>
      </c>
      <c r="I42" s="15"/>
      <c r="J42" s="12">
        <f t="shared" si="2"/>
        <v>12445.41</v>
      </c>
      <c r="K42" s="12">
        <f t="shared" si="3"/>
        <v>84208.62</v>
      </c>
    </row>
    <row r="43" spans="2:11" x14ac:dyDescent="0.25">
      <c r="B43" s="18">
        <v>43661</v>
      </c>
      <c r="C43" s="9" t="s">
        <v>586</v>
      </c>
      <c r="D43" s="11"/>
      <c r="E43" s="11"/>
      <c r="F43" s="11"/>
      <c r="G43" s="11"/>
      <c r="H43" s="59">
        <v>2000</v>
      </c>
      <c r="I43" s="15"/>
      <c r="J43" s="12">
        <f t="shared" si="2"/>
        <v>12445.41</v>
      </c>
      <c r="K43" s="12">
        <f t="shared" si="3"/>
        <v>82208.62</v>
      </c>
    </row>
    <row r="44" spans="2:11" x14ac:dyDescent="0.25">
      <c r="B44" s="18">
        <v>43661</v>
      </c>
      <c r="C44" s="9" t="s">
        <v>445</v>
      </c>
      <c r="D44" s="11"/>
      <c r="E44" s="11"/>
      <c r="F44" s="11"/>
      <c r="G44" s="102"/>
      <c r="H44" s="59">
        <v>4000</v>
      </c>
      <c r="I44" s="15"/>
      <c r="J44" s="12">
        <f t="shared" si="2"/>
        <v>12445.41</v>
      </c>
      <c r="K44" s="12">
        <f t="shared" si="3"/>
        <v>78208.62</v>
      </c>
    </row>
    <row r="45" spans="2:11" x14ac:dyDescent="0.25">
      <c r="B45" s="18">
        <v>43661</v>
      </c>
      <c r="C45" s="21" t="s">
        <v>611</v>
      </c>
      <c r="D45" s="11"/>
      <c r="E45" s="11"/>
      <c r="F45" s="11"/>
      <c r="G45" s="11"/>
      <c r="H45" s="59">
        <v>40000</v>
      </c>
      <c r="I45" s="15"/>
      <c r="J45" s="12">
        <f t="shared" si="2"/>
        <v>12445.41</v>
      </c>
      <c r="K45" s="12">
        <f t="shared" si="3"/>
        <v>38208.619999999995</v>
      </c>
    </row>
    <row r="46" spans="2:11" x14ac:dyDescent="0.25">
      <c r="B46" s="18">
        <v>43661</v>
      </c>
      <c r="C46" s="9" t="s">
        <v>580</v>
      </c>
      <c r="D46" s="11"/>
      <c r="E46" s="11"/>
      <c r="F46" s="11"/>
      <c r="G46" s="11"/>
      <c r="H46" s="59">
        <v>190</v>
      </c>
      <c r="I46" s="15"/>
      <c r="J46" s="12">
        <f t="shared" ref="J46:J53" si="4">+J45+E46-G46</f>
        <v>12445.41</v>
      </c>
      <c r="K46" s="12">
        <f t="shared" ref="K46:K53" si="5">+K45+D46-H46</f>
        <v>38018.619999999995</v>
      </c>
    </row>
    <row r="47" spans="2:11" x14ac:dyDescent="0.25">
      <c r="B47" s="18">
        <v>43661</v>
      </c>
      <c r="C47" s="9" t="s">
        <v>612</v>
      </c>
      <c r="D47" s="11"/>
      <c r="E47" s="11"/>
      <c r="F47" s="11"/>
      <c r="G47" s="11"/>
      <c r="H47" s="59">
        <v>500</v>
      </c>
      <c r="I47" s="15"/>
      <c r="J47" s="12">
        <f t="shared" si="4"/>
        <v>12445.41</v>
      </c>
      <c r="K47" s="12">
        <f t="shared" si="5"/>
        <v>37518.619999999995</v>
      </c>
    </row>
    <row r="48" spans="2:11" x14ac:dyDescent="0.25">
      <c r="B48" s="18">
        <v>43661</v>
      </c>
      <c r="C48" s="9" t="s">
        <v>613</v>
      </c>
      <c r="D48" s="11"/>
      <c r="E48" s="11"/>
      <c r="F48" s="11"/>
      <c r="G48" s="11"/>
      <c r="H48" s="59">
        <v>250</v>
      </c>
      <c r="I48" s="15"/>
      <c r="J48" s="12">
        <f t="shared" si="4"/>
        <v>12445.41</v>
      </c>
      <c r="K48" s="12">
        <f t="shared" si="5"/>
        <v>37268.619999999995</v>
      </c>
    </row>
    <row r="49" spans="2:11" x14ac:dyDescent="0.25">
      <c r="B49" s="18">
        <v>43663</v>
      </c>
      <c r="C49" s="13" t="s">
        <v>614</v>
      </c>
      <c r="D49" s="11"/>
      <c r="E49" s="11"/>
      <c r="F49" s="11"/>
      <c r="G49" s="11"/>
      <c r="H49" s="59">
        <v>200</v>
      </c>
      <c r="I49" s="15"/>
      <c r="J49" s="12">
        <f t="shared" si="4"/>
        <v>12445.41</v>
      </c>
      <c r="K49" s="12">
        <f t="shared" si="5"/>
        <v>37068.619999999995</v>
      </c>
    </row>
    <row r="50" spans="2:11" x14ac:dyDescent="0.25">
      <c r="B50" s="18">
        <v>43663</v>
      </c>
      <c r="C50" s="123" t="s">
        <v>645</v>
      </c>
      <c r="D50" s="11"/>
      <c r="E50" s="11"/>
      <c r="F50" s="11"/>
      <c r="G50" s="11">
        <v>1760</v>
      </c>
      <c r="H50" s="59"/>
      <c r="I50" s="15"/>
      <c r="J50" s="12">
        <f t="shared" si="4"/>
        <v>10685.41</v>
      </c>
      <c r="K50" s="12">
        <f t="shared" si="5"/>
        <v>37068.619999999995</v>
      </c>
    </row>
    <row r="51" spans="2:11" x14ac:dyDescent="0.25">
      <c r="B51" s="18">
        <v>43663</v>
      </c>
      <c r="C51" s="123" t="s">
        <v>646</v>
      </c>
      <c r="D51" s="11"/>
      <c r="E51" s="11"/>
      <c r="F51" s="11"/>
      <c r="G51" s="11">
        <v>1400</v>
      </c>
      <c r="H51" s="59"/>
      <c r="I51" s="15"/>
      <c r="J51" s="12">
        <f t="shared" si="4"/>
        <v>9285.41</v>
      </c>
      <c r="K51" s="12">
        <f t="shared" si="5"/>
        <v>37068.619999999995</v>
      </c>
    </row>
    <row r="52" spans="2:11" x14ac:dyDescent="0.25">
      <c r="B52" s="18">
        <v>43663</v>
      </c>
      <c r="C52" s="9" t="s">
        <v>615</v>
      </c>
      <c r="D52" s="11"/>
      <c r="E52" s="11"/>
      <c r="F52" s="11"/>
      <c r="G52" s="11"/>
      <c r="H52" s="59">
        <v>450</v>
      </c>
      <c r="I52" s="15"/>
      <c r="J52" s="12">
        <f t="shared" si="4"/>
        <v>9285.41</v>
      </c>
      <c r="K52" s="12">
        <f t="shared" si="5"/>
        <v>36618.619999999995</v>
      </c>
    </row>
    <row r="53" spans="2:11" ht="15.75" thickBot="1" x14ac:dyDescent="0.3">
      <c r="B53" s="18">
        <v>43542</v>
      </c>
      <c r="C53" s="115" t="s">
        <v>595</v>
      </c>
      <c r="D53" s="41"/>
      <c r="E53" s="41"/>
      <c r="F53" s="41"/>
      <c r="G53" s="41"/>
      <c r="H53" s="11">
        <v>300</v>
      </c>
      <c r="I53" s="15"/>
      <c r="J53" s="12">
        <f t="shared" si="4"/>
        <v>9285.41</v>
      </c>
      <c r="K53" s="12">
        <f t="shared" si="5"/>
        <v>36318.619999999995</v>
      </c>
    </row>
    <row r="54" spans="2:11" ht="15.75" thickBot="1" x14ac:dyDescent="0.3">
      <c r="B54" s="5"/>
      <c r="C54" s="7" t="s">
        <v>0</v>
      </c>
      <c r="D54" s="62">
        <f>SUM(D4:D53)</f>
        <v>62890</v>
      </c>
      <c r="E54" s="61">
        <f>SUM(E4:E53)</f>
        <v>0</v>
      </c>
      <c r="F54" s="71">
        <f>SUM(D54:E54)</f>
        <v>62890</v>
      </c>
      <c r="G54" s="80">
        <f>SUM(G4:G53)</f>
        <v>3160</v>
      </c>
      <c r="H54" s="62">
        <f>SUM(H4:H53)</f>
        <v>62910.5</v>
      </c>
      <c r="I54" s="71">
        <f>SUM(G54:H54)</f>
        <v>66070.5</v>
      </c>
      <c r="J54" s="20"/>
      <c r="K54" s="20"/>
    </row>
    <row r="55" spans="2:11" x14ac:dyDescent="0.25">
      <c r="B55" s="68" t="s">
        <v>1</v>
      </c>
      <c r="C55" s="68" t="s">
        <v>2</v>
      </c>
      <c r="D55" s="68" t="s">
        <v>3</v>
      </c>
      <c r="E55" s="68" t="s">
        <v>3</v>
      </c>
      <c r="F55" s="68" t="s">
        <v>22</v>
      </c>
      <c r="G55" s="68" t="s">
        <v>23</v>
      </c>
      <c r="H55" s="48" t="s">
        <v>23</v>
      </c>
      <c r="I55" s="48" t="s">
        <v>22</v>
      </c>
      <c r="J55" s="68" t="s">
        <v>8</v>
      </c>
      <c r="K55" s="48" t="s">
        <v>7</v>
      </c>
    </row>
    <row r="56" spans="2:11" ht="15.75" thickBot="1" x14ac:dyDescent="0.3">
      <c r="B56" s="69"/>
      <c r="C56" s="69"/>
      <c r="D56" s="69" t="s">
        <v>5</v>
      </c>
      <c r="E56" s="69" t="s">
        <v>24</v>
      </c>
      <c r="F56" s="69" t="s">
        <v>3</v>
      </c>
      <c r="G56" s="69" t="s">
        <v>24</v>
      </c>
      <c r="H56" s="70" t="s">
        <v>5</v>
      </c>
      <c r="I56" s="70" t="s">
        <v>4</v>
      </c>
      <c r="J56" s="69"/>
      <c r="K56" s="70"/>
    </row>
    <row r="57" spans="2:11" ht="15.75" thickBot="1" x14ac:dyDescent="0.3">
      <c r="B57" s="5"/>
      <c r="C57" s="7" t="s">
        <v>0</v>
      </c>
      <c r="D57" s="62">
        <v>62890</v>
      </c>
      <c r="E57" s="61">
        <v>0</v>
      </c>
      <c r="F57" s="71">
        <f>SUM(D57:E57)</f>
        <v>62890</v>
      </c>
      <c r="G57" s="80">
        <v>3160</v>
      </c>
      <c r="H57" s="62">
        <v>62910.5</v>
      </c>
      <c r="I57" s="71">
        <f>SUM(G57:H57)</f>
        <v>66070.5</v>
      </c>
      <c r="J57" s="20">
        <v>9285.41</v>
      </c>
      <c r="K57" s="12">
        <v>36318.620000000003</v>
      </c>
    </row>
    <row r="58" spans="2:11" x14ac:dyDescent="0.25">
      <c r="B58" s="18">
        <v>43664</v>
      </c>
      <c r="C58" s="13" t="s">
        <v>575</v>
      </c>
      <c r="D58" s="41"/>
      <c r="E58" s="41"/>
      <c r="F58" s="41"/>
      <c r="G58" s="16"/>
      <c r="H58" s="11">
        <v>250</v>
      </c>
      <c r="I58" s="15"/>
      <c r="J58" s="12">
        <f>+J57+E58-G58</f>
        <v>9285.41</v>
      </c>
      <c r="K58" s="12">
        <f>+K57+D58-H58</f>
        <v>36068.620000000003</v>
      </c>
    </row>
    <row r="59" spans="2:11" x14ac:dyDescent="0.25">
      <c r="B59" s="18">
        <v>43664</v>
      </c>
      <c r="C59" s="13" t="s">
        <v>616</v>
      </c>
      <c r="D59" s="41"/>
      <c r="E59" s="41"/>
      <c r="F59" s="41"/>
      <c r="G59" s="41"/>
      <c r="H59" s="11">
        <v>269</v>
      </c>
      <c r="I59" s="15"/>
      <c r="J59" s="12">
        <f t="shared" ref="J59:J99" si="6">+J58+E59-G59</f>
        <v>9285.41</v>
      </c>
      <c r="K59" s="12">
        <f t="shared" ref="K59:K99" si="7">+K58+D59-H59</f>
        <v>35799.620000000003</v>
      </c>
    </row>
    <row r="60" spans="2:11" x14ac:dyDescent="0.25">
      <c r="B60" s="18">
        <v>43665</v>
      </c>
      <c r="C60" s="13" t="s">
        <v>617</v>
      </c>
      <c r="D60" s="11"/>
      <c r="E60" s="11"/>
      <c r="F60" s="11"/>
      <c r="G60" s="11"/>
      <c r="H60" s="11">
        <v>200</v>
      </c>
      <c r="I60" s="15"/>
      <c r="J60" s="12">
        <f t="shared" si="6"/>
        <v>9285.41</v>
      </c>
      <c r="K60" s="12">
        <f t="shared" si="7"/>
        <v>35599.620000000003</v>
      </c>
    </row>
    <row r="61" spans="2:11" x14ac:dyDescent="0.25">
      <c r="B61" s="18">
        <v>43665</v>
      </c>
      <c r="C61" s="13" t="s">
        <v>571</v>
      </c>
      <c r="D61" s="11"/>
      <c r="E61" s="11"/>
      <c r="F61" s="11"/>
      <c r="G61" s="11"/>
      <c r="H61" s="11">
        <v>95</v>
      </c>
      <c r="I61" s="15"/>
      <c r="J61" s="12">
        <f t="shared" si="6"/>
        <v>9285.41</v>
      </c>
      <c r="K61" s="12">
        <f t="shared" si="7"/>
        <v>35504.620000000003</v>
      </c>
    </row>
    <row r="62" spans="2:11" x14ac:dyDescent="0.25">
      <c r="B62" s="18">
        <v>43665</v>
      </c>
      <c r="C62" s="13" t="s">
        <v>618</v>
      </c>
      <c r="D62" s="11"/>
      <c r="E62" s="11"/>
      <c r="F62" s="11"/>
      <c r="G62" s="11"/>
      <c r="H62" s="11">
        <v>1500</v>
      </c>
      <c r="I62" s="15"/>
      <c r="J62" s="12">
        <f t="shared" si="6"/>
        <v>9285.41</v>
      </c>
      <c r="K62" s="12">
        <f t="shared" si="7"/>
        <v>34004.620000000003</v>
      </c>
    </row>
    <row r="63" spans="2:11" x14ac:dyDescent="0.25">
      <c r="B63" s="18">
        <v>43729</v>
      </c>
      <c r="C63" s="9" t="s">
        <v>619</v>
      </c>
      <c r="D63" s="11"/>
      <c r="E63" s="11"/>
      <c r="F63" s="11"/>
      <c r="G63" s="11"/>
      <c r="H63" s="11">
        <v>20</v>
      </c>
      <c r="I63" s="15"/>
      <c r="J63" s="12">
        <f t="shared" si="6"/>
        <v>9285.41</v>
      </c>
      <c r="K63" s="12">
        <f t="shared" si="7"/>
        <v>33984.620000000003</v>
      </c>
    </row>
    <row r="64" spans="2:11" x14ac:dyDescent="0.25">
      <c r="B64" s="18">
        <v>43729</v>
      </c>
      <c r="C64" s="9" t="s">
        <v>620</v>
      </c>
      <c r="D64" s="11"/>
      <c r="E64" s="11"/>
      <c r="F64" s="11"/>
      <c r="G64" s="11"/>
      <c r="H64" s="11">
        <v>66</v>
      </c>
      <c r="I64" s="15"/>
      <c r="J64" s="12">
        <f t="shared" si="6"/>
        <v>9285.41</v>
      </c>
      <c r="K64" s="12">
        <f t="shared" si="7"/>
        <v>33918.620000000003</v>
      </c>
    </row>
    <row r="65" spans="2:11" x14ac:dyDescent="0.25">
      <c r="B65" s="18">
        <v>43667</v>
      </c>
      <c r="C65" s="9" t="s">
        <v>621</v>
      </c>
      <c r="D65" s="11"/>
      <c r="E65" s="11"/>
      <c r="F65" s="11"/>
      <c r="G65" s="11"/>
      <c r="H65" s="59">
        <v>100.22</v>
      </c>
      <c r="I65" s="15"/>
      <c r="J65" s="12">
        <f t="shared" si="6"/>
        <v>9285.41</v>
      </c>
      <c r="K65" s="12">
        <f t="shared" si="7"/>
        <v>33818.400000000001</v>
      </c>
    </row>
    <row r="66" spans="2:11" x14ac:dyDescent="0.25">
      <c r="B66" s="18">
        <v>43667</v>
      </c>
      <c r="C66" s="13" t="s">
        <v>131</v>
      </c>
      <c r="D66" s="41"/>
      <c r="E66" s="41"/>
      <c r="F66" s="41"/>
      <c r="G66" s="41"/>
      <c r="H66" s="11">
        <v>120</v>
      </c>
      <c r="I66" s="15"/>
      <c r="J66" s="12">
        <f t="shared" si="6"/>
        <v>9285.41</v>
      </c>
      <c r="K66" s="12">
        <f t="shared" si="7"/>
        <v>33698.400000000001</v>
      </c>
    </row>
    <row r="67" spans="2:11" x14ac:dyDescent="0.25">
      <c r="B67" s="18">
        <v>43667</v>
      </c>
      <c r="C67" s="13" t="s">
        <v>622</v>
      </c>
      <c r="D67" s="41"/>
      <c r="E67" s="41"/>
      <c r="F67" s="41"/>
      <c r="G67" s="16"/>
      <c r="H67" s="11">
        <v>150</v>
      </c>
      <c r="I67" s="15"/>
      <c r="J67" s="12">
        <f t="shared" si="6"/>
        <v>9285.41</v>
      </c>
      <c r="K67" s="12">
        <f t="shared" si="7"/>
        <v>33548.400000000001</v>
      </c>
    </row>
    <row r="68" spans="2:11" x14ac:dyDescent="0.25">
      <c r="B68" s="18">
        <v>43667</v>
      </c>
      <c r="C68" s="13" t="s">
        <v>623</v>
      </c>
      <c r="D68" s="41">
        <v>19300</v>
      </c>
      <c r="E68" s="41"/>
      <c r="F68" s="41"/>
      <c r="G68" s="41"/>
      <c r="H68" s="11"/>
      <c r="I68" s="15"/>
      <c r="J68" s="12">
        <f t="shared" si="6"/>
        <v>9285.41</v>
      </c>
      <c r="K68" s="12">
        <f t="shared" si="7"/>
        <v>52848.4</v>
      </c>
    </row>
    <row r="69" spans="2:11" x14ac:dyDescent="0.25">
      <c r="B69" s="18">
        <v>43668</v>
      </c>
      <c r="C69" s="9" t="s">
        <v>580</v>
      </c>
      <c r="D69" s="11"/>
      <c r="E69" s="11"/>
      <c r="F69" s="11"/>
      <c r="G69" s="11"/>
      <c r="H69" s="59">
        <v>228</v>
      </c>
      <c r="I69" s="15"/>
      <c r="J69" s="12">
        <f t="shared" si="6"/>
        <v>9285.41</v>
      </c>
      <c r="K69" s="12">
        <f t="shared" si="7"/>
        <v>52620.4</v>
      </c>
    </row>
    <row r="70" spans="2:11" x14ac:dyDescent="0.25">
      <c r="B70" s="18">
        <v>43731</v>
      </c>
      <c r="C70" s="13" t="s">
        <v>628</v>
      </c>
      <c r="D70" s="11"/>
      <c r="E70" s="11"/>
      <c r="F70" s="11"/>
      <c r="G70" s="11"/>
      <c r="H70" s="11">
        <v>430</v>
      </c>
      <c r="I70" s="15"/>
      <c r="J70" s="12">
        <f t="shared" si="6"/>
        <v>9285.41</v>
      </c>
      <c r="K70" s="12">
        <f t="shared" si="7"/>
        <v>52190.400000000001</v>
      </c>
    </row>
    <row r="71" spans="2:11" x14ac:dyDescent="0.25">
      <c r="B71" s="18">
        <v>43669</v>
      </c>
      <c r="C71" s="9" t="s">
        <v>624</v>
      </c>
      <c r="D71" s="11"/>
      <c r="E71" s="11"/>
      <c r="F71" s="11"/>
      <c r="G71" s="11"/>
      <c r="H71" s="11">
        <v>290</v>
      </c>
      <c r="I71" s="15"/>
      <c r="J71" s="12">
        <f t="shared" si="6"/>
        <v>9285.41</v>
      </c>
      <c r="K71" s="12">
        <f t="shared" si="7"/>
        <v>51900.4</v>
      </c>
    </row>
    <row r="72" spans="2:11" x14ac:dyDescent="0.25">
      <c r="B72" s="18">
        <v>43669</v>
      </c>
      <c r="C72" s="13" t="s">
        <v>625</v>
      </c>
      <c r="D72" s="11"/>
      <c r="E72" s="11"/>
      <c r="F72" s="11"/>
      <c r="G72" s="11"/>
      <c r="H72" s="11">
        <v>30</v>
      </c>
      <c r="I72" s="15"/>
      <c r="J72" s="12">
        <f t="shared" si="6"/>
        <v>9285.41</v>
      </c>
      <c r="K72" s="12">
        <f t="shared" si="7"/>
        <v>51870.400000000001</v>
      </c>
    </row>
    <row r="73" spans="2:11" x14ac:dyDescent="0.25">
      <c r="B73" s="18">
        <v>43670</v>
      </c>
      <c r="C73" s="9" t="s">
        <v>626</v>
      </c>
      <c r="D73" s="11"/>
      <c r="E73" s="11"/>
      <c r="F73" s="11"/>
      <c r="G73" s="11"/>
      <c r="H73" s="11">
        <v>152</v>
      </c>
      <c r="I73" s="15"/>
      <c r="J73" s="12">
        <f t="shared" si="6"/>
        <v>9285.41</v>
      </c>
      <c r="K73" s="12">
        <f t="shared" si="7"/>
        <v>51718.400000000001</v>
      </c>
    </row>
    <row r="74" spans="2:11" x14ac:dyDescent="0.25">
      <c r="B74" s="18">
        <v>43670</v>
      </c>
      <c r="C74" s="9" t="s">
        <v>627</v>
      </c>
      <c r="D74" s="11"/>
      <c r="E74" s="11"/>
      <c r="F74" s="11"/>
      <c r="G74" s="11"/>
      <c r="H74" s="11">
        <v>34</v>
      </c>
      <c r="I74" s="15"/>
      <c r="J74" s="12">
        <f t="shared" si="6"/>
        <v>9285.41</v>
      </c>
      <c r="K74" s="12">
        <f t="shared" si="7"/>
        <v>51684.4</v>
      </c>
    </row>
    <row r="75" spans="2:11" x14ac:dyDescent="0.25">
      <c r="B75" s="18">
        <v>43672</v>
      </c>
      <c r="C75" s="13" t="s">
        <v>631</v>
      </c>
      <c r="D75" s="11"/>
      <c r="E75" s="11"/>
      <c r="F75" s="11"/>
      <c r="G75" s="11"/>
      <c r="H75" s="11">
        <v>1500</v>
      </c>
      <c r="I75" s="15"/>
      <c r="J75" s="12">
        <f t="shared" si="6"/>
        <v>9285.41</v>
      </c>
      <c r="K75" s="12">
        <f t="shared" si="7"/>
        <v>50184.4</v>
      </c>
    </row>
    <row r="76" spans="2:11" x14ac:dyDescent="0.25">
      <c r="B76" s="18">
        <v>43674</v>
      </c>
      <c r="C76" s="13" t="s">
        <v>595</v>
      </c>
      <c r="D76" s="11"/>
      <c r="E76" s="11"/>
      <c r="F76" s="11"/>
      <c r="G76" s="11"/>
      <c r="H76" s="11">
        <v>300</v>
      </c>
      <c r="I76" s="15"/>
      <c r="J76" s="12">
        <f t="shared" si="6"/>
        <v>9285.41</v>
      </c>
      <c r="K76" s="12">
        <f t="shared" si="7"/>
        <v>49884.4</v>
      </c>
    </row>
    <row r="77" spans="2:11" x14ac:dyDescent="0.25">
      <c r="B77" s="18">
        <v>43674</v>
      </c>
      <c r="C77" s="9" t="s">
        <v>632</v>
      </c>
      <c r="D77" s="11"/>
      <c r="E77" s="11"/>
      <c r="F77" s="11"/>
      <c r="G77" s="11"/>
      <c r="H77" s="11">
        <v>117</v>
      </c>
      <c r="I77" s="15"/>
      <c r="J77" s="12">
        <f t="shared" si="6"/>
        <v>9285.41</v>
      </c>
      <c r="K77" s="12">
        <f t="shared" si="7"/>
        <v>49767.4</v>
      </c>
    </row>
    <row r="78" spans="2:11" x14ac:dyDescent="0.25">
      <c r="B78" s="18">
        <v>43674</v>
      </c>
      <c r="C78" s="9" t="s">
        <v>633</v>
      </c>
      <c r="D78" s="11"/>
      <c r="E78" s="11"/>
      <c r="F78" s="11"/>
      <c r="G78" s="11"/>
      <c r="H78" s="11">
        <v>108.79</v>
      </c>
      <c r="I78" s="15"/>
      <c r="J78" s="12">
        <f t="shared" si="6"/>
        <v>9285.41</v>
      </c>
      <c r="K78" s="12">
        <f t="shared" si="7"/>
        <v>49658.61</v>
      </c>
    </row>
    <row r="79" spans="2:11" x14ac:dyDescent="0.25">
      <c r="B79" s="18">
        <v>43674</v>
      </c>
      <c r="C79" s="13" t="s">
        <v>597</v>
      </c>
      <c r="D79" s="11"/>
      <c r="E79" s="11"/>
      <c r="F79" s="11"/>
      <c r="G79" s="11"/>
      <c r="H79" s="11">
        <v>106</v>
      </c>
      <c r="I79" s="15"/>
      <c r="J79" s="12">
        <f t="shared" si="6"/>
        <v>9285.41</v>
      </c>
      <c r="K79" s="12">
        <f t="shared" si="7"/>
        <v>49552.61</v>
      </c>
    </row>
    <row r="80" spans="2:11" x14ac:dyDescent="0.25">
      <c r="B80" s="18">
        <v>43674</v>
      </c>
      <c r="C80" s="35" t="s">
        <v>634</v>
      </c>
      <c r="D80" s="11"/>
      <c r="E80" s="11"/>
      <c r="F80" s="11"/>
      <c r="G80" s="11"/>
      <c r="H80" s="11">
        <v>120</v>
      </c>
      <c r="I80" s="15"/>
      <c r="J80" s="12">
        <f t="shared" si="6"/>
        <v>9285.41</v>
      </c>
      <c r="K80" s="12">
        <f t="shared" si="7"/>
        <v>49432.61</v>
      </c>
    </row>
    <row r="81" spans="2:11" x14ac:dyDescent="0.25">
      <c r="B81" s="18">
        <v>43675</v>
      </c>
      <c r="C81" s="9" t="s">
        <v>635</v>
      </c>
      <c r="D81" s="11"/>
      <c r="E81" s="11"/>
      <c r="F81" s="11"/>
      <c r="G81" s="11"/>
      <c r="H81" s="11">
        <v>400</v>
      </c>
      <c r="I81" s="15"/>
      <c r="J81" s="12">
        <f t="shared" si="6"/>
        <v>9285.41</v>
      </c>
      <c r="K81" s="12">
        <f t="shared" si="7"/>
        <v>49032.61</v>
      </c>
    </row>
    <row r="82" spans="2:11" x14ac:dyDescent="0.25">
      <c r="B82" s="18">
        <v>43675</v>
      </c>
      <c r="C82" s="9" t="s">
        <v>636</v>
      </c>
      <c r="D82" s="11">
        <v>15000</v>
      </c>
      <c r="E82" s="11"/>
      <c r="F82" s="11"/>
      <c r="G82" s="11"/>
      <c r="H82" s="11"/>
      <c r="I82" s="15"/>
      <c r="J82" s="12">
        <f t="shared" si="6"/>
        <v>9285.41</v>
      </c>
      <c r="K82" s="12">
        <f t="shared" si="7"/>
        <v>64032.61</v>
      </c>
    </row>
    <row r="83" spans="2:11" x14ac:dyDescent="0.25">
      <c r="B83" s="18">
        <v>43675</v>
      </c>
      <c r="C83" s="9" t="s">
        <v>637</v>
      </c>
      <c r="D83" s="11"/>
      <c r="E83" s="11"/>
      <c r="F83" s="11"/>
      <c r="G83" s="11"/>
      <c r="H83" s="11">
        <v>500</v>
      </c>
      <c r="I83" s="15"/>
      <c r="J83" s="12">
        <f t="shared" si="6"/>
        <v>9285.41</v>
      </c>
      <c r="K83" s="12">
        <f t="shared" si="7"/>
        <v>63532.61</v>
      </c>
    </row>
    <row r="84" spans="2:11" x14ac:dyDescent="0.25">
      <c r="B84" s="18">
        <v>43675</v>
      </c>
      <c r="C84" s="9" t="s">
        <v>580</v>
      </c>
      <c r="D84" s="11"/>
      <c r="E84" s="11"/>
      <c r="F84" s="11"/>
      <c r="G84" s="11"/>
      <c r="H84" s="11">
        <v>190</v>
      </c>
      <c r="I84" s="15"/>
      <c r="J84" s="12">
        <f t="shared" si="6"/>
        <v>9285.41</v>
      </c>
      <c r="K84" s="12">
        <f t="shared" si="7"/>
        <v>63342.61</v>
      </c>
    </row>
    <row r="85" spans="2:11" x14ac:dyDescent="0.25">
      <c r="B85" s="18">
        <v>43675</v>
      </c>
      <c r="C85" s="35" t="s">
        <v>639</v>
      </c>
      <c r="D85" s="11"/>
      <c r="E85" s="11"/>
      <c r="F85" s="11"/>
      <c r="G85" s="11"/>
      <c r="H85" s="11">
        <v>250</v>
      </c>
      <c r="I85" s="15"/>
      <c r="J85" s="12">
        <f t="shared" si="6"/>
        <v>9285.41</v>
      </c>
      <c r="K85" s="12">
        <f t="shared" si="7"/>
        <v>63092.61</v>
      </c>
    </row>
    <row r="86" spans="2:11" x14ac:dyDescent="0.25">
      <c r="B86" s="18">
        <v>43677</v>
      </c>
      <c r="C86" s="34" t="s">
        <v>640</v>
      </c>
      <c r="D86" s="11"/>
      <c r="E86" s="11"/>
      <c r="F86" s="11"/>
      <c r="G86" s="11"/>
      <c r="H86" s="11">
        <v>124</v>
      </c>
      <c r="I86" s="15"/>
      <c r="J86" s="12">
        <f t="shared" si="6"/>
        <v>9285.41</v>
      </c>
      <c r="K86" s="12">
        <f t="shared" si="7"/>
        <v>62968.61</v>
      </c>
    </row>
    <row r="87" spans="2:11" x14ac:dyDescent="0.25">
      <c r="B87" s="18">
        <v>43677</v>
      </c>
      <c r="C87" s="9" t="s">
        <v>563</v>
      </c>
      <c r="D87" s="11"/>
      <c r="E87" s="11"/>
      <c r="F87" s="11"/>
      <c r="G87" s="11"/>
      <c r="H87" s="11">
        <v>550</v>
      </c>
      <c r="I87" s="15"/>
      <c r="J87" s="12">
        <f t="shared" si="6"/>
        <v>9285.41</v>
      </c>
      <c r="K87" s="12">
        <f t="shared" si="7"/>
        <v>62418.61</v>
      </c>
    </row>
    <row r="88" spans="2:11" x14ac:dyDescent="0.25">
      <c r="B88" s="18">
        <v>43677</v>
      </c>
      <c r="C88" s="9" t="s">
        <v>564</v>
      </c>
      <c r="D88" s="11"/>
      <c r="E88" s="11"/>
      <c r="F88" s="11"/>
      <c r="G88" s="11"/>
      <c r="H88" s="11">
        <v>300</v>
      </c>
      <c r="I88" s="15"/>
      <c r="J88" s="12">
        <f t="shared" si="6"/>
        <v>9285.41</v>
      </c>
      <c r="K88" s="12">
        <f t="shared" si="7"/>
        <v>62118.61</v>
      </c>
    </row>
    <row r="89" spans="2:11" x14ac:dyDescent="0.25">
      <c r="B89" s="18">
        <v>43677</v>
      </c>
      <c r="C89" s="9" t="s">
        <v>629</v>
      </c>
      <c r="D89" s="11"/>
      <c r="E89" s="11"/>
      <c r="F89" s="11"/>
      <c r="G89" s="11"/>
      <c r="H89" s="11">
        <v>2000</v>
      </c>
      <c r="I89" s="15"/>
      <c r="J89" s="12">
        <f t="shared" si="6"/>
        <v>9285.41</v>
      </c>
      <c r="K89" s="12">
        <f t="shared" si="7"/>
        <v>60118.61</v>
      </c>
    </row>
    <row r="90" spans="2:11" x14ac:dyDescent="0.25">
      <c r="B90" s="18">
        <v>43677</v>
      </c>
      <c r="C90" s="9" t="s">
        <v>566</v>
      </c>
      <c r="D90" s="11"/>
      <c r="E90" s="11"/>
      <c r="F90" s="11"/>
      <c r="G90" s="11"/>
      <c r="H90" s="11">
        <v>4000</v>
      </c>
      <c r="I90" s="15"/>
      <c r="J90" s="12">
        <f t="shared" si="6"/>
        <v>9285.41</v>
      </c>
      <c r="K90" s="12">
        <f t="shared" si="7"/>
        <v>56118.61</v>
      </c>
    </row>
    <row r="91" spans="2:11" x14ac:dyDescent="0.25">
      <c r="B91" s="18">
        <v>43677</v>
      </c>
      <c r="C91" s="21" t="s">
        <v>567</v>
      </c>
      <c r="D91" s="11"/>
      <c r="E91" s="11"/>
      <c r="F91" s="11"/>
      <c r="G91" s="11"/>
      <c r="H91" s="11">
        <v>30000</v>
      </c>
      <c r="I91" s="15"/>
      <c r="J91" s="12">
        <f t="shared" si="6"/>
        <v>9285.41</v>
      </c>
      <c r="K91" s="12">
        <f t="shared" si="7"/>
        <v>26118.61</v>
      </c>
    </row>
    <row r="92" spans="2:11" x14ac:dyDescent="0.25">
      <c r="B92" s="18">
        <v>43677</v>
      </c>
      <c r="C92" s="9" t="s">
        <v>568</v>
      </c>
      <c r="D92" s="11"/>
      <c r="E92" s="11"/>
      <c r="F92" s="11"/>
      <c r="G92" s="11">
        <v>10000</v>
      </c>
      <c r="H92" s="11"/>
      <c r="I92" s="15"/>
      <c r="J92" s="12">
        <f t="shared" si="6"/>
        <v>-714.59000000000015</v>
      </c>
      <c r="K92" s="12">
        <f t="shared" si="7"/>
        <v>26118.61</v>
      </c>
    </row>
    <row r="93" spans="2:11" x14ac:dyDescent="0.25">
      <c r="B93" s="18">
        <v>43677</v>
      </c>
      <c r="C93" s="9" t="s">
        <v>630</v>
      </c>
      <c r="D93" s="11">
        <v>900</v>
      </c>
      <c r="E93" s="11"/>
      <c r="F93" s="11"/>
      <c r="G93" s="11"/>
      <c r="H93" s="11"/>
      <c r="I93" s="15"/>
      <c r="J93" s="12">
        <f t="shared" si="6"/>
        <v>-714.59000000000015</v>
      </c>
      <c r="K93" s="12">
        <f t="shared" si="7"/>
        <v>27018.61</v>
      </c>
    </row>
    <row r="94" spans="2:11" x14ac:dyDescent="0.25">
      <c r="B94" s="18">
        <v>43648</v>
      </c>
      <c r="C94" s="13" t="s">
        <v>641</v>
      </c>
      <c r="D94" s="41"/>
      <c r="E94" s="41">
        <v>400.15</v>
      </c>
      <c r="F94" s="41"/>
      <c r="G94" s="41"/>
      <c r="H94" s="11"/>
      <c r="I94" s="15"/>
      <c r="J94" s="12">
        <f t="shared" si="6"/>
        <v>-314.44000000000017</v>
      </c>
      <c r="K94" s="12">
        <f t="shared" si="7"/>
        <v>27018.61</v>
      </c>
    </row>
    <row r="95" spans="2:11" x14ac:dyDescent="0.25">
      <c r="B95" s="18">
        <v>43650</v>
      </c>
      <c r="C95" s="13" t="s">
        <v>642</v>
      </c>
      <c r="D95" s="41"/>
      <c r="E95" s="41">
        <v>400</v>
      </c>
      <c r="F95" s="41"/>
      <c r="G95" s="16"/>
      <c r="H95" s="11"/>
      <c r="I95" s="15"/>
      <c r="J95" s="12">
        <f t="shared" si="6"/>
        <v>85.559999999999832</v>
      </c>
      <c r="K95" s="12">
        <f t="shared" si="7"/>
        <v>27018.61</v>
      </c>
    </row>
    <row r="96" spans="2:11" x14ac:dyDescent="0.25">
      <c r="B96" s="18">
        <v>43651</v>
      </c>
      <c r="C96" s="13" t="s">
        <v>643</v>
      </c>
      <c r="D96" s="41"/>
      <c r="E96" s="41">
        <v>400.46</v>
      </c>
      <c r="F96" s="41"/>
      <c r="G96" s="41"/>
      <c r="H96" s="11"/>
      <c r="I96" s="15"/>
      <c r="J96" s="12">
        <f t="shared" si="6"/>
        <v>486.01999999999981</v>
      </c>
      <c r="K96" s="12">
        <f t="shared" si="7"/>
        <v>27018.61</v>
      </c>
    </row>
    <row r="97" spans="2:11" x14ac:dyDescent="0.25">
      <c r="B97" s="18">
        <v>43675</v>
      </c>
      <c r="C97" s="9" t="s">
        <v>644</v>
      </c>
      <c r="D97" s="11"/>
      <c r="E97" s="113">
        <v>1600</v>
      </c>
      <c r="F97" s="11"/>
      <c r="G97" s="11"/>
      <c r="H97" s="11"/>
      <c r="I97" s="15"/>
      <c r="J97" s="12">
        <f t="shared" si="6"/>
        <v>2086.02</v>
      </c>
      <c r="K97" s="12">
        <f t="shared" si="7"/>
        <v>27018.61</v>
      </c>
    </row>
    <row r="98" spans="2:11" x14ac:dyDescent="0.25">
      <c r="B98" s="18">
        <v>43675</v>
      </c>
      <c r="C98" s="9" t="s">
        <v>496</v>
      </c>
      <c r="D98" s="11"/>
      <c r="E98" s="11"/>
      <c r="F98" s="11"/>
      <c r="G98" s="11">
        <v>200</v>
      </c>
      <c r="H98" s="11"/>
      <c r="I98" s="15"/>
      <c r="J98" s="12">
        <f t="shared" si="6"/>
        <v>1886.02</v>
      </c>
      <c r="K98" s="12">
        <f t="shared" si="7"/>
        <v>27018.61</v>
      </c>
    </row>
    <row r="99" spans="2:11" x14ac:dyDescent="0.25">
      <c r="B99" s="18">
        <v>43675</v>
      </c>
      <c r="C99" s="13" t="s">
        <v>497</v>
      </c>
      <c r="D99" s="11"/>
      <c r="E99" s="11"/>
      <c r="F99" s="11"/>
      <c r="G99" s="11">
        <v>32</v>
      </c>
      <c r="H99" s="11"/>
      <c r="I99" s="15"/>
      <c r="J99" s="12">
        <f t="shared" si="6"/>
        <v>1854.02</v>
      </c>
      <c r="K99" s="12">
        <f t="shared" si="7"/>
        <v>27018.61</v>
      </c>
    </row>
    <row r="100" spans="2:11" x14ac:dyDescent="0.25">
      <c r="B100" s="18">
        <v>43677</v>
      </c>
      <c r="C100" s="13" t="s">
        <v>638</v>
      </c>
      <c r="D100" s="11"/>
      <c r="E100" s="11">
        <v>12760</v>
      </c>
      <c r="F100" s="11"/>
      <c r="G100" s="11"/>
      <c r="H100" s="11"/>
      <c r="I100" s="15"/>
      <c r="J100" s="12">
        <f t="shared" ref="J100:J103" si="8">+J99+E100-G100</f>
        <v>14614.02</v>
      </c>
      <c r="K100" s="12">
        <f t="shared" ref="K100:K103" si="9">+K99+D100-H100</f>
        <v>27018.61</v>
      </c>
    </row>
    <row r="101" spans="2:11" x14ac:dyDescent="0.25">
      <c r="B101" s="18">
        <v>43677</v>
      </c>
      <c r="C101" s="9" t="s">
        <v>69</v>
      </c>
      <c r="D101" s="11"/>
      <c r="E101" s="11"/>
      <c r="F101" s="11"/>
      <c r="G101" s="11">
        <v>36</v>
      </c>
      <c r="H101" s="11"/>
      <c r="I101" s="15"/>
      <c r="J101" s="12">
        <f t="shared" si="8"/>
        <v>14578.02</v>
      </c>
      <c r="K101" s="12">
        <f t="shared" si="9"/>
        <v>27018.61</v>
      </c>
    </row>
    <row r="102" spans="2:11" x14ac:dyDescent="0.25">
      <c r="B102" s="18">
        <v>43677</v>
      </c>
      <c r="C102" s="13" t="s">
        <v>70</v>
      </c>
      <c r="D102" s="11"/>
      <c r="E102" s="11"/>
      <c r="F102" s="11"/>
      <c r="G102" s="11">
        <v>5.76</v>
      </c>
      <c r="H102" s="11"/>
      <c r="I102" s="15"/>
      <c r="J102" s="12">
        <f t="shared" si="8"/>
        <v>14572.26</v>
      </c>
      <c r="K102" s="12">
        <f t="shared" si="9"/>
        <v>27018.61</v>
      </c>
    </row>
    <row r="103" spans="2:11" ht="15.75" thickBot="1" x14ac:dyDescent="0.3">
      <c r="B103" s="18"/>
      <c r="C103" s="9"/>
      <c r="D103" s="11"/>
      <c r="E103" s="11"/>
      <c r="F103" s="11"/>
      <c r="G103" s="11"/>
      <c r="H103" s="11"/>
      <c r="I103" s="15"/>
      <c r="J103" s="12">
        <f t="shared" si="8"/>
        <v>14572.26</v>
      </c>
      <c r="K103" s="12">
        <f t="shared" si="9"/>
        <v>27018.61</v>
      </c>
    </row>
    <row r="104" spans="2:11" ht="15.75" thickBot="1" x14ac:dyDescent="0.3">
      <c r="B104" s="5"/>
      <c r="C104" s="7" t="s">
        <v>0</v>
      </c>
      <c r="D104" s="62">
        <f>SUM(D57:D103)</f>
        <v>98090</v>
      </c>
      <c r="E104" s="61">
        <f>SUM(E57:E103)</f>
        <v>15560.61</v>
      </c>
      <c r="F104" s="71">
        <f>SUM(D104:E104)</f>
        <v>113650.61</v>
      </c>
      <c r="G104" s="80">
        <f>SUM(G57:G103)</f>
        <v>13433.76</v>
      </c>
      <c r="H104" s="62">
        <f>SUM(H57:H103)</f>
        <v>107410.51</v>
      </c>
      <c r="I104" s="71">
        <f>SUM(G104:H104)</f>
        <v>120844.26999999999</v>
      </c>
      <c r="J104" s="20"/>
      <c r="K104" s="20"/>
    </row>
    <row r="105" spans="2:11" ht="15.75" thickBot="1" x14ac:dyDescent="0.3"/>
    <row r="106" spans="2:11" ht="15.75" thickBot="1" x14ac:dyDescent="0.3">
      <c r="I106" s="74" t="s">
        <v>8</v>
      </c>
      <c r="J106" s="74" t="s">
        <v>7</v>
      </c>
      <c r="K106" s="95" t="s">
        <v>0</v>
      </c>
    </row>
    <row r="107" spans="2:11" ht="15.75" thickBot="1" x14ac:dyDescent="0.3">
      <c r="I107" s="26">
        <v>14572.26</v>
      </c>
      <c r="J107" s="26">
        <v>27018.61</v>
      </c>
      <c r="K107" s="20">
        <f>SUM(I107:J107)</f>
        <v>41590.870000000003</v>
      </c>
    </row>
  </sheetData>
  <printOptions verticalCentered="1"/>
  <pageMargins left="0" right="0" top="0" bottom="0" header="0.31496062992125984" footer="0.31496062992125984"/>
  <pageSetup paperSize="9" scale="73" fitToHeight="0" orientation="landscape" horizontalDpi="0" verticalDpi="0" r:id="rId1"/>
  <ignoredErrors>
    <ignoredError sqref="F54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4">
    <pageSetUpPr fitToPage="1"/>
  </sheetPr>
  <dimension ref="B1:M118"/>
  <sheetViews>
    <sheetView zoomScale="90" zoomScaleNormal="90" workbookViewId="0">
      <pane ySplit="3" topLeftCell="A105" activePane="bottomLeft" state="frozen"/>
      <selection activeCell="B1" sqref="B1"/>
      <selection pane="bottomLeft" activeCell="C109" sqref="C109"/>
    </sheetView>
  </sheetViews>
  <sheetFormatPr baseColWidth="10" defaultRowHeight="15" x14ac:dyDescent="0.25"/>
  <cols>
    <col min="1" max="1" width="10.7109375" customWidth="1"/>
    <col min="2" max="2" width="11.5703125" customWidth="1"/>
    <col min="3" max="3" width="86.140625" customWidth="1"/>
    <col min="4" max="11" width="11.7109375" customWidth="1"/>
    <col min="12" max="12" width="11.42578125" bestFit="1" customWidth="1"/>
  </cols>
  <sheetData>
    <row r="1" spans="2:11" ht="16.5" thickBot="1" x14ac:dyDescent="0.3">
      <c r="B1" s="79"/>
      <c r="C1" s="81" t="s">
        <v>50</v>
      </c>
    </row>
    <row r="2" spans="2:11" x14ac:dyDescent="0.25">
      <c r="B2" s="68" t="s">
        <v>1</v>
      </c>
      <c r="C2" s="68" t="s">
        <v>2</v>
      </c>
      <c r="D2" s="68" t="s">
        <v>3</v>
      </c>
      <c r="E2" s="68" t="s">
        <v>3</v>
      </c>
      <c r="F2" s="68" t="s">
        <v>22</v>
      </c>
      <c r="G2" s="68" t="s">
        <v>23</v>
      </c>
      <c r="H2" s="48" t="s">
        <v>23</v>
      </c>
      <c r="I2" s="48" t="s">
        <v>22</v>
      </c>
      <c r="J2" s="68" t="s">
        <v>8</v>
      </c>
      <c r="K2" s="48" t="s">
        <v>7</v>
      </c>
    </row>
    <row r="3" spans="2:11" ht="15.75" thickBot="1" x14ac:dyDescent="0.3">
      <c r="B3" s="69"/>
      <c r="C3" s="69"/>
      <c r="D3" s="69" t="s">
        <v>5</v>
      </c>
      <c r="E3" s="69" t="s">
        <v>24</v>
      </c>
      <c r="F3" s="69" t="s">
        <v>3</v>
      </c>
      <c r="G3" s="69" t="s">
        <v>24</v>
      </c>
      <c r="H3" s="70" t="s">
        <v>5</v>
      </c>
      <c r="I3" s="70" t="s">
        <v>4</v>
      </c>
      <c r="J3" s="69"/>
      <c r="K3" s="70"/>
    </row>
    <row r="4" spans="2:11" x14ac:dyDescent="0.25">
      <c r="B4" s="23">
        <v>43677</v>
      </c>
      <c r="C4" s="65" t="s">
        <v>51</v>
      </c>
      <c r="D4" s="66"/>
      <c r="E4" s="63"/>
      <c r="F4" s="63"/>
      <c r="G4" s="63"/>
      <c r="H4" s="17"/>
      <c r="I4" s="64"/>
      <c r="J4" s="73">
        <v>14572.26</v>
      </c>
      <c r="K4" s="97">
        <v>27018.61</v>
      </c>
    </row>
    <row r="5" spans="2:11" x14ac:dyDescent="0.25">
      <c r="B5" s="23">
        <v>43678</v>
      </c>
      <c r="C5" s="9" t="s">
        <v>647</v>
      </c>
      <c r="D5" s="11"/>
      <c r="E5" s="11"/>
      <c r="F5" s="11"/>
      <c r="G5" s="11"/>
      <c r="H5" s="11">
        <v>500</v>
      </c>
      <c r="I5" s="15"/>
      <c r="J5" s="12">
        <f t="shared" ref="J5:J10" si="0">+J4+E5-G5</f>
        <v>14572.26</v>
      </c>
      <c r="K5" s="12">
        <f t="shared" ref="K5:K10" si="1">+K4+D5-H5</f>
        <v>26518.61</v>
      </c>
    </row>
    <row r="6" spans="2:11" x14ac:dyDescent="0.25">
      <c r="B6" s="23">
        <v>43678</v>
      </c>
      <c r="C6" s="13" t="s">
        <v>648</v>
      </c>
      <c r="D6" s="11"/>
      <c r="E6" s="11"/>
      <c r="F6" s="11"/>
      <c r="G6" s="11"/>
      <c r="H6" s="11">
        <v>500</v>
      </c>
      <c r="I6" s="15"/>
      <c r="J6" s="12">
        <f t="shared" si="0"/>
        <v>14572.26</v>
      </c>
      <c r="K6" s="12">
        <f t="shared" si="1"/>
        <v>26018.61</v>
      </c>
    </row>
    <row r="7" spans="2:11" x14ac:dyDescent="0.25">
      <c r="B7" s="18">
        <v>43678</v>
      </c>
      <c r="C7" s="9" t="s">
        <v>649</v>
      </c>
      <c r="D7" s="11"/>
      <c r="E7" s="11"/>
      <c r="F7" s="11"/>
      <c r="G7" s="11"/>
      <c r="H7" s="59">
        <v>1500</v>
      </c>
      <c r="I7" s="15"/>
      <c r="J7" s="12">
        <f t="shared" si="0"/>
        <v>14572.26</v>
      </c>
      <c r="K7" s="12">
        <f t="shared" si="1"/>
        <v>24518.61</v>
      </c>
    </row>
    <row r="8" spans="2:11" x14ac:dyDescent="0.25">
      <c r="B8" s="18">
        <v>43678</v>
      </c>
      <c r="C8" s="13" t="s">
        <v>650</v>
      </c>
      <c r="D8" s="11"/>
      <c r="E8" s="11"/>
      <c r="F8" s="11"/>
      <c r="G8" s="11"/>
      <c r="H8" s="11">
        <v>150</v>
      </c>
      <c r="I8" s="15"/>
      <c r="J8" s="12">
        <f t="shared" si="0"/>
        <v>14572.26</v>
      </c>
      <c r="K8" s="12">
        <f t="shared" si="1"/>
        <v>24368.61</v>
      </c>
    </row>
    <row r="9" spans="2:11" x14ac:dyDescent="0.25">
      <c r="B9" s="18">
        <v>43679</v>
      </c>
      <c r="C9" s="9" t="s">
        <v>651</v>
      </c>
      <c r="D9" s="11"/>
      <c r="E9" s="11"/>
      <c r="F9" s="11"/>
      <c r="G9" s="11"/>
      <c r="H9" s="59">
        <v>123</v>
      </c>
      <c r="I9" s="15"/>
      <c r="J9" s="12">
        <f t="shared" si="0"/>
        <v>14572.26</v>
      </c>
      <c r="K9" s="12">
        <f t="shared" si="1"/>
        <v>24245.61</v>
      </c>
    </row>
    <row r="10" spans="2:11" x14ac:dyDescent="0.25">
      <c r="B10" s="18">
        <v>43679</v>
      </c>
      <c r="C10" s="13" t="s">
        <v>652</v>
      </c>
      <c r="D10" s="11"/>
      <c r="E10" s="11"/>
      <c r="F10" s="11"/>
      <c r="G10" s="11"/>
      <c r="H10" s="11">
        <v>300</v>
      </c>
      <c r="I10" s="15"/>
      <c r="J10" s="12">
        <f t="shared" si="0"/>
        <v>14572.26</v>
      </c>
      <c r="K10" s="12">
        <f t="shared" si="1"/>
        <v>23945.61</v>
      </c>
    </row>
    <row r="11" spans="2:11" x14ac:dyDescent="0.25">
      <c r="B11" s="18">
        <v>43679</v>
      </c>
      <c r="C11" s="9" t="s">
        <v>653</v>
      </c>
      <c r="D11" s="11"/>
      <c r="E11" s="11"/>
      <c r="F11" s="11"/>
      <c r="G11" s="11"/>
      <c r="H11" s="11">
        <v>400</v>
      </c>
      <c r="I11" s="15"/>
      <c r="J11" s="12">
        <f t="shared" ref="J11:J50" si="2">+J10+E11-G11</f>
        <v>14572.26</v>
      </c>
      <c r="K11" s="12">
        <f t="shared" ref="K11:K50" si="3">+K10+D11-H11</f>
        <v>23545.61</v>
      </c>
    </row>
    <row r="12" spans="2:11" x14ac:dyDescent="0.25">
      <c r="B12" s="18">
        <v>43679</v>
      </c>
      <c r="C12" s="9" t="s">
        <v>657</v>
      </c>
      <c r="D12" s="11"/>
      <c r="E12" s="11"/>
      <c r="F12" s="11"/>
      <c r="G12" s="11"/>
      <c r="H12" s="11">
        <v>1500</v>
      </c>
      <c r="I12" s="15"/>
      <c r="J12" s="12">
        <f t="shared" si="2"/>
        <v>14572.26</v>
      </c>
      <c r="K12" s="12">
        <f t="shared" si="3"/>
        <v>22045.61</v>
      </c>
    </row>
    <row r="13" spans="2:11" x14ac:dyDescent="0.25">
      <c r="B13" s="18">
        <v>43679</v>
      </c>
      <c r="C13" s="9" t="s">
        <v>658</v>
      </c>
      <c r="D13" s="11"/>
      <c r="E13" s="11"/>
      <c r="F13" s="11"/>
      <c r="G13" s="11"/>
      <c r="H13" s="59">
        <v>1306.33</v>
      </c>
      <c r="I13" s="15"/>
      <c r="J13" s="12">
        <f t="shared" si="2"/>
        <v>14572.26</v>
      </c>
      <c r="K13" s="12">
        <f t="shared" si="3"/>
        <v>20739.28</v>
      </c>
    </row>
    <row r="14" spans="2:11" x14ac:dyDescent="0.25">
      <c r="B14" s="18">
        <v>43680</v>
      </c>
      <c r="C14" s="9" t="s">
        <v>659</v>
      </c>
      <c r="D14" s="11"/>
      <c r="E14" s="11"/>
      <c r="F14" s="11"/>
      <c r="G14" s="11"/>
      <c r="H14" s="11">
        <v>4200</v>
      </c>
      <c r="I14" s="15"/>
      <c r="J14" s="12">
        <f t="shared" si="2"/>
        <v>14572.26</v>
      </c>
      <c r="K14" s="12">
        <f t="shared" si="3"/>
        <v>16539.28</v>
      </c>
    </row>
    <row r="15" spans="2:11" x14ac:dyDescent="0.25">
      <c r="B15" s="18">
        <v>43680</v>
      </c>
      <c r="C15" s="9" t="s">
        <v>660</v>
      </c>
      <c r="D15" s="11"/>
      <c r="E15" s="11"/>
      <c r="F15" s="11"/>
      <c r="G15" s="11"/>
      <c r="H15" s="59">
        <v>1000</v>
      </c>
      <c r="I15" s="15"/>
      <c r="J15" s="12">
        <f t="shared" si="2"/>
        <v>14572.26</v>
      </c>
      <c r="K15" s="12">
        <f t="shared" si="3"/>
        <v>15539.279999999999</v>
      </c>
    </row>
    <row r="16" spans="2:11" x14ac:dyDescent="0.25">
      <c r="B16" s="18">
        <v>43680</v>
      </c>
      <c r="C16" s="9" t="s">
        <v>661</v>
      </c>
      <c r="D16" s="11"/>
      <c r="E16" s="11"/>
      <c r="F16" s="11"/>
      <c r="G16" s="11"/>
      <c r="H16" s="11">
        <v>150</v>
      </c>
      <c r="I16" s="15"/>
      <c r="J16" s="12">
        <f t="shared" si="2"/>
        <v>14572.26</v>
      </c>
      <c r="K16" s="12">
        <f t="shared" si="3"/>
        <v>15389.279999999999</v>
      </c>
    </row>
    <row r="17" spans="2:11" x14ac:dyDescent="0.25">
      <c r="B17" s="18">
        <v>43681</v>
      </c>
      <c r="C17" s="9" t="s">
        <v>662</v>
      </c>
      <c r="D17" s="11"/>
      <c r="E17" s="11"/>
      <c r="F17" s="11"/>
      <c r="G17" s="11"/>
      <c r="H17" s="11">
        <v>120</v>
      </c>
      <c r="I17" s="15"/>
      <c r="J17" s="12">
        <f t="shared" si="2"/>
        <v>14572.26</v>
      </c>
      <c r="K17" s="12">
        <f t="shared" si="3"/>
        <v>15269.279999999999</v>
      </c>
    </row>
    <row r="18" spans="2:11" x14ac:dyDescent="0.25">
      <c r="B18" s="18">
        <v>43681</v>
      </c>
      <c r="C18" s="9" t="s">
        <v>663</v>
      </c>
      <c r="D18" s="11"/>
      <c r="E18" s="11"/>
      <c r="F18" s="11"/>
      <c r="G18" s="11"/>
      <c r="H18" s="11">
        <v>67</v>
      </c>
      <c r="I18" s="15"/>
      <c r="J18" s="12">
        <f t="shared" si="2"/>
        <v>14572.26</v>
      </c>
      <c r="K18" s="12">
        <f t="shared" si="3"/>
        <v>15202.279999999999</v>
      </c>
    </row>
    <row r="19" spans="2:11" x14ac:dyDescent="0.25">
      <c r="B19" s="18">
        <v>43681</v>
      </c>
      <c r="C19" s="9" t="s">
        <v>664</v>
      </c>
      <c r="D19" s="11"/>
      <c r="E19" s="11"/>
      <c r="F19" s="11"/>
      <c r="G19" s="11"/>
      <c r="H19" s="11">
        <v>44</v>
      </c>
      <c r="I19" s="15"/>
      <c r="J19" s="12">
        <f t="shared" si="2"/>
        <v>14572.26</v>
      </c>
      <c r="K19" s="12">
        <f t="shared" si="3"/>
        <v>15158.279999999999</v>
      </c>
    </row>
    <row r="20" spans="2:11" x14ac:dyDescent="0.25">
      <c r="B20" s="18">
        <v>43681</v>
      </c>
      <c r="C20" s="9" t="s">
        <v>665</v>
      </c>
      <c r="D20" s="11"/>
      <c r="E20" s="11"/>
      <c r="F20" s="11"/>
      <c r="G20" s="11"/>
      <c r="H20" s="11">
        <v>170</v>
      </c>
      <c r="I20" s="15"/>
      <c r="J20" s="12">
        <f t="shared" si="2"/>
        <v>14572.26</v>
      </c>
      <c r="K20" s="12">
        <f t="shared" si="3"/>
        <v>14988.279999999999</v>
      </c>
    </row>
    <row r="21" spans="2:11" x14ac:dyDescent="0.25">
      <c r="B21" s="18">
        <v>43681</v>
      </c>
      <c r="C21" s="9" t="s">
        <v>666</v>
      </c>
      <c r="D21" s="11"/>
      <c r="E21" s="11"/>
      <c r="F21" s="11"/>
      <c r="G21" s="11"/>
      <c r="H21" s="11">
        <v>30.5</v>
      </c>
      <c r="I21" s="15"/>
      <c r="J21" s="12">
        <f t="shared" si="2"/>
        <v>14572.26</v>
      </c>
      <c r="K21" s="12">
        <f t="shared" si="3"/>
        <v>14957.779999999999</v>
      </c>
    </row>
    <row r="22" spans="2:11" x14ac:dyDescent="0.25">
      <c r="B22" s="18">
        <v>43681</v>
      </c>
      <c r="C22" s="9" t="s">
        <v>667</v>
      </c>
      <c r="D22" s="11">
        <v>21750</v>
      </c>
      <c r="E22" s="11"/>
      <c r="F22" s="11"/>
      <c r="G22" s="11"/>
      <c r="H22" s="59"/>
      <c r="I22" s="15"/>
      <c r="J22" s="12">
        <f t="shared" si="2"/>
        <v>14572.26</v>
      </c>
      <c r="K22" s="12">
        <f t="shared" si="3"/>
        <v>36707.78</v>
      </c>
    </row>
    <row r="23" spans="2:11" x14ac:dyDescent="0.25">
      <c r="B23" s="18">
        <v>43682</v>
      </c>
      <c r="C23" s="9" t="s">
        <v>668</v>
      </c>
      <c r="D23" s="11"/>
      <c r="E23" s="11"/>
      <c r="F23" s="11"/>
      <c r="G23" s="11"/>
      <c r="H23" s="59">
        <v>69</v>
      </c>
      <c r="I23" s="15"/>
      <c r="J23" s="12">
        <f t="shared" si="2"/>
        <v>14572.26</v>
      </c>
      <c r="K23" s="12">
        <f t="shared" si="3"/>
        <v>36638.78</v>
      </c>
    </row>
    <row r="24" spans="2:11" x14ac:dyDescent="0.25">
      <c r="B24" s="18">
        <v>43682</v>
      </c>
      <c r="C24" s="9" t="s">
        <v>669</v>
      </c>
      <c r="D24" s="11"/>
      <c r="E24" s="11"/>
      <c r="F24" s="11"/>
      <c r="G24" s="11"/>
      <c r="H24" s="11">
        <v>300</v>
      </c>
      <c r="I24" s="15"/>
      <c r="J24" s="12">
        <f t="shared" si="2"/>
        <v>14572.26</v>
      </c>
      <c r="K24" s="12">
        <f t="shared" si="3"/>
        <v>36338.78</v>
      </c>
    </row>
    <row r="25" spans="2:11" x14ac:dyDescent="0.25">
      <c r="B25" s="18">
        <v>43621</v>
      </c>
      <c r="C25" s="9" t="s">
        <v>666</v>
      </c>
      <c r="D25" s="11"/>
      <c r="E25" s="11"/>
      <c r="F25" s="11"/>
      <c r="G25" s="11"/>
      <c r="H25" s="11">
        <v>39</v>
      </c>
      <c r="I25" s="15"/>
      <c r="J25" s="12">
        <f t="shared" si="2"/>
        <v>14572.26</v>
      </c>
      <c r="K25" s="12">
        <f t="shared" si="3"/>
        <v>36299.78</v>
      </c>
    </row>
    <row r="26" spans="2:11" x14ac:dyDescent="0.25">
      <c r="B26" s="18">
        <v>43682</v>
      </c>
      <c r="C26" s="9" t="s">
        <v>670</v>
      </c>
      <c r="D26" s="11"/>
      <c r="E26" s="11"/>
      <c r="F26" s="11"/>
      <c r="G26" s="11"/>
      <c r="H26" s="11">
        <v>266</v>
      </c>
      <c r="I26" s="15"/>
      <c r="J26" s="12">
        <f t="shared" si="2"/>
        <v>14572.26</v>
      </c>
      <c r="K26" s="12">
        <f t="shared" si="3"/>
        <v>36033.78</v>
      </c>
    </row>
    <row r="27" spans="2:11" x14ac:dyDescent="0.25">
      <c r="B27" s="18">
        <v>43684</v>
      </c>
      <c r="C27" s="9" t="s">
        <v>671</v>
      </c>
      <c r="D27" s="11"/>
      <c r="E27" s="11"/>
      <c r="F27" s="11"/>
      <c r="G27" s="11"/>
      <c r="H27" s="11">
        <v>180</v>
      </c>
      <c r="I27" s="15"/>
      <c r="J27" s="12">
        <f t="shared" si="2"/>
        <v>14572.26</v>
      </c>
      <c r="K27" s="12">
        <f t="shared" si="3"/>
        <v>35853.78</v>
      </c>
    </row>
    <row r="28" spans="2:11" x14ac:dyDescent="0.25">
      <c r="B28" s="18">
        <v>43686</v>
      </c>
      <c r="C28" s="114" t="s">
        <v>672</v>
      </c>
      <c r="D28" s="11"/>
      <c r="E28" s="11"/>
      <c r="F28" s="11"/>
      <c r="G28" s="11"/>
      <c r="H28" s="11">
        <v>320</v>
      </c>
      <c r="I28" s="15"/>
      <c r="J28" s="12">
        <f t="shared" si="2"/>
        <v>14572.26</v>
      </c>
      <c r="K28" s="12">
        <f t="shared" si="3"/>
        <v>35533.78</v>
      </c>
    </row>
    <row r="29" spans="2:11" x14ac:dyDescent="0.25">
      <c r="B29" s="18">
        <v>43686</v>
      </c>
      <c r="C29" s="9" t="s">
        <v>673</v>
      </c>
      <c r="D29" s="11"/>
      <c r="E29" s="11"/>
      <c r="F29" s="11"/>
      <c r="G29" s="11"/>
      <c r="H29" s="11">
        <v>270</v>
      </c>
      <c r="I29" s="15"/>
      <c r="J29" s="12">
        <f t="shared" si="2"/>
        <v>14572.26</v>
      </c>
      <c r="K29" s="12">
        <f t="shared" si="3"/>
        <v>35263.78</v>
      </c>
    </row>
    <row r="30" spans="2:11" x14ac:dyDescent="0.25">
      <c r="B30" s="18">
        <v>43686</v>
      </c>
      <c r="C30" s="127" t="s">
        <v>676</v>
      </c>
      <c r="D30" s="11"/>
      <c r="E30" s="11"/>
      <c r="F30" s="11"/>
      <c r="G30" s="11"/>
      <c r="H30" s="11">
        <v>1500</v>
      </c>
      <c r="I30" s="15"/>
      <c r="J30" s="12">
        <f t="shared" si="2"/>
        <v>14572.26</v>
      </c>
      <c r="K30" s="12">
        <f t="shared" si="3"/>
        <v>33763.78</v>
      </c>
    </row>
    <row r="31" spans="2:11" x14ac:dyDescent="0.25">
      <c r="B31" s="18">
        <v>43718</v>
      </c>
      <c r="C31" s="9" t="s">
        <v>674</v>
      </c>
      <c r="D31" s="11"/>
      <c r="E31" s="11"/>
      <c r="F31" s="11"/>
      <c r="G31" s="11"/>
      <c r="H31" s="59">
        <v>1000</v>
      </c>
      <c r="I31" s="15"/>
      <c r="J31" s="12">
        <f t="shared" si="2"/>
        <v>14572.26</v>
      </c>
      <c r="K31" s="12">
        <f t="shared" si="3"/>
        <v>32763.78</v>
      </c>
    </row>
    <row r="32" spans="2:11" x14ac:dyDescent="0.25">
      <c r="B32" s="18">
        <v>43718</v>
      </c>
      <c r="C32" s="9" t="s">
        <v>675</v>
      </c>
      <c r="D32" s="11"/>
      <c r="E32" s="11"/>
      <c r="F32" s="11"/>
      <c r="G32" s="11"/>
      <c r="H32" s="11">
        <v>150</v>
      </c>
      <c r="I32" s="15"/>
      <c r="J32" s="12">
        <f t="shared" si="2"/>
        <v>14572.26</v>
      </c>
      <c r="K32" s="12">
        <f t="shared" si="3"/>
        <v>32613.78</v>
      </c>
    </row>
    <row r="33" spans="2:11" x14ac:dyDescent="0.25">
      <c r="B33" s="18">
        <v>43718</v>
      </c>
      <c r="C33" s="9" t="s">
        <v>677</v>
      </c>
      <c r="D33" s="11"/>
      <c r="E33" s="11"/>
      <c r="F33" s="11"/>
      <c r="G33" s="11"/>
      <c r="H33" s="11">
        <v>250</v>
      </c>
      <c r="I33" s="15"/>
      <c r="J33" s="12">
        <f t="shared" si="2"/>
        <v>14572.26</v>
      </c>
      <c r="K33" s="12">
        <f t="shared" si="3"/>
        <v>32363.78</v>
      </c>
    </row>
    <row r="34" spans="2:11" x14ac:dyDescent="0.25">
      <c r="B34" s="18">
        <v>43688</v>
      </c>
      <c r="C34" s="9" t="s">
        <v>662</v>
      </c>
      <c r="D34" s="11"/>
      <c r="E34" s="11"/>
      <c r="F34" s="11"/>
      <c r="G34" s="11"/>
      <c r="H34" s="11">
        <v>120</v>
      </c>
      <c r="I34" s="15"/>
      <c r="J34" s="12">
        <f t="shared" si="2"/>
        <v>14572.26</v>
      </c>
      <c r="K34" s="12">
        <f t="shared" si="3"/>
        <v>32243.78</v>
      </c>
    </row>
    <row r="35" spans="2:11" x14ac:dyDescent="0.25">
      <c r="B35" s="18">
        <v>43688</v>
      </c>
      <c r="C35" s="9" t="s">
        <v>666</v>
      </c>
      <c r="D35" s="11"/>
      <c r="E35" s="11"/>
      <c r="F35" s="11"/>
      <c r="G35" s="11"/>
      <c r="H35" s="11">
        <v>71.5</v>
      </c>
      <c r="I35" s="15"/>
      <c r="J35" s="12">
        <f t="shared" si="2"/>
        <v>14572.26</v>
      </c>
      <c r="K35" s="12">
        <f t="shared" si="3"/>
        <v>32172.28</v>
      </c>
    </row>
    <row r="36" spans="2:11" x14ac:dyDescent="0.25">
      <c r="B36" s="18">
        <v>43688</v>
      </c>
      <c r="C36" s="9" t="s">
        <v>678</v>
      </c>
      <c r="D36" s="11"/>
      <c r="E36" s="11"/>
      <c r="F36" s="11"/>
      <c r="G36" s="11"/>
      <c r="H36" s="11">
        <v>120</v>
      </c>
      <c r="I36" s="15"/>
      <c r="J36" s="12">
        <f t="shared" si="2"/>
        <v>14572.26</v>
      </c>
      <c r="K36" s="12">
        <f t="shared" si="3"/>
        <v>32052.28</v>
      </c>
    </row>
    <row r="37" spans="2:11" x14ac:dyDescent="0.25">
      <c r="B37" s="18">
        <v>43688</v>
      </c>
      <c r="C37" s="9" t="s">
        <v>669</v>
      </c>
      <c r="D37" s="11"/>
      <c r="E37" s="11"/>
      <c r="F37" s="11"/>
      <c r="G37" s="11"/>
      <c r="H37" s="11">
        <v>300</v>
      </c>
      <c r="I37" s="15"/>
      <c r="J37" s="12">
        <f t="shared" si="2"/>
        <v>14572.26</v>
      </c>
      <c r="K37" s="12">
        <f t="shared" si="3"/>
        <v>31752.28</v>
      </c>
    </row>
    <row r="38" spans="2:11" x14ac:dyDescent="0.25">
      <c r="B38" s="18">
        <v>43688</v>
      </c>
      <c r="C38" s="9" t="s">
        <v>680</v>
      </c>
      <c r="D38" s="11">
        <v>26900</v>
      </c>
      <c r="E38" s="11"/>
      <c r="F38" s="11"/>
      <c r="G38" s="11"/>
      <c r="H38" s="11"/>
      <c r="I38" s="15"/>
      <c r="J38" s="12">
        <f t="shared" si="2"/>
        <v>14572.26</v>
      </c>
      <c r="K38" s="12">
        <f t="shared" si="3"/>
        <v>58652.28</v>
      </c>
    </row>
    <row r="39" spans="2:11" x14ac:dyDescent="0.25">
      <c r="B39" s="18">
        <v>43689</v>
      </c>
      <c r="C39" s="9" t="s">
        <v>679</v>
      </c>
      <c r="D39" s="11"/>
      <c r="E39" s="11"/>
      <c r="F39" s="11"/>
      <c r="G39" s="11"/>
      <c r="H39" s="11">
        <v>420</v>
      </c>
      <c r="I39" s="15"/>
      <c r="J39" s="12">
        <f t="shared" si="2"/>
        <v>14572.26</v>
      </c>
      <c r="K39" s="12">
        <f t="shared" si="3"/>
        <v>58232.28</v>
      </c>
    </row>
    <row r="40" spans="2:11" x14ac:dyDescent="0.25">
      <c r="B40" s="18">
        <v>43689</v>
      </c>
      <c r="C40" s="9" t="s">
        <v>681</v>
      </c>
      <c r="D40" s="11"/>
      <c r="E40" s="11"/>
      <c r="F40" s="11"/>
      <c r="G40" s="11"/>
      <c r="H40" s="11">
        <v>48.3</v>
      </c>
      <c r="I40" s="15"/>
      <c r="J40" s="12">
        <f t="shared" si="2"/>
        <v>14572.26</v>
      </c>
      <c r="K40" s="12">
        <f t="shared" si="3"/>
        <v>58183.979999999996</v>
      </c>
    </row>
    <row r="41" spans="2:11" x14ac:dyDescent="0.25">
      <c r="B41" s="18">
        <v>43689</v>
      </c>
      <c r="C41" s="21" t="s">
        <v>682</v>
      </c>
      <c r="D41" s="11"/>
      <c r="E41" s="11"/>
      <c r="F41" s="11"/>
      <c r="G41" s="11"/>
      <c r="H41" s="59">
        <v>254.6</v>
      </c>
      <c r="I41" s="15"/>
      <c r="J41" s="12">
        <f t="shared" si="2"/>
        <v>14572.26</v>
      </c>
      <c r="K41" s="12">
        <f t="shared" si="3"/>
        <v>57929.38</v>
      </c>
    </row>
    <row r="42" spans="2:11" x14ac:dyDescent="0.25">
      <c r="B42" s="18">
        <v>43689</v>
      </c>
      <c r="C42" s="9" t="s">
        <v>683</v>
      </c>
      <c r="D42" s="11"/>
      <c r="E42" s="11"/>
      <c r="F42" s="11"/>
      <c r="G42" s="11"/>
      <c r="H42" s="59">
        <v>228</v>
      </c>
      <c r="I42" s="15"/>
      <c r="J42" s="12">
        <f t="shared" si="2"/>
        <v>14572.26</v>
      </c>
      <c r="K42" s="12">
        <f t="shared" si="3"/>
        <v>57701.38</v>
      </c>
    </row>
    <row r="43" spans="2:11" x14ac:dyDescent="0.25">
      <c r="B43" s="18">
        <v>43689</v>
      </c>
      <c r="C43" s="9" t="s">
        <v>668</v>
      </c>
      <c r="D43" s="11"/>
      <c r="E43" s="11"/>
      <c r="F43" s="11"/>
      <c r="G43" s="11"/>
      <c r="H43" s="59">
        <v>99</v>
      </c>
      <c r="I43" s="15"/>
      <c r="J43" s="12">
        <f t="shared" si="2"/>
        <v>14572.26</v>
      </c>
      <c r="K43" s="12">
        <f t="shared" si="3"/>
        <v>57602.38</v>
      </c>
    </row>
    <row r="44" spans="2:11" x14ac:dyDescent="0.25">
      <c r="B44" s="18">
        <v>43689</v>
      </c>
      <c r="C44" s="9" t="s">
        <v>684</v>
      </c>
      <c r="D44" s="11"/>
      <c r="E44" s="11"/>
      <c r="F44" s="11"/>
      <c r="G44" s="11"/>
      <c r="H44" s="59">
        <v>48</v>
      </c>
      <c r="I44" s="15"/>
      <c r="J44" s="12">
        <f t="shared" si="2"/>
        <v>14572.26</v>
      </c>
      <c r="K44" s="12">
        <f t="shared" si="3"/>
        <v>57554.38</v>
      </c>
    </row>
    <row r="45" spans="2:11" x14ac:dyDescent="0.25">
      <c r="B45" s="18">
        <v>43690</v>
      </c>
      <c r="C45" s="13" t="s">
        <v>685</v>
      </c>
      <c r="D45" s="41"/>
      <c r="E45" s="41"/>
      <c r="F45" s="41"/>
      <c r="G45" s="41"/>
      <c r="H45" s="11">
        <v>777</v>
      </c>
      <c r="I45" s="15"/>
      <c r="J45" s="12">
        <f t="shared" si="2"/>
        <v>14572.26</v>
      </c>
      <c r="K45" s="12">
        <f t="shared" si="3"/>
        <v>56777.38</v>
      </c>
    </row>
    <row r="46" spans="2:11" x14ac:dyDescent="0.25">
      <c r="B46" s="18">
        <v>43690</v>
      </c>
      <c r="C46" s="123" t="s">
        <v>686</v>
      </c>
      <c r="D46" s="11"/>
      <c r="E46" s="11"/>
      <c r="F46" s="11"/>
      <c r="G46" s="11">
        <v>1760</v>
      </c>
      <c r="H46" s="11"/>
      <c r="I46" s="15"/>
      <c r="J46" s="12">
        <f t="shared" si="2"/>
        <v>12812.26</v>
      </c>
      <c r="K46" s="12">
        <f t="shared" si="3"/>
        <v>56777.38</v>
      </c>
    </row>
    <row r="47" spans="2:11" x14ac:dyDescent="0.25">
      <c r="B47" s="18">
        <v>43690</v>
      </c>
      <c r="C47" s="123" t="s">
        <v>687</v>
      </c>
      <c r="D47" s="11"/>
      <c r="E47" s="11"/>
      <c r="F47" s="11"/>
      <c r="G47" s="11">
        <v>1400</v>
      </c>
      <c r="H47" s="11"/>
      <c r="I47" s="15"/>
      <c r="J47" s="12">
        <f t="shared" si="2"/>
        <v>11412.26</v>
      </c>
      <c r="K47" s="12">
        <f t="shared" si="3"/>
        <v>56777.38</v>
      </c>
    </row>
    <row r="48" spans="2:11" x14ac:dyDescent="0.25">
      <c r="B48" s="18">
        <v>43692</v>
      </c>
      <c r="C48" s="9" t="s">
        <v>688</v>
      </c>
      <c r="D48" s="11"/>
      <c r="E48" s="11"/>
      <c r="F48" s="11"/>
      <c r="G48" s="11"/>
      <c r="H48" s="11">
        <v>350</v>
      </c>
      <c r="I48" s="15"/>
      <c r="J48" s="12">
        <f t="shared" si="2"/>
        <v>11412.26</v>
      </c>
      <c r="K48" s="12">
        <f t="shared" si="3"/>
        <v>56427.38</v>
      </c>
    </row>
    <row r="49" spans="2:11" x14ac:dyDescent="0.25">
      <c r="B49" s="18">
        <v>43692</v>
      </c>
      <c r="C49" s="9" t="s">
        <v>689</v>
      </c>
      <c r="D49" s="11"/>
      <c r="E49" s="11"/>
      <c r="F49" s="11"/>
      <c r="G49" s="11"/>
      <c r="H49" s="11">
        <v>550</v>
      </c>
      <c r="I49" s="15"/>
      <c r="J49" s="12">
        <f t="shared" si="2"/>
        <v>11412.26</v>
      </c>
      <c r="K49" s="12">
        <f t="shared" si="3"/>
        <v>55877.38</v>
      </c>
    </row>
    <row r="50" spans="2:11" x14ac:dyDescent="0.25">
      <c r="B50" s="18">
        <v>43692</v>
      </c>
      <c r="C50" s="9" t="s">
        <v>690</v>
      </c>
      <c r="D50" s="11"/>
      <c r="E50" s="11"/>
      <c r="F50" s="11"/>
      <c r="G50" s="11"/>
      <c r="H50" s="11">
        <v>2000</v>
      </c>
      <c r="I50" s="15"/>
      <c r="J50" s="12">
        <f t="shared" si="2"/>
        <v>11412.26</v>
      </c>
      <c r="K50" s="12">
        <f t="shared" si="3"/>
        <v>53877.38</v>
      </c>
    </row>
    <row r="51" spans="2:11" x14ac:dyDescent="0.25">
      <c r="B51" s="18">
        <v>43692</v>
      </c>
      <c r="C51" s="9" t="s">
        <v>445</v>
      </c>
      <c r="D51" s="11"/>
      <c r="E51" s="11"/>
      <c r="F51" s="11"/>
      <c r="G51" s="11"/>
      <c r="H51" s="11">
        <v>4000</v>
      </c>
      <c r="I51" s="15"/>
      <c r="J51" s="12">
        <f t="shared" ref="J51:J57" si="4">+J50+E51-G51</f>
        <v>11412.26</v>
      </c>
      <c r="K51" s="12">
        <f t="shared" ref="K51:K57" si="5">+K50+D51-H51</f>
        <v>49877.38</v>
      </c>
    </row>
    <row r="52" spans="2:11" x14ac:dyDescent="0.25">
      <c r="B52" s="18">
        <v>43692</v>
      </c>
      <c r="C52" s="21" t="s">
        <v>654</v>
      </c>
      <c r="D52" s="11"/>
      <c r="E52" s="11"/>
      <c r="F52" s="11"/>
      <c r="G52" s="11"/>
      <c r="H52" s="11">
        <v>35000</v>
      </c>
      <c r="I52" s="15"/>
      <c r="J52" s="12">
        <f t="shared" si="4"/>
        <v>11412.26</v>
      </c>
      <c r="K52" s="12">
        <f t="shared" si="5"/>
        <v>14877.379999999997</v>
      </c>
    </row>
    <row r="53" spans="2:11" x14ac:dyDescent="0.25">
      <c r="B53" s="18">
        <v>43692</v>
      </c>
      <c r="C53" s="9" t="s">
        <v>655</v>
      </c>
      <c r="D53" s="11"/>
      <c r="E53" s="11"/>
      <c r="F53" s="11"/>
      <c r="G53" s="11">
        <v>5000</v>
      </c>
      <c r="H53" s="11"/>
      <c r="I53" s="15"/>
      <c r="J53" s="12">
        <f t="shared" si="4"/>
        <v>6412.26</v>
      </c>
      <c r="K53" s="12">
        <f t="shared" si="5"/>
        <v>14877.379999999997</v>
      </c>
    </row>
    <row r="54" spans="2:11" x14ac:dyDescent="0.25">
      <c r="B54" s="18">
        <v>43692</v>
      </c>
      <c r="C54" s="13" t="s">
        <v>656</v>
      </c>
      <c r="D54" s="11"/>
      <c r="E54" s="11">
        <v>12760</v>
      </c>
      <c r="F54" s="11"/>
      <c r="G54" s="11"/>
      <c r="H54" s="11"/>
      <c r="I54" s="15"/>
      <c r="J54" s="12">
        <f t="shared" si="4"/>
        <v>19172.260000000002</v>
      </c>
      <c r="K54" s="12">
        <f t="shared" si="5"/>
        <v>14877.379999999997</v>
      </c>
    </row>
    <row r="55" spans="2:11" x14ac:dyDescent="0.25">
      <c r="B55" s="18">
        <v>43692</v>
      </c>
      <c r="C55" s="9" t="s">
        <v>691</v>
      </c>
      <c r="D55" s="11"/>
      <c r="E55" s="11"/>
      <c r="F55" s="11"/>
      <c r="G55" s="11"/>
      <c r="H55" s="11">
        <v>110.9</v>
      </c>
      <c r="I55" s="15"/>
      <c r="J55" s="12">
        <f t="shared" si="4"/>
        <v>19172.260000000002</v>
      </c>
      <c r="K55" s="12">
        <f t="shared" si="5"/>
        <v>14766.479999999998</v>
      </c>
    </row>
    <row r="56" spans="2:11" x14ac:dyDescent="0.25">
      <c r="B56" s="18">
        <v>43693</v>
      </c>
      <c r="C56" s="9" t="s">
        <v>692</v>
      </c>
      <c r="D56" s="11"/>
      <c r="E56" s="11"/>
      <c r="F56" s="11"/>
      <c r="G56" s="11"/>
      <c r="H56" s="59">
        <v>1500</v>
      </c>
      <c r="I56" s="15"/>
      <c r="J56" s="12">
        <f t="shared" si="4"/>
        <v>19172.260000000002</v>
      </c>
      <c r="K56" s="12">
        <f t="shared" si="5"/>
        <v>13266.479999999998</v>
      </c>
    </row>
    <row r="57" spans="2:11" x14ac:dyDescent="0.25">
      <c r="B57" s="18">
        <v>43693</v>
      </c>
      <c r="C57" s="21" t="s">
        <v>693</v>
      </c>
      <c r="D57" s="41"/>
      <c r="E57" s="41"/>
      <c r="F57" s="41"/>
      <c r="G57" s="41"/>
      <c r="H57" s="11">
        <v>250</v>
      </c>
      <c r="I57" s="15"/>
      <c r="J57" s="12">
        <f t="shared" si="4"/>
        <v>19172.260000000002</v>
      </c>
      <c r="K57" s="12">
        <f t="shared" si="5"/>
        <v>13016.479999999998</v>
      </c>
    </row>
    <row r="58" spans="2:11" x14ac:dyDescent="0.25">
      <c r="B58" s="18">
        <v>43693</v>
      </c>
      <c r="C58" s="13" t="s">
        <v>694</v>
      </c>
      <c r="D58" s="41"/>
      <c r="E58" s="41"/>
      <c r="F58" s="41"/>
      <c r="G58" s="16"/>
      <c r="H58" s="11">
        <v>373.8</v>
      </c>
      <c r="I58" s="15"/>
      <c r="J58" s="12">
        <f>+J57+E58-G58</f>
        <v>19172.260000000002</v>
      </c>
      <c r="K58" s="12">
        <f>+K57+D58-H58</f>
        <v>12642.679999999998</v>
      </c>
    </row>
    <row r="59" spans="2:11" x14ac:dyDescent="0.25">
      <c r="B59" s="18">
        <v>43693</v>
      </c>
      <c r="C59" s="13" t="s">
        <v>695</v>
      </c>
      <c r="D59" s="41"/>
      <c r="E59" s="41"/>
      <c r="F59" s="41"/>
      <c r="G59" s="41"/>
      <c r="H59" s="11">
        <v>39.82</v>
      </c>
      <c r="I59" s="15"/>
      <c r="J59" s="12">
        <f>+J58+E59-G59</f>
        <v>19172.260000000002</v>
      </c>
      <c r="K59" s="12">
        <f>+K58+D59-H59</f>
        <v>12602.859999999999</v>
      </c>
    </row>
    <row r="60" spans="2:11" ht="15.75" thickBot="1" x14ac:dyDescent="0.3">
      <c r="B60" s="18">
        <v>43694</v>
      </c>
      <c r="C60" s="114" t="s">
        <v>673</v>
      </c>
      <c r="D60" s="11"/>
      <c r="E60" s="11"/>
      <c r="F60" s="11"/>
      <c r="G60" s="11"/>
      <c r="H60" s="59">
        <v>800</v>
      </c>
      <c r="I60" s="15"/>
      <c r="J60" s="12">
        <f>+J59+E60-G60</f>
        <v>19172.260000000002</v>
      </c>
      <c r="K60" s="12">
        <f>+K59+D60-H60</f>
        <v>11802.859999999999</v>
      </c>
    </row>
    <row r="61" spans="2:11" ht="15.75" thickBot="1" x14ac:dyDescent="0.3">
      <c r="B61" s="5"/>
      <c r="C61" s="7" t="s">
        <v>0</v>
      </c>
      <c r="D61" s="62">
        <f>SUM(D4:D60)</f>
        <v>48650</v>
      </c>
      <c r="E61" s="61">
        <f>SUM(E4:E60)</f>
        <v>12760</v>
      </c>
      <c r="F61" s="71">
        <f>SUM(D61:E61)</f>
        <v>61410</v>
      </c>
      <c r="G61" s="80">
        <f>SUM(G4:G60)</f>
        <v>8160</v>
      </c>
      <c r="H61" s="62">
        <f>SUM(H4:H60)</f>
        <v>63865.75</v>
      </c>
      <c r="I61" s="71">
        <f>SUM(G61:H61)</f>
        <v>72025.75</v>
      </c>
      <c r="J61" s="20"/>
      <c r="K61" s="20"/>
    </row>
    <row r="62" spans="2:11" x14ac:dyDescent="0.25">
      <c r="B62" s="68" t="s">
        <v>1</v>
      </c>
      <c r="C62" s="68" t="s">
        <v>2</v>
      </c>
      <c r="D62" s="68" t="s">
        <v>3</v>
      </c>
      <c r="E62" s="68" t="s">
        <v>3</v>
      </c>
      <c r="F62" s="68" t="s">
        <v>22</v>
      </c>
      <c r="G62" s="68" t="s">
        <v>23</v>
      </c>
      <c r="H62" s="48" t="s">
        <v>23</v>
      </c>
      <c r="I62" s="48" t="s">
        <v>22</v>
      </c>
      <c r="J62" s="68" t="s">
        <v>8</v>
      </c>
      <c r="K62" s="48" t="s">
        <v>7</v>
      </c>
    </row>
    <row r="63" spans="2:11" ht="15.75" thickBot="1" x14ac:dyDescent="0.3">
      <c r="B63" s="69"/>
      <c r="C63" s="69"/>
      <c r="D63" s="69" t="s">
        <v>5</v>
      </c>
      <c r="E63" s="69" t="s">
        <v>24</v>
      </c>
      <c r="F63" s="69" t="s">
        <v>3</v>
      </c>
      <c r="G63" s="69" t="s">
        <v>24</v>
      </c>
      <c r="H63" s="70" t="s">
        <v>5</v>
      </c>
      <c r="I63" s="70" t="s">
        <v>4</v>
      </c>
      <c r="J63" s="69"/>
      <c r="K63" s="70"/>
    </row>
    <row r="64" spans="2:11" ht="15.75" thickBot="1" x14ac:dyDescent="0.3">
      <c r="B64" s="5"/>
      <c r="C64" s="7"/>
      <c r="D64" s="62">
        <v>48650</v>
      </c>
      <c r="E64" s="61">
        <v>12760</v>
      </c>
      <c r="F64" s="71">
        <f>SUM(D64:E64)</f>
        <v>61410</v>
      </c>
      <c r="G64" s="80">
        <v>8160</v>
      </c>
      <c r="H64" s="62">
        <v>63865.75</v>
      </c>
      <c r="I64" s="71">
        <f>SUM(G64:H64)</f>
        <v>72025.75</v>
      </c>
      <c r="J64" s="20">
        <v>19172.259999999998</v>
      </c>
      <c r="K64" s="12">
        <v>11802.86</v>
      </c>
    </row>
    <row r="65" spans="2:12" x14ac:dyDescent="0.25">
      <c r="B65" s="18">
        <v>43694</v>
      </c>
      <c r="C65" s="9" t="s">
        <v>696</v>
      </c>
      <c r="D65" s="11"/>
      <c r="E65" s="11"/>
      <c r="F65" s="11"/>
      <c r="G65" s="11"/>
      <c r="H65" s="59">
        <v>148</v>
      </c>
      <c r="I65" s="15"/>
      <c r="J65" s="12">
        <f>+J64+E65-G65</f>
        <v>19172.259999999998</v>
      </c>
      <c r="K65" s="12">
        <f>+K64+D65-H65</f>
        <v>11654.86</v>
      </c>
    </row>
    <row r="66" spans="2:12" x14ac:dyDescent="0.25">
      <c r="B66" s="18">
        <v>43694</v>
      </c>
      <c r="C66" s="9" t="s">
        <v>697</v>
      </c>
      <c r="D66" s="11"/>
      <c r="E66" s="11"/>
      <c r="F66" s="11"/>
      <c r="G66" s="11"/>
      <c r="H66" s="59">
        <v>500</v>
      </c>
      <c r="I66" s="15"/>
      <c r="J66" s="12">
        <f t="shared" ref="J66:J114" si="6">+J65+E66-G66</f>
        <v>19172.259999999998</v>
      </c>
      <c r="K66" s="12">
        <f t="shared" ref="K66:K114" si="7">+K65+D66-H66</f>
        <v>11154.86</v>
      </c>
    </row>
    <row r="67" spans="2:12" x14ac:dyDescent="0.25">
      <c r="B67" s="18">
        <v>43695</v>
      </c>
      <c r="C67" s="9" t="s">
        <v>678</v>
      </c>
      <c r="D67" s="11"/>
      <c r="E67" s="11"/>
      <c r="F67" s="11"/>
      <c r="G67" s="11"/>
      <c r="H67" s="59">
        <v>80</v>
      </c>
      <c r="I67" s="15"/>
      <c r="J67" s="12">
        <f t="shared" si="6"/>
        <v>19172.259999999998</v>
      </c>
      <c r="K67" s="12">
        <f t="shared" si="7"/>
        <v>11074.86</v>
      </c>
    </row>
    <row r="68" spans="2:12" x14ac:dyDescent="0.25">
      <c r="B68" s="18">
        <v>43695</v>
      </c>
      <c r="C68" s="13" t="s">
        <v>621</v>
      </c>
      <c r="D68" s="11"/>
      <c r="E68" s="11"/>
      <c r="F68" s="11"/>
      <c r="G68" s="11"/>
      <c r="H68" s="11">
        <v>69.3</v>
      </c>
      <c r="I68" s="15"/>
      <c r="J68" s="12">
        <f t="shared" si="6"/>
        <v>19172.259999999998</v>
      </c>
      <c r="K68" s="12">
        <f t="shared" si="7"/>
        <v>11005.560000000001</v>
      </c>
    </row>
    <row r="69" spans="2:12" x14ac:dyDescent="0.25">
      <c r="B69" s="18">
        <v>43695</v>
      </c>
      <c r="C69" s="13" t="s">
        <v>698</v>
      </c>
      <c r="D69" s="11"/>
      <c r="E69" s="11"/>
      <c r="F69" s="11"/>
      <c r="G69" s="11"/>
      <c r="H69" s="11">
        <v>40</v>
      </c>
      <c r="I69" s="15"/>
      <c r="J69" s="12">
        <f t="shared" si="6"/>
        <v>19172.259999999998</v>
      </c>
      <c r="K69" s="12">
        <f t="shared" si="7"/>
        <v>10965.560000000001</v>
      </c>
    </row>
    <row r="70" spans="2:12" x14ac:dyDescent="0.25">
      <c r="B70" s="18">
        <v>43695</v>
      </c>
      <c r="C70" s="13" t="s">
        <v>699</v>
      </c>
      <c r="D70" s="11"/>
      <c r="E70" s="11"/>
      <c r="F70" s="11"/>
      <c r="G70" s="11"/>
      <c r="H70" s="11">
        <v>120</v>
      </c>
      <c r="I70" s="15"/>
      <c r="J70" s="12">
        <f t="shared" si="6"/>
        <v>19172.259999999998</v>
      </c>
      <c r="K70" s="12">
        <f t="shared" si="7"/>
        <v>10845.560000000001</v>
      </c>
    </row>
    <row r="71" spans="2:12" x14ac:dyDescent="0.25">
      <c r="B71" s="18">
        <v>43695</v>
      </c>
      <c r="C71" s="13" t="s">
        <v>669</v>
      </c>
      <c r="D71" s="11"/>
      <c r="E71" s="11"/>
      <c r="F71" s="11"/>
      <c r="G71" s="11"/>
      <c r="H71" s="11">
        <v>300</v>
      </c>
      <c r="I71" s="15"/>
      <c r="J71" s="12">
        <f t="shared" si="6"/>
        <v>19172.259999999998</v>
      </c>
      <c r="K71" s="12">
        <f t="shared" si="7"/>
        <v>10545.560000000001</v>
      </c>
    </row>
    <row r="72" spans="2:12" x14ac:dyDescent="0.25">
      <c r="B72" s="18">
        <v>43696</v>
      </c>
      <c r="C72" s="13" t="s">
        <v>700</v>
      </c>
      <c r="D72" s="11"/>
      <c r="E72" s="11"/>
      <c r="F72" s="11"/>
      <c r="G72" s="11"/>
      <c r="H72" s="11">
        <v>400</v>
      </c>
      <c r="I72" s="15"/>
      <c r="J72" s="12">
        <f t="shared" si="6"/>
        <v>19172.259999999998</v>
      </c>
      <c r="K72" s="12">
        <f t="shared" si="7"/>
        <v>10145.560000000001</v>
      </c>
    </row>
    <row r="73" spans="2:12" x14ac:dyDescent="0.25">
      <c r="B73" s="18">
        <v>43696</v>
      </c>
      <c r="C73" s="13" t="s">
        <v>706</v>
      </c>
      <c r="D73" s="11">
        <v>25400</v>
      </c>
      <c r="E73" s="11"/>
      <c r="F73" s="11"/>
      <c r="G73" s="11"/>
      <c r="H73" s="11"/>
      <c r="I73" s="15"/>
      <c r="J73" s="12">
        <f t="shared" si="6"/>
        <v>19172.259999999998</v>
      </c>
      <c r="K73" s="12">
        <f t="shared" si="7"/>
        <v>35545.56</v>
      </c>
    </row>
    <row r="74" spans="2:12" x14ac:dyDescent="0.25">
      <c r="B74" s="18">
        <v>43696</v>
      </c>
      <c r="C74" s="13" t="s">
        <v>701</v>
      </c>
      <c r="D74" s="11"/>
      <c r="E74" s="11"/>
      <c r="F74" s="11"/>
      <c r="G74" s="11"/>
      <c r="H74" s="11">
        <v>406</v>
      </c>
      <c r="I74" s="15"/>
      <c r="J74" s="12">
        <f t="shared" si="6"/>
        <v>19172.259999999998</v>
      </c>
      <c r="K74" s="12">
        <f t="shared" si="7"/>
        <v>35139.56</v>
      </c>
    </row>
    <row r="75" spans="2:12" x14ac:dyDescent="0.25">
      <c r="B75" s="18">
        <v>43699</v>
      </c>
      <c r="C75" s="13" t="s">
        <v>709</v>
      </c>
      <c r="D75" s="11"/>
      <c r="E75" s="11"/>
      <c r="F75" s="11"/>
      <c r="G75" s="11"/>
      <c r="H75" s="11">
        <v>70</v>
      </c>
      <c r="I75" s="15"/>
      <c r="J75" s="12">
        <f t="shared" si="6"/>
        <v>19172.259999999998</v>
      </c>
      <c r="K75" s="12">
        <f t="shared" si="7"/>
        <v>35069.56</v>
      </c>
      <c r="L75" s="1"/>
    </row>
    <row r="76" spans="2:12" x14ac:dyDescent="0.25">
      <c r="B76" s="18">
        <v>43699</v>
      </c>
      <c r="C76" s="35" t="s">
        <v>710</v>
      </c>
      <c r="D76" s="11"/>
      <c r="E76" s="11"/>
      <c r="F76" s="11"/>
      <c r="G76" s="11"/>
      <c r="H76" s="11">
        <v>300</v>
      </c>
      <c r="I76" s="15"/>
      <c r="J76" s="12">
        <f t="shared" si="6"/>
        <v>19172.259999999998</v>
      </c>
      <c r="K76" s="12">
        <f t="shared" si="7"/>
        <v>34769.56</v>
      </c>
      <c r="L76" s="1"/>
    </row>
    <row r="77" spans="2:12" x14ac:dyDescent="0.25">
      <c r="B77" s="18">
        <v>43699</v>
      </c>
      <c r="C77" s="34" t="s">
        <v>711</v>
      </c>
      <c r="D77" s="11"/>
      <c r="E77" s="11"/>
      <c r="F77" s="11"/>
      <c r="G77" s="11"/>
      <c r="H77" s="11">
        <v>36.5</v>
      </c>
      <c r="I77" s="15"/>
      <c r="J77" s="12">
        <f t="shared" si="6"/>
        <v>19172.259999999998</v>
      </c>
      <c r="K77" s="12">
        <f t="shared" si="7"/>
        <v>34733.06</v>
      </c>
      <c r="L77" s="1"/>
    </row>
    <row r="78" spans="2:12" x14ac:dyDescent="0.25">
      <c r="B78" s="18">
        <v>43699</v>
      </c>
      <c r="C78" s="9" t="s">
        <v>712</v>
      </c>
      <c r="D78" s="11"/>
      <c r="E78" s="11"/>
      <c r="F78" s="11"/>
      <c r="G78" s="11"/>
      <c r="H78" s="11">
        <v>50.5</v>
      </c>
      <c r="I78" s="15"/>
      <c r="J78" s="12">
        <f t="shared" si="6"/>
        <v>19172.259999999998</v>
      </c>
      <c r="K78" s="12">
        <f t="shared" si="7"/>
        <v>34682.559999999998</v>
      </c>
    </row>
    <row r="79" spans="2:12" x14ac:dyDescent="0.25">
      <c r="B79" s="18">
        <v>43699</v>
      </c>
      <c r="C79" s="9" t="s">
        <v>713</v>
      </c>
      <c r="D79" s="11"/>
      <c r="E79" s="11"/>
      <c r="F79" s="11"/>
      <c r="G79" s="11"/>
      <c r="H79" s="11">
        <v>15</v>
      </c>
      <c r="I79" s="15"/>
      <c r="J79" s="12">
        <f t="shared" si="6"/>
        <v>19172.259999999998</v>
      </c>
      <c r="K79" s="12">
        <f t="shared" si="7"/>
        <v>34667.56</v>
      </c>
    </row>
    <row r="80" spans="2:12" x14ac:dyDescent="0.25">
      <c r="B80" s="18">
        <v>43699</v>
      </c>
      <c r="C80" s="9" t="s">
        <v>714</v>
      </c>
      <c r="D80" s="11"/>
      <c r="E80" s="11"/>
      <c r="F80" s="11"/>
      <c r="G80" s="11"/>
      <c r="H80" s="11">
        <v>70</v>
      </c>
      <c r="I80" s="15"/>
      <c r="J80" s="12">
        <f t="shared" si="6"/>
        <v>19172.259999999998</v>
      </c>
      <c r="K80" s="12">
        <f t="shared" si="7"/>
        <v>34597.56</v>
      </c>
    </row>
    <row r="81" spans="2:13" x14ac:dyDescent="0.25">
      <c r="B81" s="18">
        <v>43700</v>
      </c>
      <c r="C81" s="35" t="s">
        <v>715</v>
      </c>
      <c r="D81" s="11"/>
      <c r="E81" s="11"/>
      <c r="F81" s="11"/>
      <c r="G81" s="11"/>
      <c r="H81" s="11">
        <v>1500</v>
      </c>
      <c r="I81" s="15"/>
      <c r="J81" s="12">
        <f t="shared" si="6"/>
        <v>19172.259999999998</v>
      </c>
      <c r="K81" s="12">
        <f t="shared" si="7"/>
        <v>33097.56</v>
      </c>
    </row>
    <row r="82" spans="2:13" x14ac:dyDescent="0.25">
      <c r="B82" s="18">
        <v>43701</v>
      </c>
      <c r="C82" s="34" t="s">
        <v>716</v>
      </c>
      <c r="D82" s="11"/>
      <c r="E82" s="11"/>
      <c r="F82" s="11"/>
      <c r="G82" s="11"/>
      <c r="H82" s="11">
        <v>24</v>
      </c>
      <c r="I82" s="15"/>
      <c r="J82" s="12">
        <f t="shared" si="6"/>
        <v>19172.259999999998</v>
      </c>
      <c r="K82" s="12">
        <f t="shared" si="7"/>
        <v>33073.56</v>
      </c>
    </row>
    <row r="83" spans="2:13" x14ac:dyDescent="0.25">
      <c r="B83" s="18">
        <v>43701</v>
      </c>
      <c r="C83" s="35" t="s">
        <v>717</v>
      </c>
      <c r="D83" s="11"/>
      <c r="E83" s="11"/>
      <c r="F83" s="11"/>
      <c r="G83" s="11"/>
      <c r="H83" s="11">
        <v>58</v>
      </c>
      <c r="I83" s="15"/>
      <c r="J83" s="12">
        <f t="shared" si="6"/>
        <v>19172.259999999998</v>
      </c>
      <c r="K83" s="12">
        <f t="shared" si="7"/>
        <v>33015.56</v>
      </c>
    </row>
    <row r="84" spans="2:13" x14ac:dyDescent="0.25">
      <c r="B84" s="18">
        <v>43701</v>
      </c>
      <c r="C84" s="34" t="s">
        <v>718</v>
      </c>
      <c r="D84" s="11"/>
      <c r="E84" s="11"/>
      <c r="F84" s="11"/>
      <c r="G84" s="11"/>
      <c r="H84" s="11">
        <v>150</v>
      </c>
      <c r="I84" s="15"/>
      <c r="J84" s="12">
        <f t="shared" si="6"/>
        <v>19172.259999999998</v>
      </c>
      <c r="K84" s="12">
        <f t="shared" si="7"/>
        <v>32865.56</v>
      </c>
    </row>
    <row r="85" spans="2:13" x14ac:dyDescent="0.25">
      <c r="B85" s="18">
        <v>43701</v>
      </c>
      <c r="C85" s="9" t="s">
        <v>719</v>
      </c>
      <c r="D85" s="11"/>
      <c r="E85" s="11"/>
      <c r="F85" s="11"/>
      <c r="G85" s="11"/>
      <c r="H85" s="11">
        <v>150</v>
      </c>
      <c r="I85" s="15"/>
      <c r="J85" s="12">
        <f t="shared" si="6"/>
        <v>19172.259999999998</v>
      </c>
      <c r="K85" s="12">
        <f t="shared" si="7"/>
        <v>32715.559999999998</v>
      </c>
    </row>
    <row r="86" spans="2:13" x14ac:dyDescent="0.25">
      <c r="B86" s="18">
        <v>43701</v>
      </c>
      <c r="C86" s="9" t="s">
        <v>669</v>
      </c>
      <c r="D86" s="11"/>
      <c r="E86" s="11"/>
      <c r="F86" s="11"/>
      <c r="G86" s="11"/>
      <c r="H86" s="11">
        <v>300</v>
      </c>
      <c r="I86" s="15"/>
      <c r="J86" s="12">
        <f t="shared" si="6"/>
        <v>19172.259999999998</v>
      </c>
      <c r="K86" s="12">
        <f t="shared" si="7"/>
        <v>32415.559999999998</v>
      </c>
    </row>
    <row r="87" spans="2:13" x14ac:dyDescent="0.25">
      <c r="B87" s="18">
        <v>43702</v>
      </c>
      <c r="C87" s="9" t="s">
        <v>720</v>
      </c>
      <c r="D87" s="11"/>
      <c r="E87" s="11"/>
      <c r="F87" s="11"/>
      <c r="G87" s="11"/>
      <c r="H87" s="11">
        <v>120</v>
      </c>
      <c r="I87" s="15"/>
      <c r="J87" s="12">
        <f t="shared" si="6"/>
        <v>19172.259999999998</v>
      </c>
      <c r="K87" s="12">
        <f t="shared" si="7"/>
        <v>32295.559999999998</v>
      </c>
    </row>
    <row r="88" spans="2:13" x14ac:dyDescent="0.25">
      <c r="B88" s="18">
        <v>43702</v>
      </c>
      <c r="C88" s="9" t="s">
        <v>666</v>
      </c>
      <c r="D88" s="11"/>
      <c r="E88" s="11"/>
      <c r="F88" s="11"/>
      <c r="G88" s="11"/>
      <c r="H88" s="11">
        <v>45.5</v>
      </c>
      <c r="I88" s="15"/>
      <c r="J88" s="12">
        <f t="shared" si="6"/>
        <v>19172.259999999998</v>
      </c>
      <c r="K88" s="12">
        <f t="shared" si="7"/>
        <v>32250.059999999998</v>
      </c>
    </row>
    <row r="89" spans="2:13" x14ac:dyDescent="0.25">
      <c r="B89" s="18">
        <v>43702</v>
      </c>
      <c r="C89" s="9" t="s">
        <v>721</v>
      </c>
      <c r="D89" s="11"/>
      <c r="E89" s="11"/>
      <c r="F89" s="11"/>
      <c r="G89" s="11"/>
      <c r="H89" s="11">
        <v>152</v>
      </c>
      <c r="I89" s="15"/>
      <c r="J89" s="12">
        <f t="shared" si="6"/>
        <v>19172.259999999998</v>
      </c>
      <c r="K89" s="12">
        <f t="shared" si="7"/>
        <v>32098.059999999998</v>
      </c>
    </row>
    <row r="90" spans="2:13" x14ac:dyDescent="0.25">
      <c r="B90" s="18">
        <v>43703</v>
      </c>
      <c r="C90" s="9" t="s">
        <v>707</v>
      </c>
      <c r="D90" s="41">
        <v>18980</v>
      </c>
      <c r="E90" s="41"/>
      <c r="F90" s="41"/>
      <c r="G90" s="41"/>
      <c r="H90" s="11"/>
      <c r="I90" s="15"/>
      <c r="J90" s="12">
        <f t="shared" si="6"/>
        <v>19172.259999999998</v>
      </c>
      <c r="K90" s="12">
        <f t="shared" si="7"/>
        <v>51078.06</v>
      </c>
    </row>
    <row r="91" spans="2:13" x14ac:dyDescent="0.25">
      <c r="B91" s="18">
        <v>43703</v>
      </c>
      <c r="C91" s="13" t="s">
        <v>722</v>
      </c>
      <c r="D91" s="41"/>
      <c r="E91" s="41"/>
      <c r="F91" s="41"/>
      <c r="G91" s="16"/>
      <c r="H91" s="11">
        <v>3000</v>
      </c>
      <c r="I91" s="15"/>
      <c r="J91" s="12">
        <f t="shared" si="6"/>
        <v>19172.259999999998</v>
      </c>
      <c r="K91" s="12">
        <f t="shared" si="7"/>
        <v>48078.06</v>
      </c>
      <c r="L91" s="1">
        <f>SUM(J91:K91)</f>
        <v>67250.319999999992</v>
      </c>
      <c r="M91">
        <v>48078.065999999999</v>
      </c>
    </row>
    <row r="92" spans="2:13" x14ac:dyDescent="0.25">
      <c r="B92" s="18">
        <v>43703</v>
      </c>
      <c r="C92" s="13" t="s">
        <v>723</v>
      </c>
      <c r="D92" s="41"/>
      <c r="E92" s="41"/>
      <c r="F92" s="41"/>
      <c r="G92" s="16"/>
      <c r="H92" s="11">
        <v>1500</v>
      </c>
      <c r="I92" s="15"/>
      <c r="J92" s="12">
        <f t="shared" si="6"/>
        <v>19172.259999999998</v>
      </c>
      <c r="K92" s="12">
        <f t="shared" si="7"/>
        <v>46578.06</v>
      </c>
      <c r="M92">
        <v>30000</v>
      </c>
    </row>
    <row r="93" spans="2:13" x14ac:dyDescent="0.25">
      <c r="B93" s="18">
        <v>43705</v>
      </c>
      <c r="C93" s="13" t="s">
        <v>724</v>
      </c>
      <c r="D93" s="41"/>
      <c r="E93" s="41"/>
      <c r="F93" s="41"/>
      <c r="G93" s="41"/>
      <c r="H93" s="11">
        <v>228</v>
      </c>
      <c r="I93" s="15"/>
      <c r="J93" s="12">
        <f t="shared" si="6"/>
        <v>19172.259999999998</v>
      </c>
      <c r="K93" s="12">
        <f t="shared" si="7"/>
        <v>46350.06</v>
      </c>
      <c r="M93">
        <v>4000</v>
      </c>
    </row>
    <row r="94" spans="2:13" x14ac:dyDescent="0.25">
      <c r="B94" s="18">
        <v>43706</v>
      </c>
      <c r="C94" s="9" t="s">
        <v>651</v>
      </c>
      <c r="D94" s="11"/>
      <c r="E94" s="11"/>
      <c r="F94" s="11"/>
      <c r="G94" s="11"/>
      <c r="H94" s="11">
        <v>112</v>
      </c>
      <c r="I94" s="15"/>
      <c r="J94" s="12">
        <f t="shared" si="6"/>
        <v>19172.259999999998</v>
      </c>
      <c r="K94" s="12">
        <f t="shared" si="7"/>
        <v>46238.06</v>
      </c>
      <c r="M94">
        <v>2000</v>
      </c>
    </row>
    <row r="95" spans="2:13" x14ac:dyDescent="0.25">
      <c r="B95" s="18">
        <v>43707</v>
      </c>
      <c r="C95" s="13" t="s">
        <v>725</v>
      </c>
      <c r="D95" s="11"/>
      <c r="E95" s="11"/>
      <c r="F95" s="11"/>
      <c r="G95" s="11"/>
      <c r="H95" s="11">
        <v>300</v>
      </c>
      <c r="I95" s="15"/>
      <c r="J95" s="12">
        <f t="shared" si="6"/>
        <v>19172.259999999998</v>
      </c>
      <c r="K95" s="12">
        <f t="shared" si="7"/>
        <v>45938.06</v>
      </c>
      <c r="M95">
        <v>1500</v>
      </c>
    </row>
    <row r="96" spans="2:13" x14ac:dyDescent="0.25">
      <c r="B96" s="18">
        <v>43707</v>
      </c>
      <c r="C96" s="9" t="s">
        <v>726</v>
      </c>
      <c r="D96" s="11"/>
      <c r="E96" s="11"/>
      <c r="F96" s="11"/>
      <c r="G96" s="11"/>
      <c r="H96" s="11">
        <v>400</v>
      </c>
      <c r="I96" s="15"/>
      <c r="J96" s="12">
        <f t="shared" si="6"/>
        <v>19172.259999999998</v>
      </c>
      <c r="K96" s="12">
        <f t="shared" si="7"/>
        <v>45538.06</v>
      </c>
      <c r="M96">
        <v>300</v>
      </c>
    </row>
    <row r="97" spans="2:13" x14ac:dyDescent="0.25">
      <c r="B97" s="18">
        <v>43707</v>
      </c>
      <c r="C97" s="13" t="s">
        <v>727</v>
      </c>
      <c r="D97" s="41"/>
      <c r="E97" s="41"/>
      <c r="F97" s="41"/>
      <c r="G97" s="16"/>
      <c r="H97" s="11">
        <v>557.5</v>
      </c>
      <c r="I97" s="15"/>
      <c r="J97" s="12">
        <f t="shared" si="6"/>
        <v>19172.259999999998</v>
      </c>
      <c r="K97" s="12">
        <f t="shared" si="7"/>
        <v>44980.56</v>
      </c>
      <c r="L97" s="1"/>
      <c r="M97">
        <v>550</v>
      </c>
    </row>
    <row r="98" spans="2:13" x14ac:dyDescent="0.25">
      <c r="B98" s="18">
        <v>43707</v>
      </c>
      <c r="C98" s="13" t="s">
        <v>728</v>
      </c>
      <c r="D98" s="41"/>
      <c r="E98" s="41"/>
      <c r="F98" s="41"/>
      <c r="G98" s="16"/>
      <c r="H98" s="11">
        <v>1000</v>
      </c>
      <c r="I98" s="15"/>
      <c r="J98" s="12">
        <f t="shared" si="6"/>
        <v>19172.259999999998</v>
      </c>
      <c r="K98" s="12">
        <f t="shared" si="7"/>
        <v>43980.56</v>
      </c>
    </row>
    <row r="99" spans="2:13" x14ac:dyDescent="0.25">
      <c r="B99" s="18">
        <v>43708</v>
      </c>
      <c r="C99" s="9" t="s">
        <v>729</v>
      </c>
      <c r="D99" s="11"/>
      <c r="E99" s="11"/>
      <c r="F99" s="11"/>
      <c r="G99" s="11"/>
      <c r="H99" s="11">
        <v>108</v>
      </c>
      <c r="I99" s="15"/>
      <c r="J99" s="12">
        <f t="shared" si="6"/>
        <v>19172.259999999998</v>
      </c>
      <c r="K99" s="12">
        <f t="shared" si="7"/>
        <v>43872.56</v>
      </c>
      <c r="L99" s="116"/>
    </row>
    <row r="100" spans="2:13" x14ac:dyDescent="0.25">
      <c r="B100" s="18">
        <v>43708</v>
      </c>
      <c r="C100" s="9" t="s">
        <v>669</v>
      </c>
      <c r="D100" s="11"/>
      <c r="E100" s="11"/>
      <c r="F100" s="11"/>
      <c r="G100" s="11"/>
      <c r="H100" s="11">
        <v>300</v>
      </c>
      <c r="I100" s="15"/>
      <c r="J100" s="12">
        <f t="shared" si="6"/>
        <v>19172.259999999998</v>
      </c>
      <c r="K100" s="12">
        <f t="shared" si="7"/>
        <v>43572.56</v>
      </c>
    </row>
    <row r="101" spans="2:13" x14ac:dyDescent="0.25">
      <c r="B101" s="18">
        <v>43708</v>
      </c>
      <c r="C101" s="9" t="s">
        <v>702</v>
      </c>
      <c r="D101" s="11"/>
      <c r="E101" s="11"/>
      <c r="F101" s="11"/>
      <c r="G101" s="11"/>
      <c r="H101" s="11">
        <v>550</v>
      </c>
      <c r="I101" s="15"/>
      <c r="J101" s="12">
        <f t="shared" si="6"/>
        <v>19172.259999999998</v>
      </c>
      <c r="K101" s="12">
        <f t="shared" si="7"/>
        <v>43022.559999999998</v>
      </c>
    </row>
    <row r="102" spans="2:13" x14ac:dyDescent="0.25">
      <c r="B102" s="18">
        <v>43708</v>
      </c>
      <c r="C102" s="9" t="s">
        <v>564</v>
      </c>
      <c r="D102" s="11"/>
      <c r="E102" s="11"/>
      <c r="F102" s="11"/>
      <c r="G102" s="11"/>
      <c r="H102" s="11">
        <v>300</v>
      </c>
      <c r="I102" s="15"/>
      <c r="J102" s="12">
        <f t="shared" si="6"/>
        <v>19172.259999999998</v>
      </c>
      <c r="K102" s="12">
        <f t="shared" si="7"/>
        <v>42722.559999999998</v>
      </c>
    </row>
    <row r="103" spans="2:13" x14ac:dyDescent="0.25">
      <c r="B103" s="18">
        <v>43708</v>
      </c>
      <c r="C103" s="9" t="s">
        <v>703</v>
      </c>
      <c r="D103" s="11"/>
      <c r="E103" s="11"/>
      <c r="F103" s="11"/>
      <c r="G103" s="11"/>
      <c r="H103" s="11">
        <v>2000</v>
      </c>
      <c r="I103" s="15"/>
      <c r="J103" s="12">
        <f t="shared" si="6"/>
        <v>19172.259999999998</v>
      </c>
      <c r="K103" s="12">
        <f t="shared" si="7"/>
        <v>40722.559999999998</v>
      </c>
    </row>
    <row r="104" spans="2:13" x14ac:dyDescent="0.25">
      <c r="B104" s="18">
        <v>43708</v>
      </c>
      <c r="C104" s="9" t="s">
        <v>566</v>
      </c>
      <c r="D104" s="11"/>
      <c r="E104" s="11"/>
      <c r="F104" s="11"/>
      <c r="G104" s="11"/>
      <c r="H104" s="11">
        <v>4000</v>
      </c>
      <c r="I104" s="15"/>
      <c r="J104" s="12">
        <f t="shared" si="6"/>
        <v>19172.259999999998</v>
      </c>
      <c r="K104" s="12">
        <f t="shared" si="7"/>
        <v>36722.559999999998</v>
      </c>
    </row>
    <row r="105" spans="2:13" x14ac:dyDescent="0.25">
      <c r="B105" s="18">
        <v>43708</v>
      </c>
      <c r="C105" s="21" t="s">
        <v>704</v>
      </c>
      <c r="D105" s="11"/>
      <c r="E105" s="11"/>
      <c r="F105" s="11"/>
      <c r="G105" s="11"/>
      <c r="H105" s="11">
        <v>30000</v>
      </c>
      <c r="I105" s="15"/>
      <c r="J105" s="12">
        <f t="shared" si="6"/>
        <v>19172.259999999998</v>
      </c>
      <c r="K105" s="12">
        <f t="shared" si="7"/>
        <v>6722.5599999999977</v>
      </c>
    </row>
    <row r="106" spans="2:13" x14ac:dyDescent="0.25">
      <c r="B106" s="18">
        <v>43708</v>
      </c>
      <c r="C106" s="9" t="s">
        <v>705</v>
      </c>
      <c r="D106" s="11"/>
      <c r="E106" s="11"/>
      <c r="F106" s="11"/>
      <c r="G106" s="11">
        <v>10000</v>
      </c>
      <c r="H106" s="11"/>
      <c r="I106" s="15"/>
      <c r="J106" s="12">
        <f t="shared" si="6"/>
        <v>9172.2599999999984</v>
      </c>
      <c r="K106" s="12">
        <f t="shared" si="7"/>
        <v>6722.5599999999977</v>
      </c>
    </row>
    <row r="107" spans="2:13" x14ac:dyDescent="0.25">
      <c r="B107" s="18">
        <v>43708</v>
      </c>
      <c r="C107" s="9" t="s">
        <v>708</v>
      </c>
      <c r="D107" s="11">
        <v>1100</v>
      </c>
      <c r="E107" s="11"/>
      <c r="F107" s="11"/>
      <c r="G107" s="11"/>
      <c r="H107" s="11"/>
      <c r="I107" s="15"/>
      <c r="J107" s="12">
        <f t="shared" si="6"/>
        <v>9172.2599999999984</v>
      </c>
      <c r="K107" s="12">
        <f t="shared" si="7"/>
        <v>7822.5599999999977</v>
      </c>
    </row>
    <row r="108" spans="2:13" x14ac:dyDescent="0.25">
      <c r="B108" s="18">
        <v>43680</v>
      </c>
      <c r="C108" s="9" t="s">
        <v>730</v>
      </c>
      <c r="D108" s="11"/>
      <c r="E108" s="11">
        <v>400.46</v>
      </c>
      <c r="F108" s="11"/>
      <c r="G108" s="11"/>
      <c r="H108" s="11"/>
      <c r="I108" s="15"/>
      <c r="J108" s="12">
        <f t="shared" si="6"/>
        <v>9572.7199999999975</v>
      </c>
      <c r="K108" s="12">
        <f t="shared" si="7"/>
        <v>7822.5599999999977</v>
      </c>
    </row>
    <row r="109" spans="2:13" x14ac:dyDescent="0.25">
      <c r="B109" s="18">
        <v>43691</v>
      </c>
      <c r="C109" s="13" t="s">
        <v>731</v>
      </c>
      <c r="D109" s="11"/>
      <c r="E109" s="11">
        <v>1200.29</v>
      </c>
      <c r="F109" s="11"/>
      <c r="G109" s="11"/>
      <c r="H109" s="11"/>
      <c r="I109" s="15"/>
      <c r="J109" s="12">
        <f t="shared" si="6"/>
        <v>10773.009999999998</v>
      </c>
      <c r="K109" s="12">
        <f t="shared" si="7"/>
        <v>7822.5599999999977</v>
      </c>
      <c r="L109" s="1"/>
    </row>
    <row r="110" spans="2:13" x14ac:dyDescent="0.25">
      <c r="B110" s="18">
        <v>43705</v>
      </c>
      <c r="C110" s="9" t="s">
        <v>496</v>
      </c>
      <c r="D110" s="11"/>
      <c r="E110" s="11"/>
      <c r="F110" s="11"/>
      <c r="G110" s="11">
        <v>200</v>
      </c>
      <c r="H110" s="11"/>
      <c r="I110" s="15"/>
      <c r="J110" s="12">
        <f t="shared" si="6"/>
        <v>10573.009999999998</v>
      </c>
      <c r="K110" s="12">
        <f t="shared" si="7"/>
        <v>7822.5599999999977</v>
      </c>
      <c r="L110" s="1"/>
    </row>
    <row r="111" spans="2:13" x14ac:dyDescent="0.25">
      <c r="B111" s="18">
        <v>43705</v>
      </c>
      <c r="C111" s="13" t="s">
        <v>497</v>
      </c>
      <c r="D111" s="11"/>
      <c r="E111" s="11"/>
      <c r="F111" s="11"/>
      <c r="G111" s="11">
        <v>32</v>
      </c>
      <c r="H111" s="11"/>
      <c r="I111" s="15"/>
      <c r="J111" s="12">
        <f t="shared" si="6"/>
        <v>10541.009999999998</v>
      </c>
      <c r="K111" s="12">
        <f t="shared" si="7"/>
        <v>7822.5599999999977</v>
      </c>
      <c r="L111" s="1"/>
    </row>
    <row r="112" spans="2:13" x14ac:dyDescent="0.25">
      <c r="B112" s="18">
        <v>43707</v>
      </c>
      <c r="C112" s="9" t="s">
        <v>69</v>
      </c>
      <c r="D112" s="11"/>
      <c r="E112" s="11"/>
      <c r="F112" s="11"/>
      <c r="G112" s="11">
        <v>54</v>
      </c>
      <c r="H112" s="11"/>
      <c r="I112" s="15"/>
      <c r="J112" s="12">
        <f t="shared" si="6"/>
        <v>10487.009999999998</v>
      </c>
      <c r="K112" s="12">
        <f t="shared" si="7"/>
        <v>7822.5599999999977</v>
      </c>
      <c r="L112" s="1"/>
    </row>
    <row r="113" spans="2:12" x14ac:dyDescent="0.25">
      <c r="B113" s="18">
        <v>43707</v>
      </c>
      <c r="C113" s="13" t="s">
        <v>70</v>
      </c>
      <c r="D113" s="11"/>
      <c r="E113" s="11"/>
      <c r="F113" s="11"/>
      <c r="G113" s="11">
        <v>8.64</v>
      </c>
      <c r="H113" s="11"/>
      <c r="I113" s="15"/>
      <c r="J113" s="12">
        <f t="shared" si="6"/>
        <v>10478.369999999999</v>
      </c>
      <c r="K113" s="12">
        <f t="shared" si="7"/>
        <v>7822.5599999999977</v>
      </c>
      <c r="L113" s="1"/>
    </row>
    <row r="114" spans="2:12" ht="15.75" thickBot="1" x14ac:dyDescent="0.3">
      <c r="B114" s="18"/>
      <c r="C114" s="13"/>
      <c r="D114" s="11"/>
      <c r="E114" s="11"/>
      <c r="F114" s="11"/>
      <c r="G114" s="11"/>
      <c r="H114" s="11"/>
      <c r="I114" s="15"/>
      <c r="J114" s="12">
        <f t="shared" si="6"/>
        <v>10478.369999999999</v>
      </c>
      <c r="K114" s="12">
        <f t="shared" si="7"/>
        <v>7822.5599999999977</v>
      </c>
      <c r="L114" s="1"/>
    </row>
    <row r="115" spans="2:12" ht="15.75" thickBot="1" x14ac:dyDescent="0.3">
      <c r="B115" s="5"/>
      <c r="C115" s="7" t="s">
        <v>0</v>
      </c>
      <c r="D115" s="62">
        <f>SUM(D62:D114)</f>
        <v>94130</v>
      </c>
      <c r="E115" s="61">
        <f>SUM(E62:E114)</f>
        <v>14360.75</v>
      </c>
      <c r="F115" s="71">
        <f>SUM(D115:E115)</f>
        <v>108490.75</v>
      </c>
      <c r="G115" s="80">
        <f>SUM(G64:G114)</f>
        <v>18454.64</v>
      </c>
      <c r="H115" s="62">
        <f>SUM(H64:H114)</f>
        <v>113326.05</v>
      </c>
      <c r="I115" s="71">
        <f>SUM(G115:H115)</f>
        <v>131780.69</v>
      </c>
      <c r="J115" s="20"/>
      <c r="K115" s="20"/>
    </row>
    <row r="116" spans="2:12" ht="15.75" thickBot="1" x14ac:dyDescent="0.3"/>
    <row r="117" spans="2:12" ht="15.75" thickBot="1" x14ac:dyDescent="0.3">
      <c r="I117" s="74" t="s">
        <v>8</v>
      </c>
      <c r="J117" s="74" t="s">
        <v>7</v>
      </c>
      <c r="K117" s="95" t="s">
        <v>0</v>
      </c>
    </row>
    <row r="118" spans="2:12" ht="15.75" thickBot="1" x14ac:dyDescent="0.3">
      <c r="I118" s="77">
        <v>10478.370000000001</v>
      </c>
      <c r="J118" s="77">
        <v>7822.56</v>
      </c>
      <c r="K118" s="20">
        <f>SUM(I118:J118)</f>
        <v>18300.93</v>
      </c>
    </row>
  </sheetData>
  <printOptions verticalCentered="1"/>
  <pageMargins left="0.70866141732283472" right="0.70866141732283472" top="0" bottom="0" header="0.31496062992125984" footer="0.31496062992125984"/>
  <pageSetup paperSize="9" scale="65" fitToHeight="0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5">
    <pageSetUpPr fitToPage="1"/>
  </sheetPr>
  <dimension ref="B1:M144"/>
  <sheetViews>
    <sheetView zoomScale="90" zoomScaleNormal="90" workbookViewId="0">
      <pane ySplit="3" topLeftCell="A87" activePane="bottomLeft" state="frozen"/>
      <selection pane="bottomLeft" activeCell="I87" sqref="I87"/>
    </sheetView>
  </sheetViews>
  <sheetFormatPr baseColWidth="10" defaultRowHeight="15" x14ac:dyDescent="0.25"/>
  <cols>
    <col min="1" max="1" width="10.7109375" customWidth="1"/>
    <col min="2" max="2" width="11.28515625" customWidth="1"/>
    <col min="3" max="3" width="86.140625" customWidth="1"/>
    <col min="4" max="6" width="11.7109375" customWidth="1"/>
    <col min="8" max="8" width="11.42578125" bestFit="1" customWidth="1"/>
  </cols>
  <sheetData>
    <row r="1" spans="2:11" ht="16.5" thickBot="1" x14ac:dyDescent="0.3">
      <c r="B1" s="79"/>
      <c r="C1" s="81" t="s">
        <v>52</v>
      </c>
    </row>
    <row r="2" spans="2:11" x14ac:dyDescent="0.25">
      <c r="B2" s="68" t="s">
        <v>1</v>
      </c>
      <c r="C2" s="68" t="s">
        <v>2</v>
      </c>
      <c r="D2" s="68" t="s">
        <v>3</v>
      </c>
      <c r="E2" s="68" t="s">
        <v>3</v>
      </c>
      <c r="F2" s="68" t="s">
        <v>22</v>
      </c>
      <c r="G2" s="68" t="s">
        <v>23</v>
      </c>
      <c r="H2" s="48" t="s">
        <v>23</v>
      </c>
      <c r="I2" s="48" t="s">
        <v>22</v>
      </c>
      <c r="J2" s="68" t="s">
        <v>8</v>
      </c>
      <c r="K2" s="48" t="s">
        <v>7</v>
      </c>
    </row>
    <row r="3" spans="2:11" ht="15.75" thickBot="1" x14ac:dyDescent="0.3">
      <c r="B3" s="69"/>
      <c r="C3" s="69"/>
      <c r="D3" s="69" t="s">
        <v>5</v>
      </c>
      <c r="E3" s="69" t="s">
        <v>24</v>
      </c>
      <c r="F3" s="69" t="s">
        <v>3</v>
      </c>
      <c r="G3" s="69" t="s">
        <v>24</v>
      </c>
      <c r="H3" s="70" t="s">
        <v>5</v>
      </c>
      <c r="I3" s="70" t="s">
        <v>4</v>
      </c>
      <c r="J3" s="69"/>
      <c r="K3" s="70"/>
    </row>
    <row r="4" spans="2:11" x14ac:dyDescent="0.25">
      <c r="B4" s="23">
        <v>43708</v>
      </c>
      <c r="C4" s="65" t="s">
        <v>53</v>
      </c>
      <c r="D4" s="66"/>
      <c r="E4" s="63"/>
      <c r="F4" s="63"/>
      <c r="G4" s="63"/>
      <c r="H4" s="17"/>
      <c r="I4" s="64"/>
      <c r="J4" s="73">
        <v>10478.370000000001</v>
      </c>
      <c r="K4" s="97">
        <v>7822.56</v>
      </c>
    </row>
    <row r="5" spans="2:11" x14ac:dyDescent="0.25">
      <c r="B5" s="18">
        <v>43709</v>
      </c>
      <c r="C5" s="9" t="s">
        <v>732</v>
      </c>
      <c r="D5" s="11"/>
      <c r="E5" s="11"/>
      <c r="F5" s="11"/>
      <c r="G5" s="11"/>
      <c r="H5" s="11">
        <v>10</v>
      </c>
      <c r="I5" s="15"/>
      <c r="J5" s="12">
        <f>+J4+E5-G5</f>
        <v>10478.370000000001</v>
      </c>
      <c r="K5" s="12">
        <f>+K4+D5-H5</f>
        <v>7812.56</v>
      </c>
    </row>
    <row r="6" spans="2:11" x14ac:dyDescent="0.25">
      <c r="B6" s="18">
        <v>43709</v>
      </c>
      <c r="C6" s="9" t="s">
        <v>733</v>
      </c>
      <c r="D6" s="11"/>
      <c r="E6" s="11"/>
      <c r="F6" s="11"/>
      <c r="G6" s="11"/>
      <c r="H6" s="11">
        <v>32</v>
      </c>
      <c r="I6" s="15"/>
      <c r="J6" s="12">
        <f t="shared" ref="J6:J53" si="0">+J5+E6-G6</f>
        <v>10478.370000000001</v>
      </c>
      <c r="K6" s="12">
        <f t="shared" ref="K6:K53" si="1">+K5+D6-H6</f>
        <v>7780.56</v>
      </c>
    </row>
    <row r="7" spans="2:11" x14ac:dyDescent="0.25">
      <c r="B7" s="18">
        <v>43709</v>
      </c>
      <c r="C7" s="9" t="s">
        <v>734</v>
      </c>
      <c r="D7" s="11"/>
      <c r="E7" s="11"/>
      <c r="F7" s="11"/>
      <c r="G7" s="11"/>
      <c r="H7" s="59">
        <v>20</v>
      </c>
      <c r="I7" s="15"/>
      <c r="J7" s="12">
        <f t="shared" si="0"/>
        <v>10478.370000000001</v>
      </c>
      <c r="K7" s="12">
        <f t="shared" si="1"/>
        <v>7760.56</v>
      </c>
    </row>
    <row r="8" spans="2:11" x14ac:dyDescent="0.25">
      <c r="B8" s="18">
        <v>43709</v>
      </c>
      <c r="C8" s="9" t="s">
        <v>620</v>
      </c>
      <c r="D8" s="11"/>
      <c r="E8" s="11"/>
      <c r="F8" s="11"/>
      <c r="G8" s="11"/>
      <c r="H8" s="11">
        <v>36</v>
      </c>
      <c r="I8" s="15"/>
      <c r="J8" s="12">
        <f t="shared" si="0"/>
        <v>10478.370000000001</v>
      </c>
      <c r="K8" s="12">
        <f t="shared" si="1"/>
        <v>7724.56</v>
      </c>
    </row>
    <row r="9" spans="2:11" x14ac:dyDescent="0.25">
      <c r="B9" s="18">
        <v>43709</v>
      </c>
      <c r="C9" s="9" t="s">
        <v>735</v>
      </c>
      <c r="D9" s="11"/>
      <c r="E9" s="11"/>
      <c r="F9" s="11"/>
      <c r="G9" s="11"/>
      <c r="H9" s="59">
        <v>80.19</v>
      </c>
      <c r="I9" s="15"/>
      <c r="J9" s="12">
        <f t="shared" si="0"/>
        <v>10478.370000000001</v>
      </c>
      <c r="K9" s="12">
        <f t="shared" si="1"/>
        <v>7644.3700000000008</v>
      </c>
    </row>
    <row r="10" spans="2:11" x14ac:dyDescent="0.25">
      <c r="B10" s="18">
        <v>43709</v>
      </c>
      <c r="C10" s="9" t="s">
        <v>162</v>
      </c>
      <c r="D10" s="11"/>
      <c r="E10" s="11"/>
      <c r="F10" s="11"/>
      <c r="G10" s="11"/>
      <c r="H10" s="11">
        <v>120</v>
      </c>
      <c r="I10" s="15"/>
      <c r="J10" s="12">
        <f t="shared" si="0"/>
        <v>10478.370000000001</v>
      </c>
      <c r="K10" s="12">
        <f t="shared" si="1"/>
        <v>7524.3700000000008</v>
      </c>
    </row>
    <row r="11" spans="2:11" x14ac:dyDescent="0.25">
      <c r="B11" s="18">
        <v>43709</v>
      </c>
      <c r="C11" s="9" t="s">
        <v>736</v>
      </c>
      <c r="D11" s="11"/>
      <c r="E11" s="11"/>
      <c r="F11" s="11"/>
      <c r="G11" s="11"/>
      <c r="H11" s="11">
        <v>500</v>
      </c>
      <c r="I11" s="15"/>
      <c r="J11" s="12">
        <f t="shared" si="0"/>
        <v>10478.370000000001</v>
      </c>
      <c r="K11" s="12">
        <f t="shared" si="1"/>
        <v>7024.3700000000008</v>
      </c>
    </row>
    <row r="12" spans="2:11" x14ac:dyDescent="0.25">
      <c r="B12" s="18">
        <v>43709</v>
      </c>
      <c r="C12" s="9" t="s">
        <v>737</v>
      </c>
      <c r="D12" s="11"/>
      <c r="E12" s="11"/>
      <c r="F12" s="11"/>
      <c r="G12" s="11"/>
      <c r="H12" s="11">
        <v>200</v>
      </c>
      <c r="I12" s="15"/>
      <c r="J12" s="12">
        <f t="shared" si="0"/>
        <v>10478.370000000001</v>
      </c>
      <c r="K12" s="12">
        <f t="shared" si="1"/>
        <v>6824.3700000000008</v>
      </c>
    </row>
    <row r="13" spans="2:11" x14ac:dyDescent="0.25">
      <c r="B13" s="18">
        <v>43709</v>
      </c>
      <c r="C13" s="9" t="s">
        <v>738</v>
      </c>
      <c r="D13" s="11">
        <v>25450</v>
      </c>
      <c r="E13" s="11"/>
      <c r="F13" s="11"/>
      <c r="G13" s="11"/>
      <c r="H13" s="59"/>
      <c r="I13" s="15"/>
      <c r="J13" s="12">
        <f t="shared" si="0"/>
        <v>10478.370000000001</v>
      </c>
      <c r="K13" s="12">
        <f t="shared" si="1"/>
        <v>32274.370000000003</v>
      </c>
    </row>
    <row r="14" spans="2:11" x14ac:dyDescent="0.25">
      <c r="B14" s="18">
        <v>43710</v>
      </c>
      <c r="C14" s="9" t="s">
        <v>739</v>
      </c>
      <c r="D14" s="11"/>
      <c r="E14" s="11"/>
      <c r="F14" s="11"/>
      <c r="G14" s="11"/>
      <c r="H14" s="11">
        <v>195</v>
      </c>
      <c r="I14" s="15"/>
      <c r="J14" s="12">
        <f t="shared" si="0"/>
        <v>10478.370000000001</v>
      </c>
      <c r="K14" s="12">
        <f t="shared" si="1"/>
        <v>32079.370000000003</v>
      </c>
    </row>
    <row r="15" spans="2:11" x14ac:dyDescent="0.25">
      <c r="B15" s="18">
        <v>43710</v>
      </c>
      <c r="C15" s="9" t="s">
        <v>123</v>
      </c>
      <c r="D15" s="11"/>
      <c r="E15" s="11"/>
      <c r="F15" s="11"/>
      <c r="G15" s="11"/>
      <c r="H15" s="59">
        <v>48</v>
      </c>
      <c r="I15" s="15"/>
      <c r="J15" s="12">
        <f t="shared" si="0"/>
        <v>10478.370000000001</v>
      </c>
      <c r="K15" s="12">
        <f t="shared" si="1"/>
        <v>32031.370000000003</v>
      </c>
    </row>
    <row r="16" spans="2:11" x14ac:dyDescent="0.25">
      <c r="B16" s="18">
        <v>43711</v>
      </c>
      <c r="C16" s="9" t="s">
        <v>740</v>
      </c>
      <c r="D16" s="11"/>
      <c r="E16" s="11"/>
      <c r="F16" s="11"/>
      <c r="G16" s="11"/>
      <c r="H16" s="11">
        <v>300</v>
      </c>
      <c r="I16" s="15"/>
      <c r="J16" s="12">
        <f t="shared" si="0"/>
        <v>10478.370000000001</v>
      </c>
      <c r="K16" s="12">
        <f t="shared" si="1"/>
        <v>31731.370000000003</v>
      </c>
    </row>
    <row r="17" spans="2:11" x14ac:dyDescent="0.25">
      <c r="B17" s="18">
        <v>43712</v>
      </c>
      <c r="C17" s="9" t="s">
        <v>755</v>
      </c>
      <c r="D17" s="11"/>
      <c r="E17" s="11"/>
      <c r="F17" s="11"/>
      <c r="G17" s="11"/>
      <c r="H17" s="11">
        <v>325</v>
      </c>
      <c r="I17" s="15"/>
      <c r="J17" s="12">
        <f t="shared" si="0"/>
        <v>10478.370000000001</v>
      </c>
      <c r="K17" s="12">
        <f t="shared" si="1"/>
        <v>31406.370000000003</v>
      </c>
    </row>
    <row r="18" spans="2:11" x14ac:dyDescent="0.25">
      <c r="B18" s="18">
        <v>43712</v>
      </c>
      <c r="C18" s="9" t="s">
        <v>741</v>
      </c>
      <c r="D18" s="11"/>
      <c r="E18" s="11"/>
      <c r="F18" s="11"/>
      <c r="G18" s="11"/>
      <c r="H18" s="11">
        <v>43</v>
      </c>
      <c r="I18" s="15"/>
      <c r="J18" s="12">
        <f t="shared" si="0"/>
        <v>10478.370000000001</v>
      </c>
      <c r="K18" s="12">
        <f t="shared" si="1"/>
        <v>31363.370000000003</v>
      </c>
    </row>
    <row r="19" spans="2:11" x14ac:dyDescent="0.25">
      <c r="B19" s="18">
        <v>43713</v>
      </c>
      <c r="C19" s="9" t="s">
        <v>742</v>
      </c>
      <c r="D19" s="11"/>
      <c r="E19" s="11"/>
      <c r="F19" s="11"/>
      <c r="G19" s="11"/>
      <c r="H19" s="11">
        <v>200</v>
      </c>
      <c r="I19" s="15"/>
      <c r="J19" s="12">
        <f t="shared" si="0"/>
        <v>10478.370000000001</v>
      </c>
      <c r="K19" s="12">
        <f t="shared" si="1"/>
        <v>31163.370000000003</v>
      </c>
    </row>
    <row r="20" spans="2:11" x14ac:dyDescent="0.25">
      <c r="B20" s="18">
        <v>43713</v>
      </c>
      <c r="C20" s="9" t="s">
        <v>743</v>
      </c>
      <c r="D20" s="11"/>
      <c r="E20" s="11"/>
      <c r="F20" s="11"/>
      <c r="G20" s="11"/>
      <c r="H20" s="11">
        <v>250</v>
      </c>
      <c r="I20" s="15"/>
      <c r="J20" s="12">
        <f t="shared" si="0"/>
        <v>10478.370000000001</v>
      </c>
      <c r="K20" s="12">
        <f t="shared" si="1"/>
        <v>30913.370000000003</v>
      </c>
    </row>
    <row r="21" spans="2:11" x14ac:dyDescent="0.25">
      <c r="B21" s="18">
        <v>43713</v>
      </c>
      <c r="C21" s="9" t="s">
        <v>744</v>
      </c>
      <c r="D21" s="11"/>
      <c r="E21" s="11"/>
      <c r="F21" s="11"/>
      <c r="G21" s="11"/>
      <c r="H21" s="11">
        <v>15</v>
      </c>
      <c r="I21" s="15"/>
      <c r="J21" s="12">
        <f t="shared" si="0"/>
        <v>10478.370000000001</v>
      </c>
      <c r="K21" s="12">
        <f t="shared" si="1"/>
        <v>30898.370000000003</v>
      </c>
    </row>
    <row r="22" spans="2:11" x14ac:dyDescent="0.25">
      <c r="B22" s="18">
        <v>43714</v>
      </c>
      <c r="C22" s="9" t="s">
        <v>745</v>
      </c>
      <c r="D22" s="11"/>
      <c r="E22" s="11"/>
      <c r="F22" s="11"/>
      <c r="G22" s="11"/>
      <c r="H22" s="59">
        <v>65</v>
      </c>
      <c r="I22" s="15"/>
      <c r="J22" s="12">
        <f t="shared" si="0"/>
        <v>10478.370000000001</v>
      </c>
      <c r="K22" s="12">
        <f t="shared" si="1"/>
        <v>30833.370000000003</v>
      </c>
    </row>
    <row r="23" spans="2:11" x14ac:dyDescent="0.25">
      <c r="B23" s="18">
        <v>43714</v>
      </c>
      <c r="C23" s="9" t="s">
        <v>746</v>
      </c>
      <c r="D23" s="11"/>
      <c r="E23" s="11"/>
      <c r="F23" s="11"/>
      <c r="G23" s="11"/>
      <c r="H23" s="59">
        <v>11</v>
      </c>
      <c r="I23" s="15"/>
      <c r="J23" s="12">
        <f t="shared" si="0"/>
        <v>10478.370000000001</v>
      </c>
      <c r="K23" s="12">
        <f t="shared" si="1"/>
        <v>30822.370000000003</v>
      </c>
    </row>
    <row r="24" spans="2:11" x14ac:dyDescent="0.25">
      <c r="B24" s="18">
        <v>43714</v>
      </c>
      <c r="C24" s="9" t="s">
        <v>757</v>
      </c>
      <c r="D24" s="11"/>
      <c r="E24" s="11"/>
      <c r="F24" s="11"/>
      <c r="G24" s="11"/>
      <c r="H24" s="11">
        <v>1500</v>
      </c>
      <c r="I24" s="15"/>
      <c r="J24" s="12">
        <f t="shared" si="0"/>
        <v>10478.370000000001</v>
      </c>
      <c r="K24" s="12">
        <f t="shared" si="1"/>
        <v>29322.370000000003</v>
      </c>
    </row>
    <row r="25" spans="2:11" x14ac:dyDescent="0.25">
      <c r="B25" s="18">
        <v>43715</v>
      </c>
      <c r="C25" s="9" t="s">
        <v>747</v>
      </c>
      <c r="D25" s="11"/>
      <c r="E25" s="11"/>
      <c r="F25" s="11"/>
      <c r="G25" s="11"/>
      <c r="H25" s="11">
        <v>700</v>
      </c>
      <c r="I25" s="15"/>
      <c r="J25" s="12">
        <f t="shared" si="0"/>
        <v>10478.370000000001</v>
      </c>
      <c r="K25" s="12">
        <f t="shared" si="1"/>
        <v>28622.370000000003</v>
      </c>
    </row>
    <row r="26" spans="2:11" x14ac:dyDescent="0.25">
      <c r="B26" s="18">
        <v>43715</v>
      </c>
      <c r="C26" s="9" t="s">
        <v>748</v>
      </c>
      <c r="D26" s="11"/>
      <c r="E26" s="11"/>
      <c r="F26" s="11"/>
      <c r="G26" s="11"/>
      <c r="H26" s="11">
        <v>48.4</v>
      </c>
      <c r="I26" s="15"/>
      <c r="J26" s="12">
        <f t="shared" si="0"/>
        <v>10478.370000000001</v>
      </c>
      <c r="K26" s="12">
        <f t="shared" si="1"/>
        <v>28573.97</v>
      </c>
    </row>
    <row r="27" spans="2:11" x14ac:dyDescent="0.25">
      <c r="B27" s="18">
        <v>43715</v>
      </c>
      <c r="C27" s="9" t="s">
        <v>749</v>
      </c>
      <c r="D27" s="11"/>
      <c r="E27" s="11"/>
      <c r="F27" s="11"/>
      <c r="G27" s="11"/>
      <c r="H27" s="11">
        <v>200</v>
      </c>
      <c r="I27" s="15"/>
      <c r="J27" s="12">
        <f t="shared" si="0"/>
        <v>10478.370000000001</v>
      </c>
      <c r="K27" s="12">
        <f t="shared" si="1"/>
        <v>28373.97</v>
      </c>
    </row>
    <row r="28" spans="2:11" x14ac:dyDescent="0.25">
      <c r="B28" s="18">
        <v>43716</v>
      </c>
      <c r="C28" s="9" t="s">
        <v>72</v>
      </c>
      <c r="D28" s="11"/>
      <c r="E28" s="11"/>
      <c r="F28" s="11"/>
      <c r="G28" s="11"/>
      <c r="H28" s="11">
        <v>47.5</v>
      </c>
      <c r="I28" s="15"/>
      <c r="J28" s="12">
        <f t="shared" si="0"/>
        <v>10478.370000000001</v>
      </c>
      <c r="K28" s="12">
        <f t="shared" si="1"/>
        <v>28326.47</v>
      </c>
    </row>
    <row r="29" spans="2:11" x14ac:dyDescent="0.25">
      <c r="B29" s="18">
        <v>43716</v>
      </c>
      <c r="C29" s="9" t="s">
        <v>750</v>
      </c>
      <c r="D29" s="11"/>
      <c r="E29" s="11"/>
      <c r="F29" s="11"/>
      <c r="G29" s="11"/>
      <c r="H29" s="11">
        <v>116</v>
      </c>
      <c r="I29" s="15"/>
      <c r="J29" s="12">
        <f t="shared" si="0"/>
        <v>10478.370000000001</v>
      </c>
      <c r="K29" s="12">
        <f t="shared" si="1"/>
        <v>28210.47</v>
      </c>
    </row>
    <row r="30" spans="2:11" x14ac:dyDescent="0.25">
      <c r="B30" s="18">
        <v>43716</v>
      </c>
      <c r="C30" s="9" t="s">
        <v>162</v>
      </c>
      <c r="D30" s="11"/>
      <c r="E30" s="11"/>
      <c r="F30" s="11"/>
      <c r="G30" s="11"/>
      <c r="H30" s="11">
        <v>120</v>
      </c>
      <c r="I30" s="15"/>
      <c r="J30" s="12">
        <f t="shared" si="0"/>
        <v>10478.370000000001</v>
      </c>
      <c r="K30" s="12">
        <f t="shared" si="1"/>
        <v>28090.47</v>
      </c>
    </row>
    <row r="31" spans="2:11" x14ac:dyDescent="0.25">
      <c r="B31" s="18">
        <v>43716</v>
      </c>
      <c r="C31" s="9" t="s">
        <v>751</v>
      </c>
      <c r="D31" s="11"/>
      <c r="E31" s="11"/>
      <c r="F31" s="11"/>
      <c r="G31" s="11"/>
      <c r="H31" s="11">
        <v>150</v>
      </c>
      <c r="I31" s="15"/>
      <c r="J31" s="12">
        <f t="shared" si="0"/>
        <v>10478.370000000001</v>
      </c>
      <c r="K31" s="12">
        <f t="shared" si="1"/>
        <v>27940.47</v>
      </c>
    </row>
    <row r="32" spans="2:11" x14ac:dyDescent="0.25">
      <c r="B32" s="18">
        <v>43716</v>
      </c>
      <c r="C32" s="114" t="s">
        <v>754</v>
      </c>
      <c r="D32" s="11"/>
      <c r="E32" s="11"/>
      <c r="F32" s="11"/>
      <c r="G32" s="11"/>
      <c r="H32" s="59">
        <v>400</v>
      </c>
      <c r="I32" s="15"/>
      <c r="J32" s="12">
        <f t="shared" si="0"/>
        <v>10478.370000000001</v>
      </c>
      <c r="K32" s="12">
        <f t="shared" si="1"/>
        <v>27540.47</v>
      </c>
    </row>
    <row r="33" spans="2:11" x14ac:dyDescent="0.25">
      <c r="B33" s="18">
        <v>43716</v>
      </c>
      <c r="C33" s="9" t="s">
        <v>752</v>
      </c>
      <c r="D33" s="11">
        <v>24650</v>
      </c>
      <c r="E33" s="11"/>
      <c r="F33" s="11"/>
      <c r="G33" s="11"/>
      <c r="H33" s="11"/>
      <c r="I33" s="15"/>
      <c r="J33" s="12">
        <f t="shared" si="0"/>
        <v>10478.370000000001</v>
      </c>
      <c r="K33" s="12">
        <f t="shared" si="1"/>
        <v>52190.47</v>
      </c>
    </row>
    <row r="34" spans="2:11" x14ac:dyDescent="0.25">
      <c r="B34" s="18">
        <v>43716</v>
      </c>
      <c r="C34" s="9" t="s">
        <v>756</v>
      </c>
      <c r="D34" s="11"/>
      <c r="E34" s="11"/>
      <c r="F34" s="11"/>
      <c r="G34" s="11"/>
      <c r="H34" s="11">
        <v>500</v>
      </c>
      <c r="I34" s="15"/>
      <c r="J34" s="12">
        <f t="shared" si="0"/>
        <v>10478.370000000001</v>
      </c>
      <c r="K34" s="12">
        <f t="shared" si="1"/>
        <v>51690.47</v>
      </c>
    </row>
    <row r="35" spans="2:11" x14ac:dyDescent="0.25">
      <c r="B35" s="18">
        <v>43717</v>
      </c>
      <c r="C35" s="9" t="s">
        <v>739</v>
      </c>
      <c r="D35" s="11"/>
      <c r="E35" s="11"/>
      <c r="F35" s="11"/>
      <c r="G35" s="11"/>
      <c r="H35" s="11">
        <v>195</v>
      </c>
      <c r="I35" s="15"/>
      <c r="J35" s="12">
        <f t="shared" si="0"/>
        <v>10478.370000000001</v>
      </c>
      <c r="K35" s="12">
        <f t="shared" si="1"/>
        <v>51495.47</v>
      </c>
    </row>
    <row r="36" spans="2:11" x14ac:dyDescent="0.25">
      <c r="B36" s="18">
        <v>43717</v>
      </c>
      <c r="C36" s="9" t="s">
        <v>753</v>
      </c>
      <c r="D36" s="11"/>
      <c r="E36" s="11"/>
      <c r="F36" s="11"/>
      <c r="G36" s="11"/>
      <c r="H36" s="11">
        <v>400</v>
      </c>
      <c r="I36" s="15"/>
      <c r="J36" s="12">
        <f t="shared" si="0"/>
        <v>10478.370000000001</v>
      </c>
      <c r="K36" s="12">
        <f t="shared" si="1"/>
        <v>51095.47</v>
      </c>
    </row>
    <row r="37" spans="2:11" x14ac:dyDescent="0.25">
      <c r="B37" s="18">
        <v>43718</v>
      </c>
      <c r="C37" s="9" t="s">
        <v>758</v>
      </c>
      <c r="D37" s="11"/>
      <c r="E37" s="11"/>
      <c r="F37" s="11"/>
      <c r="G37" s="11"/>
      <c r="H37" s="11">
        <v>200</v>
      </c>
      <c r="I37" s="15"/>
      <c r="J37" s="12">
        <f t="shared" si="0"/>
        <v>10478.370000000001</v>
      </c>
      <c r="K37" s="12">
        <f t="shared" si="1"/>
        <v>50895.47</v>
      </c>
    </row>
    <row r="38" spans="2:11" x14ac:dyDescent="0.25">
      <c r="B38" s="18">
        <v>43719</v>
      </c>
      <c r="C38" s="9" t="s">
        <v>759</v>
      </c>
      <c r="D38" s="11"/>
      <c r="E38" s="11"/>
      <c r="F38" s="11"/>
      <c r="G38" s="11"/>
      <c r="H38" s="11">
        <v>850</v>
      </c>
      <c r="I38" s="15"/>
      <c r="J38" s="12">
        <f t="shared" si="0"/>
        <v>10478.370000000001</v>
      </c>
      <c r="K38" s="12">
        <f t="shared" si="1"/>
        <v>50045.47</v>
      </c>
    </row>
    <row r="39" spans="2:11" x14ac:dyDescent="0.25">
      <c r="B39" s="18">
        <v>43719</v>
      </c>
      <c r="C39" s="9" t="s">
        <v>760</v>
      </c>
      <c r="D39" s="11"/>
      <c r="E39" s="11"/>
      <c r="F39" s="11"/>
      <c r="G39" s="11"/>
      <c r="H39" s="11">
        <v>50</v>
      </c>
      <c r="I39" s="15"/>
      <c r="J39" s="12">
        <f t="shared" si="0"/>
        <v>10478.370000000001</v>
      </c>
      <c r="K39" s="12">
        <f t="shared" si="1"/>
        <v>49995.47</v>
      </c>
    </row>
    <row r="40" spans="2:11" x14ac:dyDescent="0.25">
      <c r="B40" s="18">
        <v>43719</v>
      </c>
      <c r="C40" s="9" t="s">
        <v>761</v>
      </c>
      <c r="D40" s="11"/>
      <c r="E40" s="11"/>
      <c r="F40" s="11"/>
      <c r="G40" s="11"/>
      <c r="H40" s="11">
        <v>1500</v>
      </c>
      <c r="I40" s="15"/>
      <c r="J40" s="12">
        <f t="shared" si="0"/>
        <v>10478.370000000001</v>
      </c>
      <c r="K40" s="12">
        <f t="shared" si="1"/>
        <v>48495.47</v>
      </c>
    </row>
    <row r="41" spans="2:11" x14ac:dyDescent="0.25">
      <c r="B41" s="18">
        <v>43719</v>
      </c>
      <c r="C41" s="9" t="s">
        <v>763</v>
      </c>
      <c r="D41" s="11"/>
      <c r="E41" s="11"/>
      <c r="F41" s="11"/>
      <c r="G41" s="11"/>
      <c r="H41" s="11">
        <v>300</v>
      </c>
      <c r="I41" s="15"/>
      <c r="J41" s="12">
        <f t="shared" si="0"/>
        <v>10478.370000000001</v>
      </c>
      <c r="K41" s="12">
        <f t="shared" si="1"/>
        <v>48195.47</v>
      </c>
    </row>
    <row r="42" spans="2:11" x14ac:dyDescent="0.25">
      <c r="B42" s="18">
        <v>43719</v>
      </c>
      <c r="C42" s="9" t="s">
        <v>762</v>
      </c>
      <c r="D42" s="11"/>
      <c r="E42" s="11"/>
      <c r="F42" s="11"/>
      <c r="G42" s="11"/>
      <c r="H42" s="11">
        <v>300</v>
      </c>
      <c r="I42" s="15"/>
      <c r="J42" s="12">
        <f t="shared" si="0"/>
        <v>10478.370000000001</v>
      </c>
      <c r="K42" s="12">
        <f t="shared" si="1"/>
        <v>47895.47</v>
      </c>
    </row>
    <row r="43" spans="2:11" x14ac:dyDescent="0.25">
      <c r="B43" s="18">
        <v>43719</v>
      </c>
      <c r="C43" s="9" t="s">
        <v>764</v>
      </c>
      <c r="D43" s="11"/>
      <c r="E43" s="11"/>
      <c r="F43" s="11"/>
      <c r="G43" s="11"/>
      <c r="H43" s="11">
        <v>150</v>
      </c>
      <c r="I43" s="15"/>
      <c r="J43" s="12">
        <f t="shared" si="0"/>
        <v>10478.370000000001</v>
      </c>
      <c r="K43" s="12">
        <f t="shared" si="1"/>
        <v>47745.47</v>
      </c>
    </row>
    <row r="44" spans="2:11" x14ac:dyDescent="0.25">
      <c r="B44" s="18">
        <v>43719</v>
      </c>
      <c r="C44" s="9" t="s">
        <v>765</v>
      </c>
      <c r="D44" s="11"/>
      <c r="E44" s="11"/>
      <c r="F44" s="11"/>
      <c r="G44" s="11"/>
      <c r="H44" s="11">
        <v>200</v>
      </c>
      <c r="I44" s="15"/>
      <c r="J44" s="12">
        <f t="shared" si="0"/>
        <v>10478.370000000001</v>
      </c>
      <c r="K44" s="12">
        <f t="shared" si="1"/>
        <v>47545.47</v>
      </c>
    </row>
    <row r="45" spans="2:11" x14ac:dyDescent="0.25">
      <c r="B45" s="18">
        <v>43719</v>
      </c>
      <c r="C45" s="9" t="s">
        <v>743</v>
      </c>
      <c r="D45" s="11"/>
      <c r="E45" s="11"/>
      <c r="F45" s="11"/>
      <c r="G45" s="11"/>
      <c r="H45" s="59">
        <v>78</v>
      </c>
      <c r="I45" s="15"/>
      <c r="J45" s="12">
        <f t="shared" si="0"/>
        <v>10478.370000000001</v>
      </c>
      <c r="K45" s="12">
        <f t="shared" si="1"/>
        <v>47467.47</v>
      </c>
    </row>
    <row r="46" spans="2:11" x14ac:dyDescent="0.25">
      <c r="B46" s="18">
        <v>43719</v>
      </c>
      <c r="C46" s="9" t="s">
        <v>766</v>
      </c>
      <c r="D46" s="11"/>
      <c r="E46" s="11"/>
      <c r="F46" s="11"/>
      <c r="G46" s="11"/>
      <c r="H46" s="59">
        <v>8</v>
      </c>
      <c r="I46" s="15"/>
      <c r="J46" s="12">
        <f t="shared" si="0"/>
        <v>10478.370000000001</v>
      </c>
      <c r="K46" s="12">
        <f t="shared" si="1"/>
        <v>47459.47</v>
      </c>
    </row>
    <row r="47" spans="2:11" x14ac:dyDescent="0.25">
      <c r="B47" s="18">
        <v>43720</v>
      </c>
      <c r="C47" s="13" t="s">
        <v>813</v>
      </c>
      <c r="D47" s="11"/>
      <c r="E47" s="11"/>
      <c r="F47" s="11"/>
      <c r="G47" s="11"/>
      <c r="H47" s="59">
        <v>180</v>
      </c>
      <c r="I47" s="15"/>
      <c r="J47" s="12">
        <f t="shared" si="0"/>
        <v>10478.370000000001</v>
      </c>
      <c r="K47" s="12">
        <f t="shared" si="1"/>
        <v>47279.47</v>
      </c>
    </row>
    <row r="48" spans="2:11" x14ac:dyDescent="0.25">
      <c r="B48" s="18">
        <v>43720</v>
      </c>
      <c r="C48" s="9" t="s">
        <v>767</v>
      </c>
      <c r="D48" s="11"/>
      <c r="E48" s="11"/>
      <c r="F48" s="11"/>
      <c r="G48" s="11"/>
      <c r="H48" s="59">
        <v>15</v>
      </c>
      <c r="I48" s="15"/>
      <c r="J48" s="12">
        <f t="shared" si="0"/>
        <v>10478.370000000001</v>
      </c>
      <c r="K48" s="12">
        <f t="shared" si="1"/>
        <v>47264.47</v>
      </c>
    </row>
    <row r="49" spans="2:11" x14ac:dyDescent="0.25">
      <c r="B49" s="18">
        <v>43720</v>
      </c>
      <c r="C49" s="13" t="s">
        <v>768</v>
      </c>
      <c r="D49" s="41"/>
      <c r="E49" s="41"/>
      <c r="F49" s="41"/>
      <c r="G49" s="41"/>
      <c r="H49" s="59">
        <v>256.89999999999998</v>
      </c>
      <c r="I49" s="15"/>
      <c r="J49" s="12">
        <f t="shared" si="0"/>
        <v>10478.370000000001</v>
      </c>
      <c r="K49" s="12">
        <f t="shared" si="1"/>
        <v>47007.57</v>
      </c>
    </row>
    <row r="50" spans="2:11" x14ac:dyDescent="0.25">
      <c r="B50" s="18">
        <v>43721</v>
      </c>
      <c r="C50" s="13" t="s">
        <v>815</v>
      </c>
      <c r="D50" s="11"/>
      <c r="E50" s="11"/>
      <c r="F50" s="11"/>
      <c r="G50" s="11"/>
      <c r="H50" s="11">
        <v>778</v>
      </c>
      <c r="I50" s="15"/>
      <c r="J50" s="12">
        <f t="shared" si="0"/>
        <v>10478.370000000001</v>
      </c>
      <c r="K50" s="12">
        <f t="shared" si="1"/>
        <v>46229.57</v>
      </c>
    </row>
    <row r="51" spans="2:11" x14ac:dyDescent="0.25">
      <c r="B51" s="18">
        <v>43478</v>
      </c>
      <c r="C51" s="13" t="s">
        <v>743</v>
      </c>
      <c r="D51" s="11"/>
      <c r="E51" s="11"/>
      <c r="F51" s="11"/>
      <c r="G51" s="11"/>
      <c r="H51" s="11">
        <v>157</v>
      </c>
      <c r="I51" s="15"/>
      <c r="J51" s="12">
        <f t="shared" si="0"/>
        <v>10478.370000000001</v>
      </c>
      <c r="K51" s="12">
        <f t="shared" si="1"/>
        <v>46072.57</v>
      </c>
    </row>
    <row r="52" spans="2:11" x14ac:dyDescent="0.25">
      <c r="B52" s="18">
        <v>43721</v>
      </c>
      <c r="C52" s="13" t="s">
        <v>769</v>
      </c>
      <c r="D52" s="11"/>
      <c r="E52" s="11"/>
      <c r="F52" s="11"/>
      <c r="G52" s="11"/>
      <c r="H52" s="11">
        <v>1500</v>
      </c>
      <c r="I52" s="15"/>
      <c r="J52" s="12">
        <f t="shared" si="0"/>
        <v>10478.370000000001</v>
      </c>
      <c r="K52" s="12">
        <f t="shared" si="1"/>
        <v>44572.57</v>
      </c>
    </row>
    <row r="53" spans="2:11" ht="15.75" thickBot="1" x14ac:dyDescent="0.3">
      <c r="B53" s="18">
        <v>43721</v>
      </c>
      <c r="C53" s="13" t="s">
        <v>770</v>
      </c>
      <c r="D53" s="11"/>
      <c r="E53" s="11"/>
      <c r="F53" s="11"/>
      <c r="G53" s="11"/>
      <c r="H53" s="11">
        <v>8</v>
      </c>
      <c r="I53" s="15"/>
      <c r="J53" s="12">
        <f t="shared" si="0"/>
        <v>10478.370000000001</v>
      </c>
      <c r="K53" s="12">
        <f t="shared" si="1"/>
        <v>44564.57</v>
      </c>
    </row>
    <row r="54" spans="2:11" ht="15.75" thickBot="1" x14ac:dyDescent="0.3">
      <c r="B54" s="5"/>
      <c r="C54" s="7" t="s">
        <v>0</v>
      </c>
      <c r="D54" s="62">
        <f>SUM(D4:D53)</f>
        <v>50100</v>
      </c>
      <c r="E54" s="61">
        <f>SUM(E4:E53)</f>
        <v>0</v>
      </c>
      <c r="F54" s="71">
        <f>SUM(D54:E54)</f>
        <v>50100</v>
      </c>
      <c r="G54" s="80">
        <f>SUM(G4:G53)</f>
        <v>0</v>
      </c>
      <c r="H54" s="62">
        <f>SUM(H5:H53)</f>
        <v>13357.99</v>
      </c>
      <c r="I54" s="71">
        <f>SUM(G54:H54)</f>
        <v>13357.99</v>
      </c>
      <c r="J54" s="20"/>
      <c r="K54" s="20"/>
    </row>
    <row r="55" spans="2:11" x14ac:dyDescent="0.25">
      <c r="B55" s="68" t="s">
        <v>1</v>
      </c>
      <c r="C55" s="68" t="s">
        <v>2</v>
      </c>
      <c r="D55" s="68" t="s">
        <v>3</v>
      </c>
      <c r="E55" s="68" t="s">
        <v>3</v>
      </c>
      <c r="F55" s="68" t="s">
        <v>22</v>
      </c>
      <c r="G55" s="68" t="s">
        <v>23</v>
      </c>
      <c r="H55" s="48" t="s">
        <v>23</v>
      </c>
      <c r="I55" s="48" t="s">
        <v>22</v>
      </c>
      <c r="J55" s="68" t="s">
        <v>8</v>
      </c>
      <c r="K55" s="48" t="s">
        <v>7</v>
      </c>
    </row>
    <row r="56" spans="2:11" ht="15.75" thickBot="1" x14ac:dyDescent="0.3">
      <c r="B56" s="69"/>
      <c r="C56" s="69"/>
      <c r="D56" s="69" t="s">
        <v>5</v>
      </c>
      <c r="E56" s="69" t="s">
        <v>24</v>
      </c>
      <c r="F56" s="69" t="s">
        <v>3</v>
      </c>
      <c r="G56" s="69" t="s">
        <v>24</v>
      </c>
      <c r="H56" s="70" t="s">
        <v>5</v>
      </c>
      <c r="I56" s="70" t="s">
        <v>4</v>
      </c>
      <c r="J56" s="69"/>
      <c r="K56" s="70"/>
    </row>
    <row r="57" spans="2:11" ht="15.75" thickBot="1" x14ac:dyDescent="0.3">
      <c r="B57" s="5"/>
      <c r="C57" s="7"/>
      <c r="D57" s="62">
        <v>50100</v>
      </c>
      <c r="E57" s="61">
        <v>0</v>
      </c>
      <c r="F57" s="71">
        <f>SUM(D57:E57)</f>
        <v>50100</v>
      </c>
      <c r="G57" s="80">
        <v>0</v>
      </c>
      <c r="H57" s="62">
        <v>13357.99</v>
      </c>
      <c r="I57" s="71">
        <f>SUM(G57:H57)</f>
        <v>13357.99</v>
      </c>
      <c r="J57" s="20">
        <v>10478.370000000001</v>
      </c>
      <c r="K57" s="26">
        <v>44564.57</v>
      </c>
    </row>
    <row r="58" spans="2:11" x14ac:dyDescent="0.25">
      <c r="B58" s="18">
        <v>43722</v>
      </c>
      <c r="C58" s="13" t="s">
        <v>810</v>
      </c>
      <c r="D58" s="11"/>
      <c r="E58" s="11"/>
      <c r="F58" s="11"/>
      <c r="G58" s="11"/>
      <c r="H58" s="11">
        <v>425</v>
      </c>
      <c r="I58" s="15"/>
      <c r="J58" s="12">
        <f>+J53+E58-G58</f>
        <v>10478.370000000001</v>
      </c>
      <c r="K58" s="12">
        <f>+K53+D58-H58</f>
        <v>44139.57</v>
      </c>
    </row>
    <row r="59" spans="2:11" x14ac:dyDescent="0.25">
      <c r="B59" s="18">
        <v>43722</v>
      </c>
      <c r="C59" s="13" t="s">
        <v>771</v>
      </c>
      <c r="D59" s="11"/>
      <c r="E59" s="11"/>
      <c r="F59" s="11"/>
      <c r="G59" s="11"/>
      <c r="H59" s="11">
        <v>461</v>
      </c>
      <c r="I59" s="15"/>
      <c r="J59" s="12">
        <f t="shared" ref="J59" si="2">+J58+E59-G59</f>
        <v>10478.370000000001</v>
      </c>
      <c r="K59" s="12">
        <f>+K58+D59-H59</f>
        <v>43678.57</v>
      </c>
    </row>
    <row r="60" spans="2:11" x14ac:dyDescent="0.25">
      <c r="B60" s="18">
        <v>43722</v>
      </c>
      <c r="C60" s="13" t="s">
        <v>790</v>
      </c>
      <c r="D60" s="11"/>
      <c r="E60" s="11"/>
      <c r="F60" s="11"/>
      <c r="G60" s="11"/>
      <c r="H60" s="11">
        <v>1500</v>
      </c>
      <c r="I60" s="15"/>
      <c r="J60" s="12">
        <f t="shared" ref="J60:J107" si="3">+J59+E60-G60</f>
        <v>10478.370000000001</v>
      </c>
      <c r="K60" s="12">
        <f t="shared" ref="K60:K107" si="4">+K59+D60-H60</f>
        <v>42178.57</v>
      </c>
    </row>
    <row r="61" spans="2:11" x14ac:dyDescent="0.25">
      <c r="B61" s="18">
        <v>43723</v>
      </c>
      <c r="C61" s="9" t="s">
        <v>688</v>
      </c>
      <c r="D61" s="11"/>
      <c r="E61" s="11"/>
      <c r="F61" s="11"/>
      <c r="G61" s="11"/>
      <c r="H61" s="11">
        <v>350</v>
      </c>
      <c r="I61" s="15"/>
      <c r="J61" s="12">
        <f t="shared" si="3"/>
        <v>10478.370000000001</v>
      </c>
      <c r="K61" s="12">
        <f t="shared" si="4"/>
        <v>41828.57</v>
      </c>
    </row>
    <row r="62" spans="2:11" x14ac:dyDescent="0.25">
      <c r="B62" s="18">
        <v>43723</v>
      </c>
      <c r="C62" s="9" t="s">
        <v>689</v>
      </c>
      <c r="D62" s="11"/>
      <c r="E62" s="11"/>
      <c r="F62" s="11"/>
      <c r="G62" s="11"/>
      <c r="H62" s="11">
        <v>550</v>
      </c>
      <c r="I62" s="15"/>
      <c r="J62" s="12">
        <f t="shared" si="3"/>
        <v>10478.370000000001</v>
      </c>
      <c r="K62" s="12">
        <f t="shared" si="4"/>
        <v>41278.57</v>
      </c>
    </row>
    <row r="63" spans="2:11" x14ac:dyDescent="0.25">
      <c r="B63" s="18">
        <v>43723</v>
      </c>
      <c r="C63" s="9" t="s">
        <v>690</v>
      </c>
      <c r="D63" s="11"/>
      <c r="E63" s="11"/>
      <c r="F63" s="11"/>
      <c r="G63" s="11"/>
      <c r="H63" s="11">
        <v>2000</v>
      </c>
      <c r="I63" s="15"/>
      <c r="J63" s="12">
        <f t="shared" si="3"/>
        <v>10478.370000000001</v>
      </c>
      <c r="K63" s="12">
        <f t="shared" si="4"/>
        <v>39278.57</v>
      </c>
    </row>
    <row r="64" spans="2:11" x14ac:dyDescent="0.25">
      <c r="B64" s="18">
        <v>43723</v>
      </c>
      <c r="C64" s="9" t="s">
        <v>445</v>
      </c>
      <c r="D64" s="11"/>
      <c r="E64" s="11"/>
      <c r="F64" s="11"/>
      <c r="G64" s="11"/>
      <c r="H64" s="11">
        <v>4000</v>
      </c>
      <c r="I64" s="15"/>
      <c r="J64" s="12">
        <f t="shared" si="3"/>
        <v>10478.370000000001</v>
      </c>
      <c r="K64" s="12">
        <f t="shared" si="4"/>
        <v>35278.57</v>
      </c>
    </row>
    <row r="65" spans="2:12" x14ac:dyDescent="0.25">
      <c r="B65" s="18">
        <v>43723</v>
      </c>
      <c r="C65" s="21" t="s">
        <v>772</v>
      </c>
      <c r="D65" s="11"/>
      <c r="E65" s="11"/>
      <c r="F65" s="11"/>
      <c r="G65" s="11"/>
      <c r="H65" s="11">
        <v>40000</v>
      </c>
      <c r="I65" s="15"/>
      <c r="J65" s="12">
        <f t="shared" si="3"/>
        <v>10478.370000000001</v>
      </c>
      <c r="K65" s="12">
        <f t="shared" si="4"/>
        <v>-4721.43</v>
      </c>
    </row>
    <row r="66" spans="2:12" x14ac:dyDescent="0.25">
      <c r="B66" s="18">
        <v>43723</v>
      </c>
      <c r="C66" s="13" t="s">
        <v>773</v>
      </c>
      <c r="D66" s="11"/>
      <c r="E66" s="11"/>
      <c r="F66" s="11"/>
      <c r="G66" s="11"/>
      <c r="H66" s="11">
        <v>56</v>
      </c>
      <c r="I66" s="15"/>
      <c r="J66" s="12">
        <f t="shared" si="3"/>
        <v>10478.370000000001</v>
      </c>
      <c r="K66" s="12">
        <f t="shared" si="4"/>
        <v>-4777.43</v>
      </c>
    </row>
    <row r="67" spans="2:12" x14ac:dyDescent="0.25">
      <c r="B67" s="18">
        <v>43723</v>
      </c>
      <c r="C67" s="9" t="s">
        <v>811</v>
      </c>
      <c r="D67" s="11"/>
      <c r="E67" s="11"/>
      <c r="F67" s="11"/>
      <c r="G67" s="11"/>
      <c r="H67" s="11">
        <v>46.46</v>
      </c>
      <c r="I67" s="15"/>
      <c r="J67" s="12">
        <f t="shared" si="3"/>
        <v>10478.370000000001</v>
      </c>
      <c r="K67" s="12">
        <f t="shared" si="4"/>
        <v>-4823.8900000000003</v>
      </c>
    </row>
    <row r="68" spans="2:12" x14ac:dyDescent="0.25">
      <c r="B68" s="18">
        <v>43723</v>
      </c>
      <c r="C68" s="13" t="s">
        <v>774</v>
      </c>
      <c r="D68" s="41"/>
      <c r="E68" s="41"/>
      <c r="F68" s="41"/>
      <c r="G68" s="41"/>
      <c r="H68" s="11">
        <v>120</v>
      </c>
      <c r="I68" s="15"/>
      <c r="J68" s="12">
        <f t="shared" si="3"/>
        <v>10478.370000000001</v>
      </c>
      <c r="K68" s="12">
        <f t="shared" si="4"/>
        <v>-4943.8900000000003</v>
      </c>
    </row>
    <row r="69" spans="2:12" x14ac:dyDescent="0.25">
      <c r="B69" s="18">
        <v>43723</v>
      </c>
      <c r="C69" s="9" t="s">
        <v>750</v>
      </c>
      <c r="D69" s="11"/>
      <c r="E69" s="11"/>
      <c r="F69" s="11"/>
      <c r="G69" s="11"/>
      <c r="H69" s="59">
        <v>92</v>
      </c>
      <c r="I69" s="15"/>
      <c r="J69" s="12">
        <f t="shared" si="3"/>
        <v>10478.370000000001</v>
      </c>
      <c r="K69" s="12">
        <f t="shared" si="4"/>
        <v>-5035.8900000000003</v>
      </c>
    </row>
    <row r="70" spans="2:12" x14ac:dyDescent="0.25">
      <c r="B70" s="18">
        <v>43723</v>
      </c>
      <c r="C70" s="9" t="s">
        <v>812</v>
      </c>
      <c r="D70" s="11"/>
      <c r="E70" s="11"/>
      <c r="F70" s="11"/>
      <c r="G70" s="11"/>
      <c r="H70" s="59">
        <v>80</v>
      </c>
      <c r="I70" s="15"/>
      <c r="J70" s="12">
        <f t="shared" si="3"/>
        <v>10478.370000000001</v>
      </c>
      <c r="K70" s="12">
        <f t="shared" si="4"/>
        <v>-5115.8900000000003</v>
      </c>
    </row>
    <row r="71" spans="2:12" x14ac:dyDescent="0.25">
      <c r="B71" s="18">
        <v>43724</v>
      </c>
      <c r="C71" s="9" t="s">
        <v>796</v>
      </c>
      <c r="D71" s="11">
        <v>22100</v>
      </c>
      <c r="E71" s="11"/>
      <c r="F71" s="11"/>
      <c r="G71" s="11"/>
      <c r="H71" s="59"/>
      <c r="I71" s="15"/>
      <c r="J71" s="12">
        <f t="shared" si="3"/>
        <v>10478.370000000001</v>
      </c>
      <c r="K71" s="12">
        <f t="shared" si="4"/>
        <v>16984.11</v>
      </c>
    </row>
    <row r="72" spans="2:12" x14ac:dyDescent="0.25">
      <c r="B72" s="18">
        <v>43724</v>
      </c>
      <c r="C72" s="9" t="s">
        <v>813</v>
      </c>
      <c r="D72" s="11"/>
      <c r="E72" s="11"/>
      <c r="F72" s="11"/>
      <c r="G72" s="11"/>
      <c r="H72" s="59">
        <v>125</v>
      </c>
      <c r="I72" s="15"/>
      <c r="J72" s="12">
        <f t="shared" si="3"/>
        <v>10478.370000000001</v>
      </c>
      <c r="K72" s="12">
        <f t="shared" si="4"/>
        <v>16859.11</v>
      </c>
      <c r="L72" s="1"/>
    </row>
    <row r="73" spans="2:12" x14ac:dyDescent="0.25">
      <c r="B73" s="18">
        <v>43724</v>
      </c>
      <c r="C73" s="13" t="s">
        <v>767</v>
      </c>
      <c r="D73" s="11"/>
      <c r="E73" s="11"/>
      <c r="F73" s="11"/>
      <c r="G73" s="11"/>
      <c r="H73" s="11">
        <v>15</v>
      </c>
      <c r="I73" s="15"/>
      <c r="J73" s="12">
        <f t="shared" si="3"/>
        <v>10478.370000000001</v>
      </c>
      <c r="K73" s="12">
        <f t="shared" si="4"/>
        <v>16844.11</v>
      </c>
      <c r="L73" s="1"/>
    </row>
    <row r="74" spans="2:12" x14ac:dyDescent="0.25">
      <c r="B74" s="18">
        <v>43724</v>
      </c>
      <c r="C74" s="123" t="s">
        <v>686</v>
      </c>
      <c r="D74" s="11"/>
      <c r="E74" s="11"/>
      <c r="F74" s="11"/>
      <c r="G74" s="11">
        <v>1760</v>
      </c>
      <c r="H74" s="11"/>
      <c r="I74" s="15"/>
      <c r="J74" s="12">
        <f t="shared" si="3"/>
        <v>8718.3700000000008</v>
      </c>
      <c r="K74" s="12">
        <f t="shared" si="4"/>
        <v>16844.11</v>
      </c>
      <c r="L74" s="1"/>
    </row>
    <row r="75" spans="2:12" x14ac:dyDescent="0.25">
      <c r="B75" s="18">
        <v>43724</v>
      </c>
      <c r="C75" s="123" t="s">
        <v>687</v>
      </c>
      <c r="D75" s="11"/>
      <c r="E75" s="11"/>
      <c r="F75" s="11"/>
      <c r="G75" s="11">
        <v>1400</v>
      </c>
      <c r="H75" s="11"/>
      <c r="I75" s="15"/>
      <c r="J75" s="12">
        <f t="shared" si="3"/>
        <v>7318.3700000000008</v>
      </c>
      <c r="K75" s="12">
        <f t="shared" si="4"/>
        <v>16844.11</v>
      </c>
      <c r="L75" s="1"/>
    </row>
    <row r="76" spans="2:12" x14ac:dyDescent="0.25">
      <c r="B76" s="18">
        <v>43724</v>
      </c>
      <c r="C76" s="13" t="s">
        <v>775</v>
      </c>
      <c r="D76" s="11"/>
      <c r="E76" s="11">
        <v>700</v>
      </c>
      <c r="F76" s="11"/>
      <c r="G76" s="11"/>
      <c r="H76" s="11"/>
      <c r="I76" s="15"/>
      <c r="J76" s="12">
        <f t="shared" si="3"/>
        <v>8018.3700000000008</v>
      </c>
      <c r="K76" s="12">
        <f t="shared" si="4"/>
        <v>16844.11</v>
      </c>
    </row>
    <row r="77" spans="2:12" x14ac:dyDescent="0.25">
      <c r="B77" s="18">
        <v>43724</v>
      </c>
      <c r="C77" s="9" t="s">
        <v>776</v>
      </c>
      <c r="D77" s="11"/>
      <c r="E77" s="11">
        <v>400.46</v>
      </c>
      <c r="F77" s="11"/>
      <c r="G77" s="11"/>
      <c r="H77" s="11"/>
      <c r="I77" s="15"/>
      <c r="J77" s="12">
        <f t="shared" si="3"/>
        <v>8418.83</v>
      </c>
      <c r="K77" s="12">
        <f t="shared" si="4"/>
        <v>16844.11</v>
      </c>
    </row>
    <row r="78" spans="2:12" x14ac:dyDescent="0.25">
      <c r="B78" s="18">
        <v>43724</v>
      </c>
      <c r="C78" s="9" t="s">
        <v>777</v>
      </c>
      <c r="D78" s="11"/>
      <c r="E78" s="11">
        <v>400.15</v>
      </c>
      <c r="F78" s="11"/>
      <c r="G78" s="11"/>
      <c r="H78" s="11"/>
      <c r="I78" s="15"/>
      <c r="J78" s="12">
        <f t="shared" si="3"/>
        <v>8818.98</v>
      </c>
      <c r="K78" s="12">
        <f t="shared" si="4"/>
        <v>16844.11</v>
      </c>
    </row>
    <row r="79" spans="2:12" x14ac:dyDescent="0.25">
      <c r="B79" s="18">
        <v>43724</v>
      </c>
      <c r="C79" s="13" t="s">
        <v>779</v>
      </c>
      <c r="D79" s="11"/>
      <c r="E79" s="11">
        <v>12760</v>
      </c>
      <c r="F79" s="11"/>
      <c r="G79" s="11"/>
      <c r="H79" s="11"/>
      <c r="I79" s="15"/>
      <c r="J79" s="12">
        <f t="shared" si="3"/>
        <v>21578.98</v>
      </c>
      <c r="K79" s="12">
        <f t="shared" si="4"/>
        <v>16844.11</v>
      </c>
      <c r="L79" s="1"/>
    </row>
    <row r="80" spans="2:12" x14ac:dyDescent="0.25">
      <c r="B80" s="18">
        <v>43724</v>
      </c>
      <c r="C80" s="13" t="s">
        <v>778</v>
      </c>
      <c r="D80" s="11"/>
      <c r="E80" s="11">
        <v>800</v>
      </c>
      <c r="F80" s="11"/>
      <c r="G80" s="11"/>
      <c r="H80" s="11"/>
      <c r="I80" s="15"/>
      <c r="J80" s="12">
        <f t="shared" si="3"/>
        <v>22378.98</v>
      </c>
      <c r="K80" s="12">
        <f t="shared" si="4"/>
        <v>16844.11</v>
      </c>
    </row>
    <row r="81" spans="2:12" x14ac:dyDescent="0.25">
      <c r="B81" s="18">
        <v>43724</v>
      </c>
      <c r="C81" s="9" t="s">
        <v>739</v>
      </c>
      <c r="D81" s="11"/>
      <c r="E81" s="11"/>
      <c r="F81" s="11"/>
      <c r="G81" s="11"/>
      <c r="H81" s="11">
        <v>195</v>
      </c>
      <c r="I81" s="15"/>
      <c r="J81" s="12">
        <f t="shared" si="3"/>
        <v>22378.98</v>
      </c>
      <c r="K81" s="12">
        <f t="shared" si="4"/>
        <v>16649.11</v>
      </c>
    </row>
    <row r="82" spans="2:12" x14ac:dyDescent="0.25">
      <c r="B82" s="18">
        <v>43724</v>
      </c>
      <c r="C82" s="35" t="s">
        <v>780</v>
      </c>
      <c r="D82" s="11"/>
      <c r="E82" s="11"/>
      <c r="F82" s="11"/>
      <c r="G82" s="11"/>
      <c r="H82" s="11">
        <v>500</v>
      </c>
      <c r="I82" s="15"/>
      <c r="J82" s="12">
        <f t="shared" si="3"/>
        <v>22378.98</v>
      </c>
      <c r="K82" s="12">
        <f t="shared" si="4"/>
        <v>16149.11</v>
      </c>
    </row>
    <row r="83" spans="2:12" x14ac:dyDescent="0.25">
      <c r="B83" s="18">
        <v>43724</v>
      </c>
      <c r="C83" s="34" t="s">
        <v>740</v>
      </c>
      <c r="D83" s="11"/>
      <c r="E83" s="11"/>
      <c r="F83" s="11"/>
      <c r="G83" s="11"/>
      <c r="H83" s="11">
        <v>300</v>
      </c>
      <c r="I83" s="15"/>
      <c r="J83" s="12">
        <f t="shared" si="3"/>
        <v>22378.98</v>
      </c>
      <c r="K83" s="12">
        <f t="shared" si="4"/>
        <v>15849.11</v>
      </c>
    </row>
    <row r="84" spans="2:12" x14ac:dyDescent="0.25">
      <c r="B84" s="18">
        <v>43725</v>
      </c>
      <c r="C84" s="35" t="s">
        <v>781</v>
      </c>
      <c r="D84" s="11"/>
      <c r="E84" s="11"/>
      <c r="F84" s="11"/>
      <c r="G84" s="11"/>
      <c r="H84" s="11">
        <v>500</v>
      </c>
      <c r="I84" s="15"/>
      <c r="J84" s="12">
        <f t="shared" si="3"/>
        <v>22378.98</v>
      </c>
      <c r="K84" s="12">
        <f t="shared" si="4"/>
        <v>15349.11</v>
      </c>
    </row>
    <row r="85" spans="2:12" x14ac:dyDescent="0.25">
      <c r="B85" s="18">
        <v>43727</v>
      </c>
      <c r="C85" s="34" t="s">
        <v>782</v>
      </c>
      <c r="D85" s="11"/>
      <c r="E85" s="11"/>
      <c r="F85" s="11"/>
      <c r="G85" s="11"/>
      <c r="H85" s="11">
        <v>350</v>
      </c>
      <c r="I85" s="15"/>
      <c r="J85" s="12">
        <f t="shared" si="3"/>
        <v>22378.98</v>
      </c>
      <c r="K85" s="12">
        <f t="shared" si="4"/>
        <v>14999.11</v>
      </c>
    </row>
    <row r="86" spans="2:12" x14ac:dyDescent="0.25">
      <c r="B86" s="18">
        <v>43727</v>
      </c>
      <c r="C86" s="13" t="s">
        <v>784</v>
      </c>
      <c r="D86" s="11"/>
      <c r="E86" s="11"/>
      <c r="F86" s="11"/>
      <c r="G86" s="11"/>
      <c r="H86" s="11">
        <v>2450</v>
      </c>
      <c r="I86" s="15"/>
      <c r="J86" s="12">
        <f t="shared" si="3"/>
        <v>22378.98</v>
      </c>
      <c r="K86" s="12">
        <f t="shared" si="4"/>
        <v>12549.11</v>
      </c>
      <c r="L86" s="1"/>
    </row>
    <row r="87" spans="2:12" x14ac:dyDescent="0.25">
      <c r="B87" s="18">
        <v>43727</v>
      </c>
      <c r="C87" s="9" t="s">
        <v>783</v>
      </c>
      <c r="D87" s="11"/>
      <c r="E87" s="11"/>
      <c r="F87" s="11"/>
      <c r="G87" s="11"/>
      <c r="H87" s="11">
        <v>300</v>
      </c>
      <c r="I87" s="15"/>
      <c r="J87" s="12">
        <f t="shared" si="3"/>
        <v>22378.98</v>
      </c>
      <c r="K87" s="12">
        <f t="shared" si="4"/>
        <v>12249.11</v>
      </c>
    </row>
    <row r="88" spans="2:12" x14ac:dyDescent="0.25">
      <c r="B88" s="18">
        <v>43727</v>
      </c>
      <c r="C88" s="9" t="s">
        <v>785</v>
      </c>
      <c r="D88" s="11"/>
      <c r="E88" s="11"/>
      <c r="F88" s="11"/>
      <c r="G88" s="11"/>
      <c r="H88" s="11">
        <v>100</v>
      </c>
      <c r="I88" s="15"/>
      <c r="J88" s="12">
        <f t="shared" si="3"/>
        <v>22378.98</v>
      </c>
      <c r="K88" s="12">
        <f t="shared" si="4"/>
        <v>12149.11</v>
      </c>
    </row>
    <row r="89" spans="2:12" x14ac:dyDescent="0.25">
      <c r="B89" s="18">
        <v>43728</v>
      </c>
      <c r="C89" s="13" t="s">
        <v>786</v>
      </c>
      <c r="D89" s="41"/>
      <c r="E89" s="41"/>
      <c r="F89" s="41"/>
      <c r="G89" s="16"/>
      <c r="H89" s="11">
        <v>30</v>
      </c>
      <c r="I89" s="15"/>
      <c r="J89" s="12">
        <f t="shared" si="3"/>
        <v>22378.98</v>
      </c>
      <c r="K89" s="12">
        <f t="shared" si="4"/>
        <v>12119.11</v>
      </c>
    </row>
    <row r="90" spans="2:12" x14ac:dyDescent="0.25">
      <c r="B90" s="18">
        <v>43728</v>
      </c>
      <c r="C90" s="13" t="s">
        <v>787</v>
      </c>
      <c r="D90" s="16"/>
      <c r="E90" s="41"/>
      <c r="F90" s="41"/>
      <c r="G90" s="16"/>
      <c r="H90" s="11">
        <v>1500</v>
      </c>
      <c r="I90" s="15"/>
      <c r="J90" s="12">
        <f t="shared" si="3"/>
        <v>22378.98</v>
      </c>
      <c r="K90" s="12">
        <f t="shared" si="4"/>
        <v>10619.11</v>
      </c>
    </row>
    <row r="91" spans="2:12" x14ac:dyDescent="0.25">
      <c r="B91" s="18">
        <v>43729</v>
      </c>
      <c r="C91" s="13" t="s">
        <v>788</v>
      </c>
      <c r="D91" s="41"/>
      <c r="E91" s="41"/>
      <c r="F91" s="41"/>
      <c r="G91" s="16"/>
      <c r="H91" s="11">
        <v>150</v>
      </c>
      <c r="I91" s="15"/>
      <c r="J91" s="12">
        <f t="shared" si="3"/>
        <v>22378.98</v>
      </c>
      <c r="K91" s="12">
        <f t="shared" si="4"/>
        <v>10469.11</v>
      </c>
    </row>
    <row r="92" spans="2:12" x14ac:dyDescent="0.25">
      <c r="B92" s="18">
        <v>43729</v>
      </c>
      <c r="C92" s="13" t="s">
        <v>789</v>
      </c>
      <c r="D92" s="16"/>
      <c r="E92" s="41"/>
      <c r="F92" s="41"/>
      <c r="G92" s="16"/>
      <c r="H92" s="11">
        <v>1500</v>
      </c>
      <c r="I92" s="15"/>
      <c r="J92" s="12">
        <f t="shared" si="3"/>
        <v>22378.98</v>
      </c>
      <c r="K92" s="12">
        <f t="shared" si="4"/>
        <v>8969.11</v>
      </c>
    </row>
    <row r="93" spans="2:12" x14ac:dyDescent="0.25">
      <c r="B93" s="18">
        <v>43729</v>
      </c>
      <c r="C93" s="13" t="s">
        <v>792</v>
      </c>
      <c r="D93" s="16"/>
      <c r="E93" s="41"/>
      <c r="F93" s="41"/>
      <c r="G93" s="16"/>
      <c r="H93" s="11">
        <v>81.5</v>
      </c>
      <c r="I93" s="15"/>
      <c r="J93" s="12">
        <f t="shared" si="3"/>
        <v>22378.98</v>
      </c>
      <c r="K93" s="12">
        <f t="shared" si="4"/>
        <v>8887.61</v>
      </c>
    </row>
    <row r="94" spans="2:12" x14ac:dyDescent="0.25">
      <c r="B94" s="18">
        <v>43729</v>
      </c>
      <c r="C94" s="13" t="s">
        <v>791</v>
      </c>
      <c r="D94" s="16"/>
      <c r="E94" s="41"/>
      <c r="F94" s="41"/>
      <c r="G94" s="16"/>
      <c r="H94" s="11">
        <v>120</v>
      </c>
      <c r="I94" s="15"/>
      <c r="J94" s="12">
        <f t="shared" si="3"/>
        <v>22378.98</v>
      </c>
      <c r="K94" s="12">
        <f t="shared" si="4"/>
        <v>8767.61</v>
      </c>
    </row>
    <row r="95" spans="2:12" x14ac:dyDescent="0.25">
      <c r="B95" s="18">
        <v>43729</v>
      </c>
      <c r="C95" s="13" t="s">
        <v>793</v>
      </c>
      <c r="D95" s="41"/>
      <c r="E95" s="41"/>
      <c r="F95" s="41"/>
      <c r="G95" s="41"/>
      <c r="H95" s="11">
        <v>2200</v>
      </c>
      <c r="I95" s="15"/>
      <c r="J95" s="12">
        <f t="shared" si="3"/>
        <v>22378.98</v>
      </c>
      <c r="K95" s="12">
        <f t="shared" si="4"/>
        <v>6567.6100000000006</v>
      </c>
    </row>
    <row r="96" spans="2:12" x14ac:dyDescent="0.25">
      <c r="B96" s="18">
        <v>43729</v>
      </c>
      <c r="C96" s="13" t="s">
        <v>794</v>
      </c>
      <c r="D96" s="41"/>
      <c r="E96" s="41"/>
      <c r="F96" s="41"/>
      <c r="G96" s="41"/>
      <c r="H96" s="11">
        <v>800</v>
      </c>
      <c r="I96" s="15"/>
      <c r="J96" s="12">
        <f t="shared" si="3"/>
        <v>22378.98</v>
      </c>
      <c r="K96" s="12">
        <f t="shared" si="4"/>
        <v>5767.6100000000006</v>
      </c>
    </row>
    <row r="97" spans="2:12" x14ac:dyDescent="0.25">
      <c r="B97" s="18">
        <v>43730</v>
      </c>
      <c r="C97" s="9" t="s">
        <v>812</v>
      </c>
      <c r="D97" s="11"/>
      <c r="E97" s="11"/>
      <c r="F97" s="11"/>
      <c r="G97" s="11"/>
      <c r="H97" s="11">
        <v>100.5</v>
      </c>
      <c r="I97" s="15"/>
      <c r="J97" s="12">
        <f t="shared" si="3"/>
        <v>22378.98</v>
      </c>
      <c r="K97" s="12">
        <f t="shared" si="4"/>
        <v>5667.1100000000006</v>
      </c>
    </row>
    <row r="98" spans="2:12" x14ac:dyDescent="0.25">
      <c r="B98" s="18">
        <v>43730</v>
      </c>
      <c r="C98" s="9" t="s">
        <v>795</v>
      </c>
      <c r="D98" s="11"/>
      <c r="E98" s="11"/>
      <c r="F98" s="11"/>
      <c r="G98" s="11"/>
      <c r="H98" s="11">
        <v>155</v>
      </c>
      <c r="I98" s="15"/>
      <c r="J98" s="12">
        <f t="shared" si="3"/>
        <v>22378.98</v>
      </c>
      <c r="K98" s="12">
        <f t="shared" si="4"/>
        <v>5512.1100000000006</v>
      </c>
    </row>
    <row r="99" spans="2:12" x14ac:dyDescent="0.25">
      <c r="B99" s="18">
        <v>43730</v>
      </c>
      <c r="C99" s="9" t="s">
        <v>750</v>
      </c>
      <c r="D99" s="11"/>
      <c r="E99" s="11"/>
      <c r="F99" s="11"/>
      <c r="G99" s="11"/>
      <c r="H99" s="11">
        <v>80</v>
      </c>
      <c r="I99" s="15"/>
      <c r="J99" s="12">
        <f t="shared" si="3"/>
        <v>22378.98</v>
      </c>
      <c r="K99" s="12">
        <f t="shared" si="4"/>
        <v>5432.1100000000006</v>
      </c>
    </row>
    <row r="100" spans="2:12" x14ac:dyDescent="0.25">
      <c r="B100" s="18">
        <v>43730</v>
      </c>
      <c r="C100" s="9" t="s">
        <v>797</v>
      </c>
      <c r="D100" s="11">
        <v>19100</v>
      </c>
      <c r="E100" s="11"/>
      <c r="F100" s="11"/>
      <c r="G100" s="11"/>
      <c r="H100" s="11"/>
      <c r="I100" s="15"/>
      <c r="J100" s="12">
        <f t="shared" si="3"/>
        <v>22378.98</v>
      </c>
      <c r="K100" s="12">
        <f t="shared" si="4"/>
        <v>24532.11</v>
      </c>
    </row>
    <row r="101" spans="2:12" x14ac:dyDescent="0.25">
      <c r="B101" s="18">
        <v>43730</v>
      </c>
      <c r="C101" s="9" t="s">
        <v>162</v>
      </c>
      <c r="D101" s="11"/>
      <c r="E101" s="11"/>
      <c r="F101" s="11"/>
      <c r="G101" s="11"/>
      <c r="H101" s="11">
        <v>120</v>
      </c>
      <c r="I101" s="15"/>
      <c r="J101" s="12">
        <f t="shared" si="3"/>
        <v>22378.98</v>
      </c>
      <c r="K101" s="12">
        <f t="shared" si="4"/>
        <v>24412.11</v>
      </c>
    </row>
    <row r="102" spans="2:12" x14ac:dyDescent="0.25">
      <c r="B102" s="18">
        <v>43731</v>
      </c>
      <c r="C102" s="9" t="s">
        <v>798</v>
      </c>
      <c r="D102" s="11"/>
      <c r="E102" s="11"/>
      <c r="F102" s="11"/>
      <c r="G102" s="11"/>
      <c r="H102" s="11">
        <v>400</v>
      </c>
      <c r="I102" s="15"/>
      <c r="J102" s="12">
        <f t="shared" si="3"/>
        <v>22378.98</v>
      </c>
      <c r="K102" s="12">
        <f t="shared" si="4"/>
        <v>24012.11</v>
      </c>
    </row>
    <row r="103" spans="2:12" x14ac:dyDescent="0.25">
      <c r="B103" s="18">
        <v>43731</v>
      </c>
      <c r="C103" s="9" t="s">
        <v>739</v>
      </c>
      <c r="D103" s="11"/>
      <c r="E103" s="11"/>
      <c r="F103" s="11"/>
      <c r="G103" s="11"/>
      <c r="H103" s="11">
        <v>195</v>
      </c>
      <c r="I103" s="15"/>
      <c r="J103" s="12">
        <f t="shared" si="3"/>
        <v>22378.98</v>
      </c>
      <c r="K103" s="12">
        <f t="shared" si="4"/>
        <v>23817.11</v>
      </c>
    </row>
    <row r="104" spans="2:12" x14ac:dyDescent="0.25">
      <c r="B104" s="18">
        <v>43731</v>
      </c>
      <c r="C104" s="9" t="s">
        <v>800</v>
      </c>
      <c r="D104" s="11"/>
      <c r="E104" s="11"/>
      <c r="F104" s="11"/>
      <c r="G104" s="11"/>
      <c r="H104" s="11">
        <v>350</v>
      </c>
      <c r="I104" s="15"/>
      <c r="J104" s="12">
        <f t="shared" si="3"/>
        <v>22378.98</v>
      </c>
      <c r="K104" s="12">
        <f t="shared" si="4"/>
        <v>23467.11</v>
      </c>
    </row>
    <row r="105" spans="2:12" x14ac:dyDescent="0.25">
      <c r="B105" s="18">
        <v>43732</v>
      </c>
      <c r="C105" s="35" t="s">
        <v>799</v>
      </c>
      <c r="D105" s="11"/>
      <c r="E105" s="11"/>
      <c r="F105" s="11"/>
      <c r="G105" s="11"/>
      <c r="H105" s="11">
        <v>151</v>
      </c>
      <c r="I105" s="15"/>
      <c r="J105" s="12">
        <f t="shared" si="3"/>
        <v>22378.98</v>
      </c>
      <c r="K105" s="12">
        <f t="shared" si="4"/>
        <v>23316.11</v>
      </c>
      <c r="L105" s="1"/>
    </row>
    <row r="106" spans="2:12" x14ac:dyDescent="0.25">
      <c r="B106" s="18">
        <v>43732</v>
      </c>
      <c r="C106" s="9" t="s">
        <v>808</v>
      </c>
      <c r="D106" s="11"/>
      <c r="E106" s="11"/>
      <c r="F106" s="11"/>
      <c r="G106" s="11"/>
      <c r="H106" s="11">
        <v>2000</v>
      </c>
      <c r="I106" s="15"/>
      <c r="J106" s="12">
        <f t="shared" si="3"/>
        <v>22378.98</v>
      </c>
      <c r="K106" s="12">
        <f t="shared" si="4"/>
        <v>21316.11</v>
      </c>
    </row>
    <row r="107" spans="2:12" ht="15.75" thickBot="1" x14ac:dyDescent="0.3">
      <c r="B107" s="18">
        <v>43734</v>
      </c>
      <c r="C107" s="9" t="s">
        <v>814</v>
      </c>
      <c r="D107" s="11"/>
      <c r="E107" s="11"/>
      <c r="F107" s="11"/>
      <c r="G107" s="11"/>
      <c r="H107" s="11">
        <v>220</v>
      </c>
      <c r="I107" s="15"/>
      <c r="J107" s="12">
        <f t="shared" si="3"/>
        <v>22378.98</v>
      </c>
      <c r="K107" s="12">
        <f t="shared" si="4"/>
        <v>21096.11</v>
      </c>
    </row>
    <row r="108" spans="2:12" ht="15.75" thickBot="1" x14ac:dyDescent="0.3">
      <c r="B108" s="5"/>
      <c r="C108" s="7" t="s">
        <v>0</v>
      </c>
      <c r="D108" s="62">
        <f>SUM(D57:D107)</f>
        <v>91300</v>
      </c>
      <c r="E108" s="61">
        <f>SUM(E57:E107)</f>
        <v>15060.61</v>
      </c>
      <c r="F108" s="71">
        <f>SUM(D108:E108)</f>
        <v>106360.61</v>
      </c>
      <c r="G108" s="80">
        <f>SUM(G57:G107)</f>
        <v>3160</v>
      </c>
      <c r="H108" s="62">
        <f>SUM(H57:H107)</f>
        <v>78026.45</v>
      </c>
      <c r="I108" s="71">
        <f>SUM(G108:H108)</f>
        <v>81186.45</v>
      </c>
      <c r="J108" s="20"/>
      <c r="K108" s="20"/>
    </row>
    <row r="109" spans="2:12" x14ac:dyDescent="0.25">
      <c r="B109" s="68" t="s">
        <v>1</v>
      </c>
      <c r="C109" s="68" t="s">
        <v>2</v>
      </c>
      <c r="D109" s="68" t="s">
        <v>3</v>
      </c>
      <c r="E109" s="68" t="s">
        <v>3</v>
      </c>
      <c r="F109" s="68" t="s">
        <v>22</v>
      </c>
      <c r="G109" s="68" t="s">
        <v>23</v>
      </c>
      <c r="H109" s="48" t="s">
        <v>23</v>
      </c>
      <c r="I109" s="48" t="s">
        <v>22</v>
      </c>
      <c r="J109" s="68" t="s">
        <v>8</v>
      </c>
      <c r="K109" s="48" t="s">
        <v>7</v>
      </c>
    </row>
    <row r="110" spans="2:12" ht="15.75" thickBot="1" x14ac:dyDescent="0.3">
      <c r="B110" s="69"/>
      <c r="C110" s="69"/>
      <c r="D110" s="69" t="s">
        <v>5</v>
      </c>
      <c r="E110" s="69" t="s">
        <v>24</v>
      </c>
      <c r="F110" s="69" t="s">
        <v>3</v>
      </c>
      <c r="G110" s="69" t="s">
        <v>24</v>
      </c>
      <c r="H110" s="70" t="s">
        <v>5</v>
      </c>
      <c r="I110" s="70" t="s">
        <v>4</v>
      </c>
      <c r="J110" s="69"/>
      <c r="K110" s="70"/>
    </row>
    <row r="111" spans="2:12" ht="15.75" thickBot="1" x14ac:dyDescent="0.3">
      <c r="B111" s="5"/>
      <c r="C111" s="7"/>
      <c r="D111" s="62">
        <v>91300</v>
      </c>
      <c r="E111" s="61">
        <v>15060.61</v>
      </c>
      <c r="F111" s="71">
        <f>SUM(D111:E111)</f>
        <v>106360.61</v>
      </c>
      <c r="G111" s="80">
        <v>3160</v>
      </c>
      <c r="H111" s="62">
        <v>78026.45</v>
      </c>
      <c r="I111" s="71">
        <f>SUM(G111:H111)</f>
        <v>81186.45</v>
      </c>
      <c r="J111" s="20">
        <v>22378.98</v>
      </c>
      <c r="K111" s="26">
        <v>21096.11</v>
      </c>
    </row>
    <row r="112" spans="2:12" x14ac:dyDescent="0.25">
      <c r="B112" s="18">
        <v>43735</v>
      </c>
      <c r="C112" s="13" t="s">
        <v>801</v>
      </c>
      <c r="D112" s="11"/>
      <c r="E112" s="11"/>
      <c r="F112" s="11"/>
      <c r="G112" s="11"/>
      <c r="H112" s="11">
        <v>300</v>
      </c>
      <c r="I112" s="15"/>
      <c r="J112" s="12">
        <f>+J107+E112-G112</f>
        <v>22378.98</v>
      </c>
      <c r="K112" s="12">
        <f>+K107+D112-H112</f>
        <v>20796.11</v>
      </c>
    </row>
    <row r="113" spans="2:13" x14ac:dyDescent="0.25">
      <c r="B113" s="18">
        <v>43735</v>
      </c>
      <c r="C113" s="9" t="s">
        <v>809</v>
      </c>
      <c r="D113" s="11"/>
      <c r="E113" s="11"/>
      <c r="F113" s="11"/>
      <c r="G113" s="11"/>
      <c r="H113" s="11">
        <v>400</v>
      </c>
      <c r="I113" s="15"/>
      <c r="J113" s="12">
        <f t="shared" ref="J113" si="5">+J112+E113-G113</f>
        <v>22378.98</v>
      </c>
      <c r="K113" s="12">
        <f>+K112+D113-H113</f>
        <v>20396.11</v>
      </c>
      <c r="M113" s="129"/>
    </row>
    <row r="114" spans="2:13" x14ac:dyDescent="0.25">
      <c r="B114" s="18">
        <v>43735</v>
      </c>
      <c r="C114" s="9" t="s">
        <v>802</v>
      </c>
      <c r="D114" s="11"/>
      <c r="E114" s="11"/>
      <c r="F114" s="11"/>
      <c r="G114" s="11"/>
      <c r="H114" s="11">
        <v>400</v>
      </c>
      <c r="I114" s="15"/>
      <c r="J114" s="12">
        <f t="shared" ref="J114:J132" si="6">+J113+E114-G114</f>
        <v>22378.98</v>
      </c>
      <c r="K114" s="12">
        <f t="shared" ref="K114:K132" si="7">+K113+D114-H114</f>
        <v>19996.11</v>
      </c>
      <c r="M114" s="129"/>
    </row>
    <row r="115" spans="2:13" x14ac:dyDescent="0.25">
      <c r="B115" s="18">
        <v>43735</v>
      </c>
      <c r="C115" s="9" t="s">
        <v>805</v>
      </c>
      <c r="D115" s="11"/>
      <c r="E115" s="11"/>
      <c r="F115" s="11"/>
      <c r="G115" s="11"/>
      <c r="H115" s="11">
        <v>1500</v>
      </c>
      <c r="I115" s="15"/>
      <c r="J115" s="12">
        <f t="shared" si="6"/>
        <v>22378.98</v>
      </c>
      <c r="K115" s="12">
        <f t="shared" si="7"/>
        <v>18496.11</v>
      </c>
      <c r="M115" s="129"/>
    </row>
    <row r="116" spans="2:13" x14ac:dyDescent="0.25">
      <c r="B116" s="18">
        <v>43737</v>
      </c>
      <c r="C116" s="9" t="s">
        <v>803</v>
      </c>
      <c r="D116" s="11"/>
      <c r="E116" s="11"/>
      <c r="F116" s="11"/>
      <c r="G116" s="11"/>
      <c r="H116" s="11">
        <v>160.5</v>
      </c>
      <c r="I116" s="15"/>
      <c r="J116" s="12">
        <f t="shared" si="6"/>
        <v>22378.98</v>
      </c>
      <c r="K116" s="12">
        <f t="shared" si="7"/>
        <v>18335.61</v>
      </c>
      <c r="M116" s="129"/>
    </row>
    <row r="117" spans="2:13" x14ac:dyDescent="0.25">
      <c r="B117" s="18">
        <v>43737</v>
      </c>
      <c r="C117" s="9" t="s">
        <v>804</v>
      </c>
      <c r="D117" s="11"/>
      <c r="E117" s="11"/>
      <c r="F117" s="11"/>
      <c r="G117" s="11"/>
      <c r="H117" s="11">
        <v>24.5</v>
      </c>
      <c r="I117" s="15"/>
      <c r="J117" s="12">
        <f t="shared" si="6"/>
        <v>22378.98</v>
      </c>
      <c r="K117" s="12">
        <f t="shared" si="7"/>
        <v>18311.11</v>
      </c>
      <c r="M117" s="129"/>
    </row>
    <row r="118" spans="2:13" x14ac:dyDescent="0.25">
      <c r="B118" s="18">
        <v>43737</v>
      </c>
      <c r="C118" s="9" t="s">
        <v>162</v>
      </c>
      <c r="D118" s="11"/>
      <c r="E118" s="11"/>
      <c r="F118" s="11"/>
      <c r="G118" s="11"/>
      <c r="H118" s="11">
        <v>120</v>
      </c>
      <c r="I118" s="15"/>
      <c r="J118" s="12">
        <f t="shared" si="6"/>
        <v>22378.98</v>
      </c>
      <c r="K118" s="12">
        <f t="shared" si="7"/>
        <v>18191.11</v>
      </c>
      <c r="M118" s="129"/>
    </row>
    <row r="119" spans="2:13" x14ac:dyDescent="0.25">
      <c r="B119" s="18">
        <v>43737</v>
      </c>
      <c r="C119" s="9" t="s">
        <v>806</v>
      </c>
      <c r="D119" s="11">
        <v>26950</v>
      </c>
      <c r="E119" s="11"/>
      <c r="F119" s="11"/>
      <c r="G119" s="11"/>
      <c r="H119" s="11"/>
      <c r="I119" s="15"/>
      <c r="J119" s="12">
        <f t="shared" si="6"/>
        <v>22378.98</v>
      </c>
      <c r="K119" s="12">
        <f t="shared" si="7"/>
        <v>45141.11</v>
      </c>
      <c r="M119" s="129"/>
    </row>
    <row r="120" spans="2:13" x14ac:dyDescent="0.25">
      <c r="B120" s="18">
        <v>43738</v>
      </c>
      <c r="C120" s="9" t="s">
        <v>739</v>
      </c>
      <c r="D120" s="11"/>
      <c r="E120" s="11"/>
      <c r="F120" s="11"/>
      <c r="G120" s="11"/>
      <c r="H120" s="11">
        <v>195</v>
      </c>
      <c r="I120" s="15"/>
      <c r="J120" s="12">
        <f t="shared" si="6"/>
        <v>22378.98</v>
      </c>
      <c r="K120" s="12">
        <f t="shared" si="7"/>
        <v>44946.11</v>
      </c>
      <c r="M120" s="129"/>
    </row>
    <row r="121" spans="2:13" x14ac:dyDescent="0.25">
      <c r="B121" s="18">
        <v>43738</v>
      </c>
      <c r="C121" s="9" t="s">
        <v>807</v>
      </c>
      <c r="D121" s="11"/>
      <c r="E121" s="11"/>
      <c r="F121" s="11"/>
      <c r="G121" s="11"/>
      <c r="H121" s="11">
        <v>300</v>
      </c>
      <c r="I121" s="15"/>
      <c r="J121" s="12">
        <f t="shared" si="6"/>
        <v>22378.98</v>
      </c>
      <c r="K121" s="12">
        <f t="shared" si="7"/>
        <v>44646.11</v>
      </c>
      <c r="M121" s="129"/>
    </row>
    <row r="122" spans="2:13" x14ac:dyDescent="0.25">
      <c r="B122" s="18">
        <v>43738</v>
      </c>
      <c r="C122" s="9" t="s">
        <v>702</v>
      </c>
      <c r="D122" s="11"/>
      <c r="E122" s="11"/>
      <c r="F122" s="11"/>
      <c r="G122" s="11"/>
      <c r="H122" s="11">
        <v>300</v>
      </c>
      <c r="I122" s="15"/>
      <c r="J122" s="12">
        <f t="shared" si="6"/>
        <v>22378.98</v>
      </c>
      <c r="K122" s="12">
        <f t="shared" si="7"/>
        <v>44346.11</v>
      </c>
      <c r="L122" s="1"/>
      <c r="M122" s="129"/>
    </row>
    <row r="123" spans="2:13" x14ac:dyDescent="0.25">
      <c r="B123" s="18">
        <v>43738</v>
      </c>
      <c r="C123" s="9" t="s">
        <v>564</v>
      </c>
      <c r="D123" s="11"/>
      <c r="E123" s="11"/>
      <c r="F123" s="11"/>
      <c r="G123" s="11"/>
      <c r="H123" s="11">
        <v>550</v>
      </c>
      <c r="I123" s="15"/>
      <c r="J123" s="12">
        <f t="shared" si="6"/>
        <v>22378.98</v>
      </c>
      <c r="K123" s="12">
        <f t="shared" si="7"/>
        <v>43796.11</v>
      </c>
      <c r="L123" s="1"/>
      <c r="M123" s="129"/>
    </row>
    <row r="124" spans="2:13" x14ac:dyDescent="0.25">
      <c r="B124" s="18">
        <v>43738</v>
      </c>
      <c r="C124" s="9" t="s">
        <v>703</v>
      </c>
      <c r="D124" s="11"/>
      <c r="E124" s="11"/>
      <c r="F124" s="11"/>
      <c r="G124" s="11"/>
      <c r="H124" s="11">
        <v>2000</v>
      </c>
      <c r="I124" s="15"/>
      <c r="J124" s="12">
        <f t="shared" si="6"/>
        <v>22378.98</v>
      </c>
      <c r="K124" s="12">
        <f t="shared" si="7"/>
        <v>41796.11</v>
      </c>
      <c r="L124" s="1"/>
      <c r="M124" s="129"/>
    </row>
    <row r="125" spans="2:13" x14ac:dyDescent="0.25">
      <c r="B125" s="18">
        <v>43738</v>
      </c>
      <c r="C125" s="9" t="s">
        <v>566</v>
      </c>
      <c r="D125" s="11"/>
      <c r="E125" s="11"/>
      <c r="F125" s="11"/>
      <c r="G125" s="11"/>
      <c r="H125" s="11">
        <v>4000</v>
      </c>
      <c r="I125" s="15"/>
      <c r="J125" s="12">
        <f t="shared" si="6"/>
        <v>22378.98</v>
      </c>
      <c r="K125" s="12">
        <f t="shared" si="7"/>
        <v>37796.11</v>
      </c>
      <c r="L125" s="1"/>
      <c r="M125" s="129"/>
    </row>
    <row r="126" spans="2:13" x14ac:dyDescent="0.25">
      <c r="B126" s="18">
        <v>43738</v>
      </c>
      <c r="C126" s="21" t="s">
        <v>704</v>
      </c>
      <c r="D126" s="11"/>
      <c r="E126" s="11"/>
      <c r="F126" s="11"/>
      <c r="G126" s="11"/>
      <c r="H126" s="11">
        <v>30000</v>
      </c>
      <c r="I126" s="15"/>
      <c r="J126" s="12">
        <f t="shared" si="6"/>
        <v>22378.98</v>
      </c>
      <c r="K126" s="12">
        <f t="shared" si="7"/>
        <v>7796.1100000000006</v>
      </c>
      <c r="L126" s="1"/>
      <c r="M126" s="129"/>
    </row>
    <row r="127" spans="2:13" x14ac:dyDescent="0.25">
      <c r="B127" s="18">
        <v>43738</v>
      </c>
      <c r="C127" s="9" t="s">
        <v>817</v>
      </c>
      <c r="D127" s="11"/>
      <c r="E127" s="11"/>
      <c r="F127" s="11"/>
      <c r="G127" s="11">
        <v>200</v>
      </c>
      <c r="H127" s="11"/>
      <c r="I127" s="15"/>
      <c r="J127" s="12">
        <f t="shared" si="6"/>
        <v>22178.98</v>
      </c>
      <c r="K127" s="12">
        <f t="shared" si="7"/>
        <v>7796.1100000000006</v>
      </c>
      <c r="L127" s="1"/>
      <c r="M127" s="129"/>
    </row>
    <row r="128" spans="2:13" x14ac:dyDescent="0.25">
      <c r="B128" s="18">
        <v>43738</v>
      </c>
      <c r="C128" s="13" t="s">
        <v>497</v>
      </c>
      <c r="D128" s="11"/>
      <c r="E128" s="11"/>
      <c r="F128" s="11"/>
      <c r="G128" s="11">
        <v>32</v>
      </c>
      <c r="H128" s="11"/>
      <c r="I128" s="15"/>
      <c r="J128" s="12">
        <f t="shared" si="6"/>
        <v>22146.98</v>
      </c>
      <c r="K128" s="12">
        <f t="shared" si="7"/>
        <v>7796.1100000000006</v>
      </c>
      <c r="L128" s="1"/>
      <c r="M128" s="129"/>
    </row>
    <row r="129" spans="2:13" x14ac:dyDescent="0.25">
      <c r="B129" s="18">
        <v>43738</v>
      </c>
      <c r="C129" s="9" t="s">
        <v>69</v>
      </c>
      <c r="D129" s="11"/>
      <c r="E129" s="11"/>
      <c r="F129" s="11"/>
      <c r="G129" s="11">
        <v>18</v>
      </c>
      <c r="H129" s="11"/>
      <c r="I129" s="15"/>
      <c r="J129" s="12">
        <f t="shared" si="6"/>
        <v>22128.98</v>
      </c>
      <c r="K129" s="12">
        <f t="shared" si="7"/>
        <v>7796.1100000000006</v>
      </c>
      <c r="L129" s="1"/>
      <c r="M129" s="129"/>
    </row>
    <row r="130" spans="2:13" x14ac:dyDescent="0.25">
      <c r="B130" s="18">
        <v>43738</v>
      </c>
      <c r="C130" s="13" t="s">
        <v>70</v>
      </c>
      <c r="D130" s="11"/>
      <c r="E130" s="11"/>
      <c r="F130" s="11"/>
      <c r="G130" s="11">
        <v>2.88</v>
      </c>
      <c r="H130" s="11"/>
      <c r="I130" s="15"/>
      <c r="J130" s="12">
        <f t="shared" si="6"/>
        <v>22126.1</v>
      </c>
      <c r="K130" s="12">
        <f t="shared" si="7"/>
        <v>7796.1100000000006</v>
      </c>
      <c r="L130" s="1"/>
      <c r="M130" s="129"/>
    </row>
    <row r="131" spans="2:13" x14ac:dyDescent="0.25">
      <c r="B131" s="18">
        <v>43738</v>
      </c>
      <c r="C131" s="13" t="s">
        <v>816</v>
      </c>
      <c r="D131" s="11">
        <v>1150</v>
      </c>
      <c r="E131" s="11"/>
      <c r="F131" s="11"/>
      <c r="G131" s="11"/>
      <c r="H131" s="11"/>
      <c r="I131" s="15"/>
      <c r="J131" s="12">
        <f t="shared" si="6"/>
        <v>22126.1</v>
      </c>
      <c r="K131" s="12">
        <f t="shared" si="7"/>
        <v>8946.11</v>
      </c>
      <c r="L131" s="1"/>
      <c r="M131" s="129"/>
    </row>
    <row r="132" spans="2:13" ht="15.75" thickBot="1" x14ac:dyDescent="0.3">
      <c r="B132" s="18"/>
      <c r="C132" s="13"/>
      <c r="D132" s="11"/>
      <c r="E132" s="11"/>
      <c r="F132" s="11"/>
      <c r="G132" s="11"/>
      <c r="H132" s="11"/>
      <c r="I132" s="15"/>
      <c r="J132" s="12">
        <f t="shared" si="6"/>
        <v>22126.1</v>
      </c>
      <c r="K132" s="12">
        <f t="shared" si="7"/>
        <v>8946.11</v>
      </c>
      <c r="L132" s="1"/>
      <c r="M132" s="129"/>
    </row>
    <row r="133" spans="2:13" ht="15.75" thickBot="1" x14ac:dyDescent="0.3">
      <c r="B133" s="5"/>
      <c r="C133" s="7"/>
      <c r="D133" s="62">
        <f>SUM(D111:D132)</f>
        <v>119400</v>
      </c>
      <c r="E133" s="61">
        <f>SUM(E111:E132)</f>
        <v>15060.61</v>
      </c>
      <c r="F133" s="71">
        <f>SUM(D133:E133)</f>
        <v>134460.60999999999</v>
      </c>
      <c r="G133" s="80">
        <f>SUM(G111:G132)</f>
        <v>3412.88</v>
      </c>
      <c r="H133" s="98">
        <f>SUM(H111:H132)</f>
        <v>118276.45</v>
      </c>
      <c r="I133" s="71">
        <f>SUM(G133:H133)</f>
        <v>121689.33</v>
      </c>
      <c r="J133" s="20"/>
      <c r="K133" s="20"/>
      <c r="M133" s="129"/>
    </row>
    <row r="134" spans="2:13" ht="15.75" thickBot="1" x14ac:dyDescent="0.3">
      <c r="M134" s="129"/>
    </row>
    <row r="135" spans="2:13" ht="15.75" thickBot="1" x14ac:dyDescent="0.3">
      <c r="I135" s="74" t="s">
        <v>8</v>
      </c>
      <c r="J135" s="74" t="s">
        <v>7</v>
      </c>
      <c r="K135" s="95" t="s">
        <v>0</v>
      </c>
      <c r="M135" s="129"/>
    </row>
    <row r="136" spans="2:13" ht="15.75" thickBot="1" x14ac:dyDescent="0.3">
      <c r="I136" s="77">
        <v>22126.1</v>
      </c>
      <c r="J136" s="77">
        <v>8946.11</v>
      </c>
      <c r="K136" s="20">
        <f>SUM(I136:J136)</f>
        <v>31072.21</v>
      </c>
      <c r="M136" s="129"/>
    </row>
    <row r="137" spans="2:13" x14ac:dyDescent="0.25">
      <c r="M137" s="32"/>
    </row>
    <row r="138" spans="2:13" x14ac:dyDescent="0.25">
      <c r="M138" s="128"/>
    </row>
    <row r="139" spans="2:13" x14ac:dyDescent="0.25">
      <c r="M139" s="32"/>
    </row>
    <row r="140" spans="2:13" x14ac:dyDescent="0.25">
      <c r="M140" s="130"/>
    </row>
    <row r="141" spans="2:13" x14ac:dyDescent="0.25">
      <c r="M141" s="130"/>
    </row>
    <row r="142" spans="2:13" x14ac:dyDescent="0.25">
      <c r="M142" s="130"/>
    </row>
    <row r="143" spans="2:13" x14ac:dyDescent="0.25">
      <c r="M143" s="130"/>
    </row>
    <row r="144" spans="2:13" x14ac:dyDescent="0.25">
      <c r="M144" s="130"/>
    </row>
  </sheetData>
  <printOptions verticalCentered="1"/>
  <pageMargins left="0" right="0" top="0" bottom="0" header="0.31496062992125984" footer="0.31496062992125984"/>
  <pageSetup paperSize="9" scale="73" fitToHeight="0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6">
    <pageSetUpPr fitToPage="1"/>
  </sheetPr>
  <dimension ref="A1:L113"/>
  <sheetViews>
    <sheetView zoomScale="90" zoomScaleNormal="90" workbookViewId="0">
      <pane ySplit="3" topLeftCell="A93" activePane="bottomLeft" state="frozen"/>
      <selection pane="bottomLeft" activeCell="C100" sqref="C100"/>
    </sheetView>
  </sheetViews>
  <sheetFormatPr baseColWidth="10" defaultRowHeight="15" x14ac:dyDescent="0.25"/>
  <cols>
    <col min="1" max="1" width="3.28515625" customWidth="1"/>
    <col min="2" max="2" width="11.5703125" customWidth="1"/>
    <col min="3" max="3" width="88" style="121" customWidth="1"/>
    <col min="4" max="6" width="11" customWidth="1"/>
    <col min="7" max="7" width="10.140625" customWidth="1"/>
    <col min="8" max="9" width="11" customWidth="1"/>
    <col min="10" max="11" width="10.140625" customWidth="1"/>
  </cols>
  <sheetData>
    <row r="1" spans="1:11" ht="15.75" thickBot="1" x14ac:dyDescent="0.3">
      <c r="B1" s="79"/>
      <c r="C1" s="118" t="s">
        <v>54</v>
      </c>
    </row>
    <row r="2" spans="1:11" x14ac:dyDescent="0.25">
      <c r="B2" s="68" t="s">
        <v>1</v>
      </c>
      <c r="C2" s="48" t="s">
        <v>2</v>
      </c>
      <c r="D2" s="68" t="s">
        <v>3</v>
      </c>
      <c r="E2" s="68" t="s">
        <v>3</v>
      </c>
      <c r="F2" s="68" t="s">
        <v>22</v>
      </c>
      <c r="G2" s="68" t="s">
        <v>23</v>
      </c>
      <c r="H2" s="48" t="s">
        <v>23</v>
      </c>
      <c r="I2" s="48" t="s">
        <v>22</v>
      </c>
      <c r="J2" s="68" t="s">
        <v>8</v>
      </c>
      <c r="K2" s="48" t="s">
        <v>7</v>
      </c>
    </row>
    <row r="3" spans="1:11" ht="15.75" thickBot="1" x14ac:dyDescent="0.3">
      <c r="B3" s="69"/>
      <c r="C3" s="70"/>
      <c r="D3" s="69" t="s">
        <v>5</v>
      </c>
      <c r="E3" s="69" t="s">
        <v>24</v>
      </c>
      <c r="F3" s="69" t="s">
        <v>3</v>
      </c>
      <c r="G3" s="69" t="s">
        <v>24</v>
      </c>
      <c r="H3" s="70" t="s">
        <v>5</v>
      </c>
      <c r="I3" s="70" t="s">
        <v>4</v>
      </c>
      <c r="J3" s="69"/>
      <c r="K3" s="70"/>
    </row>
    <row r="4" spans="1:11" x14ac:dyDescent="0.25">
      <c r="A4" s="131"/>
      <c r="B4" s="23">
        <v>43738</v>
      </c>
      <c r="C4" s="119" t="s">
        <v>903</v>
      </c>
      <c r="D4" s="66"/>
      <c r="E4" s="63"/>
      <c r="F4" s="63"/>
      <c r="G4" s="63"/>
      <c r="H4" s="17"/>
      <c r="I4" s="64"/>
      <c r="J4" s="73">
        <v>22126.1</v>
      </c>
      <c r="K4" s="97">
        <v>8946.11</v>
      </c>
    </row>
    <row r="5" spans="1:11" x14ac:dyDescent="0.25">
      <c r="A5" s="132">
        <v>1</v>
      </c>
      <c r="B5" s="18">
        <v>43738</v>
      </c>
      <c r="C5" s="134" t="s">
        <v>827</v>
      </c>
      <c r="D5" s="11"/>
      <c r="E5" s="11"/>
      <c r="F5" s="11"/>
      <c r="G5" s="11">
        <v>10000</v>
      </c>
      <c r="H5" s="11"/>
      <c r="I5" s="15"/>
      <c r="J5" s="12">
        <f>+J4+E5-G5</f>
        <v>12126.099999999999</v>
      </c>
      <c r="K5" s="12">
        <f>+K4+D5-H5</f>
        <v>8946.11</v>
      </c>
    </row>
    <row r="6" spans="1:11" x14ac:dyDescent="0.25">
      <c r="A6" s="132">
        <v>2</v>
      </c>
      <c r="B6" s="23">
        <v>43739</v>
      </c>
      <c r="C6" s="14" t="s">
        <v>828</v>
      </c>
      <c r="D6" s="11"/>
      <c r="E6" s="11"/>
      <c r="F6" s="11"/>
      <c r="G6" s="11"/>
      <c r="H6" s="11">
        <v>198</v>
      </c>
      <c r="I6" s="15"/>
      <c r="J6" s="12">
        <f t="shared" ref="J6:J57" si="0">+J5+E6-G6</f>
        <v>12126.099999999999</v>
      </c>
      <c r="K6" s="12">
        <f t="shared" ref="K6:K57" si="1">+K5+D6-H6</f>
        <v>8748.11</v>
      </c>
    </row>
    <row r="7" spans="1:11" x14ac:dyDescent="0.25">
      <c r="A7" s="132">
        <v>3</v>
      </c>
      <c r="B7" s="18">
        <v>43740</v>
      </c>
      <c r="C7" s="21" t="s">
        <v>829</v>
      </c>
      <c r="D7" s="11"/>
      <c r="E7" s="11"/>
      <c r="F7" s="11"/>
      <c r="G7" s="11"/>
      <c r="H7" s="59">
        <v>778</v>
      </c>
      <c r="I7" s="15"/>
      <c r="J7" s="12">
        <f t="shared" si="0"/>
        <v>12126.099999999999</v>
      </c>
      <c r="K7" s="12">
        <f t="shared" si="1"/>
        <v>7970.1100000000006</v>
      </c>
    </row>
    <row r="8" spans="1:11" x14ac:dyDescent="0.25">
      <c r="A8" s="132">
        <v>4</v>
      </c>
      <c r="B8" s="18">
        <v>43741</v>
      </c>
      <c r="C8" s="14" t="s">
        <v>830</v>
      </c>
      <c r="D8" s="11"/>
      <c r="E8" s="11"/>
      <c r="F8" s="11"/>
      <c r="G8" s="11"/>
      <c r="H8" s="11">
        <v>140</v>
      </c>
      <c r="I8" s="15"/>
      <c r="J8" s="12">
        <f t="shared" si="0"/>
        <v>12126.099999999999</v>
      </c>
      <c r="K8" s="12">
        <f t="shared" si="1"/>
        <v>7830.1100000000006</v>
      </c>
    </row>
    <row r="9" spans="1:11" x14ac:dyDescent="0.25">
      <c r="A9" s="136">
        <v>5</v>
      </c>
      <c r="B9" s="25">
        <v>43744</v>
      </c>
      <c r="C9" s="21" t="s">
        <v>865</v>
      </c>
      <c r="D9" s="11"/>
      <c r="E9" s="11"/>
      <c r="F9" s="11"/>
      <c r="G9" s="11"/>
      <c r="H9" s="59">
        <v>60</v>
      </c>
      <c r="I9" s="15"/>
      <c r="J9" s="12">
        <f t="shared" si="0"/>
        <v>12126.099999999999</v>
      </c>
      <c r="K9" s="12">
        <f t="shared" si="1"/>
        <v>7770.1100000000006</v>
      </c>
    </row>
    <row r="10" spans="1:11" x14ac:dyDescent="0.25">
      <c r="A10" s="132">
        <v>6</v>
      </c>
      <c r="B10" s="18">
        <v>43744</v>
      </c>
      <c r="C10" s="21" t="s">
        <v>831</v>
      </c>
      <c r="D10" s="11"/>
      <c r="E10" s="11"/>
      <c r="F10" s="11"/>
      <c r="G10" s="11"/>
      <c r="H10" s="59">
        <v>100</v>
      </c>
      <c r="I10" s="15"/>
      <c r="J10" s="12">
        <f t="shared" si="0"/>
        <v>12126.099999999999</v>
      </c>
      <c r="K10" s="12">
        <f t="shared" si="1"/>
        <v>7670.1100000000006</v>
      </c>
    </row>
    <row r="11" spans="1:11" x14ac:dyDescent="0.25">
      <c r="A11" s="132"/>
      <c r="B11" s="18">
        <v>43745</v>
      </c>
      <c r="C11" s="21" t="s">
        <v>832</v>
      </c>
      <c r="D11" s="11">
        <v>31700</v>
      </c>
      <c r="E11" s="11"/>
      <c r="F11" s="11"/>
      <c r="G11" s="11"/>
      <c r="H11" s="11"/>
      <c r="I11" s="15"/>
      <c r="J11" s="12">
        <f t="shared" si="0"/>
        <v>12126.099999999999</v>
      </c>
      <c r="K11" s="12">
        <f t="shared" si="1"/>
        <v>39370.11</v>
      </c>
    </row>
    <row r="12" spans="1:11" x14ac:dyDescent="0.25">
      <c r="A12" s="132">
        <v>7</v>
      </c>
      <c r="B12" s="18">
        <v>43745</v>
      </c>
      <c r="C12" s="21" t="s">
        <v>848</v>
      </c>
      <c r="D12" s="11"/>
      <c r="E12" s="11"/>
      <c r="F12" s="11"/>
      <c r="G12" s="11"/>
      <c r="H12" s="11">
        <v>200</v>
      </c>
      <c r="I12" s="15"/>
      <c r="J12" s="12">
        <f t="shared" si="0"/>
        <v>12126.099999999999</v>
      </c>
      <c r="K12" s="12">
        <f t="shared" si="1"/>
        <v>39170.11</v>
      </c>
    </row>
    <row r="13" spans="1:11" x14ac:dyDescent="0.25">
      <c r="A13" s="132">
        <v>8</v>
      </c>
      <c r="B13" s="18">
        <v>43745</v>
      </c>
      <c r="C13" s="21" t="s">
        <v>820</v>
      </c>
      <c r="D13" s="11"/>
      <c r="E13" s="11"/>
      <c r="F13" s="11"/>
      <c r="G13" s="11"/>
      <c r="H13" s="11">
        <v>300</v>
      </c>
      <c r="I13" s="15"/>
      <c r="J13" s="12">
        <f t="shared" si="0"/>
        <v>12126.099999999999</v>
      </c>
      <c r="K13" s="12">
        <f t="shared" si="1"/>
        <v>38870.11</v>
      </c>
    </row>
    <row r="14" spans="1:11" x14ac:dyDescent="0.25">
      <c r="A14" s="132">
        <v>9</v>
      </c>
      <c r="B14" s="18">
        <v>43745</v>
      </c>
      <c r="C14" s="21" t="s">
        <v>823</v>
      </c>
      <c r="D14" s="11"/>
      <c r="E14" s="11"/>
      <c r="F14" s="11"/>
      <c r="G14" s="11"/>
      <c r="H14" s="59">
        <v>500</v>
      </c>
      <c r="I14" s="15"/>
      <c r="J14" s="12">
        <f t="shared" si="0"/>
        <v>12126.099999999999</v>
      </c>
      <c r="K14" s="12">
        <f t="shared" si="1"/>
        <v>38370.11</v>
      </c>
    </row>
    <row r="15" spans="1:11" x14ac:dyDescent="0.25">
      <c r="A15" s="132">
        <v>10</v>
      </c>
      <c r="B15" s="18">
        <v>43745</v>
      </c>
      <c r="C15" s="21" t="s">
        <v>838</v>
      </c>
      <c r="D15" s="11"/>
      <c r="E15" s="11"/>
      <c r="F15" s="11"/>
      <c r="G15" s="11"/>
      <c r="H15" s="11">
        <v>156</v>
      </c>
      <c r="I15" s="117"/>
      <c r="J15" s="12">
        <f t="shared" si="0"/>
        <v>12126.099999999999</v>
      </c>
      <c r="K15" s="12">
        <f t="shared" si="1"/>
        <v>38214.11</v>
      </c>
    </row>
    <row r="16" spans="1:11" x14ac:dyDescent="0.25">
      <c r="A16" s="132"/>
      <c r="B16" s="18">
        <v>43746</v>
      </c>
      <c r="C16" s="21" t="s">
        <v>863</v>
      </c>
      <c r="D16" s="11"/>
      <c r="E16" s="11">
        <v>400.46</v>
      </c>
      <c r="F16" s="11"/>
      <c r="G16" s="11"/>
      <c r="H16" s="11"/>
      <c r="I16" s="15"/>
      <c r="J16" s="12">
        <f t="shared" si="0"/>
        <v>12526.559999999998</v>
      </c>
      <c r="K16" s="12">
        <f t="shared" si="1"/>
        <v>38214.11</v>
      </c>
    </row>
    <row r="17" spans="1:11" x14ac:dyDescent="0.25">
      <c r="A17" s="132"/>
      <c r="B17" s="18">
        <v>43747</v>
      </c>
      <c r="C17" s="21" t="s">
        <v>864</v>
      </c>
      <c r="D17" s="11"/>
      <c r="E17" s="11">
        <v>800.29</v>
      </c>
      <c r="F17" s="11"/>
      <c r="G17" s="11"/>
      <c r="H17" s="11"/>
      <c r="I17" s="15"/>
      <c r="J17" s="12">
        <f t="shared" si="0"/>
        <v>13326.849999999999</v>
      </c>
      <c r="K17" s="12">
        <f t="shared" si="1"/>
        <v>38214.11</v>
      </c>
    </row>
    <row r="18" spans="1:11" x14ac:dyDescent="0.25">
      <c r="A18" s="135">
        <v>11</v>
      </c>
      <c r="B18" s="18">
        <v>43749</v>
      </c>
      <c r="C18" s="21" t="s">
        <v>833</v>
      </c>
      <c r="D18" s="11"/>
      <c r="E18" s="11"/>
      <c r="F18" s="11"/>
      <c r="G18" s="11"/>
      <c r="H18" s="11">
        <v>29.26</v>
      </c>
      <c r="I18" s="15"/>
      <c r="J18" s="12">
        <f t="shared" si="0"/>
        <v>13326.849999999999</v>
      </c>
      <c r="K18" s="12">
        <f t="shared" si="1"/>
        <v>38184.85</v>
      </c>
    </row>
    <row r="19" spans="1:11" x14ac:dyDescent="0.25">
      <c r="A19" s="135">
        <v>12</v>
      </c>
      <c r="B19" s="18">
        <v>43507</v>
      </c>
      <c r="C19" s="21" t="s">
        <v>868</v>
      </c>
      <c r="D19" s="11"/>
      <c r="E19" s="11"/>
      <c r="F19" s="11"/>
      <c r="G19" s="11"/>
      <c r="H19" s="11">
        <v>6071.36</v>
      </c>
      <c r="I19" s="15"/>
      <c r="J19" s="12">
        <f t="shared" si="0"/>
        <v>13326.849999999999</v>
      </c>
      <c r="K19" s="12">
        <f t="shared" si="1"/>
        <v>32113.489999999998</v>
      </c>
    </row>
    <row r="20" spans="1:11" x14ac:dyDescent="0.25">
      <c r="A20" s="135">
        <v>13</v>
      </c>
      <c r="B20" s="18">
        <v>43750</v>
      </c>
      <c r="C20" s="21" t="s">
        <v>869</v>
      </c>
      <c r="D20" s="11"/>
      <c r="E20" s="11"/>
      <c r="F20" s="11"/>
      <c r="G20" s="11"/>
      <c r="H20" s="11">
        <v>810.06</v>
      </c>
      <c r="I20" s="15"/>
      <c r="J20" s="12">
        <f t="shared" si="0"/>
        <v>13326.849999999999</v>
      </c>
      <c r="K20" s="12">
        <f t="shared" si="1"/>
        <v>31303.429999999997</v>
      </c>
    </row>
    <row r="21" spans="1:11" x14ac:dyDescent="0.25">
      <c r="A21" s="135">
        <v>14</v>
      </c>
      <c r="B21" s="18">
        <v>43751</v>
      </c>
      <c r="C21" s="21" t="s">
        <v>834</v>
      </c>
      <c r="D21" s="11"/>
      <c r="E21" s="11"/>
      <c r="F21" s="11"/>
      <c r="G21" s="11"/>
      <c r="H21" s="11">
        <v>150</v>
      </c>
      <c r="I21" s="15"/>
      <c r="J21" s="12">
        <f t="shared" si="0"/>
        <v>13326.849999999999</v>
      </c>
      <c r="K21" s="12">
        <f t="shared" si="1"/>
        <v>31153.429999999997</v>
      </c>
    </row>
    <row r="22" spans="1:11" x14ac:dyDescent="0.25">
      <c r="A22" s="135">
        <v>15</v>
      </c>
      <c r="B22" s="18">
        <v>43750</v>
      </c>
      <c r="C22" s="21" t="s">
        <v>835</v>
      </c>
      <c r="D22" s="11"/>
      <c r="E22" s="11"/>
      <c r="F22" s="11"/>
      <c r="G22" s="11"/>
      <c r="H22" s="59">
        <v>100</v>
      </c>
      <c r="I22" s="117"/>
      <c r="J22" s="12">
        <f t="shared" si="0"/>
        <v>13326.849999999999</v>
      </c>
      <c r="K22" s="12">
        <f t="shared" si="1"/>
        <v>31053.429999999997</v>
      </c>
    </row>
    <row r="23" spans="1:11" x14ac:dyDescent="0.25">
      <c r="A23" s="135"/>
      <c r="B23" s="18">
        <v>43751</v>
      </c>
      <c r="C23" s="21" t="s">
        <v>836</v>
      </c>
      <c r="D23" s="11">
        <v>24400</v>
      </c>
      <c r="E23" s="11"/>
      <c r="F23" s="11"/>
      <c r="G23" s="11"/>
      <c r="H23" s="59"/>
      <c r="I23" s="15"/>
      <c r="J23" s="12">
        <f t="shared" si="0"/>
        <v>13326.849999999999</v>
      </c>
      <c r="K23" s="12">
        <f t="shared" si="1"/>
        <v>55453.429999999993</v>
      </c>
    </row>
    <row r="24" spans="1:11" x14ac:dyDescent="0.25">
      <c r="A24" s="135">
        <v>16</v>
      </c>
      <c r="B24" s="18">
        <v>43752</v>
      </c>
      <c r="C24" s="21" t="s">
        <v>837</v>
      </c>
      <c r="D24" s="11"/>
      <c r="E24" s="11"/>
      <c r="F24" s="11"/>
      <c r="G24" s="11"/>
      <c r="H24" s="11">
        <v>380</v>
      </c>
      <c r="I24" s="15"/>
      <c r="J24" s="12">
        <f t="shared" si="0"/>
        <v>13326.849999999999</v>
      </c>
      <c r="K24" s="12">
        <f t="shared" si="1"/>
        <v>55073.429999999993</v>
      </c>
    </row>
    <row r="25" spans="1:11" x14ac:dyDescent="0.25">
      <c r="A25" s="135">
        <v>17</v>
      </c>
      <c r="B25" s="18">
        <v>43752</v>
      </c>
      <c r="C25" s="21" t="s">
        <v>839</v>
      </c>
      <c r="D25" s="11"/>
      <c r="E25" s="11"/>
      <c r="F25" s="11"/>
      <c r="G25" s="11"/>
      <c r="H25" s="11">
        <v>156</v>
      </c>
      <c r="I25" s="15"/>
      <c r="J25" s="12">
        <f t="shared" si="0"/>
        <v>13326.849999999999</v>
      </c>
      <c r="K25" s="12">
        <f t="shared" si="1"/>
        <v>54917.429999999993</v>
      </c>
    </row>
    <row r="26" spans="1:11" x14ac:dyDescent="0.25">
      <c r="A26" s="135">
        <v>18</v>
      </c>
      <c r="B26" s="18">
        <v>43752</v>
      </c>
      <c r="C26" s="21" t="s">
        <v>840</v>
      </c>
      <c r="D26" s="11"/>
      <c r="E26" s="11"/>
      <c r="F26" s="11"/>
      <c r="G26" s="11"/>
      <c r="H26" s="11">
        <v>92.44</v>
      </c>
      <c r="I26" s="15"/>
      <c r="J26" s="12">
        <f t="shared" si="0"/>
        <v>13326.849999999999</v>
      </c>
      <c r="K26" s="12">
        <f t="shared" si="1"/>
        <v>54824.989999999991</v>
      </c>
    </row>
    <row r="27" spans="1:11" x14ac:dyDescent="0.25">
      <c r="A27" s="135">
        <v>19</v>
      </c>
      <c r="B27" s="18">
        <v>43753</v>
      </c>
      <c r="C27" s="9" t="s">
        <v>889</v>
      </c>
      <c r="D27" s="11"/>
      <c r="E27" s="11"/>
      <c r="F27" s="11"/>
      <c r="G27" s="11"/>
      <c r="H27" s="11">
        <v>450</v>
      </c>
      <c r="I27" s="15"/>
      <c r="J27" s="12">
        <f t="shared" si="0"/>
        <v>13326.849999999999</v>
      </c>
      <c r="K27" s="12">
        <f t="shared" si="1"/>
        <v>54374.989999999991</v>
      </c>
    </row>
    <row r="28" spans="1:11" x14ac:dyDescent="0.25">
      <c r="A28" s="135">
        <v>20</v>
      </c>
      <c r="B28" s="18">
        <v>43753</v>
      </c>
      <c r="C28" s="9" t="s">
        <v>890</v>
      </c>
      <c r="D28" s="11"/>
      <c r="E28" s="11"/>
      <c r="F28" s="11"/>
      <c r="G28" s="11"/>
      <c r="H28" s="11">
        <v>350</v>
      </c>
      <c r="I28" s="15"/>
      <c r="J28" s="12">
        <f t="shared" si="0"/>
        <v>13326.849999999999</v>
      </c>
      <c r="K28" s="12">
        <f t="shared" si="1"/>
        <v>54024.989999999991</v>
      </c>
    </row>
    <row r="29" spans="1:11" x14ac:dyDescent="0.25">
      <c r="A29" s="135">
        <v>21</v>
      </c>
      <c r="B29" s="18">
        <v>43753</v>
      </c>
      <c r="C29" s="133" t="s">
        <v>841</v>
      </c>
      <c r="D29" s="11"/>
      <c r="E29" s="11"/>
      <c r="F29" s="11"/>
      <c r="G29" s="11"/>
      <c r="H29" s="11">
        <v>27333.33</v>
      </c>
      <c r="I29" s="15"/>
      <c r="J29" s="12">
        <f t="shared" si="0"/>
        <v>13326.849999999999</v>
      </c>
      <c r="K29" s="12">
        <f t="shared" si="1"/>
        <v>26691.659999999989</v>
      </c>
    </row>
    <row r="30" spans="1:11" x14ac:dyDescent="0.25">
      <c r="A30" s="135">
        <v>22</v>
      </c>
      <c r="B30" s="18">
        <v>43753</v>
      </c>
      <c r="C30" s="134" t="s">
        <v>842</v>
      </c>
      <c r="D30" s="11"/>
      <c r="E30" s="11"/>
      <c r="F30" s="11"/>
      <c r="G30" s="11">
        <v>10000</v>
      </c>
      <c r="H30" s="11"/>
      <c r="I30" s="15"/>
      <c r="J30" s="12">
        <f t="shared" si="0"/>
        <v>3326.8499999999985</v>
      </c>
      <c r="K30" s="12">
        <f t="shared" si="1"/>
        <v>26691.659999999989</v>
      </c>
    </row>
    <row r="31" spans="1:11" x14ac:dyDescent="0.25">
      <c r="A31" s="135">
        <v>23</v>
      </c>
      <c r="B31" s="18">
        <v>43753</v>
      </c>
      <c r="C31" s="133" t="s">
        <v>843</v>
      </c>
      <c r="D31" s="11"/>
      <c r="E31" s="11"/>
      <c r="F31" s="11"/>
      <c r="G31" s="11"/>
      <c r="H31" s="11">
        <v>5000</v>
      </c>
      <c r="I31" s="117"/>
      <c r="J31" s="12">
        <f t="shared" si="0"/>
        <v>3326.8499999999985</v>
      </c>
      <c r="K31" s="12">
        <f t="shared" si="1"/>
        <v>21691.659999999989</v>
      </c>
    </row>
    <row r="32" spans="1:11" x14ac:dyDescent="0.25">
      <c r="A32" s="135">
        <v>24</v>
      </c>
      <c r="B32" s="25">
        <v>43753</v>
      </c>
      <c r="C32" s="137" t="s">
        <v>819</v>
      </c>
      <c r="D32" s="11"/>
      <c r="E32" s="11"/>
      <c r="F32" s="11"/>
      <c r="G32" s="11">
        <v>1760</v>
      </c>
      <c r="H32" s="59"/>
      <c r="I32" s="117"/>
      <c r="J32" s="12">
        <f t="shared" si="0"/>
        <v>1566.8499999999985</v>
      </c>
      <c r="K32" s="12">
        <f t="shared" si="1"/>
        <v>21691.659999999989</v>
      </c>
    </row>
    <row r="33" spans="1:11" x14ac:dyDescent="0.25">
      <c r="A33" s="135">
        <v>25</v>
      </c>
      <c r="B33" s="25">
        <v>43753</v>
      </c>
      <c r="C33" s="137" t="s">
        <v>818</v>
      </c>
      <c r="D33" s="11"/>
      <c r="E33" s="11"/>
      <c r="F33" s="11"/>
      <c r="G33" s="11">
        <v>1400</v>
      </c>
      <c r="H33" s="11"/>
      <c r="I33" s="15"/>
      <c r="J33" s="12">
        <f t="shared" si="0"/>
        <v>166.84999999999854</v>
      </c>
      <c r="K33" s="12">
        <f t="shared" si="1"/>
        <v>21691.659999999989</v>
      </c>
    </row>
    <row r="34" spans="1:11" x14ac:dyDescent="0.25">
      <c r="A34" s="135">
        <v>26</v>
      </c>
      <c r="B34" s="18">
        <v>43753</v>
      </c>
      <c r="C34" s="21" t="s">
        <v>824</v>
      </c>
      <c r="D34" s="11"/>
      <c r="E34" s="11"/>
      <c r="F34" s="11"/>
      <c r="G34" s="11"/>
      <c r="H34" s="11">
        <v>2800</v>
      </c>
      <c r="I34" s="15"/>
      <c r="J34" s="12">
        <f t="shared" si="0"/>
        <v>166.84999999999854</v>
      </c>
      <c r="K34" s="12">
        <f t="shared" si="1"/>
        <v>18891.659999999989</v>
      </c>
    </row>
    <row r="35" spans="1:11" x14ac:dyDescent="0.25">
      <c r="A35" s="135">
        <v>27</v>
      </c>
      <c r="B35" s="18">
        <v>43753</v>
      </c>
      <c r="C35" s="21" t="s">
        <v>896</v>
      </c>
      <c r="D35" s="11"/>
      <c r="E35" s="11"/>
      <c r="F35" s="11"/>
      <c r="G35" s="11"/>
      <c r="H35" s="11">
        <v>1500</v>
      </c>
      <c r="I35" s="15"/>
      <c r="J35" s="12">
        <f t="shared" si="0"/>
        <v>166.84999999999854</v>
      </c>
      <c r="K35" s="12">
        <f t="shared" si="1"/>
        <v>17391.659999999989</v>
      </c>
    </row>
    <row r="36" spans="1:11" x14ac:dyDescent="0.25">
      <c r="A36" s="135">
        <v>28</v>
      </c>
      <c r="B36" s="18">
        <v>43753</v>
      </c>
      <c r="C36" s="21" t="s">
        <v>826</v>
      </c>
      <c r="D36" s="11"/>
      <c r="E36" s="11"/>
      <c r="F36" s="11"/>
      <c r="G36" s="11"/>
      <c r="H36" s="11">
        <v>154</v>
      </c>
      <c r="I36" s="117"/>
      <c r="J36" s="12">
        <f t="shared" si="0"/>
        <v>166.84999999999854</v>
      </c>
      <c r="K36" s="12">
        <f t="shared" si="1"/>
        <v>17237.659999999989</v>
      </c>
    </row>
    <row r="37" spans="1:11" x14ac:dyDescent="0.25">
      <c r="A37" s="135">
        <v>29</v>
      </c>
      <c r="B37" s="18">
        <v>43753</v>
      </c>
      <c r="C37" s="21" t="s">
        <v>849</v>
      </c>
      <c r="D37" s="11"/>
      <c r="E37" s="11"/>
      <c r="F37" s="11"/>
      <c r="G37" s="11"/>
      <c r="H37" s="11">
        <v>250</v>
      </c>
      <c r="I37" s="15"/>
      <c r="J37" s="12">
        <f t="shared" si="0"/>
        <v>166.84999999999854</v>
      </c>
      <c r="K37" s="12">
        <f t="shared" si="1"/>
        <v>16987.659999999989</v>
      </c>
    </row>
    <row r="38" spans="1:11" x14ac:dyDescent="0.25">
      <c r="A38" s="135">
        <v>30</v>
      </c>
      <c r="B38" s="18">
        <v>43754</v>
      </c>
      <c r="C38" s="21" t="s">
        <v>847</v>
      </c>
      <c r="D38" s="11"/>
      <c r="E38" s="11"/>
      <c r="F38" s="11"/>
      <c r="G38" s="11"/>
      <c r="H38" s="11">
        <v>200</v>
      </c>
      <c r="I38" s="15"/>
      <c r="J38" s="12">
        <f t="shared" si="0"/>
        <v>166.84999999999854</v>
      </c>
      <c r="K38" s="12">
        <f t="shared" si="1"/>
        <v>16787.659999999989</v>
      </c>
    </row>
    <row r="39" spans="1:11" x14ac:dyDescent="0.25">
      <c r="A39" s="135">
        <v>31</v>
      </c>
      <c r="B39" s="18">
        <v>43754</v>
      </c>
      <c r="C39" s="21" t="s">
        <v>825</v>
      </c>
      <c r="D39" s="11"/>
      <c r="E39" s="11"/>
      <c r="F39" s="11"/>
      <c r="G39" s="11"/>
      <c r="H39" s="11">
        <v>300</v>
      </c>
      <c r="I39" s="15"/>
      <c r="J39" s="12">
        <f t="shared" si="0"/>
        <v>166.84999999999854</v>
      </c>
      <c r="K39" s="12">
        <f t="shared" si="1"/>
        <v>16487.659999999989</v>
      </c>
    </row>
    <row r="40" spans="1:11" x14ac:dyDescent="0.25">
      <c r="A40" s="135">
        <v>32</v>
      </c>
      <c r="B40" s="25">
        <v>43754</v>
      </c>
      <c r="C40" s="9" t="s">
        <v>850</v>
      </c>
      <c r="D40" s="59"/>
      <c r="E40" s="59"/>
      <c r="F40" s="59"/>
      <c r="G40" s="59"/>
      <c r="H40" s="59">
        <v>1500</v>
      </c>
      <c r="I40" s="15"/>
      <c r="J40" s="12">
        <f t="shared" si="0"/>
        <v>166.84999999999854</v>
      </c>
      <c r="K40" s="12">
        <f t="shared" si="1"/>
        <v>14987.659999999989</v>
      </c>
    </row>
    <row r="41" spans="1:11" x14ac:dyDescent="0.25">
      <c r="A41" s="135">
        <v>33</v>
      </c>
      <c r="B41" s="18">
        <v>43755</v>
      </c>
      <c r="C41" s="21" t="s">
        <v>821</v>
      </c>
      <c r="D41" s="11"/>
      <c r="E41" s="11"/>
      <c r="F41" s="11"/>
      <c r="G41" s="11"/>
      <c r="H41" s="59">
        <v>800</v>
      </c>
      <c r="I41" s="15"/>
      <c r="J41" s="12">
        <f t="shared" si="0"/>
        <v>166.84999999999854</v>
      </c>
      <c r="K41" s="12">
        <f t="shared" si="1"/>
        <v>14187.659999999989</v>
      </c>
    </row>
    <row r="42" spans="1:11" x14ac:dyDescent="0.25">
      <c r="A42" s="135">
        <v>34</v>
      </c>
      <c r="B42" s="25">
        <v>43755</v>
      </c>
      <c r="C42" s="21" t="s">
        <v>893</v>
      </c>
      <c r="D42" s="59"/>
      <c r="E42" s="59"/>
      <c r="F42" s="59"/>
      <c r="G42" s="59"/>
      <c r="H42" s="59">
        <v>203.9</v>
      </c>
      <c r="I42" s="15"/>
      <c r="J42" s="12">
        <f t="shared" si="0"/>
        <v>166.84999999999854</v>
      </c>
      <c r="K42" s="12">
        <f t="shared" si="1"/>
        <v>13983.759999999989</v>
      </c>
    </row>
    <row r="43" spans="1:11" x14ac:dyDescent="0.25">
      <c r="A43" s="135">
        <v>35</v>
      </c>
      <c r="B43" s="18">
        <v>43756</v>
      </c>
      <c r="C43" s="21" t="s">
        <v>862</v>
      </c>
      <c r="D43" s="11"/>
      <c r="E43" s="11"/>
      <c r="F43" s="11"/>
      <c r="G43" s="11"/>
      <c r="H43" s="59">
        <v>539</v>
      </c>
      <c r="I43" s="15"/>
      <c r="J43" s="12">
        <f t="shared" si="0"/>
        <v>166.84999999999854</v>
      </c>
      <c r="K43" s="12">
        <f t="shared" si="1"/>
        <v>13444.759999999989</v>
      </c>
    </row>
    <row r="44" spans="1:11" x14ac:dyDescent="0.25">
      <c r="A44" s="135">
        <v>36</v>
      </c>
      <c r="B44" s="18">
        <v>43756</v>
      </c>
      <c r="C44" s="21" t="s">
        <v>844</v>
      </c>
      <c r="D44" s="11"/>
      <c r="E44" s="11"/>
      <c r="F44" s="11"/>
      <c r="G44" s="11"/>
      <c r="H44" s="59">
        <v>168</v>
      </c>
      <c r="I44" s="15"/>
      <c r="J44" s="12">
        <f t="shared" si="0"/>
        <v>166.84999999999854</v>
      </c>
      <c r="K44" s="12">
        <f t="shared" si="1"/>
        <v>13276.759999999989</v>
      </c>
    </row>
    <row r="45" spans="1:11" x14ac:dyDescent="0.25">
      <c r="A45" s="135">
        <v>37</v>
      </c>
      <c r="B45" s="18">
        <v>43757</v>
      </c>
      <c r="C45" s="21" t="s">
        <v>822</v>
      </c>
      <c r="D45" s="11"/>
      <c r="E45" s="11"/>
      <c r="F45" s="11"/>
      <c r="G45" s="11"/>
      <c r="H45" s="59">
        <v>1360</v>
      </c>
      <c r="I45" s="15"/>
      <c r="J45" s="12">
        <f t="shared" si="0"/>
        <v>166.84999999999854</v>
      </c>
      <c r="K45" s="12">
        <f t="shared" si="1"/>
        <v>11916.759999999989</v>
      </c>
    </row>
    <row r="46" spans="1:11" x14ac:dyDescent="0.25">
      <c r="A46" s="135">
        <v>38</v>
      </c>
      <c r="B46" s="18">
        <v>43757</v>
      </c>
      <c r="C46" s="14" t="s">
        <v>869</v>
      </c>
      <c r="D46" s="41"/>
      <c r="E46" s="41"/>
      <c r="F46" s="41"/>
      <c r="G46" s="41"/>
      <c r="H46" s="11">
        <v>655.13</v>
      </c>
      <c r="I46" s="15"/>
      <c r="J46" s="12">
        <f t="shared" si="0"/>
        <v>166.84999999999854</v>
      </c>
      <c r="K46" s="12">
        <f t="shared" si="1"/>
        <v>11261.62999999999</v>
      </c>
    </row>
    <row r="47" spans="1:11" x14ac:dyDescent="0.25">
      <c r="A47" s="135">
        <v>39</v>
      </c>
      <c r="B47" s="18">
        <v>43758</v>
      </c>
      <c r="C47" s="21" t="s">
        <v>893</v>
      </c>
      <c r="D47" s="11"/>
      <c r="E47" s="11"/>
      <c r="F47" s="11"/>
      <c r="G47" s="11"/>
      <c r="H47" s="59">
        <v>407.8</v>
      </c>
      <c r="I47" s="15"/>
      <c r="J47" s="12">
        <f t="shared" si="0"/>
        <v>166.84999999999854</v>
      </c>
      <c r="K47" s="12">
        <f t="shared" si="1"/>
        <v>10853.829999999991</v>
      </c>
    </row>
    <row r="48" spans="1:11" x14ac:dyDescent="0.25">
      <c r="A48" s="135"/>
      <c r="B48" s="18">
        <v>43758</v>
      </c>
      <c r="C48" s="21" t="s">
        <v>845</v>
      </c>
      <c r="D48" s="41">
        <v>21950</v>
      </c>
      <c r="E48" s="41"/>
      <c r="F48" s="41"/>
      <c r="G48" s="41"/>
      <c r="H48" s="11"/>
      <c r="I48" s="15"/>
      <c r="J48" s="12">
        <f t="shared" si="0"/>
        <v>166.84999999999854</v>
      </c>
      <c r="K48" s="12">
        <f t="shared" si="1"/>
        <v>32803.829999999987</v>
      </c>
    </row>
    <row r="49" spans="1:11" x14ac:dyDescent="0.25">
      <c r="A49" s="135">
        <v>40</v>
      </c>
      <c r="B49" s="18">
        <v>43758</v>
      </c>
      <c r="C49" s="14" t="s">
        <v>846</v>
      </c>
      <c r="D49" s="41"/>
      <c r="E49" s="41"/>
      <c r="F49" s="41"/>
      <c r="G49" s="16"/>
      <c r="H49" s="11">
        <v>200</v>
      </c>
      <c r="I49" s="15"/>
      <c r="J49" s="12">
        <f t="shared" si="0"/>
        <v>166.84999999999854</v>
      </c>
      <c r="K49" s="12">
        <f t="shared" si="1"/>
        <v>32603.829999999987</v>
      </c>
    </row>
    <row r="50" spans="1:11" x14ac:dyDescent="0.25">
      <c r="A50" s="135">
        <v>41</v>
      </c>
      <c r="B50" s="18">
        <v>43759</v>
      </c>
      <c r="C50" s="14" t="s">
        <v>895</v>
      </c>
      <c r="D50" s="41"/>
      <c r="E50" s="41"/>
      <c r="F50" s="41"/>
      <c r="G50" s="41"/>
      <c r="H50" s="11">
        <v>1000</v>
      </c>
      <c r="I50" s="15"/>
      <c r="J50" s="12">
        <f t="shared" si="0"/>
        <v>166.84999999999854</v>
      </c>
      <c r="K50" s="12">
        <f t="shared" si="1"/>
        <v>31603.829999999987</v>
      </c>
    </row>
    <row r="51" spans="1:11" ht="15.75" thickBot="1" x14ac:dyDescent="0.3">
      <c r="A51" s="135">
        <v>42</v>
      </c>
      <c r="B51" s="18">
        <v>43759</v>
      </c>
      <c r="C51" s="14" t="s">
        <v>851</v>
      </c>
      <c r="D51" s="11"/>
      <c r="E51" s="113"/>
      <c r="F51" s="11"/>
      <c r="G51" s="11"/>
      <c r="H51" s="11">
        <v>7500</v>
      </c>
      <c r="I51" s="15"/>
      <c r="J51" s="12">
        <f>+J50+E51-G51</f>
        <v>166.84999999999854</v>
      </c>
      <c r="K51" s="12">
        <f>+K50+D51-H51</f>
        <v>24103.829999999987</v>
      </c>
    </row>
    <row r="52" spans="1:11" ht="15.75" thickBot="1" x14ac:dyDescent="0.3">
      <c r="B52" s="5"/>
      <c r="C52" s="120" t="s">
        <v>0</v>
      </c>
      <c r="D52" s="62">
        <f>SUM(D4:D51)</f>
        <v>78050</v>
      </c>
      <c r="E52" s="61">
        <f>SUM(E4:E51)</f>
        <v>1200.75</v>
      </c>
      <c r="F52" s="71">
        <f>SUM(D52:E52)</f>
        <v>79250.75</v>
      </c>
      <c r="G52" s="80">
        <f>SUM(G4:G51)</f>
        <v>23160</v>
      </c>
      <c r="H52" s="62">
        <f>SUM(H4:H51)</f>
        <v>62892.28</v>
      </c>
      <c r="I52" s="71">
        <f>SUM(G52:H52)</f>
        <v>86052.28</v>
      </c>
      <c r="J52" s="20"/>
      <c r="K52" s="20"/>
    </row>
    <row r="53" spans="1:11" x14ac:dyDescent="0.25">
      <c r="B53" s="68" t="s">
        <v>1</v>
      </c>
      <c r="C53" s="48" t="s">
        <v>2</v>
      </c>
      <c r="D53" s="68" t="s">
        <v>3</v>
      </c>
      <c r="E53" s="68" t="s">
        <v>3</v>
      </c>
      <c r="F53" s="68" t="s">
        <v>22</v>
      </c>
      <c r="G53" s="68" t="s">
        <v>23</v>
      </c>
      <c r="H53" s="48" t="s">
        <v>23</v>
      </c>
      <c r="I53" s="48" t="s">
        <v>22</v>
      </c>
      <c r="J53" s="68" t="s">
        <v>8</v>
      </c>
      <c r="K53" s="48" t="s">
        <v>7</v>
      </c>
    </row>
    <row r="54" spans="1:11" ht="15.75" thickBot="1" x14ac:dyDescent="0.3">
      <c r="B54" s="69"/>
      <c r="C54" s="70"/>
      <c r="D54" s="69" t="s">
        <v>5</v>
      </c>
      <c r="E54" s="69" t="s">
        <v>24</v>
      </c>
      <c r="F54" s="69" t="s">
        <v>3</v>
      </c>
      <c r="G54" s="69" t="s">
        <v>24</v>
      </c>
      <c r="H54" s="70" t="s">
        <v>5</v>
      </c>
      <c r="I54" s="70" t="s">
        <v>4</v>
      </c>
      <c r="J54" s="69"/>
      <c r="K54" s="70"/>
    </row>
    <row r="55" spans="1:11" ht="15.75" thickBot="1" x14ac:dyDescent="0.3">
      <c r="B55" s="5"/>
      <c r="C55" s="120"/>
      <c r="D55" s="62">
        <v>78050</v>
      </c>
      <c r="E55" s="61">
        <v>1200.75</v>
      </c>
      <c r="F55" s="71">
        <f>SUM(D55:E55)</f>
        <v>79250.75</v>
      </c>
      <c r="G55" s="80">
        <v>23160</v>
      </c>
      <c r="H55" s="62">
        <v>62892.28</v>
      </c>
      <c r="I55" s="71">
        <f>SUM(G55:H55)</f>
        <v>86052.28</v>
      </c>
      <c r="J55" s="20">
        <v>166.85</v>
      </c>
      <c r="K55" s="20">
        <v>24103.83</v>
      </c>
    </row>
    <row r="56" spans="1:11" x14ac:dyDescent="0.25">
      <c r="A56" s="135">
        <v>43</v>
      </c>
      <c r="B56" s="18">
        <v>43759</v>
      </c>
      <c r="C56" s="21" t="s">
        <v>838</v>
      </c>
      <c r="D56" s="11"/>
      <c r="E56" s="113"/>
      <c r="F56" s="11"/>
      <c r="G56" s="11"/>
      <c r="H56" s="11">
        <v>117</v>
      </c>
      <c r="I56" s="15"/>
      <c r="J56" s="12">
        <f>+J51+E56-G56</f>
        <v>166.84999999999854</v>
      </c>
      <c r="K56" s="12">
        <f>+K51+D56-H56</f>
        <v>23986.829999999987</v>
      </c>
    </row>
    <row r="57" spans="1:11" x14ac:dyDescent="0.25">
      <c r="A57" s="135">
        <v>44</v>
      </c>
      <c r="B57" s="18">
        <v>43760</v>
      </c>
      <c r="C57" s="13" t="s">
        <v>852</v>
      </c>
      <c r="D57" s="11"/>
      <c r="E57" s="113"/>
      <c r="F57" s="11"/>
      <c r="G57" s="11"/>
      <c r="H57" s="11">
        <v>1000</v>
      </c>
      <c r="I57" s="15"/>
      <c r="J57" s="12">
        <f t="shared" si="0"/>
        <v>166.84999999999854</v>
      </c>
      <c r="K57" s="12">
        <f t="shared" si="1"/>
        <v>22986.829999999987</v>
      </c>
    </row>
    <row r="58" spans="1:11" x14ac:dyDescent="0.25">
      <c r="A58" s="135">
        <v>45</v>
      </c>
      <c r="B58" s="18">
        <v>43761</v>
      </c>
      <c r="C58" s="21" t="s">
        <v>853</v>
      </c>
      <c r="D58" s="11"/>
      <c r="E58" s="113"/>
      <c r="F58" s="11"/>
      <c r="G58" s="11"/>
      <c r="H58" s="11">
        <v>30</v>
      </c>
      <c r="I58" s="15"/>
      <c r="J58" s="12">
        <f t="shared" ref="J58:J98" si="2">+J57+E58-G58</f>
        <v>166.84999999999854</v>
      </c>
      <c r="K58" s="12">
        <f t="shared" ref="K58:K98" si="3">+K57+D58-H58</f>
        <v>22956.829999999987</v>
      </c>
    </row>
    <row r="59" spans="1:11" x14ac:dyDescent="0.25">
      <c r="A59" s="135">
        <v>46</v>
      </c>
      <c r="B59" s="18">
        <v>43761</v>
      </c>
      <c r="C59" s="21" t="s">
        <v>854</v>
      </c>
      <c r="D59" s="11"/>
      <c r="E59" s="113"/>
      <c r="F59" s="11"/>
      <c r="G59" s="11"/>
      <c r="H59" s="11">
        <v>200</v>
      </c>
      <c r="I59" s="15"/>
      <c r="J59" s="12">
        <f t="shared" si="2"/>
        <v>166.84999999999854</v>
      </c>
      <c r="K59" s="12">
        <f t="shared" si="3"/>
        <v>22756.829999999987</v>
      </c>
    </row>
    <row r="60" spans="1:11" x14ac:dyDescent="0.25">
      <c r="A60" s="135"/>
      <c r="B60" s="18">
        <v>43761</v>
      </c>
      <c r="C60" s="21" t="s">
        <v>855</v>
      </c>
      <c r="D60" s="11"/>
      <c r="E60" s="11">
        <v>3000</v>
      </c>
      <c r="F60" s="11"/>
      <c r="G60" s="11"/>
      <c r="H60" s="59"/>
      <c r="I60" s="15"/>
      <c r="J60" s="12">
        <f t="shared" si="2"/>
        <v>3166.8499999999985</v>
      </c>
      <c r="K60" s="12">
        <f t="shared" si="3"/>
        <v>22756.829999999987</v>
      </c>
    </row>
    <row r="61" spans="1:11" x14ac:dyDescent="0.25">
      <c r="A61" s="135"/>
      <c r="B61" s="18">
        <v>43761</v>
      </c>
      <c r="C61" s="21" t="s">
        <v>857</v>
      </c>
      <c r="D61" s="11"/>
      <c r="E61" s="11">
        <v>1600</v>
      </c>
      <c r="F61" s="11"/>
      <c r="G61" s="11"/>
      <c r="H61" s="59"/>
      <c r="I61" s="15"/>
      <c r="J61" s="12">
        <f t="shared" si="2"/>
        <v>4766.8499999999985</v>
      </c>
      <c r="K61" s="12">
        <f t="shared" si="3"/>
        <v>22756.829999999987</v>
      </c>
    </row>
    <row r="62" spans="1:11" x14ac:dyDescent="0.25">
      <c r="A62" s="135"/>
      <c r="B62" s="18">
        <v>43761</v>
      </c>
      <c r="C62" s="21" t="s">
        <v>856</v>
      </c>
      <c r="D62" s="11"/>
      <c r="E62" s="11">
        <v>1200</v>
      </c>
      <c r="F62" s="11"/>
      <c r="G62" s="11"/>
      <c r="H62" s="59"/>
      <c r="I62" s="15"/>
      <c r="J62" s="12">
        <f t="shared" si="2"/>
        <v>5966.8499999999985</v>
      </c>
      <c r="K62" s="12">
        <f t="shared" si="3"/>
        <v>22756.829999999987</v>
      </c>
    </row>
    <row r="63" spans="1:11" x14ac:dyDescent="0.25">
      <c r="A63" s="135"/>
      <c r="B63" s="18">
        <v>43761</v>
      </c>
      <c r="C63" s="13" t="s">
        <v>858</v>
      </c>
      <c r="D63" s="11"/>
      <c r="E63" s="11">
        <v>12760</v>
      </c>
      <c r="F63" s="11"/>
      <c r="G63" s="11"/>
      <c r="H63" s="59"/>
      <c r="I63" s="15"/>
      <c r="J63" s="12">
        <f t="shared" si="2"/>
        <v>18726.849999999999</v>
      </c>
      <c r="K63" s="12">
        <f t="shared" si="3"/>
        <v>22756.829999999987</v>
      </c>
    </row>
    <row r="64" spans="1:11" x14ac:dyDescent="0.25">
      <c r="A64" s="135">
        <v>47</v>
      </c>
      <c r="B64" s="18">
        <v>43761</v>
      </c>
      <c r="C64" s="21" t="s">
        <v>860</v>
      </c>
      <c r="D64" s="11"/>
      <c r="E64" s="11"/>
      <c r="F64" s="11"/>
      <c r="G64" s="11"/>
      <c r="H64" s="59">
        <v>39</v>
      </c>
      <c r="I64" s="15"/>
      <c r="J64" s="12">
        <f t="shared" si="2"/>
        <v>18726.849999999999</v>
      </c>
      <c r="K64" s="12">
        <f t="shared" si="3"/>
        <v>22717.829999999987</v>
      </c>
    </row>
    <row r="65" spans="1:12" x14ac:dyDescent="0.25">
      <c r="A65" s="135">
        <v>48</v>
      </c>
      <c r="B65" s="18">
        <v>43761</v>
      </c>
      <c r="C65" s="14" t="s">
        <v>859</v>
      </c>
      <c r="D65" s="41"/>
      <c r="E65" s="41"/>
      <c r="F65" s="41"/>
      <c r="G65" s="41"/>
      <c r="H65" s="11">
        <v>161</v>
      </c>
      <c r="I65" s="15"/>
      <c r="J65" s="12">
        <f t="shared" si="2"/>
        <v>18726.849999999999</v>
      </c>
      <c r="K65" s="12">
        <f t="shared" si="3"/>
        <v>22556.829999999987</v>
      </c>
    </row>
    <row r="66" spans="1:12" x14ac:dyDescent="0.25">
      <c r="A66" s="135">
        <v>49</v>
      </c>
      <c r="B66" s="18">
        <v>43763</v>
      </c>
      <c r="C66" s="14" t="s">
        <v>861</v>
      </c>
      <c r="D66" s="41"/>
      <c r="E66" s="41"/>
      <c r="F66" s="41"/>
      <c r="G66" s="16"/>
      <c r="H66" s="11">
        <v>200</v>
      </c>
      <c r="I66" s="15"/>
      <c r="J66" s="12">
        <f t="shared" si="2"/>
        <v>18726.849999999999</v>
      </c>
      <c r="K66" s="12">
        <f t="shared" si="3"/>
        <v>22356.829999999987</v>
      </c>
    </row>
    <row r="67" spans="1:12" x14ac:dyDescent="0.25">
      <c r="A67" s="135">
        <v>50</v>
      </c>
      <c r="B67" s="18">
        <v>43764</v>
      </c>
      <c r="C67" s="21" t="s">
        <v>897</v>
      </c>
      <c r="D67" s="41"/>
      <c r="E67" s="41"/>
      <c r="F67" s="41"/>
      <c r="G67" s="41"/>
      <c r="H67" s="11">
        <v>183.51</v>
      </c>
      <c r="I67" s="15"/>
      <c r="J67" s="12">
        <f t="shared" si="2"/>
        <v>18726.849999999999</v>
      </c>
      <c r="K67" s="12">
        <f t="shared" si="3"/>
        <v>22173.319999999989</v>
      </c>
    </row>
    <row r="68" spans="1:12" x14ac:dyDescent="0.25">
      <c r="A68" s="135">
        <v>51</v>
      </c>
      <c r="B68" s="18">
        <v>43764</v>
      </c>
      <c r="C68" s="21" t="s">
        <v>897</v>
      </c>
      <c r="D68" s="11"/>
      <c r="E68" s="113"/>
      <c r="F68" s="11"/>
      <c r="G68" s="11"/>
      <c r="H68" s="11">
        <v>101.95</v>
      </c>
      <c r="I68" s="15"/>
      <c r="J68" s="12">
        <f t="shared" si="2"/>
        <v>18726.849999999999</v>
      </c>
      <c r="K68" s="12">
        <f t="shared" si="3"/>
        <v>22071.369999999988</v>
      </c>
    </row>
    <row r="69" spans="1:12" x14ac:dyDescent="0.25">
      <c r="A69" s="132">
        <v>52</v>
      </c>
      <c r="B69" s="18">
        <v>43763</v>
      </c>
      <c r="C69" s="21" t="s">
        <v>844</v>
      </c>
      <c r="D69" s="11"/>
      <c r="E69" s="113"/>
      <c r="F69" s="11"/>
      <c r="G69" s="11"/>
      <c r="H69" s="11">
        <v>96</v>
      </c>
      <c r="I69" s="15"/>
      <c r="J69" s="12">
        <f t="shared" si="2"/>
        <v>18726.849999999999</v>
      </c>
      <c r="K69" s="12">
        <f t="shared" si="3"/>
        <v>21975.369999999988</v>
      </c>
    </row>
    <row r="70" spans="1:12" x14ac:dyDescent="0.25">
      <c r="A70" s="132">
        <v>53</v>
      </c>
      <c r="B70" s="18">
        <v>43765</v>
      </c>
      <c r="C70" s="9" t="s">
        <v>867</v>
      </c>
      <c r="D70" s="11"/>
      <c r="E70" s="11"/>
      <c r="F70" s="11"/>
      <c r="G70" s="11"/>
      <c r="H70" s="11">
        <v>24</v>
      </c>
      <c r="I70" s="15"/>
      <c r="J70" s="12">
        <f t="shared" si="2"/>
        <v>18726.849999999999</v>
      </c>
      <c r="K70" s="12">
        <f t="shared" si="3"/>
        <v>21951.369999999988</v>
      </c>
    </row>
    <row r="71" spans="1:12" x14ac:dyDescent="0.25">
      <c r="A71" s="132">
        <v>54</v>
      </c>
      <c r="B71" s="18">
        <v>43765</v>
      </c>
      <c r="C71" s="9" t="s">
        <v>834</v>
      </c>
      <c r="D71" s="113"/>
      <c r="E71" s="11"/>
      <c r="F71" s="11"/>
      <c r="G71" s="11"/>
      <c r="H71" s="11">
        <v>200</v>
      </c>
      <c r="I71" s="15"/>
      <c r="J71" s="12">
        <f t="shared" si="2"/>
        <v>18726.849999999999</v>
      </c>
      <c r="K71" s="12">
        <f t="shared" si="3"/>
        <v>21751.369999999988</v>
      </c>
      <c r="L71" s="1"/>
    </row>
    <row r="72" spans="1:12" x14ac:dyDescent="0.25">
      <c r="A72" s="132">
        <v>55</v>
      </c>
      <c r="B72" s="18">
        <v>43765</v>
      </c>
      <c r="C72" s="21" t="s">
        <v>835</v>
      </c>
      <c r="D72" s="11"/>
      <c r="E72" s="11"/>
      <c r="F72" s="11"/>
      <c r="G72" s="11"/>
      <c r="H72" s="11">
        <v>100</v>
      </c>
      <c r="I72" s="15"/>
      <c r="J72" s="12">
        <f t="shared" si="2"/>
        <v>18726.849999999999</v>
      </c>
      <c r="K72" s="12">
        <f t="shared" si="3"/>
        <v>21651.369999999988</v>
      </c>
      <c r="L72" s="1"/>
    </row>
    <row r="73" spans="1:12" x14ac:dyDescent="0.25">
      <c r="A73" s="132"/>
      <c r="B73" s="18">
        <v>43796</v>
      </c>
      <c r="C73" s="21" t="s">
        <v>866</v>
      </c>
      <c r="D73" s="113">
        <v>46400</v>
      </c>
      <c r="E73" s="11"/>
      <c r="F73" s="11"/>
      <c r="G73" s="11"/>
      <c r="H73" s="11"/>
      <c r="I73" s="15"/>
      <c r="J73" s="12">
        <f t="shared" si="2"/>
        <v>18726.849999999999</v>
      </c>
      <c r="K73" s="12">
        <f t="shared" si="3"/>
        <v>68051.37</v>
      </c>
    </row>
    <row r="74" spans="1:12" x14ac:dyDescent="0.25">
      <c r="A74" s="132">
        <v>56</v>
      </c>
      <c r="B74" s="18">
        <v>43766</v>
      </c>
      <c r="C74" s="21" t="s">
        <v>838</v>
      </c>
      <c r="D74" s="11"/>
      <c r="E74" s="11"/>
      <c r="F74" s="11"/>
      <c r="G74" s="11"/>
      <c r="H74" s="11">
        <v>117</v>
      </c>
      <c r="I74" s="15"/>
      <c r="J74" s="12">
        <f t="shared" si="2"/>
        <v>18726.849999999999</v>
      </c>
      <c r="K74" s="12">
        <f t="shared" si="3"/>
        <v>67934.37</v>
      </c>
    </row>
    <row r="75" spans="1:12" x14ac:dyDescent="0.25">
      <c r="A75" s="132">
        <v>57</v>
      </c>
      <c r="B75" s="18">
        <v>43767</v>
      </c>
      <c r="C75" s="21" t="s">
        <v>870</v>
      </c>
      <c r="D75" s="11"/>
      <c r="E75" s="11"/>
      <c r="F75" s="11"/>
      <c r="G75" s="11"/>
      <c r="H75" s="11">
        <v>1200</v>
      </c>
      <c r="I75" s="15"/>
      <c r="J75" s="12">
        <f t="shared" si="2"/>
        <v>18726.849999999999</v>
      </c>
      <c r="K75" s="12">
        <f t="shared" si="3"/>
        <v>66734.37</v>
      </c>
    </row>
    <row r="76" spans="1:12" x14ac:dyDescent="0.25">
      <c r="A76" s="132">
        <v>58</v>
      </c>
      <c r="B76" s="25">
        <v>43767</v>
      </c>
      <c r="C76" s="9" t="s">
        <v>871</v>
      </c>
      <c r="D76" s="59"/>
      <c r="E76" s="59"/>
      <c r="F76" s="59"/>
      <c r="G76" s="59"/>
      <c r="H76" s="59">
        <v>158.5</v>
      </c>
      <c r="I76" s="15"/>
      <c r="J76" s="12">
        <f t="shared" si="2"/>
        <v>18726.849999999999</v>
      </c>
      <c r="K76" s="12">
        <f t="shared" si="3"/>
        <v>66575.87</v>
      </c>
      <c r="L76" s="1"/>
    </row>
    <row r="77" spans="1:12" x14ac:dyDescent="0.25">
      <c r="A77" s="132">
        <v>59</v>
      </c>
      <c r="B77" s="18">
        <v>43767</v>
      </c>
      <c r="C77" s="21" t="s">
        <v>872</v>
      </c>
      <c r="D77" s="11"/>
      <c r="E77" s="11"/>
      <c r="F77" s="11"/>
      <c r="G77" s="11"/>
      <c r="H77" s="59">
        <v>1199.7</v>
      </c>
      <c r="I77" s="15"/>
      <c r="J77" s="12">
        <f t="shared" si="2"/>
        <v>18726.849999999999</v>
      </c>
      <c r="K77" s="12">
        <f t="shared" si="3"/>
        <v>65376.17</v>
      </c>
    </row>
    <row r="78" spans="1:12" x14ac:dyDescent="0.25">
      <c r="A78" s="132">
        <v>60</v>
      </c>
      <c r="B78" s="18">
        <v>43767</v>
      </c>
      <c r="C78" s="21" t="s">
        <v>873</v>
      </c>
      <c r="D78" s="11"/>
      <c r="E78" s="11"/>
      <c r="F78" s="11"/>
      <c r="G78" s="11"/>
      <c r="H78" s="59">
        <v>1199</v>
      </c>
      <c r="I78" s="15"/>
      <c r="J78" s="12">
        <f t="shared" si="2"/>
        <v>18726.849999999999</v>
      </c>
      <c r="K78" s="12">
        <f t="shared" si="3"/>
        <v>64177.17</v>
      </c>
      <c r="L78" s="1"/>
    </row>
    <row r="79" spans="1:12" x14ac:dyDescent="0.25">
      <c r="A79" s="132">
        <v>61</v>
      </c>
      <c r="B79" s="18">
        <v>43767</v>
      </c>
      <c r="C79" s="21" t="s">
        <v>874</v>
      </c>
      <c r="D79" s="11"/>
      <c r="E79" s="11"/>
      <c r="F79" s="11"/>
      <c r="G79" s="11"/>
      <c r="H79" s="59">
        <v>500</v>
      </c>
      <c r="I79" s="15"/>
      <c r="J79" s="12">
        <f t="shared" si="2"/>
        <v>18726.849999999999</v>
      </c>
      <c r="K79" s="12">
        <f t="shared" si="3"/>
        <v>63677.17</v>
      </c>
    </row>
    <row r="80" spans="1:12" x14ac:dyDescent="0.25">
      <c r="A80" s="132">
        <v>62</v>
      </c>
      <c r="B80" s="18">
        <v>43767</v>
      </c>
      <c r="C80" s="21" t="s">
        <v>875</v>
      </c>
      <c r="D80" s="11"/>
      <c r="E80" s="11"/>
      <c r="F80" s="11"/>
      <c r="G80" s="11"/>
      <c r="H80" s="59">
        <v>100</v>
      </c>
      <c r="I80" s="15"/>
      <c r="J80" s="12">
        <f t="shared" si="2"/>
        <v>18726.849999999999</v>
      </c>
      <c r="K80" s="12">
        <f t="shared" si="3"/>
        <v>63577.17</v>
      </c>
    </row>
    <row r="81" spans="1:11" x14ac:dyDescent="0.25">
      <c r="A81" s="132">
        <v>63</v>
      </c>
      <c r="B81" s="18">
        <v>43767</v>
      </c>
      <c r="C81" s="14" t="s">
        <v>876</v>
      </c>
      <c r="D81" s="41"/>
      <c r="E81" s="41"/>
      <c r="F81" s="41"/>
      <c r="G81" s="41"/>
      <c r="H81" s="11">
        <v>480</v>
      </c>
      <c r="I81" s="15"/>
      <c r="J81" s="12">
        <f t="shared" si="2"/>
        <v>18726.849999999999</v>
      </c>
      <c r="K81" s="12">
        <f t="shared" si="3"/>
        <v>63097.17</v>
      </c>
    </row>
    <row r="82" spans="1:11" x14ac:dyDescent="0.25">
      <c r="A82" s="132">
        <v>64</v>
      </c>
      <c r="B82" s="18">
        <v>43767</v>
      </c>
      <c r="C82" s="14" t="s">
        <v>877</v>
      </c>
      <c r="D82" s="41"/>
      <c r="E82" s="41"/>
      <c r="F82" s="41"/>
      <c r="G82" s="16"/>
      <c r="H82" s="11">
        <v>65</v>
      </c>
      <c r="I82" s="15"/>
      <c r="J82" s="12">
        <f t="shared" si="2"/>
        <v>18726.849999999999</v>
      </c>
      <c r="K82" s="12">
        <f t="shared" si="3"/>
        <v>63032.17</v>
      </c>
    </row>
    <row r="83" spans="1:11" x14ac:dyDescent="0.25">
      <c r="A83" s="132">
        <v>65</v>
      </c>
      <c r="B83" s="18">
        <v>43768</v>
      </c>
      <c r="C83" s="14" t="s">
        <v>878</v>
      </c>
      <c r="D83" s="41"/>
      <c r="E83" s="41"/>
      <c r="F83" s="41"/>
      <c r="G83" s="41"/>
      <c r="H83" s="11">
        <v>69.22</v>
      </c>
      <c r="I83" s="15"/>
      <c r="J83" s="12">
        <f t="shared" si="2"/>
        <v>18726.849999999999</v>
      </c>
      <c r="K83" s="12">
        <f t="shared" si="3"/>
        <v>62962.95</v>
      </c>
    </row>
    <row r="84" spans="1:11" x14ac:dyDescent="0.25">
      <c r="A84" s="132">
        <v>66</v>
      </c>
      <c r="B84" s="18">
        <v>43768</v>
      </c>
      <c r="C84" s="21" t="s">
        <v>879</v>
      </c>
      <c r="D84" s="11"/>
      <c r="E84" s="113"/>
      <c r="F84" s="11"/>
      <c r="G84" s="11"/>
      <c r="H84" s="11">
        <v>200</v>
      </c>
      <c r="I84" s="15"/>
      <c r="J84" s="12">
        <f t="shared" si="2"/>
        <v>18726.849999999999</v>
      </c>
      <c r="K84" s="12">
        <f t="shared" si="3"/>
        <v>62762.95</v>
      </c>
    </row>
    <row r="85" spans="1:11" x14ac:dyDescent="0.25">
      <c r="A85" s="132">
        <v>67</v>
      </c>
      <c r="B85" s="18">
        <v>43768</v>
      </c>
      <c r="C85" s="14" t="s">
        <v>881</v>
      </c>
      <c r="D85" s="11"/>
      <c r="E85" s="113"/>
      <c r="F85" s="11"/>
      <c r="G85" s="11"/>
      <c r="H85" s="11">
        <v>350</v>
      </c>
      <c r="I85" s="15"/>
      <c r="J85" s="12">
        <f t="shared" si="2"/>
        <v>18726.849999999999</v>
      </c>
      <c r="K85" s="12">
        <f t="shared" si="3"/>
        <v>62412.95</v>
      </c>
    </row>
    <row r="86" spans="1:11" x14ac:dyDescent="0.25">
      <c r="A86" s="132">
        <v>68</v>
      </c>
      <c r="B86" s="18">
        <v>43768</v>
      </c>
      <c r="C86" s="13" t="s">
        <v>880</v>
      </c>
      <c r="D86" s="11"/>
      <c r="E86" s="113"/>
      <c r="F86" s="11"/>
      <c r="G86" s="11"/>
      <c r="H86" s="11">
        <v>150</v>
      </c>
      <c r="I86" s="15"/>
      <c r="J86" s="12">
        <f t="shared" si="2"/>
        <v>18726.849999999999</v>
      </c>
      <c r="K86" s="12">
        <f t="shared" si="3"/>
        <v>62262.95</v>
      </c>
    </row>
    <row r="87" spans="1:11" x14ac:dyDescent="0.25">
      <c r="A87" s="132">
        <v>69</v>
      </c>
      <c r="B87" s="18">
        <v>43768</v>
      </c>
      <c r="C87" s="21" t="s">
        <v>882</v>
      </c>
      <c r="D87" s="11"/>
      <c r="E87" s="113"/>
      <c r="F87" s="11"/>
      <c r="G87" s="11"/>
      <c r="H87" s="11">
        <v>149.94</v>
      </c>
      <c r="I87" s="15"/>
      <c r="J87" s="12">
        <f t="shared" si="2"/>
        <v>18726.849999999999</v>
      </c>
      <c r="K87" s="12">
        <f t="shared" si="3"/>
        <v>62113.009999999995</v>
      </c>
    </row>
    <row r="88" spans="1:11" x14ac:dyDescent="0.25">
      <c r="A88" s="132">
        <v>70</v>
      </c>
      <c r="B88" s="18">
        <v>43768</v>
      </c>
      <c r="C88" s="21" t="s">
        <v>883</v>
      </c>
      <c r="D88" s="11"/>
      <c r="E88" s="113"/>
      <c r="F88" s="11"/>
      <c r="G88" s="11"/>
      <c r="H88" s="11">
        <v>200</v>
      </c>
      <c r="I88" s="15"/>
      <c r="J88" s="12">
        <f t="shared" si="2"/>
        <v>18726.849999999999</v>
      </c>
      <c r="K88" s="12">
        <f t="shared" si="3"/>
        <v>61913.009999999995</v>
      </c>
    </row>
    <row r="89" spans="1:11" x14ac:dyDescent="0.25">
      <c r="A89" s="132">
        <v>71</v>
      </c>
      <c r="B89" s="18">
        <v>43768</v>
      </c>
      <c r="C89" s="14" t="s">
        <v>884</v>
      </c>
      <c r="D89" s="41"/>
      <c r="E89" s="41"/>
      <c r="F89" s="41"/>
      <c r="G89" s="16"/>
      <c r="H89" s="11">
        <v>1050</v>
      </c>
      <c r="I89" s="15"/>
      <c r="J89" s="12">
        <f t="shared" si="2"/>
        <v>18726.849999999999</v>
      </c>
      <c r="K89" s="12">
        <f t="shared" si="3"/>
        <v>60863.009999999995</v>
      </c>
    </row>
    <row r="90" spans="1:11" x14ac:dyDescent="0.25">
      <c r="A90" s="132">
        <v>72</v>
      </c>
      <c r="B90" s="18">
        <v>43769</v>
      </c>
      <c r="C90" s="14" t="s">
        <v>885</v>
      </c>
      <c r="D90" s="41"/>
      <c r="E90" s="41"/>
      <c r="F90" s="41"/>
      <c r="G90" s="16"/>
      <c r="H90" s="11">
        <v>84</v>
      </c>
      <c r="I90" s="15"/>
      <c r="J90" s="12">
        <f t="shared" si="2"/>
        <v>18726.849999999999</v>
      </c>
      <c r="K90" s="12">
        <f t="shared" si="3"/>
        <v>60779.009999999995</v>
      </c>
    </row>
    <row r="91" spans="1:11" x14ac:dyDescent="0.25">
      <c r="A91" s="132">
        <v>73</v>
      </c>
      <c r="B91" s="18">
        <v>43769</v>
      </c>
      <c r="C91" s="14" t="s">
        <v>886</v>
      </c>
      <c r="D91" s="41"/>
      <c r="E91" s="41"/>
      <c r="F91" s="41"/>
      <c r="G91" s="16"/>
      <c r="H91" s="11">
        <v>1322</v>
      </c>
      <c r="I91" s="15"/>
      <c r="J91" s="12">
        <f t="shared" si="2"/>
        <v>18726.849999999999</v>
      </c>
      <c r="K91" s="12">
        <f t="shared" si="3"/>
        <v>59457.009999999995</v>
      </c>
    </row>
    <row r="92" spans="1:11" x14ac:dyDescent="0.25">
      <c r="A92" s="132">
        <v>74</v>
      </c>
      <c r="B92" s="18">
        <v>43769</v>
      </c>
      <c r="C92" s="14" t="s">
        <v>887</v>
      </c>
      <c r="D92" s="41"/>
      <c r="E92" s="41"/>
      <c r="F92" s="41"/>
      <c r="G92" s="16"/>
      <c r="H92" s="11">
        <v>300</v>
      </c>
      <c r="I92" s="15"/>
      <c r="J92" s="12">
        <f t="shared" si="2"/>
        <v>18726.849999999999</v>
      </c>
      <c r="K92" s="12">
        <f t="shared" si="3"/>
        <v>59157.009999999995</v>
      </c>
    </row>
    <row r="93" spans="1:11" x14ac:dyDescent="0.25">
      <c r="A93" s="132">
        <v>75</v>
      </c>
      <c r="B93" s="18">
        <v>43769</v>
      </c>
      <c r="C93" s="9" t="s">
        <v>888</v>
      </c>
      <c r="D93" s="16"/>
      <c r="E93" s="41"/>
      <c r="F93" s="41"/>
      <c r="G93" s="41"/>
      <c r="H93" s="11">
        <v>450</v>
      </c>
      <c r="I93" s="15"/>
      <c r="J93" s="12">
        <f t="shared" si="2"/>
        <v>18726.849999999999</v>
      </c>
      <c r="K93" s="12">
        <f t="shared" si="3"/>
        <v>58707.009999999995</v>
      </c>
    </row>
    <row r="94" spans="1:11" x14ac:dyDescent="0.25">
      <c r="A94" s="132">
        <v>76</v>
      </c>
      <c r="B94" s="18">
        <v>43769</v>
      </c>
      <c r="C94" s="9" t="s">
        <v>891</v>
      </c>
      <c r="D94" s="41"/>
      <c r="E94" s="41"/>
      <c r="F94" s="41"/>
      <c r="G94" s="41"/>
      <c r="H94" s="11">
        <v>300</v>
      </c>
      <c r="I94" s="15"/>
      <c r="J94" s="12">
        <f t="shared" si="2"/>
        <v>18726.849999999999</v>
      </c>
      <c r="K94" s="12">
        <f t="shared" si="3"/>
        <v>58407.009999999995</v>
      </c>
    </row>
    <row r="95" spans="1:11" x14ac:dyDescent="0.25">
      <c r="A95" s="132">
        <v>77</v>
      </c>
      <c r="B95" s="18">
        <v>43769</v>
      </c>
      <c r="C95" s="21" t="s">
        <v>892</v>
      </c>
      <c r="D95" s="11"/>
      <c r="E95" s="11"/>
      <c r="F95" s="11"/>
      <c r="G95" s="11"/>
      <c r="H95" s="11">
        <v>2800</v>
      </c>
      <c r="I95" s="15"/>
      <c r="J95" s="12">
        <f t="shared" si="2"/>
        <v>18726.849999999999</v>
      </c>
      <c r="K95" s="12">
        <f t="shared" si="3"/>
        <v>55607.009999999995</v>
      </c>
    </row>
    <row r="96" spans="1:11" x14ac:dyDescent="0.25">
      <c r="A96" s="132">
        <v>78</v>
      </c>
      <c r="B96" s="18">
        <v>43769</v>
      </c>
      <c r="C96" s="21" t="s">
        <v>978</v>
      </c>
      <c r="D96" s="11"/>
      <c r="E96" s="11"/>
      <c r="F96" s="11"/>
      <c r="G96" s="11"/>
      <c r="H96" s="11">
        <v>101.95</v>
      </c>
      <c r="I96" s="15"/>
      <c r="J96" s="12">
        <f t="shared" si="2"/>
        <v>18726.849999999999</v>
      </c>
      <c r="K96" s="12">
        <f t="shared" si="3"/>
        <v>55505.06</v>
      </c>
    </row>
    <row r="97" spans="1:11" x14ac:dyDescent="0.25">
      <c r="A97" s="132">
        <v>79</v>
      </c>
      <c r="B97" s="18">
        <v>43769</v>
      </c>
      <c r="C97" s="14" t="s">
        <v>894</v>
      </c>
      <c r="D97" s="11"/>
      <c r="E97" s="11"/>
      <c r="F97" s="11"/>
      <c r="G97" s="11"/>
      <c r="H97" s="59">
        <v>3500</v>
      </c>
      <c r="I97" s="15"/>
      <c r="J97" s="12">
        <f t="shared" si="2"/>
        <v>18726.849999999999</v>
      </c>
      <c r="K97" s="12">
        <f t="shared" si="3"/>
        <v>52005.06</v>
      </c>
    </row>
    <row r="98" spans="1:11" x14ac:dyDescent="0.25">
      <c r="A98" s="132">
        <v>80</v>
      </c>
      <c r="B98" s="18">
        <v>43769</v>
      </c>
      <c r="C98" s="133" t="s">
        <v>898</v>
      </c>
      <c r="D98" s="11"/>
      <c r="E98" s="11"/>
      <c r="F98" s="11"/>
      <c r="G98" s="11"/>
      <c r="H98" s="59">
        <v>38250</v>
      </c>
      <c r="I98" s="15"/>
      <c r="J98" s="12">
        <f t="shared" si="2"/>
        <v>18726.849999999999</v>
      </c>
      <c r="K98" s="12">
        <f t="shared" si="3"/>
        <v>13755.059999999998</v>
      </c>
    </row>
    <row r="99" spans="1:11" x14ac:dyDescent="0.25">
      <c r="A99" s="141">
        <v>81</v>
      </c>
      <c r="B99" s="18">
        <v>43769</v>
      </c>
      <c r="C99" s="21" t="s">
        <v>904</v>
      </c>
      <c r="D99" s="11"/>
      <c r="E99" s="11"/>
      <c r="F99" s="11"/>
      <c r="G99" s="11"/>
      <c r="H99" s="59">
        <v>4000</v>
      </c>
      <c r="I99" s="15"/>
      <c r="J99" s="12">
        <f t="shared" ref="J99:J104" si="4">+J98+E99-G99</f>
        <v>18726.849999999999</v>
      </c>
      <c r="K99" s="12">
        <f t="shared" ref="K99:K104" si="5">+K98+D99-H99</f>
        <v>9755.0599999999977</v>
      </c>
    </row>
    <row r="100" spans="1:11" x14ac:dyDescent="0.25">
      <c r="A100" s="132"/>
      <c r="B100" s="18">
        <v>43769</v>
      </c>
      <c r="C100" s="9" t="s">
        <v>817</v>
      </c>
      <c r="D100" s="11"/>
      <c r="E100" s="11"/>
      <c r="F100" s="11"/>
      <c r="G100" s="11">
        <v>200</v>
      </c>
      <c r="H100" s="59"/>
      <c r="I100" s="15"/>
      <c r="J100" s="12">
        <f t="shared" si="4"/>
        <v>18526.849999999999</v>
      </c>
      <c r="K100" s="12">
        <f t="shared" si="5"/>
        <v>9755.0599999999977</v>
      </c>
    </row>
    <row r="101" spans="1:11" x14ac:dyDescent="0.25">
      <c r="A101" s="132"/>
      <c r="B101" s="18">
        <v>43769</v>
      </c>
      <c r="C101" s="13" t="s">
        <v>497</v>
      </c>
      <c r="D101" s="11"/>
      <c r="E101" s="11"/>
      <c r="F101" s="11"/>
      <c r="G101" s="11">
        <v>32</v>
      </c>
      <c r="H101" s="59"/>
      <c r="I101" s="15"/>
      <c r="J101" s="12">
        <f t="shared" si="4"/>
        <v>18494.849999999999</v>
      </c>
      <c r="K101" s="12">
        <f t="shared" si="5"/>
        <v>9755.0599999999977</v>
      </c>
    </row>
    <row r="102" spans="1:11" x14ac:dyDescent="0.25">
      <c r="A102" s="132"/>
      <c r="B102" s="18">
        <v>43769</v>
      </c>
      <c r="C102" s="9" t="s">
        <v>69</v>
      </c>
      <c r="D102" s="11"/>
      <c r="E102" s="11"/>
      <c r="F102" s="11"/>
      <c r="G102" s="11">
        <v>54</v>
      </c>
      <c r="H102" s="11"/>
      <c r="I102" s="15"/>
      <c r="J102" s="12">
        <f t="shared" si="4"/>
        <v>18440.849999999999</v>
      </c>
      <c r="K102" s="12">
        <f t="shared" si="5"/>
        <v>9755.0599999999977</v>
      </c>
    </row>
    <row r="103" spans="1:11" x14ac:dyDescent="0.25">
      <c r="A103" s="132"/>
      <c r="B103" s="18">
        <v>43769</v>
      </c>
      <c r="C103" s="13" t="s">
        <v>70</v>
      </c>
      <c r="D103" s="11"/>
      <c r="E103" s="11"/>
      <c r="F103" s="11"/>
      <c r="G103" s="11">
        <v>8.64</v>
      </c>
      <c r="H103" s="11"/>
      <c r="I103" s="15"/>
      <c r="J103" s="12">
        <f t="shared" si="4"/>
        <v>18432.21</v>
      </c>
      <c r="K103" s="12">
        <f t="shared" si="5"/>
        <v>9755.0599999999977</v>
      </c>
    </row>
    <row r="104" spans="1:11" ht="15.75" thickBot="1" x14ac:dyDescent="0.3">
      <c r="A104" s="132"/>
      <c r="B104" s="18"/>
      <c r="C104" s="123"/>
      <c r="D104" s="139"/>
      <c r="E104" s="140"/>
      <c r="F104" s="138"/>
      <c r="G104" s="11"/>
      <c r="H104" s="11"/>
      <c r="I104" s="15"/>
      <c r="J104" s="12">
        <f t="shared" si="4"/>
        <v>18432.21</v>
      </c>
      <c r="K104" s="12">
        <f t="shared" si="5"/>
        <v>9755.0599999999977</v>
      </c>
    </row>
    <row r="105" spans="1:11" ht="15.75" thickBot="1" x14ac:dyDescent="0.3">
      <c r="B105" s="5"/>
      <c r="C105" s="120" t="s">
        <v>0</v>
      </c>
      <c r="D105" s="62">
        <f>SUM(D55:D104)</f>
        <v>124450</v>
      </c>
      <c r="E105" s="61">
        <f>SUM(E55:E104)</f>
        <v>19760.75</v>
      </c>
      <c r="F105" s="71">
        <f>SUM(D105:E105)</f>
        <v>144210.75</v>
      </c>
      <c r="G105" s="80">
        <f>SUM(G55:G104)</f>
        <v>23454.639999999999</v>
      </c>
      <c r="H105" s="62">
        <f>SUM(H55:H104)</f>
        <v>123641.04999999999</v>
      </c>
      <c r="I105" s="71">
        <f>SUM(G105:H105)</f>
        <v>147095.69</v>
      </c>
      <c r="J105" s="20"/>
      <c r="K105" s="20"/>
    </row>
    <row r="106" spans="1:11" ht="15.75" thickBot="1" x14ac:dyDescent="0.3">
      <c r="B106" s="144"/>
      <c r="C106" s="148"/>
      <c r="D106" s="147"/>
      <c r="E106" s="130"/>
      <c r="F106" s="130"/>
    </row>
    <row r="107" spans="1:11" ht="15.75" thickBot="1" x14ac:dyDescent="0.3">
      <c r="B107" s="145"/>
      <c r="C107" s="149"/>
      <c r="D107" s="147"/>
      <c r="E107" s="147"/>
      <c r="F107" s="147"/>
      <c r="I107" s="74" t="s">
        <v>8</v>
      </c>
      <c r="J107" s="74" t="s">
        <v>7</v>
      </c>
      <c r="K107" s="95" t="s">
        <v>0</v>
      </c>
    </row>
    <row r="108" spans="1:11" ht="15.75" thickBot="1" x14ac:dyDescent="0.3">
      <c r="B108" s="145"/>
      <c r="C108" s="149"/>
      <c r="D108" s="147"/>
      <c r="E108" s="147"/>
      <c r="F108" s="147"/>
      <c r="I108" s="77">
        <v>18432.21</v>
      </c>
      <c r="J108" s="77">
        <v>9755.06</v>
      </c>
      <c r="K108" s="20">
        <f>SUM(I108:J108)</f>
        <v>28187.269999999997</v>
      </c>
    </row>
    <row r="109" spans="1:11" ht="15.75" thickBot="1" x14ac:dyDescent="0.3">
      <c r="D109" s="74" t="s">
        <v>22</v>
      </c>
      <c r="E109" s="74" t="s">
        <v>902</v>
      </c>
      <c r="F109" s="74" t="s">
        <v>0</v>
      </c>
    </row>
    <row r="110" spans="1:11" ht="15.75" thickBot="1" x14ac:dyDescent="0.3">
      <c r="B110" s="144"/>
      <c r="C110" s="142" t="s">
        <v>899</v>
      </c>
      <c r="D110" s="20">
        <v>31072.21</v>
      </c>
      <c r="G110" s="1"/>
    </row>
    <row r="111" spans="1:11" ht="15.75" thickBot="1" x14ac:dyDescent="0.3">
      <c r="B111" s="145"/>
      <c r="C111" s="77" t="s">
        <v>901</v>
      </c>
      <c r="D111" s="20">
        <v>124450</v>
      </c>
      <c r="E111" s="20">
        <v>23454.639999999999</v>
      </c>
      <c r="F111" s="147"/>
    </row>
    <row r="112" spans="1:11" ht="15.75" thickBot="1" x14ac:dyDescent="0.3">
      <c r="B112" s="145"/>
      <c r="C112" s="146" t="s">
        <v>900</v>
      </c>
      <c r="D112" s="20">
        <v>19760.75</v>
      </c>
      <c r="E112" s="20">
        <v>123641.05</v>
      </c>
      <c r="F112" s="147"/>
    </row>
    <row r="113" spans="3:6" ht="15.75" thickBot="1" x14ac:dyDescent="0.3">
      <c r="C113" s="143"/>
      <c r="D113" s="20">
        <f>SUM(D110:D112)</f>
        <v>175282.96</v>
      </c>
      <c r="E113" s="20">
        <f>SUM(E111:E112)</f>
        <v>147095.69</v>
      </c>
      <c r="F113" s="20">
        <f>SUM(D113-E113)</f>
        <v>28187.26999999999</v>
      </c>
    </row>
  </sheetData>
  <printOptions verticalCentered="1"/>
  <pageMargins left="0.23622047244094491" right="0.23622047244094491" top="0" bottom="5.2755905511811028" header="0.31496062992125984" footer="0.31496062992125984"/>
  <pageSetup scale="67" fitToHeight="0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L130"/>
  <sheetViews>
    <sheetView zoomScale="80" zoomScaleNormal="80" workbookViewId="0">
      <pane ySplit="3" topLeftCell="A99" activePane="bottomLeft" state="frozen"/>
      <selection pane="bottomLeft" activeCell="C101" sqref="C101"/>
    </sheetView>
  </sheetViews>
  <sheetFormatPr baseColWidth="10" defaultRowHeight="15" x14ac:dyDescent="0.25"/>
  <cols>
    <col min="1" max="1" width="3.7109375" customWidth="1"/>
    <col min="2" max="2" width="16.42578125" customWidth="1"/>
    <col min="3" max="3" width="102.28515625" customWidth="1"/>
    <col min="4" max="6" width="13.7109375" customWidth="1"/>
    <col min="7" max="9" width="13.5703125" customWidth="1"/>
    <col min="10" max="11" width="13.7109375" customWidth="1"/>
    <col min="12" max="12" width="16.140625" customWidth="1"/>
  </cols>
  <sheetData>
    <row r="1" spans="1:12" ht="19.5" thickBot="1" x14ac:dyDescent="0.35">
      <c r="A1" s="151"/>
      <c r="B1" s="152"/>
      <c r="C1" s="153" t="s">
        <v>55</v>
      </c>
      <c r="D1" s="151"/>
      <c r="E1" s="151"/>
      <c r="F1" s="151"/>
      <c r="G1" s="151"/>
      <c r="H1" s="151"/>
      <c r="I1" s="151"/>
      <c r="J1" s="151"/>
      <c r="K1" s="151"/>
    </row>
    <row r="2" spans="1:12" ht="18.75" x14ac:dyDescent="0.3">
      <c r="A2" s="151"/>
      <c r="B2" s="154" t="s">
        <v>1</v>
      </c>
      <c r="C2" s="154" t="s">
        <v>2</v>
      </c>
      <c r="D2" s="154" t="s">
        <v>3</v>
      </c>
      <c r="E2" s="154" t="s">
        <v>3</v>
      </c>
      <c r="F2" s="154" t="s">
        <v>22</v>
      </c>
      <c r="G2" s="154" t="s">
        <v>23</v>
      </c>
      <c r="H2" s="155" t="s">
        <v>23</v>
      </c>
      <c r="I2" s="155" t="s">
        <v>22</v>
      </c>
      <c r="J2" s="154" t="s">
        <v>8</v>
      </c>
      <c r="K2" s="155" t="s">
        <v>7</v>
      </c>
    </row>
    <row r="3" spans="1:12" ht="19.5" thickBot="1" x14ac:dyDescent="0.35">
      <c r="A3" s="151"/>
      <c r="B3" s="156"/>
      <c r="C3" s="156"/>
      <c r="D3" s="156" t="s">
        <v>5</v>
      </c>
      <c r="E3" s="156" t="s">
        <v>24</v>
      </c>
      <c r="F3" s="156" t="s">
        <v>3</v>
      </c>
      <c r="G3" s="156" t="s">
        <v>24</v>
      </c>
      <c r="H3" s="157" t="s">
        <v>5</v>
      </c>
      <c r="I3" s="157" t="s">
        <v>4</v>
      </c>
      <c r="J3" s="156"/>
      <c r="K3" s="157"/>
    </row>
    <row r="4" spans="1:12" ht="19.5" thickBot="1" x14ac:dyDescent="0.35">
      <c r="A4" s="151"/>
      <c r="B4" s="158">
        <v>43769</v>
      </c>
      <c r="C4" s="159" t="s">
        <v>905</v>
      </c>
      <c r="D4" s="160"/>
      <c r="E4" s="161"/>
      <c r="F4" s="161"/>
      <c r="G4" s="161"/>
      <c r="H4" s="162"/>
      <c r="I4" s="163"/>
      <c r="J4" s="164">
        <v>18432.21</v>
      </c>
      <c r="K4" s="165">
        <v>9755.06</v>
      </c>
      <c r="L4" s="20"/>
    </row>
    <row r="5" spans="1:12" ht="18.75" x14ac:dyDescent="0.3">
      <c r="A5" s="166">
        <v>1</v>
      </c>
      <c r="B5" s="158">
        <v>43770</v>
      </c>
      <c r="C5" s="167" t="s">
        <v>906</v>
      </c>
      <c r="D5" s="168"/>
      <c r="E5" s="168"/>
      <c r="F5" s="168"/>
      <c r="G5" s="168"/>
      <c r="H5" s="168">
        <v>449.1</v>
      </c>
      <c r="I5" s="169"/>
      <c r="J5" s="170">
        <f>+J4+E5-G5</f>
        <v>18432.21</v>
      </c>
      <c r="K5" s="170">
        <f>+K4+D5-H5</f>
        <v>9305.9599999999991</v>
      </c>
      <c r="L5" s="57"/>
    </row>
    <row r="6" spans="1:12" ht="18.75" x14ac:dyDescent="0.3">
      <c r="A6" s="166">
        <v>2</v>
      </c>
      <c r="B6" s="158">
        <v>43770</v>
      </c>
      <c r="C6" s="171" t="s">
        <v>928</v>
      </c>
      <c r="D6" s="168"/>
      <c r="E6" s="168"/>
      <c r="F6" s="168"/>
      <c r="G6" s="168"/>
      <c r="H6" s="168">
        <v>92.44</v>
      </c>
      <c r="I6" s="169"/>
      <c r="J6" s="170">
        <f t="shared" ref="J6:J50" si="0">+J5+E6-G6</f>
        <v>18432.21</v>
      </c>
      <c r="K6" s="170">
        <f t="shared" ref="K6:K50" si="1">+K5+D6-H6</f>
        <v>9213.5199999999986</v>
      </c>
    </row>
    <row r="7" spans="1:12" ht="18.75" x14ac:dyDescent="0.3">
      <c r="A7" s="166">
        <v>3</v>
      </c>
      <c r="B7" s="172">
        <v>43770</v>
      </c>
      <c r="C7" s="167" t="s">
        <v>907</v>
      </c>
      <c r="D7" s="168"/>
      <c r="E7" s="168"/>
      <c r="F7" s="168"/>
      <c r="G7" s="168"/>
      <c r="H7" s="173">
        <v>82</v>
      </c>
      <c r="I7" s="169"/>
      <c r="J7" s="170">
        <f t="shared" si="0"/>
        <v>18432.21</v>
      </c>
      <c r="K7" s="170">
        <f t="shared" si="1"/>
        <v>9131.5199999999986</v>
      </c>
    </row>
    <row r="8" spans="1:12" ht="18.75" x14ac:dyDescent="0.3">
      <c r="A8" s="166">
        <v>4</v>
      </c>
      <c r="B8" s="172">
        <v>43770</v>
      </c>
      <c r="C8" s="171" t="s">
        <v>972</v>
      </c>
      <c r="D8" s="168"/>
      <c r="E8" s="168"/>
      <c r="F8" s="168"/>
      <c r="G8" s="168"/>
      <c r="H8" s="168">
        <v>58.7</v>
      </c>
      <c r="I8" s="169"/>
      <c r="J8" s="170">
        <f t="shared" si="0"/>
        <v>18432.21</v>
      </c>
      <c r="K8" s="170">
        <f t="shared" si="1"/>
        <v>9072.8199999999979</v>
      </c>
    </row>
    <row r="9" spans="1:12" ht="18.75" x14ac:dyDescent="0.3">
      <c r="A9" s="166">
        <v>5</v>
      </c>
      <c r="B9" s="172">
        <v>43770</v>
      </c>
      <c r="C9" s="167" t="s">
        <v>908</v>
      </c>
      <c r="D9" s="168"/>
      <c r="E9" s="168"/>
      <c r="F9" s="168"/>
      <c r="G9" s="168"/>
      <c r="H9" s="173">
        <v>1200</v>
      </c>
      <c r="I9" s="169"/>
      <c r="J9" s="170">
        <f t="shared" si="0"/>
        <v>18432.21</v>
      </c>
      <c r="K9" s="170">
        <f t="shared" si="1"/>
        <v>7872.8199999999979</v>
      </c>
    </row>
    <row r="10" spans="1:12" ht="18.75" x14ac:dyDescent="0.3">
      <c r="A10" s="166">
        <v>6</v>
      </c>
      <c r="B10" s="172">
        <v>43770</v>
      </c>
      <c r="C10" s="167" t="s">
        <v>909</v>
      </c>
      <c r="D10" s="168"/>
      <c r="E10" s="168"/>
      <c r="F10" s="168"/>
      <c r="G10" s="168"/>
      <c r="H10" s="168">
        <v>1021.5</v>
      </c>
      <c r="I10" s="169"/>
      <c r="J10" s="170">
        <f t="shared" si="0"/>
        <v>18432.21</v>
      </c>
      <c r="K10" s="170">
        <f t="shared" si="1"/>
        <v>6851.3199999999979</v>
      </c>
    </row>
    <row r="11" spans="1:12" ht="18.75" x14ac:dyDescent="0.3">
      <c r="A11" s="166">
        <v>7</v>
      </c>
      <c r="B11" s="172">
        <v>43771</v>
      </c>
      <c r="C11" s="167" t="s">
        <v>869</v>
      </c>
      <c r="D11" s="168"/>
      <c r="E11" s="168"/>
      <c r="F11" s="168"/>
      <c r="G11" s="168"/>
      <c r="H11" s="168">
        <v>538.75</v>
      </c>
      <c r="I11" s="169"/>
      <c r="J11" s="170">
        <f t="shared" si="0"/>
        <v>18432.21</v>
      </c>
      <c r="K11" s="170">
        <f t="shared" si="1"/>
        <v>6312.5699999999979</v>
      </c>
    </row>
    <row r="12" spans="1:12" ht="18.75" x14ac:dyDescent="0.3">
      <c r="A12" s="166">
        <v>8</v>
      </c>
      <c r="B12" s="172">
        <v>43771</v>
      </c>
      <c r="C12" s="167" t="s">
        <v>910</v>
      </c>
      <c r="D12" s="168"/>
      <c r="E12" s="168"/>
      <c r="F12" s="168"/>
      <c r="G12" s="168"/>
      <c r="H12" s="168">
        <v>15</v>
      </c>
      <c r="I12" s="169"/>
      <c r="J12" s="170">
        <f t="shared" si="0"/>
        <v>18432.21</v>
      </c>
      <c r="K12" s="170">
        <f t="shared" si="1"/>
        <v>6297.5699999999979</v>
      </c>
    </row>
    <row r="13" spans="1:12" ht="18.75" x14ac:dyDescent="0.3">
      <c r="A13" s="166">
        <v>9</v>
      </c>
      <c r="B13" s="172">
        <v>43771</v>
      </c>
      <c r="C13" s="167" t="s">
        <v>911</v>
      </c>
      <c r="D13" s="168"/>
      <c r="E13" s="168"/>
      <c r="F13" s="168"/>
      <c r="G13" s="168"/>
      <c r="H13" s="173">
        <v>390</v>
      </c>
      <c r="I13" s="169"/>
      <c r="J13" s="170">
        <f t="shared" si="0"/>
        <v>18432.21</v>
      </c>
      <c r="K13" s="170">
        <f t="shared" si="1"/>
        <v>5907.5699999999979</v>
      </c>
    </row>
    <row r="14" spans="1:12" ht="18.75" x14ac:dyDescent="0.3">
      <c r="A14" s="166">
        <v>10</v>
      </c>
      <c r="B14" s="172">
        <v>43771</v>
      </c>
      <c r="C14" s="167" t="s">
        <v>912</v>
      </c>
      <c r="D14" s="168"/>
      <c r="E14" s="168"/>
      <c r="F14" s="168"/>
      <c r="G14" s="168"/>
      <c r="H14" s="168">
        <v>145</v>
      </c>
      <c r="I14" s="169"/>
      <c r="J14" s="170">
        <f t="shared" si="0"/>
        <v>18432.21</v>
      </c>
      <c r="K14" s="170">
        <f t="shared" si="1"/>
        <v>5762.5699999999979</v>
      </c>
    </row>
    <row r="15" spans="1:12" ht="18.75" x14ac:dyDescent="0.3">
      <c r="A15" s="166">
        <v>11</v>
      </c>
      <c r="B15" s="172">
        <v>43771</v>
      </c>
      <c r="C15" s="167" t="s">
        <v>913</v>
      </c>
      <c r="D15" s="168"/>
      <c r="E15" s="168"/>
      <c r="F15" s="168"/>
      <c r="G15" s="168"/>
      <c r="H15" s="173">
        <v>147</v>
      </c>
      <c r="I15" s="169"/>
      <c r="J15" s="170">
        <f t="shared" si="0"/>
        <v>18432.21</v>
      </c>
      <c r="K15" s="170">
        <f t="shared" si="1"/>
        <v>5615.5699999999979</v>
      </c>
    </row>
    <row r="16" spans="1:12" ht="18.75" x14ac:dyDescent="0.3">
      <c r="A16" s="166"/>
      <c r="B16" s="172">
        <v>43772</v>
      </c>
      <c r="C16" s="167" t="s">
        <v>932</v>
      </c>
      <c r="D16" s="168"/>
      <c r="E16" s="168">
        <v>400</v>
      </c>
      <c r="F16" s="168"/>
      <c r="G16" s="168"/>
      <c r="H16" s="168"/>
      <c r="I16" s="169"/>
      <c r="J16" s="170">
        <f t="shared" si="0"/>
        <v>18832.21</v>
      </c>
      <c r="K16" s="170">
        <f t="shared" si="1"/>
        <v>5615.5699999999979</v>
      </c>
    </row>
    <row r="17" spans="1:11" ht="18.75" x14ac:dyDescent="0.3">
      <c r="A17" s="166">
        <v>12</v>
      </c>
      <c r="B17" s="172">
        <v>43771</v>
      </c>
      <c r="C17" s="167" t="s">
        <v>914</v>
      </c>
      <c r="D17" s="168"/>
      <c r="E17" s="168"/>
      <c r="F17" s="168"/>
      <c r="G17" s="168"/>
      <c r="H17" s="168">
        <v>1300</v>
      </c>
      <c r="I17" s="169"/>
      <c r="J17" s="170">
        <f t="shared" si="0"/>
        <v>18832.21</v>
      </c>
      <c r="K17" s="170">
        <f t="shared" si="1"/>
        <v>4315.5699999999979</v>
      </c>
    </row>
    <row r="18" spans="1:11" ht="18.75" x14ac:dyDescent="0.3">
      <c r="A18" s="166">
        <v>13</v>
      </c>
      <c r="B18" s="172">
        <v>43771</v>
      </c>
      <c r="C18" s="167" t="s">
        <v>915</v>
      </c>
      <c r="D18" s="168"/>
      <c r="E18" s="168"/>
      <c r="F18" s="168"/>
      <c r="G18" s="168"/>
      <c r="H18" s="168">
        <v>100</v>
      </c>
      <c r="I18" s="169"/>
      <c r="J18" s="170">
        <f t="shared" si="0"/>
        <v>18832.21</v>
      </c>
      <c r="K18" s="170">
        <f t="shared" si="1"/>
        <v>4215.5699999999979</v>
      </c>
    </row>
    <row r="19" spans="1:11" ht="18.75" x14ac:dyDescent="0.3">
      <c r="A19" s="166"/>
      <c r="B19" s="172">
        <v>43772</v>
      </c>
      <c r="C19" s="174" t="s">
        <v>925</v>
      </c>
      <c r="D19" s="168">
        <v>41000</v>
      </c>
      <c r="E19" s="168"/>
      <c r="F19" s="168"/>
      <c r="G19" s="168"/>
      <c r="H19" s="168"/>
      <c r="I19" s="169"/>
      <c r="J19" s="170">
        <f t="shared" si="0"/>
        <v>18832.21</v>
      </c>
      <c r="K19" s="170">
        <f t="shared" si="1"/>
        <v>45215.57</v>
      </c>
    </row>
    <row r="20" spans="1:11" ht="18.75" x14ac:dyDescent="0.3">
      <c r="A20" s="166"/>
      <c r="B20" s="172">
        <v>43773</v>
      </c>
      <c r="C20" s="175" t="s">
        <v>931</v>
      </c>
      <c r="D20" s="168"/>
      <c r="E20" s="168">
        <v>400.46</v>
      </c>
      <c r="F20" s="168"/>
      <c r="G20" s="168"/>
      <c r="H20" s="168"/>
      <c r="I20" s="169"/>
      <c r="J20" s="170">
        <f t="shared" si="0"/>
        <v>19232.669999999998</v>
      </c>
      <c r="K20" s="170">
        <f t="shared" si="1"/>
        <v>45215.57</v>
      </c>
    </row>
    <row r="21" spans="1:11" ht="18.75" x14ac:dyDescent="0.3">
      <c r="A21" s="166">
        <v>14</v>
      </c>
      <c r="B21" s="172">
        <v>43773</v>
      </c>
      <c r="C21" s="174" t="s">
        <v>916</v>
      </c>
      <c r="D21" s="168"/>
      <c r="E21" s="168"/>
      <c r="F21" s="168"/>
      <c r="G21" s="168"/>
      <c r="H21" s="168">
        <v>300</v>
      </c>
      <c r="I21" s="169"/>
      <c r="J21" s="170">
        <f t="shared" si="0"/>
        <v>19232.669999999998</v>
      </c>
      <c r="K21" s="170">
        <f t="shared" si="1"/>
        <v>44915.57</v>
      </c>
    </row>
    <row r="22" spans="1:11" ht="18.75" x14ac:dyDescent="0.3">
      <c r="A22" s="166">
        <v>15</v>
      </c>
      <c r="B22" s="172">
        <v>43773</v>
      </c>
      <c r="C22" s="167" t="s">
        <v>917</v>
      </c>
      <c r="D22" s="168"/>
      <c r="E22" s="168"/>
      <c r="F22" s="168"/>
      <c r="G22" s="168"/>
      <c r="H22" s="168">
        <v>48</v>
      </c>
      <c r="I22" s="169"/>
      <c r="J22" s="170">
        <f t="shared" si="0"/>
        <v>19232.669999999998</v>
      </c>
      <c r="K22" s="170">
        <f t="shared" si="1"/>
        <v>44867.57</v>
      </c>
    </row>
    <row r="23" spans="1:11" ht="18.75" x14ac:dyDescent="0.3">
      <c r="A23" s="166">
        <v>16</v>
      </c>
      <c r="B23" s="172">
        <v>43773</v>
      </c>
      <c r="C23" s="167" t="s">
        <v>918</v>
      </c>
      <c r="D23" s="168"/>
      <c r="E23" s="168"/>
      <c r="F23" s="168"/>
      <c r="G23" s="168"/>
      <c r="H23" s="168">
        <v>78</v>
      </c>
      <c r="I23" s="169"/>
      <c r="J23" s="170">
        <f t="shared" si="0"/>
        <v>19232.669999999998</v>
      </c>
      <c r="K23" s="170">
        <f t="shared" si="1"/>
        <v>44789.57</v>
      </c>
    </row>
    <row r="24" spans="1:11" ht="18.75" x14ac:dyDescent="0.3">
      <c r="A24" s="166">
        <v>17</v>
      </c>
      <c r="B24" s="172">
        <v>43773</v>
      </c>
      <c r="C24" s="167" t="s">
        <v>973</v>
      </c>
      <c r="D24" s="168"/>
      <c r="E24" s="168"/>
      <c r="F24" s="168"/>
      <c r="G24" s="168"/>
      <c r="H24" s="168">
        <v>1440.36</v>
      </c>
      <c r="I24" s="169"/>
      <c r="J24" s="170">
        <f t="shared" si="0"/>
        <v>19232.669999999998</v>
      </c>
      <c r="K24" s="170">
        <f t="shared" si="1"/>
        <v>43349.21</v>
      </c>
    </row>
    <row r="25" spans="1:11" ht="18.75" x14ac:dyDescent="0.3">
      <c r="A25" s="166">
        <v>18</v>
      </c>
      <c r="B25" s="172">
        <v>43774</v>
      </c>
      <c r="C25" s="167" t="s">
        <v>974</v>
      </c>
      <c r="D25" s="168"/>
      <c r="E25" s="168"/>
      <c r="F25" s="168"/>
      <c r="G25" s="168"/>
      <c r="H25" s="173">
        <v>40.619999999999997</v>
      </c>
      <c r="I25" s="169"/>
      <c r="J25" s="170">
        <f t="shared" si="0"/>
        <v>19232.669999999998</v>
      </c>
      <c r="K25" s="170">
        <f t="shared" si="1"/>
        <v>43308.59</v>
      </c>
    </row>
    <row r="26" spans="1:11" ht="18.75" x14ac:dyDescent="0.3">
      <c r="A26" s="166">
        <v>19</v>
      </c>
      <c r="B26" s="172">
        <v>43774</v>
      </c>
      <c r="C26" s="167" t="s">
        <v>919</v>
      </c>
      <c r="D26" s="168"/>
      <c r="E26" s="168"/>
      <c r="F26" s="168"/>
      <c r="G26" s="168"/>
      <c r="H26" s="173">
        <v>100</v>
      </c>
      <c r="I26" s="169"/>
      <c r="J26" s="170">
        <f t="shared" si="0"/>
        <v>19232.669999999998</v>
      </c>
      <c r="K26" s="170">
        <f t="shared" si="1"/>
        <v>43208.59</v>
      </c>
    </row>
    <row r="27" spans="1:11" ht="18.75" x14ac:dyDescent="0.3">
      <c r="A27" s="166">
        <v>20</v>
      </c>
      <c r="B27" s="172">
        <v>43774</v>
      </c>
      <c r="C27" s="167" t="s">
        <v>920</v>
      </c>
      <c r="D27" s="168"/>
      <c r="E27" s="168"/>
      <c r="F27" s="168"/>
      <c r="G27" s="168"/>
      <c r="H27" s="168">
        <v>400</v>
      </c>
      <c r="I27" s="169"/>
      <c r="J27" s="170">
        <f t="shared" si="0"/>
        <v>19232.669999999998</v>
      </c>
      <c r="K27" s="170">
        <f t="shared" si="1"/>
        <v>42808.59</v>
      </c>
    </row>
    <row r="28" spans="1:11" ht="18.75" x14ac:dyDescent="0.3">
      <c r="A28" s="166">
        <v>21</v>
      </c>
      <c r="B28" s="172">
        <v>43775</v>
      </c>
      <c r="C28" s="167" t="s">
        <v>921</v>
      </c>
      <c r="D28" s="168"/>
      <c r="E28" s="168"/>
      <c r="F28" s="168"/>
      <c r="G28" s="168"/>
      <c r="H28" s="168">
        <v>778</v>
      </c>
      <c r="I28" s="169"/>
      <c r="J28" s="170">
        <f t="shared" si="0"/>
        <v>19232.669999999998</v>
      </c>
      <c r="K28" s="170">
        <f t="shared" si="1"/>
        <v>42030.59</v>
      </c>
    </row>
    <row r="29" spans="1:11" ht="18.75" x14ac:dyDescent="0.3">
      <c r="A29" s="166">
        <v>22</v>
      </c>
      <c r="B29" s="172">
        <v>43776</v>
      </c>
      <c r="C29" s="167" t="s">
        <v>922</v>
      </c>
      <c r="D29" s="168"/>
      <c r="E29" s="168"/>
      <c r="F29" s="168"/>
      <c r="G29" s="168"/>
      <c r="H29" s="168">
        <v>480</v>
      </c>
      <c r="I29" s="169"/>
      <c r="J29" s="170">
        <f t="shared" si="0"/>
        <v>19232.669999999998</v>
      </c>
      <c r="K29" s="170">
        <f t="shared" si="1"/>
        <v>41550.589999999997</v>
      </c>
    </row>
    <row r="30" spans="1:11" ht="18.75" x14ac:dyDescent="0.3">
      <c r="A30" s="166">
        <v>23</v>
      </c>
      <c r="B30" s="172">
        <v>43776</v>
      </c>
      <c r="C30" s="167" t="s">
        <v>982</v>
      </c>
      <c r="D30" s="168"/>
      <c r="E30" s="168"/>
      <c r="F30" s="168"/>
      <c r="G30" s="168"/>
      <c r="H30" s="168">
        <v>206</v>
      </c>
      <c r="I30" s="169"/>
      <c r="J30" s="170">
        <f t="shared" si="0"/>
        <v>19232.669999999998</v>
      </c>
      <c r="K30" s="170">
        <f t="shared" si="1"/>
        <v>41344.589999999997</v>
      </c>
    </row>
    <row r="31" spans="1:11" ht="18.75" x14ac:dyDescent="0.3">
      <c r="A31" s="166">
        <v>24</v>
      </c>
      <c r="B31" s="172">
        <v>43777</v>
      </c>
      <c r="C31" s="167" t="s">
        <v>923</v>
      </c>
      <c r="D31" s="168"/>
      <c r="E31" s="168"/>
      <c r="F31" s="168"/>
      <c r="G31" s="168"/>
      <c r="H31" s="168">
        <v>2800</v>
      </c>
      <c r="I31" s="169"/>
      <c r="J31" s="170">
        <f t="shared" si="0"/>
        <v>19232.669999999998</v>
      </c>
      <c r="K31" s="170">
        <f t="shared" si="1"/>
        <v>38544.589999999997</v>
      </c>
    </row>
    <row r="32" spans="1:11" ht="18.75" x14ac:dyDescent="0.3">
      <c r="A32" s="166">
        <v>25</v>
      </c>
      <c r="B32" s="172">
        <v>43778</v>
      </c>
      <c r="C32" s="167" t="s">
        <v>983</v>
      </c>
      <c r="D32" s="168"/>
      <c r="E32" s="168"/>
      <c r="F32" s="168"/>
      <c r="G32" s="168"/>
      <c r="H32" s="168">
        <v>200</v>
      </c>
      <c r="I32" s="169"/>
      <c r="J32" s="170">
        <f t="shared" si="0"/>
        <v>19232.669999999998</v>
      </c>
      <c r="K32" s="170">
        <f t="shared" si="1"/>
        <v>38344.589999999997</v>
      </c>
    </row>
    <row r="33" spans="1:12" ht="18.75" x14ac:dyDescent="0.3">
      <c r="A33" s="166">
        <v>26</v>
      </c>
      <c r="B33" s="172">
        <v>43778</v>
      </c>
      <c r="C33" s="167" t="s">
        <v>924</v>
      </c>
      <c r="D33" s="168"/>
      <c r="E33" s="168"/>
      <c r="F33" s="168"/>
      <c r="G33" s="168"/>
      <c r="H33" s="168">
        <v>250</v>
      </c>
      <c r="I33" s="169"/>
      <c r="J33" s="170">
        <f t="shared" si="0"/>
        <v>19232.669999999998</v>
      </c>
      <c r="K33" s="170">
        <f t="shared" si="1"/>
        <v>38094.589999999997</v>
      </c>
    </row>
    <row r="34" spans="1:12" ht="18.75" x14ac:dyDescent="0.3">
      <c r="A34" s="166">
        <v>27</v>
      </c>
      <c r="B34" s="172">
        <v>43779</v>
      </c>
      <c r="C34" s="167" t="s">
        <v>915</v>
      </c>
      <c r="D34" s="168"/>
      <c r="E34" s="168"/>
      <c r="F34" s="168"/>
      <c r="G34" s="168"/>
      <c r="H34" s="173">
        <v>100</v>
      </c>
      <c r="I34" s="169"/>
      <c r="J34" s="170">
        <f t="shared" si="0"/>
        <v>19232.669999999998</v>
      </c>
      <c r="K34" s="170">
        <f t="shared" si="1"/>
        <v>37994.589999999997</v>
      </c>
    </row>
    <row r="35" spans="1:12" ht="18.75" x14ac:dyDescent="0.3">
      <c r="A35" s="166"/>
      <c r="B35" s="172">
        <v>43779</v>
      </c>
      <c r="C35" s="174" t="s">
        <v>930</v>
      </c>
      <c r="D35" s="168">
        <v>56400</v>
      </c>
      <c r="E35" s="168"/>
      <c r="F35" s="168"/>
      <c r="G35" s="168"/>
      <c r="H35" s="168"/>
      <c r="I35" s="169"/>
      <c r="J35" s="170">
        <f t="shared" si="0"/>
        <v>19232.669999999998</v>
      </c>
      <c r="K35" s="170">
        <f t="shared" si="1"/>
        <v>94394.59</v>
      </c>
    </row>
    <row r="36" spans="1:12" ht="18.75" x14ac:dyDescent="0.3">
      <c r="A36" s="166">
        <v>28</v>
      </c>
      <c r="B36" s="172">
        <v>43780</v>
      </c>
      <c r="C36" s="167" t="s">
        <v>926</v>
      </c>
      <c r="D36" s="168"/>
      <c r="E36" s="168"/>
      <c r="F36" s="168"/>
      <c r="G36" s="168"/>
      <c r="H36" s="168">
        <v>450</v>
      </c>
      <c r="I36" s="169"/>
      <c r="J36" s="170">
        <f t="shared" si="0"/>
        <v>19232.669999999998</v>
      </c>
      <c r="K36" s="170">
        <f t="shared" si="1"/>
        <v>93944.59</v>
      </c>
    </row>
    <row r="37" spans="1:12" ht="18.75" x14ac:dyDescent="0.3">
      <c r="A37" s="166">
        <v>29</v>
      </c>
      <c r="B37" s="172">
        <v>43781</v>
      </c>
      <c r="C37" s="167" t="s">
        <v>918</v>
      </c>
      <c r="D37" s="168"/>
      <c r="E37" s="168"/>
      <c r="F37" s="168"/>
      <c r="G37" s="168"/>
      <c r="H37" s="168">
        <v>156</v>
      </c>
      <c r="I37" s="169"/>
      <c r="J37" s="170">
        <f t="shared" si="0"/>
        <v>19232.669999999998</v>
      </c>
      <c r="K37" s="170">
        <f t="shared" si="1"/>
        <v>93788.59</v>
      </c>
    </row>
    <row r="38" spans="1:12" ht="18.75" x14ac:dyDescent="0.3">
      <c r="A38" s="166">
        <v>30</v>
      </c>
      <c r="B38" s="172">
        <v>43782</v>
      </c>
      <c r="C38" s="167" t="s">
        <v>947</v>
      </c>
      <c r="D38" s="168"/>
      <c r="E38" s="168"/>
      <c r="F38" s="168"/>
      <c r="G38" s="168">
        <v>10000</v>
      </c>
      <c r="H38" s="168"/>
      <c r="I38" s="169"/>
      <c r="J38" s="170">
        <f t="shared" si="0"/>
        <v>9232.6699999999983</v>
      </c>
      <c r="K38" s="170">
        <f t="shared" si="1"/>
        <v>93788.59</v>
      </c>
    </row>
    <row r="39" spans="1:12" ht="18.75" x14ac:dyDescent="0.3">
      <c r="A39" s="166">
        <v>31</v>
      </c>
      <c r="B39" s="172">
        <v>43782</v>
      </c>
      <c r="C39" s="167" t="s">
        <v>948</v>
      </c>
      <c r="D39" s="168"/>
      <c r="E39" s="168"/>
      <c r="F39" s="168"/>
      <c r="G39" s="168"/>
      <c r="H39" s="168">
        <v>7000</v>
      </c>
      <c r="I39" s="169"/>
      <c r="J39" s="170">
        <f t="shared" si="0"/>
        <v>9232.6699999999983</v>
      </c>
      <c r="K39" s="170">
        <f t="shared" si="1"/>
        <v>86788.59</v>
      </c>
      <c r="L39" s="1"/>
    </row>
    <row r="40" spans="1:12" ht="18.75" x14ac:dyDescent="0.3">
      <c r="A40" s="166"/>
      <c r="B40" s="172">
        <v>43782</v>
      </c>
      <c r="C40" s="167" t="s">
        <v>933</v>
      </c>
      <c r="D40" s="168"/>
      <c r="E40" s="168">
        <v>400.15</v>
      </c>
      <c r="F40" s="168"/>
      <c r="G40" s="168"/>
      <c r="H40" s="168"/>
      <c r="I40" s="169"/>
      <c r="J40" s="170">
        <f t="shared" si="0"/>
        <v>9632.8199999999979</v>
      </c>
      <c r="K40" s="170">
        <f t="shared" si="1"/>
        <v>86788.59</v>
      </c>
    </row>
    <row r="41" spans="1:12" ht="18.75" x14ac:dyDescent="0.3">
      <c r="A41" s="166"/>
      <c r="B41" s="172">
        <v>43782</v>
      </c>
      <c r="C41" s="167" t="s">
        <v>934</v>
      </c>
      <c r="D41" s="168"/>
      <c r="E41" s="168">
        <v>1200</v>
      </c>
      <c r="F41" s="168"/>
      <c r="G41" s="168"/>
      <c r="H41" s="168"/>
      <c r="I41" s="169"/>
      <c r="J41" s="170">
        <f t="shared" si="0"/>
        <v>10832.819999999998</v>
      </c>
      <c r="K41" s="170">
        <f t="shared" si="1"/>
        <v>86788.59</v>
      </c>
    </row>
    <row r="42" spans="1:12" ht="18.75" x14ac:dyDescent="0.3">
      <c r="A42" s="166"/>
      <c r="B42" s="172">
        <v>43782</v>
      </c>
      <c r="C42" s="167" t="s">
        <v>935</v>
      </c>
      <c r="D42" s="168"/>
      <c r="E42" s="168">
        <v>800</v>
      </c>
      <c r="F42" s="168"/>
      <c r="G42" s="168"/>
      <c r="H42" s="168"/>
      <c r="I42" s="169"/>
      <c r="J42" s="170">
        <f t="shared" si="0"/>
        <v>11632.819999999998</v>
      </c>
      <c r="K42" s="170">
        <f t="shared" si="1"/>
        <v>86788.59</v>
      </c>
    </row>
    <row r="43" spans="1:12" ht="18.75" x14ac:dyDescent="0.3">
      <c r="A43" s="166">
        <v>32</v>
      </c>
      <c r="B43" s="172">
        <v>43782</v>
      </c>
      <c r="C43" s="167" t="s">
        <v>869</v>
      </c>
      <c r="D43" s="168"/>
      <c r="E43" s="168"/>
      <c r="F43" s="168"/>
      <c r="G43" s="168"/>
      <c r="H43" s="168">
        <v>1080.95</v>
      </c>
      <c r="I43" s="169"/>
      <c r="J43" s="170">
        <f t="shared" si="0"/>
        <v>11632.819999999998</v>
      </c>
      <c r="K43" s="170">
        <f t="shared" si="1"/>
        <v>85707.64</v>
      </c>
    </row>
    <row r="44" spans="1:12" ht="18.75" x14ac:dyDescent="0.3">
      <c r="A44" s="166">
        <v>33</v>
      </c>
      <c r="B44" s="172">
        <v>43782</v>
      </c>
      <c r="C44" s="167" t="s">
        <v>927</v>
      </c>
      <c r="D44" s="168"/>
      <c r="E44" s="168"/>
      <c r="F44" s="168"/>
      <c r="G44" s="168"/>
      <c r="H44" s="168">
        <v>71.23</v>
      </c>
      <c r="I44" s="169"/>
      <c r="J44" s="170">
        <f t="shared" si="0"/>
        <v>11632.819999999998</v>
      </c>
      <c r="K44" s="170">
        <f t="shared" si="1"/>
        <v>85636.41</v>
      </c>
      <c r="L44" s="1"/>
    </row>
    <row r="45" spans="1:12" ht="18.75" x14ac:dyDescent="0.3">
      <c r="A45" s="166">
        <v>34</v>
      </c>
      <c r="B45" s="172">
        <v>43782</v>
      </c>
      <c r="C45" s="167" t="s">
        <v>938</v>
      </c>
      <c r="D45" s="168"/>
      <c r="E45" s="168"/>
      <c r="F45" s="168"/>
      <c r="G45" s="168"/>
      <c r="H45" s="168">
        <v>1299</v>
      </c>
      <c r="I45" s="169"/>
      <c r="J45" s="170">
        <f t="shared" si="0"/>
        <v>11632.819999999998</v>
      </c>
      <c r="K45" s="170">
        <f t="shared" si="1"/>
        <v>84337.41</v>
      </c>
    </row>
    <row r="46" spans="1:12" ht="18.75" x14ac:dyDescent="0.3">
      <c r="A46" s="166">
        <v>35</v>
      </c>
      <c r="B46" s="172">
        <v>43783</v>
      </c>
      <c r="C46" s="167" t="s">
        <v>929</v>
      </c>
      <c r="D46" s="168"/>
      <c r="E46" s="168"/>
      <c r="F46" s="168"/>
      <c r="G46" s="168"/>
      <c r="H46" s="168">
        <v>183.51</v>
      </c>
      <c r="I46" s="169"/>
      <c r="J46" s="170">
        <f t="shared" si="0"/>
        <v>11632.819999999998</v>
      </c>
      <c r="K46" s="170">
        <f t="shared" si="1"/>
        <v>84153.900000000009</v>
      </c>
    </row>
    <row r="47" spans="1:12" ht="18.75" x14ac:dyDescent="0.3">
      <c r="A47" s="166">
        <v>36</v>
      </c>
      <c r="B47" s="172">
        <v>43784</v>
      </c>
      <c r="C47" s="174" t="s">
        <v>928</v>
      </c>
      <c r="D47" s="168"/>
      <c r="E47" s="168"/>
      <c r="F47" s="168"/>
      <c r="G47" s="168"/>
      <c r="H47" s="168">
        <v>178.27</v>
      </c>
      <c r="I47" s="169"/>
      <c r="J47" s="170">
        <f t="shared" si="0"/>
        <v>11632.819999999998</v>
      </c>
      <c r="K47" s="170">
        <f t="shared" si="1"/>
        <v>83975.63</v>
      </c>
    </row>
    <row r="48" spans="1:12" ht="18.75" x14ac:dyDescent="0.3">
      <c r="A48" s="166">
        <v>37</v>
      </c>
      <c r="B48" s="172">
        <v>43784</v>
      </c>
      <c r="C48" s="174" t="s">
        <v>939</v>
      </c>
      <c r="D48" s="168"/>
      <c r="E48" s="168"/>
      <c r="F48" s="168"/>
      <c r="G48" s="168"/>
      <c r="H48" s="168">
        <v>450</v>
      </c>
      <c r="I48" s="169"/>
      <c r="J48" s="170">
        <f t="shared" si="0"/>
        <v>11632.819999999998</v>
      </c>
      <c r="K48" s="170">
        <f t="shared" si="1"/>
        <v>83525.63</v>
      </c>
    </row>
    <row r="49" spans="1:12" ht="18.75" x14ac:dyDescent="0.3">
      <c r="A49" s="166">
        <v>38</v>
      </c>
      <c r="B49" s="176">
        <v>43784</v>
      </c>
      <c r="C49" s="177" t="s">
        <v>940</v>
      </c>
      <c r="D49" s="168"/>
      <c r="E49" s="168"/>
      <c r="F49" s="168"/>
      <c r="G49" s="168"/>
      <c r="H49" s="173">
        <v>350</v>
      </c>
      <c r="I49" s="169"/>
      <c r="J49" s="170">
        <f t="shared" si="0"/>
        <v>11632.819999999998</v>
      </c>
      <c r="K49" s="170">
        <f t="shared" si="1"/>
        <v>83175.63</v>
      </c>
    </row>
    <row r="50" spans="1:12" ht="19.5" thickBot="1" x14ac:dyDescent="0.35">
      <c r="A50" s="166">
        <v>39</v>
      </c>
      <c r="B50" s="176">
        <v>43784</v>
      </c>
      <c r="C50" s="177" t="s">
        <v>975</v>
      </c>
      <c r="D50" s="168"/>
      <c r="E50" s="168"/>
      <c r="F50" s="168"/>
      <c r="G50" s="168">
        <v>1760</v>
      </c>
      <c r="H50" s="173"/>
      <c r="I50" s="169"/>
      <c r="J50" s="170">
        <f t="shared" si="0"/>
        <v>9872.8199999999979</v>
      </c>
      <c r="K50" s="170">
        <f t="shared" si="1"/>
        <v>83175.63</v>
      </c>
    </row>
    <row r="51" spans="1:12" ht="19.5" thickBot="1" x14ac:dyDescent="0.35">
      <c r="A51" s="166"/>
      <c r="B51" s="204"/>
      <c r="C51" s="205" t="s">
        <v>0</v>
      </c>
      <c r="D51" s="180">
        <f>SUM(D4:D50)</f>
        <v>97400</v>
      </c>
      <c r="E51" s="180">
        <f>SUM(E4:E50)</f>
        <v>3200.61</v>
      </c>
      <c r="F51" s="182">
        <f>SUM(D51:E51)</f>
        <v>100600.61</v>
      </c>
      <c r="G51" s="183">
        <f>SUM(G4:G50)</f>
        <v>11760</v>
      </c>
      <c r="H51" s="180">
        <f>SUM(H4:H50)</f>
        <v>23979.43</v>
      </c>
      <c r="I51" s="182">
        <f>SUM(G51:H51)</f>
        <v>35739.43</v>
      </c>
      <c r="J51" s="184"/>
      <c r="K51" s="184"/>
    </row>
    <row r="52" spans="1:12" s="130" customFormat="1" ht="19.5" thickBot="1" x14ac:dyDescent="0.35">
      <c r="A52" s="198"/>
      <c r="B52" s="199"/>
      <c r="C52" s="200"/>
      <c r="D52" s="201"/>
      <c r="E52" s="201"/>
      <c r="F52" s="202"/>
      <c r="G52" s="203"/>
      <c r="H52" s="201"/>
      <c r="I52" s="202"/>
      <c r="J52" s="195"/>
      <c r="K52" s="195"/>
    </row>
    <row r="53" spans="1:12" ht="18.75" x14ac:dyDescent="0.3">
      <c r="A53" s="166"/>
      <c r="B53" s="154" t="s">
        <v>1</v>
      </c>
      <c r="C53" s="154" t="s">
        <v>2</v>
      </c>
      <c r="D53" s="154" t="s">
        <v>3</v>
      </c>
      <c r="E53" s="154" t="s">
        <v>3</v>
      </c>
      <c r="F53" s="154" t="s">
        <v>22</v>
      </c>
      <c r="G53" s="154" t="s">
        <v>23</v>
      </c>
      <c r="H53" s="155" t="s">
        <v>23</v>
      </c>
      <c r="I53" s="155" t="s">
        <v>22</v>
      </c>
      <c r="J53" s="154" t="s">
        <v>8</v>
      </c>
      <c r="K53" s="155" t="s">
        <v>7</v>
      </c>
    </row>
    <row r="54" spans="1:12" ht="19.5" thickBot="1" x14ac:dyDescent="0.35">
      <c r="A54" s="166"/>
      <c r="B54" s="156"/>
      <c r="C54" s="156"/>
      <c r="D54" s="156" t="s">
        <v>5</v>
      </c>
      <c r="E54" s="156" t="s">
        <v>24</v>
      </c>
      <c r="F54" s="156" t="s">
        <v>3</v>
      </c>
      <c r="G54" s="156" t="s">
        <v>24</v>
      </c>
      <c r="H54" s="157" t="s">
        <v>5</v>
      </c>
      <c r="I54" s="157" t="s">
        <v>4</v>
      </c>
      <c r="J54" s="156"/>
      <c r="K54" s="157"/>
    </row>
    <row r="55" spans="1:12" ht="19.5" thickBot="1" x14ac:dyDescent="0.35">
      <c r="A55" s="166"/>
      <c r="B55" s="178"/>
      <c r="C55" s="179"/>
      <c r="D55" s="180">
        <v>97400</v>
      </c>
      <c r="E55" s="181">
        <v>3200.61</v>
      </c>
      <c r="F55" s="182">
        <f>SUM(D55:E55)</f>
        <v>100600.61</v>
      </c>
      <c r="G55" s="183">
        <v>11760</v>
      </c>
      <c r="H55" s="180">
        <v>23979.43</v>
      </c>
      <c r="I55" s="182">
        <f>SUM(G55:H55)</f>
        <v>35739.43</v>
      </c>
      <c r="J55" s="184">
        <v>9872.82</v>
      </c>
      <c r="K55" s="170">
        <v>83175.63</v>
      </c>
    </row>
    <row r="56" spans="1:12" ht="18.75" x14ac:dyDescent="0.3">
      <c r="A56" s="166">
        <v>40</v>
      </c>
      <c r="B56" s="176">
        <v>43784</v>
      </c>
      <c r="C56" s="177" t="s">
        <v>936</v>
      </c>
      <c r="D56" s="168"/>
      <c r="E56" s="168"/>
      <c r="F56" s="168"/>
      <c r="G56" s="168">
        <v>1400</v>
      </c>
      <c r="H56" s="173"/>
      <c r="I56" s="169"/>
      <c r="J56" s="170">
        <f t="shared" ref="J56" si="2">+J55+E56-G56</f>
        <v>8472.82</v>
      </c>
      <c r="K56" s="170">
        <f t="shared" ref="K56:K61" si="3">+K55+D56-H56</f>
        <v>83175.63</v>
      </c>
    </row>
    <row r="57" spans="1:12" ht="18.75" x14ac:dyDescent="0.3">
      <c r="A57" s="166">
        <v>41</v>
      </c>
      <c r="B57" s="172">
        <v>43784</v>
      </c>
      <c r="C57" s="174" t="s">
        <v>981</v>
      </c>
      <c r="D57" s="168"/>
      <c r="E57" s="168"/>
      <c r="F57" s="168"/>
      <c r="G57" s="168"/>
      <c r="H57" s="168">
        <v>3000</v>
      </c>
      <c r="I57" s="169"/>
      <c r="J57" s="170">
        <f t="shared" ref="J57:J102" si="4">+J56+E57-G57</f>
        <v>8472.82</v>
      </c>
      <c r="K57" s="170">
        <f t="shared" si="3"/>
        <v>80175.63</v>
      </c>
      <c r="L57" s="1"/>
    </row>
    <row r="58" spans="1:12" ht="18.75" x14ac:dyDescent="0.3">
      <c r="A58" s="166">
        <v>42</v>
      </c>
      <c r="B58" s="172">
        <v>43784</v>
      </c>
      <c r="C58" s="174" t="s">
        <v>980</v>
      </c>
      <c r="D58" s="168"/>
      <c r="E58" s="168"/>
      <c r="F58" s="168"/>
      <c r="G58" s="168"/>
      <c r="H58" s="168">
        <v>6000</v>
      </c>
      <c r="I58" s="169"/>
      <c r="J58" s="170">
        <f t="shared" si="4"/>
        <v>8472.82</v>
      </c>
      <c r="K58" s="170">
        <f t="shared" si="3"/>
        <v>74175.63</v>
      </c>
    </row>
    <row r="59" spans="1:12" ht="18.75" x14ac:dyDescent="0.3">
      <c r="A59" s="166">
        <v>43</v>
      </c>
      <c r="B59" s="172">
        <v>43784</v>
      </c>
      <c r="C59" s="185" t="s">
        <v>941</v>
      </c>
      <c r="D59" s="168"/>
      <c r="E59" s="168"/>
      <c r="F59" s="168"/>
      <c r="G59" s="168"/>
      <c r="H59" s="173">
        <v>38250</v>
      </c>
      <c r="I59" s="169"/>
      <c r="J59" s="170">
        <f t="shared" si="4"/>
        <v>8472.82</v>
      </c>
      <c r="K59" s="170">
        <f t="shared" si="3"/>
        <v>35925.630000000005</v>
      </c>
    </row>
    <row r="60" spans="1:12" ht="18.75" x14ac:dyDescent="0.3">
      <c r="A60" s="166">
        <v>44</v>
      </c>
      <c r="B60" s="172">
        <v>43785</v>
      </c>
      <c r="C60" s="167" t="s">
        <v>944</v>
      </c>
      <c r="D60" s="168"/>
      <c r="E60" s="168"/>
      <c r="F60" s="168"/>
      <c r="G60" s="168"/>
      <c r="H60" s="173">
        <v>140</v>
      </c>
      <c r="I60" s="169"/>
      <c r="J60" s="170">
        <f t="shared" si="4"/>
        <v>8472.82</v>
      </c>
      <c r="K60" s="170">
        <f t="shared" si="3"/>
        <v>35785.630000000005</v>
      </c>
    </row>
    <row r="61" spans="1:12" ht="18.75" x14ac:dyDescent="0.3">
      <c r="A61" s="166">
        <v>45</v>
      </c>
      <c r="B61" s="172">
        <v>43786</v>
      </c>
      <c r="C61" s="167" t="s">
        <v>945</v>
      </c>
      <c r="D61" s="168"/>
      <c r="E61" s="168"/>
      <c r="F61" s="168"/>
      <c r="G61" s="168"/>
      <c r="H61" s="173">
        <v>200</v>
      </c>
      <c r="I61" s="169"/>
      <c r="J61" s="170">
        <f t="shared" si="4"/>
        <v>8472.82</v>
      </c>
      <c r="K61" s="170">
        <f t="shared" si="3"/>
        <v>35585.630000000005</v>
      </c>
    </row>
    <row r="62" spans="1:12" ht="18.75" x14ac:dyDescent="0.3">
      <c r="A62" s="166">
        <v>46</v>
      </c>
      <c r="B62" s="172">
        <v>43787</v>
      </c>
      <c r="C62" s="186" t="s">
        <v>946</v>
      </c>
      <c r="D62" s="168"/>
      <c r="E62" s="168"/>
      <c r="F62" s="168"/>
      <c r="G62" s="168"/>
      <c r="H62" s="173">
        <v>117</v>
      </c>
      <c r="I62" s="169"/>
      <c r="J62" s="170">
        <f t="shared" si="4"/>
        <v>8472.82</v>
      </c>
      <c r="K62" s="170">
        <f t="shared" ref="K62:K102" si="5">+K61+D62-H62</f>
        <v>35468.630000000005</v>
      </c>
    </row>
    <row r="63" spans="1:12" ht="18.75" x14ac:dyDescent="0.3">
      <c r="A63" s="166">
        <v>47</v>
      </c>
      <c r="B63" s="172">
        <v>43787</v>
      </c>
      <c r="C63" s="174" t="s">
        <v>949</v>
      </c>
      <c r="D63" s="168"/>
      <c r="E63" s="168"/>
      <c r="F63" s="168"/>
      <c r="G63" s="168"/>
      <c r="H63" s="168">
        <v>860.05</v>
      </c>
      <c r="I63" s="169"/>
      <c r="J63" s="170">
        <f t="shared" si="4"/>
        <v>8472.82</v>
      </c>
      <c r="K63" s="170">
        <f t="shared" si="5"/>
        <v>34608.58</v>
      </c>
    </row>
    <row r="64" spans="1:12" ht="18.75" x14ac:dyDescent="0.3">
      <c r="A64" s="166"/>
      <c r="B64" s="172">
        <v>43787</v>
      </c>
      <c r="C64" s="187" t="s">
        <v>937</v>
      </c>
      <c r="D64" s="188">
        <v>22500</v>
      </c>
      <c r="E64" s="168"/>
      <c r="F64" s="168"/>
      <c r="G64" s="168"/>
      <c r="H64" s="168"/>
      <c r="I64" s="169"/>
      <c r="J64" s="170">
        <f t="shared" si="4"/>
        <v>8472.82</v>
      </c>
      <c r="K64" s="170">
        <f t="shared" si="5"/>
        <v>57108.58</v>
      </c>
    </row>
    <row r="65" spans="1:11" ht="18.75" x14ac:dyDescent="0.3">
      <c r="A65" s="166">
        <v>48</v>
      </c>
      <c r="B65" s="176">
        <v>43788</v>
      </c>
      <c r="C65" s="167" t="s">
        <v>950</v>
      </c>
      <c r="D65" s="168"/>
      <c r="E65" s="168"/>
      <c r="F65" s="168"/>
      <c r="G65" s="168"/>
      <c r="H65" s="173">
        <v>450</v>
      </c>
      <c r="I65" s="169"/>
      <c r="J65" s="170">
        <f t="shared" si="4"/>
        <v>8472.82</v>
      </c>
      <c r="K65" s="170">
        <f t="shared" si="5"/>
        <v>56658.58</v>
      </c>
    </row>
    <row r="66" spans="1:11" ht="18.75" x14ac:dyDescent="0.3">
      <c r="A66" s="166">
        <v>49</v>
      </c>
      <c r="B66" s="176">
        <v>43788</v>
      </c>
      <c r="C66" s="177" t="s">
        <v>984</v>
      </c>
      <c r="D66" s="168"/>
      <c r="E66" s="168"/>
      <c r="F66" s="168"/>
      <c r="G66" s="168"/>
      <c r="H66" s="173">
        <v>684.6</v>
      </c>
      <c r="I66" s="169"/>
      <c r="J66" s="170">
        <f t="shared" si="4"/>
        <v>8472.82</v>
      </c>
      <c r="K66" s="170">
        <f t="shared" si="5"/>
        <v>55973.98</v>
      </c>
    </row>
    <row r="67" spans="1:11" ht="18.75" x14ac:dyDescent="0.3">
      <c r="A67" s="166">
        <v>50</v>
      </c>
      <c r="B67" s="172">
        <v>43788</v>
      </c>
      <c r="C67" s="167" t="s">
        <v>951</v>
      </c>
      <c r="D67" s="168"/>
      <c r="E67" s="168"/>
      <c r="F67" s="168"/>
      <c r="G67" s="168"/>
      <c r="H67" s="173">
        <v>7000</v>
      </c>
      <c r="I67" s="169"/>
      <c r="J67" s="170">
        <f t="shared" si="4"/>
        <v>8472.82</v>
      </c>
      <c r="K67" s="170">
        <f t="shared" si="5"/>
        <v>48973.98</v>
      </c>
    </row>
    <row r="68" spans="1:11" ht="18.75" x14ac:dyDescent="0.3">
      <c r="A68" s="166">
        <v>51</v>
      </c>
      <c r="B68" s="172">
        <v>43788</v>
      </c>
      <c r="C68" s="187" t="s">
        <v>952</v>
      </c>
      <c r="D68" s="188"/>
      <c r="E68" s="188"/>
      <c r="F68" s="188"/>
      <c r="G68" s="168"/>
      <c r="H68" s="173">
        <v>200</v>
      </c>
      <c r="I68" s="169"/>
      <c r="J68" s="170">
        <f t="shared" si="4"/>
        <v>8472.82</v>
      </c>
      <c r="K68" s="170">
        <f t="shared" si="5"/>
        <v>48773.98</v>
      </c>
    </row>
    <row r="69" spans="1:11" ht="18.75" x14ac:dyDescent="0.3">
      <c r="A69" s="166">
        <v>52</v>
      </c>
      <c r="B69" s="172">
        <v>43788</v>
      </c>
      <c r="C69" s="167" t="s">
        <v>953</v>
      </c>
      <c r="D69" s="188"/>
      <c r="E69" s="188"/>
      <c r="F69" s="188"/>
      <c r="G69" s="168"/>
      <c r="H69" s="168">
        <v>200</v>
      </c>
      <c r="I69" s="169"/>
      <c r="J69" s="170">
        <f t="shared" si="4"/>
        <v>8472.82</v>
      </c>
      <c r="K69" s="170">
        <f t="shared" si="5"/>
        <v>48573.98</v>
      </c>
    </row>
    <row r="70" spans="1:11" ht="18.75" x14ac:dyDescent="0.3">
      <c r="A70" s="166">
        <v>53</v>
      </c>
      <c r="B70" s="172">
        <v>43788</v>
      </c>
      <c r="C70" s="171" t="s">
        <v>954</v>
      </c>
      <c r="D70" s="168"/>
      <c r="E70" s="168"/>
      <c r="F70" s="168"/>
      <c r="G70" s="168"/>
      <c r="H70" s="168">
        <v>1000</v>
      </c>
      <c r="I70" s="169"/>
      <c r="J70" s="170">
        <f t="shared" si="4"/>
        <v>8472.82</v>
      </c>
      <c r="K70" s="170">
        <f t="shared" si="5"/>
        <v>47573.98</v>
      </c>
    </row>
    <row r="71" spans="1:11" ht="18.75" x14ac:dyDescent="0.3">
      <c r="A71" s="166">
        <v>54</v>
      </c>
      <c r="B71" s="172">
        <v>43788</v>
      </c>
      <c r="C71" s="187" t="s">
        <v>955</v>
      </c>
      <c r="D71" s="168"/>
      <c r="E71" s="168"/>
      <c r="F71" s="168"/>
      <c r="G71" s="168"/>
      <c r="H71" s="168">
        <v>1500</v>
      </c>
      <c r="I71" s="169"/>
      <c r="J71" s="170">
        <f t="shared" si="4"/>
        <v>8472.82</v>
      </c>
      <c r="K71" s="170">
        <f t="shared" si="5"/>
        <v>46073.98</v>
      </c>
    </row>
    <row r="72" spans="1:11" ht="18.75" x14ac:dyDescent="0.3">
      <c r="A72" s="166">
        <v>55</v>
      </c>
      <c r="B72" s="172">
        <v>43788</v>
      </c>
      <c r="C72" s="186" t="s">
        <v>985</v>
      </c>
      <c r="D72" s="168"/>
      <c r="E72" s="168"/>
      <c r="F72" s="168"/>
      <c r="G72" s="168"/>
      <c r="H72" s="168">
        <v>279.2</v>
      </c>
      <c r="I72" s="169"/>
      <c r="J72" s="170">
        <f t="shared" si="4"/>
        <v>8472.82</v>
      </c>
      <c r="K72" s="170">
        <f t="shared" si="5"/>
        <v>45794.780000000006</v>
      </c>
    </row>
    <row r="73" spans="1:11" ht="18.75" x14ac:dyDescent="0.3">
      <c r="A73" s="166">
        <v>56</v>
      </c>
      <c r="B73" s="172">
        <v>43789</v>
      </c>
      <c r="C73" s="167" t="s">
        <v>956</v>
      </c>
      <c r="D73" s="168"/>
      <c r="E73" s="168"/>
      <c r="F73" s="168"/>
      <c r="G73" s="168"/>
      <c r="H73" s="168">
        <v>102</v>
      </c>
      <c r="I73" s="169"/>
      <c r="J73" s="170">
        <f t="shared" si="4"/>
        <v>8472.82</v>
      </c>
      <c r="K73" s="170">
        <f t="shared" si="5"/>
        <v>45692.780000000006</v>
      </c>
    </row>
    <row r="74" spans="1:11" ht="18.75" x14ac:dyDescent="0.3">
      <c r="A74" s="166">
        <v>57</v>
      </c>
      <c r="B74" s="172">
        <v>43789</v>
      </c>
      <c r="C74" s="167" t="s">
        <v>957</v>
      </c>
      <c r="D74" s="168"/>
      <c r="E74" s="168"/>
      <c r="F74" s="168"/>
      <c r="G74" s="168"/>
      <c r="H74" s="168">
        <v>11250</v>
      </c>
      <c r="I74" s="169"/>
      <c r="J74" s="170">
        <f t="shared" si="4"/>
        <v>8472.82</v>
      </c>
      <c r="K74" s="170">
        <f t="shared" si="5"/>
        <v>34442.780000000006</v>
      </c>
    </row>
    <row r="75" spans="1:11" ht="18.75" x14ac:dyDescent="0.3">
      <c r="A75" s="166">
        <v>58</v>
      </c>
      <c r="B75" s="172">
        <v>43789</v>
      </c>
      <c r="C75" s="167" t="s">
        <v>986</v>
      </c>
      <c r="D75" s="168"/>
      <c r="E75" s="168"/>
      <c r="F75" s="168"/>
      <c r="G75" s="168"/>
      <c r="H75" s="168">
        <v>3500</v>
      </c>
      <c r="I75" s="169"/>
      <c r="J75" s="170">
        <f t="shared" si="4"/>
        <v>8472.82</v>
      </c>
      <c r="K75" s="170">
        <f t="shared" si="5"/>
        <v>30942.780000000006</v>
      </c>
    </row>
    <row r="76" spans="1:11" ht="18.75" x14ac:dyDescent="0.3">
      <c r="A76" s="166">
        <v>59</v>
      </c>
      <c r="B76" s="172">
        <v>43790</v>
      </c>
      <c r="C76" s="187" t="s">
        <v>958</v>
      </c>
      <c r="D76" s="168"/>
      <c r="E76" s="168"/>
      <c r="F76" s="168"/>
      <c r="G76" s="168"/>
      <c r="H76" s="168">
        <v>250</v>
      </c>
      <c r="I76" s="169"/>
      <c r="J76" s="170">
        <f t="shared" si="4"/>
        <v>8472.82</v>
      </c>
      <c r="K76" s="170">
        <f t="shared" si="5"/>
        <v>30692.780000000006</v>
      </c>
    </row>
    <row r="77" spans="1:11" ht="18.75" x14ac:dyDescent="0.3">
      <c r="A77" s="166">
        <v>60</v>
      </c>
      <c r="B77" s="172">
        <v>43791</v>
      </c>
      <c r="C77" s="186" t="s">
        <v>987</v>
      </c>
      <c r="D77" s="168"/>
      <c r="E77" s="168"/>
      <c r="F77" s="168"/>
      <c r="G77" s="168"/>
      <c r="H77" s="168">
        <v>6750</v>
      </c>
      <c r="I77" s="169"/>
      <c r="J77" s="170">
        <f t="shared" si="4"/>
        <v>8472.82</v>
      </c>
      <c r="K77" s="170">
        <f t="shared" si="5"/>
        <v>23942.780000000006</v>
      </c>
    </row>
    <row r="78" spans="1:11" ht="18.75" x14ac:dyDescent="0.3">
      <c r="A78" s="166">
        <v>61</v>
      </c>
      <c r="B78" s="172">
        <v>43792</v>
      </c>
      <c r="C78" s="187" t="s">
        <v>962</v>
      </c>
      <c r="D78" s="168"/>
      <c r="E78" s="168"/>
      <c r="F78" s="168"/>
      <c r="G78" s="168"/>
      <c r="H78" s="168">
        <v>2800</v>
      </c>
      <c r="I78" s="169"/>
      <c r="J78" s="170">
        <f t="shared" si="4"/>
        <v>8472.82</v>
      </c>
      <c r="K78" s="170">
        <f t="shared" si="5"/>
        <v>21142.780000000006</v>
      </c>
    </row>
    <row r="79" spans="1:11" ht="18.75" x14ac:dyDescent="0.3">
      <c r="A79" s="166"/>
      <c r="B79" s="172">
        <v>43793</v>
      </c>
      <c r="C79" s="187" t="s">
        <v>959</v>
      </c>
      <c r="D79" s="168">
        <v>87450</v>
      </c>
      <c r="E79" s="168"/>
      <c r="F79" s="168"/>
      <c r="G79" s="168"/>
      <c r="H79" s="168"/>
      <c r="I79" s="169"/>
      <c r="J79" s="170">
        <f t="shared" si="4"/>
        <v>8472.82</v>
      </c>
      <c r="K79" s="170">
        <f t="shared" si="5"/>
        <v>108592.78</v>
      </c>
    </row>
    <row r="80" spans="1:11" ht="18.75" x14ac:dyDescent="0.3">
      <c r="A80" s="166">
        <v>62</v>
      </c>
      <c r="B80" s="172">
        <v>43794</v>
      </c>
      <c r="C80" s="171" t="s">
        <v>988</v>
      </c>
      <c r="D80" s="168"/>
      <c r="E80" s="168"/>
      <c r="F80" s="168"/>
      <c r="G80" s="168"/>
      <c r="H80" s="168">
        <v>46</v>
      </c>
      <c r="I80" s="169"/>
      <c r="J80" s="170">
        <f t="shared" si="4"/>
        <v>8472.82</v>
      </c>
      <c r="K80" s="170">
        <f t="shared" si="5"/>
        <v>108546.78</v>
      </c>
    </row>
    <row r="81" spans="1:12" ht="18.75" x14ac:dyDescent="0.3">
      <c r="A81" s="166">
        <v>63</v>
      </c>
      <c r="B81" s="172">
        <v>43794</v>
      </c>
      <c r="C81" s="167" t="s">
        <v>976</v>
      </c>
      <c r="D81" s="168"/>
      <c r="E81" s="168"/>
      <c r="F81" s="168"/>
      <c r="G81" s="168"/>
      <c r="H81" s="168">
        <v>600</v>
      </c>
      <c r="I81" s="169"/>
      <c r="J81" s="170">
        <f t="shared" si="4"/>
        <v>8472.82</v>
      </c>
      <c r="K81" s="170">
        <f t="shared" si="5"/>
        <v>107946.78</v>
      </c>
    </row>
    <row r="82" spans="1:12" ht="18.75" x14ac:dyDescent="0.3">
      <c r="A82" s="166">
        <v>64</v>
      </c>
      <c r="B82" s="172">
        <v>43794</v>
      </c>
      <c r="C82" s="167" t="s">
        <v>960</v>
      </c>
      <c r="D82" s="168"/>
      <c r="E82" s="168"/>
      <c r="F82" s="168"/>
      <c r="G82" s="168"/>
      <c r="H82" s="168">
        <v>78</v>
      </c>
      <c r="I82" s="169"/>
      <c r="J82" s="170">
        <f t="shared" si="4"/>
        <v>8472.82</v>
      </c>
      <c r="K82" s="170">
        <f t="shared" si="5"/>
        <v>107868.78</v>
      </c>
    </row>
    <row r="83" spans="1:12" ht="18.75" x14ac:dyDescent="0.3">
      <c r="A83" s="166">
        <v>65</v>
      </c>
      <c r="B83" s="172">
        <v>43794</v>
      </c>
      <c r="C83" s="167" t="s">
        <v>961</v>
      </c>
      <c r="D83" s="168"/>
      <c r="E83" s="168"/>
      <c r="F83" s="168"/>
      <c r="G83" s="168"/>
      <c r="H83" s="168">
        <v>99.01</v>
      </c>
      <c r="I83" s="169"/>
      <c r="J83" s="170">
        <f t="shared" si="4"/>
        <v>8472.82</v>
      </c>
      <c r="K83" s="170">
        <f t="shared" si="5"/>
        <v>107769.77</v>
      </c>
    </row>
    <row r="84" spans="1:12" ht="18.75" x14ac:dyDescent="0.3">
      <c r="A84" s="166">
        <v>66</v>
      </c>
      <c r="B84" s="172">
        <v>43795</v>
      </c>
      <c r="C84" s="167" t="s">
        <v>989</v>
      </c>
      <c r="D84" s="168"/>
      <c r="E84" s="168"/>
      <c r="F84" s="168"/>
      <c r="G84" s="168"/>
      <c r="H84" s="168">
        <v>1500</v>
      </c>
      <c r="I84" s="169"/>
      <c r="J84" s="170">
        <f t="shared" si="4"/>
        <v>8472.82</v>
      </c>
      <c r="K84" s="170">
        <f t="shared" si="5"/>
        <v>106269.77</v>
      </c>
    </row>
    <row r="85" spans="1:12" ht="18.75" x14ac:dyDescent="0.3">
      <c r="A85" s="166">
        <v>67</v>
      </c>
      <c r="B85" s="172">
        <v>43795</v>
      </c>
      <c r="C85" s="167" t="s">
        <v>990</v>
      </c>
      <c r="D85" s="168"/>
      <c r="E85" s="168"/>
      <c r="F85" s="168"/>
      <c r="G85" s="168"/>
      <c r="H85" s="168">
        <v>11250</v>
      </c>
      <c r="I85" s="169"/>
      <c r="J85" s="170">
        <f t="shared" si="4"/>
        <v>8472.82</v>
      </c>
      <c r="K85" s="170">
        <f t="shared" si="5"/>
        <v>95019.77</v>
      </c>
    </row>
    <row r="86" spans="1:12" ht="18.75" x14ac:dyDescent="0.3">
      <c r="A86" s="166">
        <v>68</v>
      </c>
      <c r="B86" s="172">
        <v>43795</v>
      </c>
      <c r="C86" s="171" t="s">
        <v>991</v>
      </c>
      <c r="D86" s="168"/>
      <c r="E86" s="168">
        <v>12760</v>
      </c>
      <c r="F86" s="168"/>
      <c r="G86" s="168"/>
      <c r="H86" s="168"/>
      <c r="I86" s="169"/>
      <c r="J86" s="170">
        <f t="shared" si="4"/>
        <v>21232.82</v>
      </c>
      <c r="K86" s="170">
        <f t="shared" si="5"/>
        <v>95019.77</v>
      </c>
      <c r="L86" s="1"/>
    </row>
    <row r="87" spans="1:12" ht="18.75" x14ac:dyDescent="0.3">
      <c r="A87" s="166">
        <v>69</v>
      </c>
      <c r="B87" s="172">
        <v>43795</v>
      </c>
      <c r="C87" s="167" t="s">
        <v>977</v>
      </c>
      <c r="D87" s="168"/>
      <c r="E87" s="168"/>
      <c r="F87" s="168"/>
      <c r="G87" s="168"/>
      <c r="H87" s="168">
        <v>5500</v>
      </c>
      <c r="I87" s="169"/>
      <c r="J87" s="170">
        <f t="shared" si="4"/>
        <v>21232.82</v>
      </c>
      <c r="K87" s="170">
        <f t="shared" si="5"/>
        <v>89519.77</v>
      </c>
    </row>
    <row r="88" spans="1:12" ht="18.75" x14ac:dyDescent="0.3">
      <c r="A88" s="166">
        <v>70</v>
      </c>
      <c r="B88" s="172">
        <v>43796</v>
      </c>
      <c r="C88" s="171" t="s">
        <v>992</v>
      </c>
      <c r="D88" s="188"/>
      <c r="E88" s="188"/>
      <c r="F88" s="188"/>
      <c r="G88" s="168"/>
      <c r="H88" s="168">
        <v>12000</v>
      </c>
      <c r="I88" s="169"/>
      <c r="J88" s="170">
        <f t="shared" si="4"/>
        <v>21232.82</v>
      </c>
      <c r="K88" s="170">
        <f t="shared" si="5"/>
        <v>77519.77</v>
      </c>
    </row>
    <row r="89" spans="1:12" ht="18.75" x14ac:dyDescent="0.3">
      <c r="A89" s="166">
        <v>71</v>
      </c>
      <c r="B89" s="172">
        <v>43796</v>
      </c>
      <c r="C89" s="171" t="s">
        <v>963</v>
      </c>
      <c r="D89" s="188"/>
      <c r="E89" s="188"/>
      <c r="F89" s="188"/>
      <c r="G89" s="168"/>
      <c r="H89" s="168">
        <v>136</v>
      </c>
      <c r="I89" s="169"/>
      <c r="J89" s="170">
        <f t="shared" si="4"/>
        <v>21232.82</v>
      </c>
      <c r="K89" s="170">
        <f t="shared" si="5"/>
        <v>77383.77</v>
      </c>
    </row>
    <row r="90" spans="1:12" ht="18.75" x14ac:dyDescent="0.3">
      <c r="A90" s="166">
        <v>72</v>
      </c>
      <c r="B90" s="172">
        <v>43796</v>
      </c>
      <c r="C90" s="171" t="s">
        <v>964</v>
      </c>
      <c r="D90" s="188"/>
      <c r="E90" s="188"/>
      <c r="F90" s="188"/>
      <c r="G90" s="168"/>
      <c r="H90" s="168">
        <v>37.5</v>
      </c>
      <c r="I90" s="169"/>
      <c r="J90" s="170">
        <f t="shared" si="4"/>
        <v>21232.82</v>
      </c>
      <c r="K90" s="170">
        <f t="shared" si="5"/>
        <v>77346.27</v>
      </c>
    </row>
    <row r="91" spans="1:12" ht="18.75" x14ac:dyDescent="0.3">
      <c r="A91" s="166">
        <v>73</v>
      </c>
      <c r="B91" s="172">
        <v>43796</v>
      </c>
      <c r="C91" s="171" t="s">
        <v>993</v>
      </c>
      <c r="D91" s="188"/>
      <c r="E91" s="188"/>
      <c r="F91" s="188"/>
      <c r="G91" s="168"/>
      <c r="H91" s="168">
        <v>121.2</v>
      </c>
      <c r="I91" s="169"/>
      <c r="J91" s="170">
        <f t="shared" si="4"/>
        <v>21232.82</v>
      </c>
      <c r="K91" s="170">
        <f t="shared" si="5"/>
        <v>77225.070000000007</v>
      </c>
    </row>
    <row r="92" spans="1:12" ht="18.75" x14ac:dyDescent="0.3">
      <c r="A92" s="166">
        <v>74</v>
      </c>
      <c r="B92" s="172">
        <v>43796</v>
      </c>
      <c r="C92" s="171" t="s">
        <v>965</v>
      </c>
      <c r="D92" s="188"/>
      <c r="E92" s="188"/>
      <c r="F92" s="188"/>
      <c r="G92" s="188"/>
      <c r="H92" s="168">
        <v>4000</v>
      </c>
      <c r="I92" s="169"/>
      <c r="J92" s="170">
        <f t="shared" si="4"/>
        <v>21232.82</v>
      </c>
      <c r="K92" s="170">
        <f t="shared" si="5"/>
        <v>73225.070000000007</v>
      </c>
    </row>
    <row r="93" spans="1:12" ht="18.75" x14ac:dyDescent="0.3">
      <c r="A93" s="166">
        <v>75</v>
      </c>
      <c r="B93" s="172">
        <v>43799</v>
      </c>
      <c r="C93" s="174" t="s">
        <v>942</v>
      </c>
      <c r="D93" s="168"/>
      <c r="E93" s="168"/>
      <c r="F93" s="168"/>
      <c r="G93" s="168"/>
      <c r="H93" s="168">
        <v>450</v>
      </c>
      <c r="I93" s="169"/>
      <c r="J93" s="170">
        <f t="shared" si="4"/>
        <v>21232.82</v>
      </c>
      <c r="K93" s="170">
        <f t="shared" si="5"/>
        <v>72775.070000000007</v>
      </c>
    </row>
    <row r="94" spans="1:12" ht="18.75" x14ac:dyDescent="0.3">
      <c r="A94" s="166">
        <v>76</v>
      </c>
      <c r="B94" s="176">
        <v>43799</v>
      </c>
      <c r="C94" s="177" t="s">
        <v>943</v>
      </c>
      <c r="D94" s="168"/>
      <c r="E94" s="168"/>
      <c r="F94" s="168"/>
      <c r="G94" s="168"/>
      <c r="H94" s="173">
        <v>350</v>
      </c>
      <c r="I94" s="169"/>
      <c r="J94" s="170">
        <f t="shared" si="4"/>
        <v>21232.82</v>
      </c>
      <c r="K94" s="170">
        <f t="shared" si="5"/>
        <v>72425.070000000007</v>
      </c>
    </row>
    <row r="95" spans="1:12" ht="18.75" x14ac:dyDescent="0.3">
      <c r="A95" s="166">
        <v>77</v>
      </c>
      <c r="B95" s="172">
        <v>43799</v>
      </c>
      <c r="C95" s="174" t="s">
        <v>966</v>
      </c>
      <c r="D95" s="168"/>
      <c r="E95" s="168"/>
      <c r="F95" s="168"/>
      <c r="G95" s="168"/>
      <c r="H95" s="173">
        <v>80</v>
      </c>
      <c r="I95" s="169"/>
      <c r="J95" s="170">
        <f t="shared" si="4"/>
        <v>21232.82</v>
      </c>
      <c r="K95" s="170">
        <f t="shared" si="5"/>
        <v>72345.070000000007</v>
      </c>
    </row>
    <row r="96" spans="1:12" ht="18.75" x14ac:dyDescent="0.3">
      <c r="A96" s="166">
        <v>78</v>
      </c>
      <c r="B96" s="172">
        <v>43799</v>
      </c>
      <c r="C96" s="167" t="s">
        <v>869</v>
      </c>
      <c r="D96" s="168"/>
      <c r="E96" s="168"/>
      <c r="F96" s="168"/>
      <c r="G96" s="168"/>
      <c r="H96" s="173">
        <v>800.34</v>
      </c>
      <c r="I96" s="169"/>
      <c r="J96" s="170">
        <f t="shared" si="4"/>
        <v>21232.82</v>
      </c>
      <c r="K96" s="170">
        <f t="shared" si="5"/>
        <v>71544.73000000001</v>
      </c>
    </row>
    <row r="97" spans="1:11" ht="18.75" x14ac:dyDescent="0.3">
      <c r="A97" s="166">
        <v>79</v>
      </c>
      <c r="B97" s="172">
        <v>43799</v>
      </c>
      <c r="C97" s="167" t="s">
        <v>998</v>
      </c>
      <c r="D97" s="168"/>
      <c r="E97" s="168"/>
      <c r="F97" s="168"/>
      <c r="G97" s="168"/>
      <c r="H97" s="168">
        <v>1000</v>
      </c>
      <c r="I97" s="169"/>
      <c r="J97" s="170">
        <f t="shared" si="4"/>
        <v>21232.82</v>
      </c>
      <c r="K97" s="170">
        <f t="shared" si="5"/>
        <v>70544.73000000001</v>
      </c>
    </row>
    <row r="98" spans="1:11" ht="18.75" x14ac:dyDescent="0.3">
      <c r="A98" s="166">
        <v>80</v>
      </c>
      <c r="B98" s="172">
        <v>43799</v>
      </c>
      <c r="C98" s="167" t="s">
        <v>999</v>
      </c>
      <c r="D98" s="168"/>
      <c r="E98" s="168"/>
      <c r="F98" s="168"/>
      <c r="G98" s="168"/>
      <c r="H98" s="168">
        <v>3000</v>
      </c>
      <c r="I98" s="169"/>
      <c r="J98" s="170">
        <f t="shared" si="4"/>
        <v>21232.82</v>
      </c>
      <c r="K98" s="170">
        <f t="shared" si="5"/>
        <v>67544.73000000001</v>
      </c>
    </row>
    <row r="99" spans="1:11" ht="18.75" x14ac:dyDescent="0.3">
      <c r="A99" s="166">
        <v>81</v>
      </c>
      <c r="B99" s="172">
        <v>43799</v>
      </c>
      <c r="C99" s="174" t="s">
        <v>979</v>
      </c>
      <c r="D99" s="168"/>
      <c r="E99" s="168"/>
      <c r="F99" s="168"/>
      <c r="G99" s="168"/>
      <c r="H99" s="173">
        <v>3000</v>
      </c>
      <c r="I99" s="169"/>
      <c r="J99" s="170">
        <f t="shared" si="4"/>
        <v>21232.82</v>
      </c>
      <c r="K99" s="170">
        <f t="shared" si="5"/>
        <v>64544.73000000001</v>
      </c>
    </row>
    <row r="100" spans="1:11" ht="18.75" x14ac:dyDescent="0.3">
      <c r="A100" s="166">
        <v>82</v>
      </c>
      <c r="B100" s="172">
        <v>43799</v>
      </c>
      <c r="C100" s="174" t="s">
        <v>1001</v>
      </c>
      <c r="D100" s="168"/>
      <c r="E100" s="168"/>
      <c r="F100" s="168"/>
      <c r="G100" s="168"/>
      <c r="H100" s="168">
        <v>900</v>
      </c>
      <c r="I100" s="169"/>
      <c r="J100" s="170">
        <f t="shared" si="4"/>
        <v>21232.82</v>
      </c>
      <c r="K100" s="170">
        <f t="shared" si="5"/>
        <v>63644.73000000001</v>
      </c>
    </row>
    <row r="101" spans="1:11" ht="18.75" x14ac:dyDescent="0.3">
      <c r="A101" s="166">
        <v>83</v>
      </c>
      <c r="B101" s="172">
        <v>43799</v>
      </c>
      <c r="C101" s="174" t="s">
        <v>967</v>
      </c>
      <c r="D101" s="168"/>
      <c r="E101" s="168"/>
      <c r="F101" s="168"/>
      <c r="G101" s="168"/>
      <c r="H101" s="168">
        <v>3000</v>
      </c>
      <c r="I101" s="169"/>
      <c r="J101" s="170">
        <f t="shared" si="4"/>
        <v>21232.82</v>
      </c>
      <c r="K101" s="170">
        <f t="shared" si="5"/>
        <v>60644.73000000001</v>
      </c>
    </row>
    <row r="102" spans="1:11" ht="19.5" thickBot="1" x14ac:dyDescent="0.35">
      <c r="A102" s="166">
        <v>84</v>
      </c>
      <c r="B102" s="172">
        <v>43799</v>
      </c>
      <c r="C102" s="174" t="s">
        <v>1000</v>
      </c>
      <c r="D102" s="168"/>
      <c r="E102" s="168"/>
      <c r="F102" s="168"/>
      <c r="G102" s="168"/>
      <c r="H102" s="168">
        <v>3000</v>
      </c>
      <c r="I102" s="169"/>
      <c r="J102" s="170">
        <f t="shared" si="4"/>
        <v>21232.82</v>
      </c>
      <c r="K102" s="170">
        <f t="shared" si="5"/>
        <v>57644.73000000001</v>
      </c>
    </row>
    <row r="103" spans="1:11" ht="19.5" thickBot="1" x14ac:dyDescent="0.35">
      <c r="A103" s="166"/>
      <c r="B103" s="204"/>
      <c r="C103" s="205" t="s">
        <v>0</v>
      </c>
      <c r="D103" s="180">
        <f>SUM(D55:D102)</f>
        <v>207350</v>
      </c>
      <c r="E103" s="180">
        <f>SUM(E55:E102)</f>
        <v>15960.61</v>
      </c>
      <c r="F103" s="182">
        <f>SUM(D103:E103)</f>
        <v>223310.61</v>
      </c>
      <c r="G103" s="183">
        <f>SUM(G55:G102)</f>
        <v>13160</v>
      </c>
      <c r="H103" s="180">
        <f>SUM(H55:H102)</f>
        <v>159460.32999999999</v>
      </c>
      <c r="I103" s="182">
        <f>SUM(G103:H103)</f>
        <v>172620.33</v>
      </c>
      <c r="J103" s="184"/>
      <c r="K103" s="206"/>
    </row>
    <row r="104" spans="1:11" s="130" customFormat="1" ht="19.5" thickBot="1" x14ac:dyDescent="0.35">
      <c r="A104" s="198"/>
      <c r="B104" s="199"/>
      <c r="C104" s="200"/>
      <c r="D104" s="201"/>
      <c r="E104" s="201"/>
      <c r="F104" s="202"/>
      <c r="G104" s="203"/>
      <c r="H104" s="201"/>
      <c r="I104" s="202"/>
      <c r="J104" s="195"/>
      <c r="K104" s="195"/>
    </row>
    <row r="105" spans="1:11" ht="18.75" x14ac:dyDescent="0.3">
      <c r="A105" s="166"/>
      <c r="B105" s="154" t="s">
        <v>1</v>
      </c>
      <c r="C105" s="154" t="s">
        <v>2</v>
      </c>
      <c r="D105" s="154" t="s">
        <v>3</v>
      </c>
      <c r="E105" s="154" t="s">
        <v>3</v>
      </c>
      <c r="F105" s="154" t="s">
        <v>22</v>
      </c>
      <c r="G105" s="154" t="s">
        <v>23</v>
      </c>
      <c r="H105" s="155" t="s">
        <v>23</v>
      </c>
      <c r="I105" s="155" t="s">
        <v>22</v>
      </c>
      <c r="J105" s="154" t="s">
        <v>8</v>
      </c>
      <c r="K105" s="155" t="s">
        <v>7</v>
      </c>
    </row>
    <row r="106" spans="1:11" ht="19.5" thickBot="1" x14ac:dyDescent="0.35">
      <c r="A106" s="166"/>
      <c r="B106" s="156"/>
      <c r="C106" s="156"/>
      <c r="D106" s="156" t="s">
        <v>5</v>
      </c>
      <c r="E106" s="156" t="s">
        <v>24</v>
      </c>
      <c r="F106" s="156" t="s">
        <v>3</v>
      </c>
      <c r="G106" s="156" t="s">
        <v>24</v>
      </c>
      <c r="H106" s="157" t="s">
        <v>5</v>
      </c>
      <c r="I106" s="157" t="s">
        <v>4</v>
      </c>
      <c r="J106" s="156"/>
      <c r="K106" s="157"/>
    </row>
    <row r="107" spans="1:11" ht="19.5" thickBot="1" x14ac:dyDescent="0.35">
      <c r="A107" s="166"/>
      <c r="B107" s="178"/>
      <c r="C107" s="179"/>
      <c r="D107" s="180">
        <v>207350</v>
      </c>
      <c r="E107" s="181">
        <v>15960.61</v>
      </c>
      <c r="F107" s="182">
        <f>SUM(D107:E107)</f>
        <v>223310.61</v>
      </c>
      <c r="G107" s="183">
        <v>13160</v>
      </c>
      <c r="H107" s="180">
        <v>159460.32999999999</v>
      </c>
      <c r="I107" s="182">
        <f>SUM(G107:H107)</f>
        <v>172620.33</v>
      </c>
      <c r="J107" s="184">
        <v>22992.82</v>
      </c>
      <c r="K107" s="170">
        <v>57664.73</v>
      </c>
    </row>
    <row r="108" spans="1:11" ht="18.75" x14ac:dyDescent="0.3">
      <c r="A108" s="166">
        <v>85</v>
      </c>
      <c r="B108" s="172">
        <v>43799</v>
      </c>
      <c r="C108" s="167" t="s">
        <v>968</v>
      </c>
      <c r="D108" s="168"/>
      <c r="E108" s="168"/>
      <c r="F108" s="168"/>
      <c r="G108" s="168"/>
      <c r="H108" s="168">
        <v>750</v>
      </c>
      <c r="I108" s="169"/>
      <c r="J108" s="170">
        <f>+J102+E108-G108</f>
        <v>21232.82</v>
      </c>
      <c r="K108" s="170">
        <f>+K102+D108-H108</f>
        <v>56894.73000000001</v>
      </c>
    </row>
    <row r="109" spans="1:11" ht="18.75" x14ac:dyDescent="0.3">
      <c r="A109" s="166">
        <v>86</v>
      </c>
      <c r="B109" s="172">
        <v>43799</v>
      </c>
      <c r="C109" s="185" t="s">
        <v>994</v>
      </c>
      <c r="D109" s="168"/>
      <c r="E109" s="168"/>
      <c r="F109" s="168"/>
      <c r="G109" s="168"/>
      <c r="H109" s="168">
        <v>37200</v>
      </c>
      <c r="I109" s="169"/>
      <c r="J109" s="170">
        <f t="shared" ref="J109" si="6">+J108+E109-G109</f>
        <v>21232.82</v>
      </c>
      <c r="K109" s="170">
        <f t="shared" ref="K109" si="7">+K108+D109-H109</f>
        <v>19694.73000000001</v>
      </c>
    </row>
    <row r="110" spans="1:11" ht="18.75" x14ac:dyDescent="0.3">
      <c r="A110" s="166">
        <v>87</v>
      </c>
      <c r="B110" s="172">
        <v>43799</v>
      </c>
      <c r="C110" s="174" t="s">
        <v>995</v>
      </c>
      <c r="D110" s="168"/>
      <c r="E110" s="168"/>
      <c r="F110" s="168"/>
      <c r="G110" s="168"/>
      <c r="H110" s="168">
        <v>400</v>
      </c>
      <c r="I110" s="169"/>
      <c r="J110" s="170">
        <f t="shared" ref="J110:J118" si="8">+J109+E110-G110</f>
        <v>21232.82</v>
      </c>
      <c r="K110" s="170">
        <f t="shared" ref="K110:K118" si="9">+K109+D110-H110</f>
        <v>19294.73000000001</v>
      </c>
    </row>
    <row r="111" spans="1:11" ht="18.75" x14ac:dyDescent="0.3">
      <c r="A111" s="166">
        <v>88</v>
      </c>
      <c r="B111" s="172">
        <v>43434</v>
      </c>
      <c r="C111" s="174" t="s">
        <v>996</v>
      </c>
      <c r="D111" s="168"/>
      <c r="E111" s="168"/>
      <c r="F111" s="168"/>
      <c r="G111" s="168"/>
      <c r="H111" s="168">
        <v>300</v>
      </c>
      <c r="I111" s="169"/>
      <c r="J111" s="170">
        <f t="shared" si="8"/>
        <v>21232.82</v>
      </c>
      <c r="K111" s="170">
        <f t="shared" si="9"/>
        <v>18994.73000000001</v>
      </c>
    </row>
    <row r="112" spans="1:11" ht="18.75" x14ac:dyDescent="0.3">
      <c r="A112" s="166">
        <v>89</v>
      </c>
      <c r="B112" s="172">
        <v>43799</v>
      </c>
      <c r="C112" s="174" t="s">
        <v>997</v>
      </c>
      <c r="D112" s="168"/>
      <c r="E112" s="168"/>
      <c r="F112" s="168"/>
      <c r="G112" s="168"/>
      <c r="H112" s="168">
        <v>300</v>
      </c>
      <c r="I112" s="169"/>
      <c r="J112" s="170">
        <f t="shared" si="8"/>
        <v>21232.82</v>
      </c>
      <c r="K112" s="170">
        <f t="shared" si="9"/>
        <v>18694.73000000001</v>
      </c>
    </row>
    <row r="113" spans="1:12" ht="18.75" x14ac:dyDescent="0.3">
      <c r="A113" s="166"/>
      <c r="B113" s="172">
        <v>43784</v>
      </c>
      <c r="C113" s="171" t="s">
        <v>969</v>
      </c>
      <c r="D113" s="168"/>
      <c r="E113" s="168">
        <v>800.29</v>
      </c>
      <c r="F113" s="168"/>
      <c r="G113" s="168"/>
      <c r="H113" s="168"/>
      <c r="I113" s="169"/>
      <c r="J113" s="170">
        <f t="shared" si="8"/>
        <v>22033.11</v>
      </c>
      <c r="K113" s="170">
        <f t="shared" si="9"/>
        <v>18694.73000000001</v>
      </c>
      <c r="L113" s="1"/>
    </row>
    <row r="114" spans="1:12" ht="18.75" x14ac:dyDescent="0.3">
      <c r="A114" s="166"/>
      <c r="B114" s="172">
        <v>43799</v>
      </c>
      <c r="C114" s="167" t="s">
        <v>817</v>
      </c>
      <c r="D114" s="168"/>
      <c r="E114" s="168"/>
      <c r="F114" s="168"/>
      <c r="G114" s="168">
        <v>200</v>
      </c>
      <c r="H114" s="168"/>
      <c r="I114" s="169"/>
      <c r="J114" s="170">
        <f t="shared" si="8"/>
        <v>21833.11</v>
      </c>
      <c r="K114" s="170">
        <f t="shared" si="9"/>
        <v>18694.73000000001</v>
      </c>
    </row>
    <row r="115" spans="1:12" ht="18.75" x14ac:dyDescent="0.3">
      <c r="A115" s="166"/>
      <c r="B115" s="172">
        <v>43799</v>
      </c>
      <c r="C115" s="171" t="s">
        <v>497</v>
      </c>
      <c r="D115" s="168"/>
      <c r="E115" s="168"/>
      <c r="F115" s="168"/>
      <c r="G115" s="168">
        <v>32</v>
      </c>
      <c r="H115" s="168"/>
      <c r="I115" s="169"/>
      <c r="J115" s="170">
        <f t="shared" si="8"/>
        <v>21801.11</v>
      </c>
      <c r="K115" s="170">
        <f t="shared" si="9"/>
        <v>18694.73000000001</v>
      </c>
    </row>
    <row r="116" spans="1:12" ht="18.75" x14ac:dyDescent="0.3">
      <c r="A116" s="166"/>
      <c r="B116" s="172">
        <v>43799</v>
      </c>
      <c r="C116" s="167" t="s">
        <v>69</v>
      </c>
      <c r="D116" s="168"/>
      <c r="E116" s="168"/>
      <c r="F116" s="168"/>
      <c r="G116" s="168">
        <v>36</v>
      </c>
      <c r="H116" s="168"/>
      <c r="I116" s="169"/>
      <c r="J116" s="170">
        <f t="shared" si="8"/>
        <v>21765.11</v>
      </c>
      <c r="K116" s="170">
        <f t="shared" si="9"/>
        <v>18694.73000000001</v>
      </c>
    </row>
    <row r="117" spans="1:12" ht="18.75" x14ac:dyDescent="0.3">
      <c r="A117" s="166"/>
      <c r="B117" s="172">
        <v>43799</v>
      </c>
      <c r="C117" s="171" t="s">
        <v>70</v>
      </c>
      <c r="D117" s="168"/>
      <c r="E117" s="168"/>
      <c r="F117" s="168"/>
      <c r="G117" s="168">
        <v>5.76</v>
      </c>
      <c r="H117" s="168"/>
      <c r="I117" s="169"/>
      <c r="J117" s="170">
        <f t="shared" si="8"/>
        <v>21759.350000000002</v>
      </c>
      <c r="K117" s="170">
        <f t="shared" si="9"/>
        <v>18694.73000000001</v>
      </c>
    </row>
    <row r="118" spans="1:12" ht="19.5" thickBot="1" x14ac:dyDescent="0.35">
      <c r="A118" s="166"/>
      <c r="B118" s="172"/>
      <c r="C118" s="167"/>
      <c r="D118" s="168"/>
      <c r="E118" s="168"/>
      <c r="F118" s="168"/>
      <c r="G118" s="168"/>
      <c r="H118" s="168"/>
      <c r="I118" s="169"/>
      <c r="J118" s="170">
        <f t="shared" si="8"/>
        <v>21759.350000000002</v>
      </c>
      <c r="K118" s="170">
        <f t="shared" si="9"/>
        <v>18694.73000000001</v>
      </c>
    </row>
    <row r="119" spans="1:12" ht="19.5" thickBot="1" x14ac:dyDescent="0.35">
      <c r="A119" s="166"/>
      <c r="B119" s="178"/>
      <c r="C119" s="179" t="s">
        <v>0</v>
      </c>
      <c r="D119" s="180">
        <f>SUM(D107:D118)</f>
        <v>207350</v>
      </c>
      <c r="E119" s="181">
        <f>SUM(E107:E118)</f>
        <v>16760.900000000001</v>
      </c>
      <c r="F119" s="182">
        <f>SUM(D119:E119)</f>
        <v>224110.9</v>
      </c>
      <c r="G119" s="183">
        <f>SUM(G107:G118)</f>
        <v>13433.76</v>
      </c>
      <c r="H119" s="180">
        <f>SUM(H107:H118)</f>
        <v>198410.33</v>
      </c>
      <c r="I119" s="182">
        <f>SUM(G119:H119)</f>
        <v>211844.09</v>
      </c>
      <c r="J119" s="184"/>
      <c r="K119" s="184"/>
    </row>
    <row r="120" spans="1:12" ht="19.5" thickBot="1" x14ac:dyDescent="0.35">
      <c r="A120" s="151"/>
      <c r="B120" s="151"/>
      <c r="C120" s="151"/>
      <c r="D120" s="151"/>
      <c r="E120" s="151"/>
      <c r="F120" s="151"/>
      <c r="G120" s="151"/>
      <c r="H120" s="151"/>
      <c r="I120" s="151"/>
      <c r="J120" s="151"/>
      <c r="K120" s="151"/>
    </row>
    <row r="121" spans="1:12" ht="19.5" thickBot="1" x14ac:dyDescent="0.35">
      <c r="A121" s="151"/>
      <c r="B121" s="151"/>
      <c r="C121" s="151"/>
      <c r="D121" s="151"/>
      <c r="E121" s="151"/>
      <c r="F121" s="151"/>
      <c r="G121" s="151"/>
      <c r="H121" s="151"/>
      <c r="I121" s="189" t="s">
        <v>8</v>
      </c>
      <c r="J121" s="189" t="s">
        <v>7</v>
      </c>
      <c r="K121" s="190" t="s">
        <v>0</v>
      </c>
    </row>
    <row r="122" spans="1:12" ht="19.5" thickBot="1" x14ac:dyDescent="0.35">
      <c r="A122" s="151"/>
      <c r="B122" s="151"/>
      <c r="C122" s="151"/>
      <c r="D122" s="151"/>
      <c r="E122" s="151"/>
      <c r="F122" s="151"/>
      <c r="G122" s="151"/>
      <c r="H122" s="151"/>
      <c r="I122" s="191">
        <v>21759.35</v>
      </c>
      <c r="J122" s="191">
        <v>18694.73</v>
      </c>
      <c r="K122" s="184">
        <f>SUM(I122:J122)</f>
        <v>40454.080000000002</v>
      </c>
    </row>
    <row r="123" spans="1:12" ht="19.5" thickBot="1" x14ac:dyDescent="0.35">
      <c r="A123" s="151"/>
      <c r="B123" s="151"/>
      <c r="C123" s="151"/>
      <c r="D123" s="189" t="s">
        <v>970</v>
      </c>
      <c r="E123" s="189" t="s">
        <v>971</v>
      </c>
      <c r="F123" s="151"/>
      <c r="G123" s="151"/>
      <c r="H123" s="151"/>
      <c r="I123" s="151"/>
      <c r="J123" s="151"/>
      <c r="K123" s="151"/>
    </row>
    <row r="124" spans="1:12" ht="19.5" thickBot="1" x14ac:dyDescent="0.35">
      <c r="A124" s="151"/>
      <c r="B124" s="151"/>
      <c r="C124" s="192"/>
      <c r="D124" s="189" t="s">
        <v>22</v>
      </c>
      <c r="E124" s="189" t="s">
        <v>902</v>
      </c>
      <c r="F124" s="189" t="s">
        <v>0</v>
      </c>
      <c r="G124" s="151"/>
      <c r="H124" s="151"/>
      <c r="I124" s="151"/>
      <c r="J124" s="151"/>
      <c r="K124" s="151"/>
    </row>
    <row r="125" spans="1:12" ht="19.5" thickBot="1" x14ac:dyDescent="0.35">
      <c r="A125" s="151"/>
      <c r="B125" s="151"/>
      <c r="C125" s="193" t="s">
        <v>899</v>
      </c>
      <c r="D125" s="184">
        <v>28187.27</v>
      </c>
      <c r="E125" s="151"/>
      <c r="F125" s="151"/>
      <c r="G125" s="151"/>
      <c r="H125" s="151"/>
      <c r="I125" s="151"/>
      <c r="J125" s="151"/>
      <c r="K125" s="151"/>
    </row>
    <row r="126" spans="1:12" ht="19.5" thickBot="1" x14ac:dyDescent="0.35">
      <c r="A126" s="151"/>
      <c r="B126" s="151"/>
      <c r="C126" s="194"/>
      <c r="D126" s="184">
        <v>207350</v>
      </c>
      <c r="E126" s="184">
        <v>198410.33</v>
      </c>
      <c r="F126" s="195"/>
      <c r="G126" s="151"/>
      <c r="H126" s="151"/>
      <c r="I126" s="151"/>
      <c r="J126" s="151"/>
      <c r="K126" s="151"/>
    </row>
    <row r="127" spans="1:12" ht="19.5" thickBot="1" x14ac:dyDescent="0.35">
      <c r="A127" s="151"/>
      <c r="B127" s="151"/>
      <c r="C127" s="196"/>
      <c r="D127" s="184">
        <v>16760.900000000001</v>
      </c>
      <c r="E127" s="184">
        <v>13433.76</v>
      </c>
      <c r="F127" s="195"/>
      <c r="G127" s="151"/>
      <c r="H127" s="151"/>
      <c r="I127" s="151"/>
      <c r="J127" s="151"/>
      <c r="K127" s="151"/>
    </row>
    <row r="128" spans="1:12" ht="19.5" thickBot="1" x14ac:dyDescent="0.35">
      <c r="A128" s="151"/>
      <c r="B128" s="151"/>
      <c r="C128" s="197"/>
      <c r="D128" s="184">
        <f>SUM(D125:D127)</f>
        <v>252298.16999999998</v>
      </c>
      <c r="E128" s="184">
        <f>SUM(E126:E127)</f>
        <v>211844.09</v>
      </c>
      <c r="F128" s="184">
        <f>SUM(D128-E128)</f>
        <v>40454.079999999987</v>
      </c>
      <c r="G128" s="151"/>
      <c r="H128" s="151"/>
      <c r="I128" s="151"/>
      <c r="J128" s="151"/>
      <c r="K128" s="151"/>
    </row>
    <row r="130" spans="9:9" ht="33.75" x14ac:dyDescent="0.5">
      <c r="I130" s="150"/>
    </row>
  </sheetData>
  <printOptions verticalCentered="1"/>
  <pageMargins left="0" right="0" top="0" bottom="0.39370078740157483" header="0.31496062992125984" footer="0.31496062992125984"/>
  <pageSetup paperSize="9" scale="59" fitToHeight="0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L127"/>
  <sheetViews>
    <sheetView tabSelected="1" zoomScale="80" zoomScaleNormal="80" workbookViewId="0">
      <pane ySplit="3" topLeftCell="A46" activePane="bottomLeft" state="frozen"/>
      <selection pane="bottomLeft" activeCell="J50" sqref="J50"/>
    </sheetView>
  </sheetViews>
  <sheetFormatPr baseColWidth="10" defaultRowHeight="15" x14ac:dyDescent="0.25"/>
  <cols>
    <col min="1" max="1" width="1.140625" customWidth="1"/>
    <col min="2" max="2" width="12" customWidth="1"/>
    <col min="3" max="3" width="89.28515625" customWidth="1"/>
    <col min="4" max="4" width="16" customWidth="1"/>
    <col min="5" max="11" width="14" customWidth="1"/>
    <col min="12" max="12" width="13.5703125" customWidth="1"/>
  </cols>
  <sheetData>
    <row r="1" spans="2:11" ht="15.75" thickBot="1" x14ac:dyDescent="0.3">
      <c r="B1" s="79"/>
      <c r="C1" s="99" t="s">
        <v>56</v>
      </c>
    </row>
    <row r="2" spans="2:11" ht="18.75" x14ac:dyDescent="0.3">
      <c r="B2" s="154" t="s">
        <v>1</v>
      </c>
      <c r="C2" s="154" t="s">
        <v>2</v>
      </c>
      <c r="D2" s="154" t="s">
        <v>3</v>
      </c>
      <c r="E2" s="154" t="s">
        <v>3</v>
      </c>
      <c r="F2" s="154" t="s">
        <v>22</v>
      </c>
      <c r="G2" s="154" t="s">
        <v>23</v>
      </c>
      <c r="H2" s="155" t="s">
        <v>23</v>
      </c>
      <c r="I2" s="155" t="s">
        <v>22</v>
      </c>
      <c r="J2" s="154" t="s">
        <v>8</v>
      </c>
      <c r="K2" s="155" t="s">
        <v>7</v>
      </c>
    </row>
    <row r="3" spans="2:11" ht="19.5" thickBot="1" x14ac:dyDescent="0.35">
      <c r="B3" s="156"/>
      <c r="C3" s="156"/>
      <c r="D3" s="156" t="s">
        <v>5</v>
      </c>
      <c r="E3" s="156" t="s">
        <v>24</v>
      </c>
      <c r="F3" s="156" t="s">
        <v>3</v>
      </c>
      <c r="G3" s="156" t="s">
        <v>24</v>
      </c>
      <c r="H3" s="157" t="s">
        <v>5</v>
      </c>
      <c r="I3" s="157" t="s">
        <v>4</v>
      </c>
      <c r="J3" s="156"/>
      <c r="K3" s="157"/>
    </row>
    <row r="4" spans="2:11" ht="18.75" x14ac:dyDescent="0.3">
      <c r="B4" s="208">
        <v>43799</v>
      </c>
      <c r="C4" s="209" t="s">
        <v>57</v>
      </c>
      <c r="D4" s="66"/>
      <c r="E4" s="63"/>
      <c r="F4" s="63"/>
      <c r="G4" s="63"/>
      <c r="H4" s="17"/>
      <c r="I4" s="64"/>
      <c r="J4" s="164">
        <v>21759.35</v>
      </c>
      <c r="K4" s="207">
        <v>18694.73</v>
      </c>
    </row>
    <row r="5" spans="2:11" ht="18.75" x14ac:dyDescent="0.3">
      <c r="B5" s="208">
        <v>43800</v>
      </c>
      <c r="C5" s="174" t="s">
        <v>1002</v>
      </c>
      <c r="D5" s="168">
        <v>34350</v>
      </c>
      <c r="E5" s="168"/>
      <c r="F5" s="168"/>
      <c r="G5" s="168"/>
      <c r="H5" s="168"/>
      <c r="I5" s="169"/>
      <c r="J5" s="170">
        <f>+J4+E5-G5</f>
        <v>21759.35</v>
      </c>
      <c r="K5" s="170">
        <f t="shared" ref="K5" si="0">+K4+D5-H5</f>
        <v>53044.729999999996</v>
      </c>
    </row>
    <row r="6" spans="2:11" ht="18.75" x14ac:dyDescent="0.3">
      <c r="B6" s="208">
        <v>43801</v>
      </c>
      <c r="C6" s="171" t="s">
        <v>1014</v>
      </c>
      <c r="D6" s="168"/>
      <c r="E6" s="168">
        <v>1200</v>
      </c>
      <c r="F6" s="168"/>
      <c r="G6" s="168"/>
      <c r="H6" s="168"/>
      <c r="I6" s="169"/>
      <c r="J6" s="170">
        <f t="shared" ref="J6:J48" si="1">+J5+E6-G6</f>
        <v>22959.35</v>
      </c>
      <c r="K6" s="170">
        <f t="shared" ref="K6:K48" si="2">+K5+D6-H6</f>
        <v>53044.729999999996</v>
      </c>
    </row>
    <row r="7" spans="2:11" ht="18.75" x14ac:dyDescent="0.3">
      <c r="B7" s="210">
        <v>43801</v>
      </c>
      <c r="C7" s="167" t="s">
        <v>1015</v>
      </c>
      <c r="D7" s="168"/>
      <c r="E7" s="168">
        <v>250</v>
      </c>
      <c r="F7" s="168"/>
      <c r="G7" s="168"/>
      <c r="H7" s="173"/>
      <c r="I7" s="169"/>
      <c r="J7" s="170">
        <f t="shared" si="1"/>
        <v>23209.35</v>
      </c>
      <c r="K7" s="170">
        <f t="shared" si="2"/>
        <v>53044.729999999996</v>
      </c>
    </row>
    <row r="8" spans="2:11" ht="18.75" x14ac:dyDescent="0.3">
      <c r="B8" s="210">
        <v>43801</v>
      </c>
      <c r="C8" s="171" t="s">
        <v>1010</v>
      </c>
      <c r="D8" s="168"/>
      <c r="E8" s="168">
        <v>400.46</v>
      </c>
      <c r="F8" s="168"/>
      <c r="G8" s="168"/>
      <c r="H8" s="168"/>
      <c r="I8" s="169"/>
      <c r="J8" s="170">
        <f t="shared" si="1"/>
        <v>23609.809999999998</v>
      </c>
      <c r="K8" s="170">
        <f t="shared" si="2"/>
        <v>53044.729999999996</v>
      </c>
    </row>
    <row r="9" spans="2:11" ht="18.75" x14ac:dyDescent="0.3">
      <c r="B9" s="210">
        <v>43801</v>
      </c>
      <c r="C9" s="167" t="s">
        <v>1003</v>
      </c>
      <c r="D9" s="168"/>
      <c r="E9" s="168"/>
      <c r="F9" s="168"/>
      <c r="G9" s="168"/>
      <c r="H9" s="173">
        <v>117</v>
      </c>
      <c r="I9" s="169"/>
      <c r="J9" s="170">
        <f t="shared" si="1"/>
        <v>23609.809999999998</v>
      </c>
      <c r="K9" s="170">
        <f t="shared" si="2"/>
        <v>52927.729999999996</v>
      </c>
    </row>
    <row r="10" spans="2:11" ht="18.75" x14ac:dyDescent="0.3">
      <c r="B10" s="210">
        <v>43801</v>
      </c>
      <c r="C10" s="167" t="s">
        <v>1004</v>
      </c>
      <c r="D10" s="168"/>
      <c r="E10" s="168"/>
      <c r="F10" s="168"/>
      <c r="G10" s="168"/>
      <c r="H10" s="173">
        <v>1200</v>
      </c>
      <c r="I10" s="169"/>
      <c r="J10" s="170">
        <f t="shared" si="1"/>
        <v>23609.809999999998</v>
      </c>
      <c r="K10" s="170">
        <f t="shared" si="2"/>
        <v>51727.729999999996</v>
      </c>
    </row>
    <row r="11" spans="2:11" ht="18.75" x14ac:dyDescent="0.3">
      <c r="B11" s="210">
        <v>43802</v>
      </c>
      <c r="C11" s="167" t="s">
        <v>1077</v>
      </c>
      <c r="D11" s="168"/>
      <c r="E11" s="168"/>
      <c r="F11" s="168"/>
      <c r="G11" s="168"/>
      <c r="H11" s="173">
        <v>410</v>
      </c>
      <c r="I11" s="169"/>
      <c r="J11" s="170">
        <f t="shared" si="1"/>
        <v>23609.809999999998</v>
      </c>
      <c r="K11" s="170">
        <f t="shared" si="2"/>
        <v>51317.729999999996</v>
      </c>
    </row>
    <row r="12" spans="2:11" ht="18.75" x14ac:dyDescent="0.3">
      <c r="B12" s="210">
        <v>43802</v>
      </c>
      <c r="C12" s="167" t="s">
        <v>1012</v>
      </c>
      <c r="D12" s="168"/>
      <c r="E12" s="168">
        <v>4400</v>
      </c>
      <c r="F12" s="168"/>
      <c r="G12" s="168"/>
      <c r="H12" s="173"/>
      <c r="I12" s="169"/>
      <c r="J12" s="170">
        <f t="shared" si="1"/>
        <v>28009.809999999998</v>
      </c>
      <c r="K12" s="170">
        <f t="shared" si="2"/>
        <v>51317.729999999996</v>
      </c>
    </row>
    <row r="13" spans="2:11" ht="18.75" x14ac:dyDescent="0.3">
      <c r="B13" s="210">
        <v>43802</v>
      </c>
      <c r="C13" s="167" t="s">
        <v>1013</v>
      </c>
      <c r="D13" s="168"/>
      <c r="E13" s="168">
        <v>5500.8</v>
      </c>
      <c r="F13" s="168"/>
      <c r="G13" s="168"/>
      <c r="H13" s="173"/>
      <c r="I13" s="169"/>
      <c r="J13" s="170">
        <f t="shared" si="1"/>
        <v>33510.61</v>
      </c>
      <c r="K13" s="170">
        <f t="shared" si="2"/>
        <v>51317.729999999996</v>
      </c>
    </row>
    <row r="14" spans="2:11" ht="18.75" x14ac:dyDescent="0.3">
      <c r="B14" s="210">
        <v>43802</v>
      </c>
      <c r="C14" s="167" t="s">
        <v>1005</v>
      </c>
      <c r="D14" s="168"/>
      <c r="E14" s="168"/>
      <c r="F14" s="168"/>
      <c r="G14" s="168"/>
      <c r="H14" s="173">
        <v>825</v>
      </c>
      <c r="I14" s="169"/>
      <c r="J14" s="170">
        <f t="shared" si="1"/>
        <v>33510.61</v>
      </c>
      <c r="K14" s="170">
        <f t="shared" si="2"/>
        <v>50492.729999999996</v>
      </c>
    </row>
    <row r="15" spans="2:11" ht="18.75" x14ac:dyDescent="0.3">
      <c r="B15" s="210">
        <v>43803</v>
      </c>
      <c r="C15" s="167" t="s">
        <v>1006</v>
      </c>
      <c r="D15" s="168"/>
      <c r="E15" s="168"/>
      <c r="F15" s="168"/>
      <c r="G15" s="168"/>
      <c r="H15" s="173">
        <v>300</v>
      </c>
      <c r="I15" s="169"/>
      <c r="J15" s="170">
        <f t="shared" si="1"/>
        <v>33510.61</v>
      </c>
      <c r="K15" s="170">
        <f t="shared" si="2"/>
        <v>50192.729999999996</v>
      </c>
    </row>
    <row r="16" spans="2:11" ht="18.75" x14ac:dyDescent="0.3">
      <c r="B16" s="210">
        <v>43803</v>
      </c>
      <c r="C16" s="167" t="s">
        <v>1007</v>
      </c>
      <c r="D16" s="168"/>
      <c r="E16" s="168"/>
      <c r="F16" s="168"/>
      <c r="G16" s="168"/>
      <c r="H16" s="173">
        <v>1070.2</v>
      </c>
      <c r="I16" s="169"/>
      <c r="J16" s="170">
        <f t="shared" si="1"/>
        <v>33510.61</v>
      </c>
      <c r="K16" s="170">
        <f t="shared" si="2"/>
        <v>49122.53</v>
      </c>
    </row>
    <row r="17" spans="2:11" ht="18.75" x14ac:dyDescent="0.3">
      <c r="B17" s="210">
        <v>43804</v>
      </c>
      <c r="C17" s="167" t="s">
        <v>1008</v>
      </c>
      <c r="D17" s="168"/>
      <c r="E17" s="168"/>
      <c r="F17" s="168"/>
      <c r="G17" s="168"/>
      <c r="H17" s="173">
        <v>2092.79</v>
      </c>
      <c r="I17" s="169"/>
      <c r="J17" s="170">
        <f t="shared" si="1"/>
        <v>33510.61</v>
      </c>
      <c r="K17" s="170">
        <f t="shared" si="2"/>
        <v>47029.74</v>
      </c>
    </row>
    <row r="18" spans="2:11" ht="18.75" x14ac:dyDescent="0.3">
      <c r="B18" s="210">
        <v>43805</v>
      </c>
      <c r="C18" s="167" t="s">
        <v>1009</v>
      </c>
      <c r="D18" s="168"/>
      <c r="E18" s="168"/>
      <c r="F18" s="168"/>
      <c r="G18" s="168"/>
      <c r="H18" s="173">
        <v>750</v>
      </c>
      <c r="I18" s="169"/>
      <c r="J18" s="170">
        <f t="shared" si="1"/>
        <v>33510.61</v>
      </c>
      <c r="K18" s="170">
        <f t="shared" si="2"/>
        <v>46279.74</v>
      </c>
    </row>
    <row r="19" spans="2:11" ht="18.75" x14ac:dyDescent="0.3">
      <c r="B19" s="210">
        <v>43807</v>
      </c>
      <c r="C19" s="167" t="s">
        <v>1011</v>
      </c>
      <c r="D19" s="168">
        <v>67350</v>
      </c>
      <c r="E19" s="168"/>
      <c r="F19" s="168"/>
      <c r="G19" s="168"/>
      <c r="H19" s="173"/>
      <c r="I19" s="169"/>
      <c r="J19" s="170">
        <f t="shared" si="1"/>
        <v>33510.61</v>
      </c>
      <c r="K19" s="170">
        <f t="shared" si="2"/>
        <v>113629.73999999999</v>
      </c>
    </row>
    <row r="20" spans="2:11" ht="18.75" x14ac:dyDescent="0.3">
      <c r="B20" s="210">
        <v>43807</v>
      </c>
      <c r="C20" s="167" t="s">
        <v>1078</v>
      </c>
      <c r="D20" s="168"/>
      <c r="E20" s="168"/>
      <c r="F20" s="168"/>
      <c r="G20" s="168"/>
      <c r="H20" s="173">
        <v>9000</v>
      </c>
      <c r="I20" s="169"/>
      <c r="J20" s="170">
        <f t="shared" si="1"/>
        <v>33510.61</v>
      </c>
      <c r="K20" s="170">
        <f t="shared" si="2"/>
        <v>104629.73999999999</v>
      </c>
    </row>
    <row r="21" spans="2:11" ht="18.75" x14ac:dyDescent="0.3">
      <c r="B21" s="210">
        <v>43807</v>
      </c>
      <c r="C21" s="167" t="s">
        <v>1017</v>
      </c>
      <c r="D21" s="168"/>
      <c r="E21" s="168"/>
      <c r="F21" s="168"/>
      <c r="G21" s="168"/>
      <c r="H21" s="173">
        <v>1800</v>
      </c>
      <c r="I21" s="169"/>
      <c r="J21" s="170">
        <f t="shared" si="1"/>
        <v>33510.61</v>
      </c>
      <c r="K21" s="170">
        <f t="shared" si="2"/>
        <v>102829.73999999999</v>
      </c>
    </row>
    <row r="22" spans="2:11" ht="18.75" x14ac:dyDescent="0.3">
      <c r="B22" s="210">
        <v>43807</v>
      </c>
      <c r="C22" s="167" t="s">
        <v>1079</v>
      </c>
      <c r="D22" s="168"/>
      <c r="E22" s="168"/>
      <c r="F22" s="168"/>
      <c r="G22" s="168"/>
      <c r="H22" s="173">
        <v>1681.14</v>
      </c>
      <c r="I22" s="169"/>
      <c r="J22" s="170">
        <f t="shared" si="1"/>
        <v>33510.61</v>
      </c>
      <c r="K22" s="170">
        <f t="shared" si="2"/>
        <v>101148.59999999999</v>
      </c>
    </row>
    <row r="23" spans="2:11" ht="18.75" x14ac:dyDescent="0.3">
      <c r="B23" s="210">
        <v>43807</v>
      </c>
      <c r="C23" s="167" t="s">
        <v>1018</v>
      </c>
      <c r="D23" s="168"/>
      <c r="E23" s="168"/>
      <c r="F23" s="168"/>
      <c r="G23" s="168"/>
      <c r="H23" s="173">
        <v>205.9</v>
      </c>
      <c r="I23" s="169"/>
      <c r="J23" s="170">
        <f t="shared" si="1"/>
        <v>33510.61</v>
      </c>
      <c r="K23" s="170">
        <f t="shared" si="2"/>
        <v>100942.7</v>
      </c>
    </row>
    <row r="24" spans="2:11" ht="18.75" x14ac:dyDescent="0.3">
      <c r="B24" s="210">
        <v>43807</v>
      </c>
      <c r="C24" s="167" t="s">
        <v>1019</v>
      </c>
      <c r="D24" s="168"/>
      <c r="E24" s="168"/>
      <c r="F24" s="168"/>
      <c r="G24" s="168"/>
      <c r="H24" s="173">
        <v>535.96</v>
      </c>
      <c r="I24" s="169"/>
      <c r="J24" s="170">
        <f t="shared" si="1"/>
        <v>33510.61</v>
      </c>
      <c r="K24" s="170">
        <f t="shared" si="2"/>
        <v>100406.73999999999</v>
      </c>
    </row>
    <row r="25" spans="2:11" ht="18.75" x14ac:dyDescent="0.3">
      <c r="B25" s="210">
        <v>43807</v>
      </c>
      <c r="C25" s="167" t="s">
        <v>1020</v>
      </c>
      <c r="D25" s="168"/>
      <c r="E25" s="168"/>
      <c r="F25" s="168"/>
      <c r="G25" s="168"/>
      <c r="H25" s="173">
        <v>100</v>
      </c>
      <c r="I25" s="169"/>
      <c r="J25" s="170">
        <f t="shared" si="1"/>
        <v>33510.61</v>
      </c>
      <c r="K25" s="170">
        <f t="shared" si="2"/>
        <v>100306.73999999999</v>
      </c>
    </row>
    <row r="26" spans="2:11" ht="18.75" x14ac:dyDescent="0.3">
      <c r="B26" s="210">
        <v>43807</v>
      </c>
      <c r="C26" s="167" t="s">
        <v>1021</v>
      </c>
      <c r="D26" s="168"/>
      <c r="E26" s="168"/>
      <c r="F26" s="168"/>
      <c r="G26" s="168"/>
      <c r="H26" s="173">
        <v>200</v>
      </c>
      <c r="I26" s="169"/>
      <c r="J26" s="170">
        <f t="shared" si="1"/>
        <v>33510.61</v>
      </c>
      <c r="K26" s="170">
        <f t="shared" si="2"/>
        <v>100106.73999999999</v>
      </c>
    </row>
    <row r="27" spans="2:11" ht="18.75" x14ac:dyDescent="0.3">
      <c r="B27" s="210">
        <v>43808</v>
      </c>
      <c r="C27" s="167" t="s">
        <v>1022</v>
      </c>
      <c r="D27" s="168"/>
      <c r="E27" s="168"/>
      <c r="F27" s="168"/>
      <c r="G27" s="168"/>
      <c r="H27" s="173">
        <v>78</v>
      </c>
      <c r="I27" s="169"/>
      <c r="J27" s="170">
        <f t="shared" si="1"/>
        <v>33510.61</v>
      </c>
      <c r="K27" s="170">
        <f t="shared" si="2"/>
        <v>100028.73999999999</v>
      </c>
    </row>
    <row r="28" spans="2:11" ht="18.75" x14ac:dyDescent="0.3">
      <c r="B28" s="210">
        <v>43809</v>
      </c>
      <c r="C28" s="167" t="s">
        <v>1023</v>
      </c>
      <c r="D28" s="168"/>
      <c r="E28" s="168"/>
      <c r="F28" s="168"/>
      <c r="G28" s="168"/>
      <c r="H28" s="173">
        <v>6600</v>
      </c>
      <c r="I28" s="169"/>
      <c r="J28" s="170">
        <f t="shared" si="1"/>
        <v>33510.61</v>
      </c>
      <c r="K28" s="170">
        <f t="shared" si="2"/>
        <v>93428.739999999991</v>
      </c>
    </row>
    <row r="29" spans="2:11" ht="18.75" x14ac:dyDescent="0.3">
      <c r="B29" s="210">
        <v>43810</v>
      </c>
      <c r="C29" s="167" t="s">
        <v>1080</v>
      </c>
      <c r="D29" s="168"/>
      <c r="E29" s="168"/>
      <c r="F29" s="168"/>
      <c r="G29" s="168"/>
      <c r="H29" s="173">
        <v>2222.0100000000002</v>
      </c>
      <c r="I29" s="169"/>
      <c r="J29" s="170">
        <f t="shared" si="1"/>
        <v>33510.61</v>
      </c>
      <c r="K29" s="170">
        <f t="shared" si="2"/>
        <v>91206.73</v>
      </c>
    </row>
    <row r="30" spans="2:11" ht="18.75" x14ac:dyDescent="0.3">
      <c r="B30" s="210">
        <v>43810</v>
      </c>
      <c r="C30" s="167" t="s">
        <v>1024</v>
      </c>
      <c r="D30" s="168"/>
      <c r="E30" s="168"/>
      <c r="F30" s="168"/>
      <c r="G30" s="168"/>
      <c r="H30" s="173">
        <v>1700</v>
      </c>
      <c r="I30" s="169"/>
      <c r="J30" s="170">
        <f t="shared" si="1"/>
        <v>33510.61</v>
      </c>
      <c r="K30" s="170">
        <f t="shared" si="2"/>
        <v>89506.73</v>
      </c>
    </row>
    <row r="31" spans="2:11" ht="18.75" x14ac:dyDescent="0.3">
      <c r="B31" s="210">
        <v>43810</v>
      </c>
      <c r="C31" s="167" t="s">
        <v>1025</v>
      </c>
      <c r="D31" s="168"/>
      <c r="E31" s="168"/>
      <c r="F31" s="168"/>
      <c r="G31" s="168"/>
      <c r="H31" s="173">
        <v>1250</v>
      </c>
      <c r="I31" s="169"/>
      <c r="J31" s="170">
        <f t="shared" si="1"/>
        <v>33510.61</v>
      </c>
      <c r="K31" s="170">
        <f t="shared" si="2"/>
        <v>88256.73</v>
      </c>
    </row>
    <row r="32" spans="2:11" ht="18.75" x14ac:dyDescent="0.3">
      <c r="B32" s="210">
        <v>43811</v>
      </c>
      <c r="C32" s="167" t="s">
        <v>1026</v>
      </c>
      <c r="D32" s="168"/>
      <c r="E32" s="168"/>
      <c r="F32" s="168"/>
      <c r="G32" s="168"/>
      <c r="H32" s="173">
        <v>167.5</v>
      </c>
      <c r="I32" s="169"/>
      <c r="J32" s="170">
        <f t="shared" si="1"/>
        <v>33510.61</v>
      </c>
      <c r="K32" s="170">
        <f t="shared" si="2"/>
        <v>88089.23</v>
      </c>
    </row>
    <row r="33" spans="2:12" ht="18.75" x14ac:dyDescent="0.3">
      <c r="B33" s="210">
        <v>43811</v>
      </c>
      <c r="C33" s="167" t="s">
        <v>1027</v>
      </c>
      <c r="D33" s="168"/>
      <c r="E33" s="168"/>
      <c r="F33" s="168"/>
      <c r="G33" s="168"/>
      <c r="H33" s="173">
        <v>200</v>
      </c>
      <c r="I33" s="169"/>
      <c r="J33" s="170">
        <f t="shared" si="1"/>
        <v>33510.61</v>
      </c>
      <c r="K33" s="170">
        <f t="shared" si="2"/>
        <v>87889.23</v>
      </c>
      <c r="L33" s="1"/>
    </row>
    <row r="34" spans="2:12" ht="18.75" x14ac:dyDescent="0.3">
      <c r="B34" s="210">
        <v>43811</v>
      </c>
      <c r="C34" s="167" t="s">
        <v>1081</v>
      </c>
      <c r="D34" s="168"/>
      <c r="E34" s="168"/>
      <c r="F34" s="168"/>
      <c r="G34" s="168"/>
      <c r="H34" s="173">
        <v>647.62</v>
      </c>
      <c r="I34" s="169"/>
      <c r="J34" s="170">
        <f t="shared" si="1"/>
        <v>33510.61</v>
      </c>
      <c r="K34" s="170">
        <f t="shared" si="2"/>
        <v>87241.61</v>
      </c>
    </row>
    <row r="35" spans="2:12" ht="18.75" x14ac:dyDescent="0.3">
      <c r="B35" s="210">
        <v>43811</v>
      </c>
      <c r="C35" s="167" t="s">
        <v>1028</v>
      </c>
      <c r="D35" s="168"/>
      <c r="E35" s="168"/>
      <c r="F35" s="168"/>
      <c r="G35" s="168"/>
      <c r="H35" s="173">
        <v>78.05</v>
      </c>
      <c r="I35" s="169"/>
      <c r="J35" s="170">
        <f t="shared" si="1"/>
        <v>33510.61</v>
      </c>
      <c r="K35" s="170">
        <f t="shared" si="2"/>
        <v>87163.56</v>
      </c>
    </row>
    <row r="36" spans="2:12" ht="18.75" x14ac:dyDescent="0.3">
      <c r="B36" s="210">
        <v>43811</v>
      </c>
      <c r="C36" s="167" t="s">
        <v>1032</v>
      </c>
      <c r="D36" s="168"/>
      <c r="E36" s="168"/>
      <c r="F36" s="168"/>
      <c r="G36" s="168"/>
      <c r="H36" s="173">
        <v>250</v>
      </c>
      <c r="I36" s="169"/>
      <c r="J36" s="170">
        <f t="shared" si="1"/>
        <v>33510.61</v>
      </c>
      <c r="K36" s="170">
        <f t="shared" si="2"/>
        <v>86913.56</v>
      </c>
    </row>
    <row r="37" spans="2:12" ht="18.75" x14ac:dyDescent="0.3">
      <c r="B37" s="210">
        <v>43811</v>
      </c>
      <c r="C37" s="167" t="s">
        <v>1029</v>
      </c>
      <c r="D37" s="168"/>
      <c r="E37" s="168"/>
      <c r="F37" s="168"/>
      <c r="G37" s="168"/>
      <c r="H37" s="173">
        <v>126</v>
      </c>
      <c r="I37" s="169"/>
      <c r="J37" s="170">
        <f t="shared" si="1"/>
        <v>33510.61</v>
      </c>
      <c r="K37" s="170">
        <f t="shared" si="2"/>
        <v>86787.56</v>
      </c>
    </row>
    <row r="38" spans="2:12" ht="18.75" x14ac:dyDescent="0.3">
      <c r="B38" s="210">
        <v>43811</v>
      </c>
      <c r="C38" s="167" t="s">
        <v>1030</v>
      </c>
      <c r="D38" s="168"/>
      <c r="E38" s="168"/>
      <c r="F38" s="168"/>
      <c r="G38" s="168"/>
      <c r="H38" s="173">
        <v>90.5</v>
      </c>
      <c r="I38" s="169"/>
      <c r="J38" s="170">
        <f t="shared" si="1"/>
        <v>33510.61</v>
      </c>
      <c r="K38" s="170">
        <f t="shared" si="2"/>
        <v>86697.06</v>
      </c>
    </row>
    <row r="39" spans="2:12" ht="18.75" x14ac:dyDescent="0.3">
      <c r="B39" s="210">
        <v>43811</v>
      </c>
      <c r="C39" s="167" t="s">
        <v>1031</v>
      </c>
      <c r="D39" s="168"/>
      <c r="E39" s="168"/>
      <c r="F39" s="168"/>
      <c r="G39" s="168"/>
      <c r="H39" s="173">
        <v>260</v>
      </c>
      <c r="I39" s="169"/>
      <c r="J39" s="170">
        <f t="shared" si="1"/>
        <v>33510.61</v>
      </c>
      <c r="K39" s="170">
        <f t="shared" si="2"/>
        <v>86437.06</v>
      </c>
    </row>
    <row r="40" spans="2:12" ht="18.75" x14ac:dyDescent="0.3">
      <c r="B40" s="210">
        <v>43811</v>
      </c>
      <c r="C40" s="167" t="s">
        <v>1033</v>
      </c>
      <c r="D40" s="168"/>
      <c r="E40" s="168"/>
      <c r="F40" s="168"/>
      <c r="G40" s="168"/>
      <c r="H40" s="173">
        <v>35</v>
      </c>
      <c r="I40" s="169"/>
      <c r="J40" s="170">
        <f t="shared" si="1"/>
        <v>33510.61</v>
      </c>
      <c r="K40" s="170">
        <f t="shared" si="2"/>
        <v>86402.06</v>
      </c>
    </row>
    <row r="41" spans="2:12" ht="18.75" x14ac:dyDescent="0.3">
      <c r="B41" s="210">
        <v>43811</v>
      </c>
      <c r="C41" s="171" t="s">
        <v>1034</v>
      </c>
      <c r="D41" s="188"/>
      <c r="E41" s="188"/>
      <c r="F41" s="188"/>
      <c r="G41" s="188"/>
      <c r="H41" s="173">
        <v>53</v>
      </c>
      <c r="I41" s="169"/>
      <c r="J41" s="170">
        <f t="shared" si="1"/>
        <v>33510.61</v>
      </c>
      <c r="K41" s="170">
        <f t="shared" si="2"/>
        <v>86349.06</v>
      </c>
    </row>
    <row r="42" spans="2:12" ht="18.75" x14ac:dyDescent="0.3">
      <c r="B42" s="210">
        <v>43811</v>
      </c>
      <c r="C42" s="171" t="s">
        <v>1035</v>
      </c>
      <c r="D42" s="188"/>
      <c r="E42" s="188"/>
      <c r="F42" s="188"/>
      <c r="G42" s="168"/>
      <c r="H42" s="173">
        <v>97.09</v>
      </c>
      <c r="I42" s="169"/>
      <c r="J42" s="170">
        <f t="shared" si="1"/>
        <v>33510.61</v>
      </c>
      <c r="K42" s="170">
        <f t="shared" si="2"/>
        <v>86251.97</v>
      </c>
    </row>
    <row r="43" spans="2:12" ht="18.75" x14ac:dyDescent="0.3">
      <c r="B43" s="210">
        <v>43811</v>
      </c>
      <c r="C43" s="171" t="s">
        <v>1036</v>
      </c>
      <c r="D43" s="188"/>
      <c r="E43" s="188"/>
      <c r="F43" s="188"/>
      <c r="G43" s="188"/>
      <c r="H43" s="173">
        <v>26</v>
      </c>
      <c r="I43" s="169"/>
      <c r="J43" s="170">
        <f t="shared" si="1"/>
        <v>33510.61</v>
      </c>
      <c r="K43" s="170">
        <f t="shared" si="2"/>
        <v>86225.97</v>
      </c>
    </row>
    <row r="44" spans="2:12" ht="18.75" x14ac:dyDescent="0.3">
      <c r="B44" s="210">
        <v>43811</v>
      </c>
      <c r="C44" s="171" t="s">
        <v>1037</v>
      </c>
      <c r="D44" s="168"/>
      <c r="E44" s="168"/>
      <c r="F44" s="168"/>
      <c r="G44" s="168"/>
      <c r="H44" s="173">
        <v>117.22</v>
      </c>
      <c r="I44" s="169"/>
      <c r="J44" s="170">
        <f t="shared" si="1"/>
        <v>33510.61</v>
      </c>
      <c r="K44" s="170">
        <f t="shared" si="2"/>
        <v>86108.75</v>
      </c>
    </row>
    <row r="45" spans="2:12" ht="18.75" x14ac:dyDescent="0.3">
      <c r="B45" s="210">
        <v>43814</v>
      </c>
      <c r="C45" s="171" t="s">
        <v>1038</v>
      </c>
      <c r="D45" s="168"/>
      <c r="E45" s="168"/>
      <c r="F45" s="168"/>
      <c r="G45" s="168"/>
      <c r="H45" s="173">
        <v>3000</v>
      </c>
      <c r="I45" s="169"/>
      <c r="J45" s="170">
        <f t="shared" si="1"/>
        <v>33510.61</v>
      </c>
      <c r="K45" s="170">
        <f t="shared" si="2"/>
        <v>83108.75</v>
      </c>
    </row>
    <row r="46" spans="2:12" ht="18.75" x14ac:dyDescent="0.3">
      <c r="B46" s="210">
        <v>43814</v>
      </c>
      <c r="C46" s="171" t="s">
        <v>1100</v>
      </c>
      <c r="D46" s="168"/>
      <c r="E46" s="168"/>
      <c r="F46" s="168"/>
      <c r="G46" s="168"/>
      <c r="H46" s="168">
        <v>3000</v>
      </c>
      <c r="I46" s="169"/>
      <c r="J46" s="170">
        <f t="shared" si="1"/>
        <v>33510.61</v>
      </c>
      <c r="K46" s="170">
        <f t="shared" si="2"/>
        <v>80108.75</v>
      </c>
    </row>
    <row r="47" spans="2:12" ht="18.75" x14ac:dyDescent="0.3">
      <c r="B47" s="210">
        <v>43814</v>
      </c>
      <c r="C47" s="167" t="s">
        <v>1039</v>
      </c>
      <c r="D47" s="168"/>
      <c r="E47" s="168"/>
      <c r="F47" s="168"/>
      <c r="G47" s="168">
        <v>15000</v>
      </c>
      <c r="H47" s="168"/>
      <c r="I47" s="169"/>
      <c r="J47" s="170">
        <f t="shared" si="1"/>
        <v>18510.61</v>
      </c>
      <c r="K47" s="170">
        <f t="shared" si="2"/>
        <v>80108.75</v>
      </c>
    </row>
    <row r="48" spans="2:12" ht="19.5" thickBot="1" x14ac:dyDescent="0.35">
      <c r="B48" s="210">
        <v>43814</v>
      </c>
      <c r="C48" s="167" t="s">
        <v>1053</v>
      </c>
      <c r="D48" s="168"/>
      <c r="E48" s="168"/>
      <c r="F48" s="168"/>
      <c r="G48" s="168"/>
      <c r="H48" s="168">
        <v>27600</v>
      </c>
      <c r="I48" s="169"/>
      <c r="J48" s="170">
        <f t="shared" si="1"/>
        <v>18510.61</v>
      </c>
      <c r="K48" s="170">
        <f t="shared" si="2"/>
        <v>52508.75</v>
      </c>
    </row>
    <row r="49" spans="2:11" ht="19.5" thickBot="1" x14ac:dyDescent="0.35">
      <c r="B49" s="5"/>
      <c r="C49" s="215" t="s">
        <v>0</v>
      </c>
      <c r="D49" s="180">
        <f>SUM(D4:D48)</f>
        <v>101700</v>
      </c>
      <c r="E49" s="180">
        <f>SUM(E4:E48)</f>
        <v>11751.26</v>
      </c>
      <c r="F49" s="182">
        <f>SUM(D49:E49)</f>
        <v>113451.26</v>
      </c>
      <c r="G49" s="183">
        <f>SUM(G4:G48)</f>
        <v>15000</v>
      </c>
      <c r="H49" s="180">
        <f>SUM(H4:H48)</f>
        <v>67885.98000000001</v>
      </c>
      <c r="I49" s="182">
        <f>SUM(G49:H49)</f>
        <v>82885.98000000001</v>
      </c>
      <c r="J49" s="20"/>
      <c r="K49" s="20"/>
    </row>
    <row r="50" spans="2:11" ht="18.75" x14ac:dyDescent="0.3">
      <c r="B50" s="154" t="s">
        <v>1</v>
      </c>
      <c r="C50" s="154" t="s">
        <v>2</v>
      </c>
      <c r="D50" s="154" t="s">
        <v>3</v>
      </c>
      <c r="E50" s="154" t="s">
        <v>3</v>
      </c>
      <c r="F50" s="154" t="s">
        <v>22</v>
      </c>
      <c r="G50" s="154" t="s">
        <v>23</v>
      </c>
      <c r="H50" s="155" t="s">
        <v>23</v>
      </c>
      <c r="I50" s="155" t="s">
        <v>22</v>
      </c>
      <c r="J50" s="154" t="s">
        <v>8</v>
      </c>
      <c r="K50" s="155" t="s">
        <v>7</v>
      </c>
    </row>
    <row r="51" spans="2:11" ht="19.5" thickBot="1" x14ac:dyDescent="0.35">
      <c r="B51" s="156"/>
      <c r="C51" s="156"/>
      <c r="D51" s="156" t="s">
        <v>5</v>
      </c>
      <c r="E51" s="156" t="s">
        <v>24</v>
      </c>
      <c r="F51" s="156" t="s">
        <v>3</v>
      </c>
      <c r="G51" s="156" t="s">
        <v>24</v>
      </c>
      <c r="H51" s="157" t="s">
        <v>5</v>
      </c>
      <c r="I51" s="157" t="s">
        <v>4</v>
      </c>
      <c r="J51" s="156"/>
      <c r="K51" s="157"/>
    </row>
    <row r="52" spans="2:11" ht="19.5" thickBot="1" x14ac:dyDescent="0.35">
      <c r="B52" s="178"/>
      <c r="C52" s="179"/>
      <c r="D52" s="180">
        <v>101700</v>
      </c>
      <c r="E52" s="181">
        <v>11751.26</v>
      </c>
      <c r="F52" s="182">
        <f>SUM(D52:E52)</f>
        <v>113451.26</v>
      </c>
      <c r="G52" s="183">
        <v>15000</v>
      </c>
      <c r="H52" s="180">
        <v>67885.98</v>
      </c>
      <c r="I52" s="182">
        <f>SUM(G52:H52)</f>
        <v>82885.98</v>
      </c>
      <c r="J52" s="184">
        <v>18510.61</v>
      </c>
      <c r="K52" s="184">
        <v>52508.75</v>
      </c>
    </row>
    <row r="53" spans="2:11" ht="18.75" x14ac:dyDescent="0.3">
      <c r="B53" s="210">
        <v>43814</v>
      </c>
      <c r="C53" s="167" t="s">
        <v>1051</v>
      </c>
      <c r="D53" s="168"/>
      <c r="E53" s="168"/>
      <c r="F53" s="168"/>
      <c r="G53" s="168"/>
      <c r="H53" s="168">
        <v>5400</v>
      </c>
      <c r="I53" s="169"/>
      <c r="J53" s="170">
        <f>+J48+E53-G53</f>
        <v>18510.61</v>
      </c>
      <c r="K53" s="214">
        <f>+K48+D53-H53</f>
        <v>47108.75</v>
      </c>
    </row>
    <row r="54" spans="2:11" ht="18.75" x14ac:dyDescent="0.3">
      <c r="B54" s="211">
        <v>43814</v>
      </c>
      <c r="C54" s="177" t="s">
        <v>1045</v>
      </c>
      <c r="D54" s="168"/>
      <c r="E54" s="168"/>
      <c r="F54" s="168"/>
      <c r="G54" s="168">
        <v>1400</v>
      </c>
      <c r="H54" s="173"/>
      <c r="I54" s="169"/>
      <c r="J54" s="170">
        <f t="shared" ref="J54:J55" si="3">+J53+E54-G54</f>
        <v>17110.61</v>
      </c>
      <c r="K54" s="170">
        <f t="shared" ref="K54:K55" si="4">+K53+D54-H54</f>
        <v>47108.75</v>
      </c>
    </row>
    <row r="55" spans="2:11" ht="18.75" x14ac:dyDescent="0.3">
      <c r="B55" s="211">
        <v>43814</v>
      </c>
      <c r="C55" s="177" t="s">
        <v>1016</v>
      </c>
      <c r="D55" s="168"/>
      <c r="E55" s="168"/>
      <c r="F55" s="168"/>
      <c r="G55" s="168">
        <v>1760</v>
      </c>
      <c r="H55" s="173"/>
      <c r="I55" s="169"/>
      <c r="J55" s="170">
        <f t="shared" si="3"/>
        <v>15350.61</v>
      </c>
      <c r="K55" s="170">
        <f t="shared" si="4"/>
        <v>47108.75</v>
      </c>
    </row>
    <row r="56" spans="2:11" ht="18.75" x14ac:dyDescent="0.3">
      <c r="B56" s="210">
        <v>43814</v>
      </c>
      <c r="C56" s="171" t="s">
        <v>1040</v>
      </c>
      <c r="D56" s="168"/>
      <c r="E56" s="168">
        <v>12760</v>
      </c>
      <c r="F56" s="168"/>
      <c r="G56" s="168"/>
      <c r="H56" s="173"/>
      <c r="I56" s="169"/>
      <c r="J56" s="170">
        <f t="shared" ref="J56:J107" si="5">+J55+E56-G56</f>
        <v>28110.61</v>
      </c>
      <c r="K56" s="170">
        <f t="shared" ref="K56:K107" si="6">+K55+D56-H56</f>
        <v>47108.75</v>
      </c>
    </row>
    <row r="57" spans="2:11" ht="18.75" x14ac:dyDescent="0.3">
      <c r="B57" s="210">
        <v>43814</v>
      </c>
      <c r="C57" s="171" t="s">
        <v>1052</v>
      </c>
      <c r="D57" s="168"/>
      <c r="E57" s="168"/>
      <c r="F57" s="168"/>
      <c r="G57" s="168"/>
      <c r="H57" s="173">
        <v>3000</v>
      </c>
      <c r="I57" s="169"/>
      <c r="J57" s="170">
        <f t="shared" si="5"/>
        <v>28110.61</v>
      </c>
      <c r="K57" s="170">
        <f t="shared" si="6"/>
        <v>44108.75</v>
      </c>
    </row>
    <row r="58" spans="2:11" ht="18.75" x14ac:dyDescent="0.3">
      <c r="B58" s="210">
        <v>43814</v>
      </c>
      <c r="C58" s="167" t="s">
        <v>1054</v>
      </c>
      <c r="D58" s="168"/>
      <c r="E58" s="168"/>
      <c r="F58" s="168"/>
      <c r="G58" s="168"/>
      <c r="H58" s="168">
        <v>2600</v>
      </c>
      <c r="I58" s="169"/>
      <c r="J58" s="170">
        <f t="shared" si="5"/>
        <v>28110.61</v>
      </c>
      <c r="K58" s="170">
        <f t="shared" si="6"/>
        <v>41508.75</v>
      </c>
    </row>
    <row r="59" spans="2:11" ht="18.75" x14ac:dyDescent="0.3">
      <c r="B59" s="210">
        <v>43814</v>
      </c>
      <c r="C59" s="171" t="s">
        <v>1041</v>
      </c>
      <c r="D59" s="168"/>
      <c r="E59" s="168"/>
      <c r="F59" s="168"/>
      <c r="G59" s="168"/>
      <c r="H59" s="168">
        <v>1500</v>
      </c>
      <c r="I59" s="169"/>
      <c r="J59" s="170">
        <f t="shared" si="5"/>
        <v>28110.61</v>
      </c>
      <c r="K59" s="170">
        <f t="shared" si="6"/>
        <v>40008.75</v>
      </c>
    </row>
    <row r="60" spans="2:11" ht="18.75" x14ac:dyDescent="0.3">
      <c r="B60" s="210">
        <v>43814</v>
      </c>
      <c r="C60" s="171" t="s">
        <v>1046</v>
      </c>
      <c r="D60" s="168"/>
      <c r="E60" s="168"/>
      <c r="F60" s="168"/>
      <c r="G60" s="168"/>
      <c r="H60" s="168">
        <v>1200</v>
      </c>
      <c r="I60" s="169"/>
      <c r="J60" s="170">
        <f t="shared" si="5"/>
        <v>28110.61</v>
      </c>
      <c r="K60" s="170">
        <f t="shared" si="6"/>
        <v>38808.75</v>
      </c>
    </row>
    <row r="61" spans="2:11" ht="18.75" x14ac:dyDescent="0.3">
      <c r="B61" s="210">
        <v>43814</v>
      </c>
      <c r="C61" s="171" t="s">
        <v>1042</v>
      </c>
      <c r="D61" s="168"/>
      <c r="E61" s="168"/>
      <c r="F61" s="168"/>
      <c r="G61" s="168"/>
      <c r="H61" s="168">
        <v>600</v>
      </c>
      <c r="I61" s="169"/>
      <c r="J61" s="170">
        <f t="shared" si="5"/>
        <v>28110.61</v>
      </c>
      <c r="K61" s="170">
        <f t="shared" si="6"/>
        <v>38208.75</v>
      </c>
    </row>
    <row r="62" spans="2:11" ht="18.75" x14ac:dyDescent="0.3">
      <c r="B62" s="210">
        <v>43814</v>
      </c>
      <c r="C62" s="171" t="s">
        <v>831</v>
      </c>
      <c r="D62" s="168"/>
      <c r="E62" s="168"/>
      <c r="F62" s="168"/>
      <c r="G62" s="168"/>
      <c r="H62" s="168">
        <v>100</v>
      </c>
      <c r="I62" s="169"/>
      <c r="J62" s="170">
        <f t="shared" si="5"/>
        <v>28110.61</v>
      </c>
      <c r="K62" s="170">
        <f t="shared" si="6"/>
        <v>38108.75</v>
      </c>
    </row>
    <row r="63" spans="2:11" ht="18.75" x14ac:dyDescent="0.3">
      <c r="B63" s="210">
        <v>43814</v>
      </c>
      <c r="C63" s="171" t="s">
        <v>1047</v>
      </c>
      <c r="D63" s="168"/>
      <c r="E63" s="168"/>
      <c r="F63" s="168"/>
      <c r="G63" s="168"/>
      <c r="H63" s="168">
        <v>780</v>
      </c>
      <c r="I63" s="169"/>
      <c r="J63" s="170">
        <f t="shared" si="5"/>
        <v>28110.61</v>
      </c>
      <c r="K63" s="170">
        <f t="shared" si="6"/>
        <v>37328.75</v>
      </c>
    </row>
    <row r="64" spans="2:11" ht="18.75" x14ac:dyDescent="0.3">
      <c r="B64" s="210">
        <v>43814</v>
      </c>
      <c r="C64" s="167" t="s">
        <v>1043</v>
      </c>
      <c r="D64" s="168">
        <v>43450</v>
      </c>
      <c r="E64" s="168"/>
      <c r="F64" s="168"/>
      <c r="G64" s="168"/>
      <c r="H64" s="168"/>
      <c r="I64" s="169"/>
      <c r="J64" s="170">
        <f t="shared" si="5"/>
        <v>28110.61</v>
      </c>
      <c r="K64" s="170">
        <f t="shared" si="6"/>
        <v>80778.75</v>
      </c>
    </row>
    <row r="65" spans="2:11" ht="18.75" x14ac:dyDescent="0.3">
      <c r="B65" s="210">
        <v>43814</v>
      </c>
      <c r="C65" s="171" t="s">
        <v>1044</v>
      </c>
      <c r="D65" s="168"/>
      <c r="E65" s="168"/>
      <c r="F65" s="168"/>
      <c r="G65" s="168"/>
      <c r="H65" s="168">
        <v>9749</v>
      </c>
      <c r="I65" s="169"/>
      <c r="J65" s="170">
        <f t="shared" si="5"/>
        <v>28110.61</v>
      </c>
      <c r="K65" s="170">
        <f t="shared" si="6"/>
        <v>71029.75</v>
      </c>
    </row>
    <row r="66" spans="2:11" ht="18.75" x14ac:dyDescent="0.3">
      <c r="B66" s="210">
        <v>43814</v>
      </c>
      <c r="C66" s="187" t="s">
        <v>1055</v>
      </c>
      <c r="D66" s="168"/>
      <c r="E66" s="168"/>
      <c r="F66" s="168"/>
      <c r="G66" s="168"/>
      <c r="H66" s="168">
        <v>1800</v>
      </c>
      <c r="I66" s="169"/>
      <c r="J66" s="170">
        <f t="shared" si="5"/>
        <v>28110.61</v>
      </c>
      <c r="K66" s="170">
        <f t="shared" si="6"/>
        <v>69229.75</v>
      </c>
    </row>
    <row r="67" spans="2:11" ht="18.75" x14ac:dyDescent="0.3">
      <c r="B67" s="210">
        <v>43815</v>
      </c>
      <c r="C67" s="186" t="s">
        <v>1056</v>
      </c>
      <c r="D67" s="168"/>
      <c r="E67" s="168"/>
      <c r="F67" s="168"/>
      <c r="G67" s="168"/>
      <c r="H67" s="168">
        <v>1500</v>
      </c>
      <c r="I67" s="169"/>
      <c r="J67" s="170">
        <f t="shared" si="5"/>
        <v>28110.61</v>
      </c>
      <c r="K67" s="170">
        <f t="shared" si="6"/>
        <v>67729.75</v>
      </c>
    </row>
    <row r="68" spans="2:11" ht="18.75" x14ac:dyDescent="0.3">
      <c r="B68" s="210">
        <v>43815</v>
      </c>
      <c r="C68" s="167" t="s">
        <v>1057</v>
      </c>
      <c r="D68" s="168"/>
      <c r="E68" s="168"/>
      <c r="F68" s="168"/>
      <c r="G68" s="168"/>
      <c r="H68" s="168">
        <v>117</v>
      </c>
      <c r="I68" s="169"/>
      <c r="J68" s="170">
        <f t="shared" si="5"/>
        <v>28110.61</v>
      </c>
      <c r="K68" s="170">
        <f t="shared" si="6"/>
        <v>67612.75</v>
      </c>
    </row>
    <row r="69" spans="2:11" ht="18.75" x14ac:dyDescent="0.3">
      <c r="B69" s="210">
        <v>43815</v>
      </c>
      <c r="C69" s="167" t="s">
        <v>1058</v>
      </c>
      <c r="D69" s="168"/>
      <c r="E69" s="168"/>
      <c r="F69" s="168"/>
      <c r="G69" s="168"/>
      <c r="H69" s="168">
        <v>1299</v>
      </c>
      <c r="I69" s="169"/>
      <c r="J69" s="170">
        <f t="shared" si="5"/>
        <v>28110.61</v>
      </c>
      <c r="K69" s="170">
        <f t="shared" si="6"/>
        <v>66313.75</v>
      </c>
    </row>
    <row r="70" spans="2:11" ht="18.75" x14ac:dyDescent="0.3">
      <c r="B70" s="210">
        <v>43815</v>
      </c>
      <c r="C70" s="167" t="s">
        <v>1059</v>
      </c>
      <c r="D70" s="168"/>
      <c r="E70" s="168"/>
      <c r="F70" s="168"/>
      <c r="G70" s="168"/>
      <c r="H70" s="168">
        <v>400</v>
      </c>
      <c r="I70" s="169"/>
      <c r="J70" s="170">
        <f t="shared" si="5"/>
        <v>28110.61</v>
      </c>
      <c r="K70" s="170">
        <f t="shared" si="6"/>
        <v>65913.75</v>
      </c>
    </row>
    <row r="71" spans="2:11" ht="18.75" x14ac:dyDescent="0.3">
      <c r="B71" s="210">
        <v>43815</v>
      </c>
      <c r="C71" s="187" t="s">
        <v>1060</v>
      </c>
      <c r="D71" s="168"/>
      <c r="E71" s="168"/>
      <c r="F71" s="168"/>
      <c r="G71" s="168"/>
      <c r="H71" s="168">
        <v>179</v>
      </c>
      <c r="I71" s="169"/>
      <c r="J71" s="170">
        <f t="shared" si="5"/>
        <v>28110.61</v>
      </c>
      <c r="K71" s="170">
        <f t="shared" si="6"/>
        <v>65734.75</v>
      </c>
    </row>
    <row r="72" spans="2:11" ht="18.75" x14ac:dyDescent="0.3">
      <c r="B72" s="210">
        <v>43816</v>
      </c>
      <c r="C72" s="187" t="s">
        <v>1048</v>
      </c>
      <c r="D72" s="168"/>
      <c r="E72" s="168"/>
      <c r="F72" s="168"/>
      <c r="G72" s="168"/>
      <c r="H72" s="168">
        <v>750</v>
      </c>
      <c r="I72" s="169"/>
      <c r="J72" s="170">
        <f t="shared" si="5"/>
        <v>28110.61</v>
      </c>
      <c r="K72" s="170">
        <f t="shared" si="6"/>
        <v>64984.75</v>
      </c>
    </row>
    <row r="73" spans="2:11" ht="18.75" x14ac:dyDescent="0.3">
      <c r="B73" s="210">
        <v>43816</v>
      </c>
      <c r="C73" s="187" t="s">
        <v>1049</v>
      </c>
      <c r="D73" s="168"/>
      <c r="E73" s="168"/>
      <c r="F73" s="168"/>
      <c r="G73" s="168"/>
      <c r="H73" s="168">
        <v>435.27</v>
      </c>
      <c r="I73" s="169"/>
      <c r="J73" s="170">
        <f t="shared" si="5"/>
        <v>28110.61</v>
      </c>
      <c r="K73" s="170">
        <f t="shared" si="6"/>
        <v>64549.48</v>
      </c>
    </row>
    <row r="74" spans="2:11" ht="18.75" x14ac:dyDescent="0.3">
      <c r="B74" s="210">
        <v>43816</v>
      </c>
      <c r="C74" s="187" t="s">
        <v>1061</v>
      </c>
      <c r="D74" s="168"/>
      <c r="E74" s="168"/>
      <c r="F74" s="168"/>
      <c r="G74" s="168"/>
      <c r="H74" s="168">
        <v>1699</v>
      </c>
      <c r="I74" s="169"/>
      <c r="J74" s="170">
        <f t="shared" si="5"/>
        <v>28110.61</v>
      </c>
      <c r="K74" s="170">
        <f t="shared" si="6"/>
        <v>62850.48</v>
      </c>
    </row>
    <row r="75" spans="2:11" ht="18.75" x14ac:dyDescent="0.3">
      <c r="B75" s="210">
        <v>43819</v>
      </c>
      <c r="C75" s="186" t="s">
        <v>1050</v>
      </c>
      <c r="D75" s="168"/>
      <c r="E75" s="168"/>
      <c r="F75" s="168"/>
      <c r="G75" s="168"/>
      <c r="H75" s="168">
        <v>2000</v>
      </c>
      <c r="I75" s="169"/>
      <c r="J75" s="170">
        <f t="shared" si="5"/>
        <v>28110.61</v>
      </c>
      <c r="K75" s="170">
        <f t="shared" si="6"/>
        <v>60850.48</v>
      </c>
    </row>
    <row r="76" spans="2:11" ht="18.75" x14ac:dyDescent="0.3">
      <c r="B76" s="210">
        <v>43819</v>
      </c>
      <c r="C76" s="167" t="s">
        <v>1101</v>
      </c>
      <c r="D76" s="168"/>
      <c r="E76" s="168"/>
      <c r="F76" s="168"/>
      <c r="G76" s="168"/>
      <c r="H76" s="168">
        <v>1500</v>
      </c>
      <c r="I76" s="169"/>
      <c r="J76" s="170">
        <f t="shared" si="5"/>
        <v>28110.61</v>
      </c>
      <c r="K76" s="170">
        <f t="shared" si="6"/>
        <v>59350.48</v>
      </c>
    </row>
    <row r="77" spans="2:11" ht="18.75" x14ac:dyDescent="0.3">
      <c r="B77" s="210">
        <v>43819</v>
      </c>
      <c r="C77" s="167" t="s">
        <v>1102</v>
      </c>
      <c r="D77" s="168"/>
      <c r="E77" s="168"/>
      <c r="F77" s="168"/>
      <c r="G77" s="168"/>
      <c r="H77" s="168">
        <v>1500</v>
      </c>
      <c r="I77" s="169"/>
      <c r="J77" s="170">
        <f t="shared" si="5"/>
        <v>28110.61</v>
      </c>
      <c r="K77" s="170">
        <f t="shared" si="6"/>
        <v>57850.48</v>
      </c>
    </row>
    <row r="78" spans="2:11" ht="18.75" x14ac:dyDescent="0.3">
      <c r="B78" s="210">
        <v>43819</v>
      </c>
      <c r="C78" s="167" t="s">
        <v>1082</v>
      </c>
      <c r="D78" s="168"/>
      <c r="E78" s="168"/>
      <c r="F78" s="168"/>
      <c r="G78" s="168"/>
      <c r="H78" s="168">
        <v>1802.8</v>
      </c>
      <c r="I78" s="169"/>
      <c r="J78" s="170">
        <f t="shared" si="5"/>
        <v>28110.61</v>
      </c>
      <c r="K78" s="170">
        <f t="shared" si="6"/>
        <v>56047.68</v>
      </c>
    </row>
    <row r="79" spans="2:11" ht="18.75" x14ac:dyDescent="0.3">
      <c r="B79" s="210">
        <v>43821</v>
      </c>
      <c r="C79" s="167" t="s">
        <v>1062</v>
      </c>
      <c r="D79" s="168"/>
      <c r="E79" s="168"/>
      <c r="F79" s="168"/>
      <c r="G79" s="168"/>
      <c r="H79" s="168">
        <v>200</v>
      </c>
      <c r="I79" s="169"/>
      <c r="J79" s="170">
        <f t="shared" si="5"/>
        <v>28110.61</v>
      </c>
      <c r="K79" s="170">
        <f t="shared" si="6"/>
        <v>55847.68</v>
      </c>
    </row>
    <row r="80" spans="2:11" ht="18.75" x14ac:dyDescent="0.3">
      <c r="B80" s="210">
        <v>43821</v>
      </c>
      <c r="C80" s="171" t="s">
        <v>1027</v>
      </c>
      <c r="D80" s="188"/>
      <c r="E80" s="188"/>
      <c r="F80" s="188"/>
      <c r="G80" s="168"/>
      <c r="H80" s="168">
        <v>300</v>
      </c>
      <c r="I80" s="169"/>
      <c r="J80" s="170">
        <f t="shared" si="5"/>
        <v>28110.61</v>
      </c>
      <c r="K80" s="170">
        <f t="shared" si="6"/>
        <v>55547.68</v>
      </c>
    </row>
    <row r="81" spans="2:12" ht="18.75" x14ac:dyDescent="0.3">
      <c r="B81" s="210">
        <v>43821</v>
      </c>
      <c r="C81" s="171" t="s">
        <v>1027</v>
      </c>
      <c r="D81" s="188"/>
      <c r="E81" s="188"/>
      <c r="F81" s="188"/>
      <c r="G81" s="168"/>
      <c r="H81" s="168">
        <v>300</v>
      </c>
      <c r="I81" s="169"/>
      <c r="J81" s="170">
        <f t="shared" si="5"/>
        <v>28110.61</v>
      </c>
      <c r="K81" s="170">
        <f t="shared" si="6"/>
        <v>55247.68</v>
      </c>
    </row>
    <row r="82" spans="2:12" ht="18.75" x14ac:dyDescent="0.3">
      <c r="B82" s="210">
        <v>43821</v>
      </c>
      <c r="C82" s="171" t="s">
        <v>1063</v>
      </c>
      <c r="D82" s="188"/>
      <c r="E82" s="188"/>
      <c r="F82" s="188"/>
      <c r="G82" s="168"/>
      <c r="H82" s="168">
        <v>100</v>
      </c>
      <c r="I82" s="169"/>
      <c r="J82" s="170">
        <f t="shared" si="5"/>
        <v>28110.61</v>
      </c>
      <c r="K82" s="170">
        <f t="shared" si="6"/>
        <v>55147.68</v>
      </c>
    </row>
    <row r="83" spans="2:12" ht="18.75" x14ac:dyDescent="0.3">
      <c r="B83" s="210">
        <v>43821</v>
      </c>
      <c r="C83" s="171" t="s">
        <v>1064</v>
      </c>
      <c r="D83" s="188"/>
      <c r="E83" s="188"/>
      <c r="F83" s="188"/>
      <c r="G83" s="168"/>
      <c r="H83" s="168">
        <v>343</v>
      </c>
      <c r="I83" s="169"/>
      <c r="J83" s="170">
        <f t="shared" si="5"/>
        <v>28110.61</v>
      </c>
      <c r="K83" s="170">
        <f t="shared" si="6"/>
        <v>54804.68</v>
      </c>
    </row>
    <row r="84" spans="2:12" ht="18.75" x14ac:dyDescent="0.3">
      <c r="B84" s="210">
        <v>43821</v>
      </c>
      <c r="C84" s="171" t="s">
        <v>1065</v>
      </c>
      <c r="D84" s="188"/>
      <c r="E84" s="188"/>
      <c r="F84" s="188"/>
      <c r="G84" s="188"/>
      <c r="H84" s="168">
        <v>76</v>
      </c>
      <c r="I84" s="169"/>
      <c r="J84" s="170">
        <f t="shared" si="5"/>
        <v>28110.61</v>
      </c>
      <c r="K84" s="170">
        <f t="shared" si="6"/>
        <v>54728.68</v>
      </c>
      <c r="L84" s="1"/>
    </row>
    <row r="85" spans="2:12" ht="18.75" x14ac:dyDescent="0.3">
      <c r="B85" s="210">
        <v>43821</v>
      </c>
      <c r="C85" s="167" t="s">
        <v>1066</v>
      </c>
      <c r="D85" s="188">
        <v>23050</v>
      </c>
      <c r="E85" s="188"/>
      <c r="F85" s="188"/>
      <c r="G85" s="188"/>
      <c r="H85" s="168"/>
      <c r="I85" s="169"/>
      <c r="J85" s="170">
        <f t="shared" si="5"/>
        <v>28110.61</v>
      </c>
      <c r="K85" s="170">
        <f t="shared" si="6"/>
        <v>77778.679999999993</v>
      </c>
    </row>
    <row r="86" spans="2:12" ht="18.75" x14ac:dyDescent="0.3">
      <c r="B86" s="210">
        <v>43821</v>
      </c>
      <c r="C86" s="167" t="s">
        <v>1067</v>
      </c>
      <c r="D86" s="168"/>
      <c r="E86" s="168">
        <v>250</v>
      </c>
      <c r="F86" s="168"/>
      <c r="G86" s="168"/>
      <c r="H86" s="168"/>
      <c r="I86" s="169"/>
      <c r="J86" s="170">
        <f t="shared" si="5"/>
        <v>28360.61</v>
      </c>
      <c r="K86" s="170">
        <f t="shared" si="6"/>
        <v>77778.679999999993</v>
      </c>
    </row>
    <row r="87" spans="2:12" ht="18.75" x14ac:dyDescent="0.3">
      <c r="B87" s="210">
        <v>43821</v>
      </c>
      <c r="C87" s="167" t="s">
        <v>1099</v>
      </c>
      <c r="D87" s="168"/>
      <c r="E87" s="168"/>
      <c r="F87" s="168"/>
      <c r="G87" s="168"/>
      <c r="H87" s="168">
        <v>480</v>
      </c>
      <c r="I87" s="169"/>
      <c r="J87" s="170">
        <f t="shared" si="5"/>
        <v>28360.61</v>
      </c>
      <c r="K87" s="170">
        <f t="shared" si="6"/>
        <v>77298.679999999993</v>
      </c>
    </row>
    <row r="88" spans="2:12" ht="18.75" x14ac:dyDescent="0.3">
      <c r="B88" s="210">
        <v>43821</v>
      </c>
      <c r="C88" s="167" t="s">
        <v>1069</v>
      </c>
      <c r="D88" s="168"/>
      <c r="E88" s="168"/>
      <c r="F88" s="168"/>
      <c r="G88" s="168"/>
      <c r="H88" s="168">
        <v>778</v>
      </c>
      <c r="I88" s="169"/>
      <c r="J88" s="170">
        <f t="shared" si="5"/>
        <v>28360.61</v>
      </c>
      <c r="K88" s="170">
        <f t="shared" si="6"/>
        <v>76520.679999999993</v>
      </c>
    </row>
    <row r="89" spans="2:12" ht="18.75" x14ac:dyDescent="0.3">
      <c r="B89" s="210">
        <v>43821</v>
      </c>
      <c r="C89" s="167" t="s">
        <v>1070</v>
      </c>
      <c r="D89" s="168"/>
      <c r="E89" s="168"/>
      <c r="F89" s="168"/>
      <c r="G89" s="168"/>
      <c r="H89" s="168">
        <v>115.51</v>
      </c>
      <c r="I89" s="169"/>
      <c r="J89" s="170">
        <f t="shared" si="5"/>
        <v>28360.61</v>
      </c>
      <c r="K89" s="170">
        <f t="shared" si="6"/>
        <v>76405.17</v>
      </c>
    </row>
    <row r="90" spans="2:12" ht="18.75" x14ac:dyDescent="0.3">
      <c r="B90" s="210">
        <v>43822</v>
      </c>
      <c r="C90" s="167" t="s">
        <v>1071</v>
      </c>
      <c r="D90" s="168"/>
      <c r="E90" s="168"/>
      <c r="F90" s="168"/>
      <c r="G90" s="168"/>
      <c r="H90" s="168">
        <v>5784.56</v>
      </c>
      <c r="I90" s="169"/>
      <c r="J90" s="170">
        <f t="shared" si="5"/>
        <v>28360.61</v>
      </c>
      <c r="K90" s="170">
        <f t="shared" si="6"/>
        <v>70620.61</v>
      </c>
    </row>
    <row r="91" spans="2:12" ht="18.75" x14ac:dyDescent="0.3">
      <c r="B91" s="210">
        <v>43822</v>
      </c>
      <c r="C91" s="167" t="s">
        <v>1072</v>
      </c>
      <c r="D91" s="168"/>
      <c r="E91" s="168"/>
      <c r="F91" s="168"/>
      <c r="G91" s="168"/>
      <c r="H91" s="168">
        <v>1120.07</v>
      </c>
      <c r="I91" s="169"/>
      <c r="J91" s="170">
        <f t="shared" si="5"/>
        <v>28360.61</v>
      </c>
      <c r="K91" s="170">
        <f t="shared" si="6"/>
        <v>69500.539999999994</v>
      </c>
    </row>
    <row r="92" spans="2:12" ht="18.75" x14ac:dyDescent="0.3">
      <c r="B92" s="210">
        <v>43822</v>
      </c>
      <c r="C92" s="167" t="s">
        <v>1073</v>
      </c>
      <c r="D92" s="168"/>
      <c r="E92" s="168"/>
      <c r="F92" s="168"/>
      <c r="G92" s="168"/>
      <c r="H92" s="168">
        <v>39</v>
      </c>
      <c r="I92" s="169"/>
      <c r="J92" s="170">
        <f t="shared" si="5"/>
        <v>28360.61</v>
      </c>
      <c r="K92" s="170">
        <f t="shared" si="6"/>
        <v>69461.539999999994</v>
      </c>
    </row>
    <row r="93" spans="2:12" ht="18.75" x14ac:dyDescent="0.3">
      <c r="B93" s="210">
        <v>43823</v>
      </c>
      <c r="C93" s="187" t="s">
        <v>1074</v>
      </c>
      <c r="D93" s="168"/>
      <c r="E93" s="168"/>
      <c r="F93" s="168"/>
      <c r="G93" s="168"/>
      <c r="H93" s="168">
        <v>38</v>
      </c>
      <c r="I93" s="169"/>
      <c r="J93" s="170">
        <f t="shared" si="5"/>
        <v>28360.61</v>
      </c>
      <c r="K93" s="170">
        <f t="shared" si="6"/>
        <v>69423.539999999994</v>
      </c>
    </row>
    <row r="94" spans="2:12" ht="18.75" x14ac:dyDescent="0.3">
      <c r="B94" s="210">
        <v>43823</v>
      </c>
      <c r="C94" s="186" t="s">
        <v>1075</v>
      </c>
      <c r="D94" s="168"/>
      <c r="E94" s="168"/>
      <c r="F94" s="168"/>
      <c r="G94" s="168"/>
      <c r="H94" s="168">
        <v>510</v>
      </c>
      <c r="I94" s="169"/>
      <c r="J94" s="170">
        <f t="shared" si="5"/>
        <v>28360.61</v>
      </c>
      <c r="K94" s="170">
        <f t="shared" si="6"/>
        <v>68913.539999999994</v>
      </c>
    </row>
    <row r="95" spans="2:12" ht="18.75" x14ac:dyDescent="0.3">
      <c r="B95" s="210">
        <v>43826</v>
      </c>
      <c r="C95" s="167" t="s">
        <v>1076</v>
      </c>
      <c r="D95" s="168"/>
      <c r="E95" s="168"/>
      <c r="F95" s="168"/>
      <c r="G95" s="168"/>
      <c r="H95" s="168">
        <v>58.9</v>
      </c>
      <c r="I95" s="169"/>
      <c r="J95" s="170">
        <f t="shared" si="5"/>
        <v>28360.61</v>
      </c>
      <c r="K95" s="170">
        <f t="shared" si="6"/>
        <v>68854.64</v>
      </c>
    </row>
    <row r="96" spans="2:12" ht="18.75" x14ac:dyDescent="0.3">
      <c r="B96" s="210">
        <v>43826</v>
      </c>
      <c r="C96" s="167" t="s">
        <v>1084</v>
      </c>
      <c r="D96" s="168"/>
      <c r="E96" s="168"/>
      <c r="F96" s="168"/>
      <c r="G96" s="168"/>
      <c r="H96" s="168">
        <v>78</v>
      </c>
      <c r="I96" s="169"/>
      <c r="J96" s="170">
        <f t="shared" si="5"/>
        <v>28360.61</v>
      </c>
      <c r="K96" s="170">
        <f t="shared" si="6"/>
        <v>68776.639999999999</v>
      </c>
    </row>
    <row r="97" spans="2:12" ht="19.5" thickBot="1" x14ac:dyDescent="0.35">
      <c r="B97" s="210">
        <v>43826</v>
      </c>
      <c r="C97" s="167" t="s">
        <v>1083</v>
      </c>
      <c r="D97" s="168"/>
      <c r="E97" s="168"/>
      <c r="F97" s="168"/>
      <c r="G97" s="168"/>
      <c r="H97" s="168">
        <v>75</v>
      </c>
      <c r="I97" s="169"/>
      <c r="J97" s="170">
        <f t="shared" si="5"/>
        <v>28360.61</v>
      </c>
      <c r="K97" s="170">
        <f t="shared" si="6"/>
        <v>68701.64</v>
      </c>
    </row>
    <row r="98" spans="2:12" ht="19.5" thickBot="1" x14ac:dyDescent="0.35">
      <c r="B98" s="178"/>
      <c r="C98" s="179" t="s">
        <v>0</v>
      </c>
      <c r="D98" s="180">
        <f>SUM(D52:D97)</f>
        <v>168200</v>
      </c>
      <c r="E98" s="181">
        <f>SUM(E52:E97)</f>
        <v>24761.260000000002</v>
      </c>
      <c r="F98" s="182">
        <f>SUM(D98:E98)</f>
        <v>192961.26</v>
      </c>
      <c r="G98" s="183">
        <f>SUM(G52:G97)</f>
        <v>18160</v>
      </c>
      <c r="H98" s="180">
        <f>SUM(H52:H97)</f>
        <v>118193.09</v>
      </c>
      <c r="I98" s="182">
        <f>SUM(G98:H98)</f>
        <v>136353.09</v>
      </c>
      <c r="J98" s="184"/>
      <c r="K98" s="184"/>
    </row>
    <row r="99" spans="2:12" ht="18.75" x14ac:dyDescent="0.3">
      <c r="B99" s="154" t="s">
        <v>1</v>
      </c>
      <c r="C99" s="154" t="s">
        <v>2</v>
      </c>
      <c r="D99" s="154" t="s">
        <v>3</v>
      </c>
      <c r="E99" s="154" t="s">
        <v>3</v>
      </c>
      <c r="F99" s="154" t="s">
        <v>22</v>
      </c>
      <c r="G99" s="154" t="s">
        <v>23</v>
      </c>
      <c r="H99" s="155" t="s">
        <v>23</v>
      </c>
      <c r="I99" s="155" t="s">
        <v>22</v>
      </c>
      <c r="J99" s="154" t="s">
        <v>8</v>
      </c>
      <c r="K99" s="155" t="s">
        <v>7</v>
      </c>
    </row>
    <row r="100" spans="2:12" ht="19.5" thickBot="1" x14ac:dyDescent="0.35">
      <c r="B100" s="156"/>
      <c r="C100" s="156"/>
      <c r="D100" s="156" t="s">
        <v>5</v>
      </c>
      <c r="E100" s="156" t="s">
        <v>24</v>
      </c>
      <c r="F100" s="156" t="s">
        <v>3</v>
      </c>
      <c r="G100" s="156" t="s">
        <v>24</v>
      </c>
      <c r="H100" s="157" t="s">
        <v>5</v>
      </c>
      <c r="I100" s="157" t="s">
        <v>4</v>
      </c>
      <c r="J100" s="156"/>
      <c r="K100" s="157"/>
    </row>
    <row r="101" spans="2:12" ht="19.5" thickBot="1" x14ac:dyDescent="0.35">
      <c r="B101" s="178"/>
      <c r="C101" s="179"/>
      <c r="D101" s="180">
        <v>168200</v>
      </c>
      <c r="E101" s="181">
        <v>24761.26</v>
      </c>
      <c r="F101" s="182">
        <f>SUM(D101:E101)</f>
        <v>192961.26</v>
      </c>
      <c r="G101" s="183">
        <v>18160</v>
      </c>
      <c r="H101" s="180">
        <v>118193.09</v>
      </c>
      <c r="I101" s="182">
        <f>SUM(G101:H101)</f>
        <v>136353.09</v>
      </c>
      <c r="J101" s="184">
        <v>28360.61</v>
      </c>
      <c r="K101" s="170">
        <v>68701.64</v>
      </c>
    </row>
    <row r="102" spans="2:12" ht="18.75" x14ac:dyDescent="0.3">
      <c r="B102" s="210">
        <v>43828</v>
      </c>
      <c r="C102" s="167" t="s">
        <v>1086</v>
      </c>
      <c r="D102" s="168"/>
      <c r="E102" s="168"/>
      <c r="F102" s="168"/>
      <c r="G102" s="168"/>
      <c r="H102" s="168">
        <v>66.5</v>
      </c>
      <c r="I102" s="169"/>
      <c r="J102" s="170">
        <f>+J97+E102-G102</f>
        <v>28360.61</v>
      </c>
      <c r="K102" s="170">
        <f>+K97+D102-H102</f>
        <v>68635.14</v>
      </c>
    </row>
    <row r="103" spans="2:12" ht="18.75" x14ac:dyDescent="0.3">
      <c r="B103" s="210">
        <v>43828</v>
      </c>
      <c r="C103" s="171" t="s">
        <v>1087</v>
      </c>
      <c r="D103" s="168"/>
      <c r="E103" s="168"/>
      <c r="F103" s="168"/>
      <c r="G103" s="168"/>
      <c r="H103" s="168">
        <v>200</v>
      </c>
      <c r="I103" s="169"/>
      <c r="J103" s="170">
        <f t="shared" si="5"/>
        <v>28360.61</v>
      </c>
      <c r="K103" s="170">
        <f t="shared" si="6"/>
        <v>68435.14</v>
      </c>
    </row>
    <row r="104" spans="2:12" ht="18.75" x14ac:dyDescent="0.3">
      <c r="B104" s="210">
        <v>43828</v>
      </c>
      <c r="C104" s="167" t="s">
        <v>1088</v>
      </c>
      <c r="D104" s="168"/>
      <c r="E104" s="168"/>
      <c r="F104" s="168"/>
      <c r="G104" s="168"/>
      <c r="H104" s="168">
        <v>100</v>
      </c>
      <c r="I104" s="169"/>
      <c r="J104" s="170">
        <f t="shared" si="5"/>
        <v>28360.61</v>
      </c>
      <c r="K104" s="170">
        <f t="shared" si="6"/>
        <v>68335.14</v>
      </c>
    </row>
    <row r="105" spans="2:12" ht="18.75" x14ac:dyDescent="0.3">
      <c r="B105" s="210">
        <v>43828</v>
      </c>
      <c r="C105" s="167" t="s">
        <v>1089</v>
      </c>
      <c r="D105" s="168"/>
      <c r="E105" s="168"/>
      <c r="F105" s="168"/>
      <c r="G105" s="168"/>
      <c r="H105" s="168">
        <v>139</v>
      </c>
      <c r="I105" s="169"/>
      <c r="J105" s="170">
        <f t="shared" ref="J105:J122" si="7">+J104+E105-G105</f>
        <v>28360.61</v>
      </c>
      <c r="K105" s="170">
        <f t="shared" ref="K105:K122" si="8">+K104+D105-H105</f>
        <v>68196.14</v>
      </c>
    </row>
    <row r="106" spans="2:12" ht="18.75" x14ac:dyDescent="0.3">
      <c r="B106" s="210">
        <v>43828</v>
      </c>
      <c r="C106" s="167" t="s">
        <v>1085</v>
      </c>
      <c r="D106" s="168">
        <v>36200</v>
      </c>
      <c r="E106" s="168"/>
      <c r="F106" s="168"/>
      <c r="G106" s="168"/>
      <c r="H106" s="168"/>
      <c r="I106" s="169"/>
      <c r="J106" s="170">
        <f t="shared" si="7"/>
        <v>28360.61</v>
      </c>
      <c r="K106" s="170">
        <f t="shared" si="8"/>
        <v>104396.14</v>
      </c>
    </row>
    <row r="107" spans="2:12" ht="18.75" x14ac:dyDescent="0.3">
      <c r="B107" s="210">
        <v>43829</v>
      </c>
      <c r="C107" s="167" t="s">
        <v>1090</v>
      </c>
      <c r="D107" s="168"/>
      <c r="E107" s="168"/>
      <c r="F107" s="168"/>
      <c r="G107" s="168"/>
      <c r="H107" s="168">
        <v>156</v>
      </c>
      <c r="I107" s="169"/>
      <c r="J107" s="170">
        <f t="shared" si="7"/>
        <v>28360.61</v>
      </c>
      <c r="K107" s="170">
        <f t="shared" si="8"/>
        <v>104240.14</v>
      </c>
    </row>
    <row r="108" spans="2:12" ht="18.75" x14ac:dyDescent="0.3">
      <c r="B108" s="210">
        <v>43830</v>
      </c>
      <c r="C108" s="167" t="s">
        <v>1098</v>
      </c>
      <c r="D108" s="168"/>
      <c r="E108" s="168"/>
      <c r="F108" s="168"/>
      <c r="G108" s="168"/>
      <c r="H108" s="168">
        <v>1500</v>
      </c>
      <c r="I108" s="169"/>
      <c r="J108" s="170">
        <f t="shared" si="7"/>
        <v>28360.61</v>
      </c>
      <c r="K108" s="170">
        <f t="shared" si="8"/>
        <v>102740.14</v>
      </c>
    </row>
    <row r="109" spans="2:12" ht="18.75" x14ac:dyDescent="0.3">
      <c r="B109" s="210">
        <v>43830</v>
      </c>
      <c r="C109" s="167" t="s">
        <v>1091</v>
      </c>
      <c r="D109" s="168"/>
      <c r="E109" s="168"/>
      <c r="F109" s="168"/>
      <c r="G109" s="168"/>
      <c r="H109" s="168">
        <v>500</v>
      </c>
      <c r="I109" s="169"/>
      <c r="J109" s="170">
        <f t="shared" si="7"/>
        <v>28360.61</v>
      </c>
      <c r="K109" s="170">
        <f t="shared" si="8"/>
        <v>102240.14</v>
      </c>
    </row>
    <row r="110" spans="2:12" ht="18.75" x14ac:dyDescent="0.3">
      <c r="B110" s="210">
        <v>43830</v>
      </c>
      <c r="C110" s="167" t="s">
        <v>1092</v>
      </c>
      <c r="D110" s="168"/>
      <c r="E110" s="168"/>
      <c r="F110" s="168"/>
      <c r="G110" s="168"/>
      <c r="H110" s="168">
        <v>300</v>
      </c>
      <c r="I110" s="169"/>
      <c r="J110" s="170">
        <f t="shared" si="7"/>
        <v>28360.61</v>
      </c>
      <c r="K110" s="170">
        <f t="shared" si="8"/>
        <v>101940.14</v>
      </c>
    </row>
    <row r="111" spans="2:12" ht="18.75" x14ac:dyDescent="0.3">
      <c r="B111" s="210">
        <v>43830</v>
      </c>
      <c r="C111" s="171" t="s">
        <v>1103</v>
      </c>
      <c r="D111" s="168"/>
      <c r="E111" s="168"/>
      <c r="F111" s="168"/>
      <c r="G111" s="168"/>
      <c r="H111" s="168">
        <v>300</v>
      </c>
      <c r="I111" s="169"/>
      <c r="J111" s="170">
        <f t="shared" si="7"/>
        <v>28360.61</v>
      </c>
      <c r="K111" s="170">
        <f t="shared" si="8"/>
        <v>101640.14</v>
      </c>
      <c r="L111" s="1"/>
    </row>
    <row r="112" spans="2:12" ht="18.75" x14ac:dyDescent="0.3">
      <c r="B112" s="210">
        <v>43830</v>
      </c>
      <c r="C112" s="171" t="s">
        <v>1093</v>
      </c>
      <c r="D112" s="168"/>
      <c r="E112" s="168"/>
      <c r="F112" s="168"/>
      <c r="G112" s="168"/>
      <c r="H112" s="168">
        <v>3000</v>
      </c>
      <c r="I112" s="169"/>
      <c r="J112" s="170">
        <f t="shared" si="7"/>
        <v>28360.61</v>
      </c>
      <c r="K112" s="170">
        <f t="shared" si="8"/>
        <v>98640.14</v>
      </c>
    </row>
    <row r="113" spans="2:11" ht="18.75" x14ac:dyDescent="0.3">
      <c r="B113" s="210">
        <v>43830</v>
      </c>
      <c r="C113" s="174" t="s">
        <v>1094</v>
      </c>
      <c r="D113" s="168"/>
      <c r="E113" s="168"/>
      <c r="F113" s="168"/>
      <c r="G113" s="168"/>
      <c r="H113" s="168">
        <v>6000</v>
      </c>
      <c r="I113" s="169"/>
      <c r="J113" s="170">
        <f t="shared" si="7"/>
        <v>28360.61</v>
      </c>
      <c r="K113" s="170">
        <f t="shared" si="8"/>
        <v>92640.14</v>
      </c>
    </row>
    <row r="114" spans="2:11" ht="18.75" x14ac:dyDescent="0.3">
      <c r="B114" s="210">
        <v>43830</v>
      </c>
      <c r="C114" s="167" t="s">
        <v>1097</v>
      </c>
      <c r="D114" s="168"/>
      <c r="E114" s="168"/>
      <c r="F114" s="168"/>
      <c r="G114" s="168"/>
      <c r="H114" s="168">
        <v>2000</v>
      </c>
      <c r="I114" s="169"/>
      <c r="J114" s="170">
        <f t="shared" si="7"/>
        <v>28360.61</v>
      </c>
      <c r="K114" s="170">
        <f t="shared" si="8"/>
        <v>90640.14</v>
      </c>
    </row>
    <row r="115" spans="2:11" ht="18.75" x14ac:dyDescent="0.3">
      <c r="B115" s="210">
        <v>43830</v>
      </c>
      <c r="C115" s="167" t="s">
        <v>1096</v>
      </c>
      <c r="D115" s="168"/>
      <c r="E115" s="168"/>
      <c r="F115" s="168"/>
      <c r="G115" s="168"/>
      <c r="H115" s="168">
        <v>30000</v>
      </c>
      <c r="I115" s="169"/>
      <c r="J115" s="170">
        <f t="shared" si="7"/>
        <v>28360.61</v>
      </c>
      <c r="K115" s="170">
        <f t="shared" si="8"/>
        <v>60640.14</v>
      </c>
    </row>
    <row r="116" spans="2:11" ht="18.75" x14ac:dyDescent="0.3">
      <c r="B116" s="210">
        <v>43830</v>
      </c>
      <c r="C116" s="167" t="s">
        <v>1095</v>
      </c>
      <c r="D116" s="168"/>
      <c r="E116" s="168"/>
      <c r="F116" s="168"/>
      <c r="G116" s="168"/>
      <c r="H116" s="168">
        <v>42900</v>
      </c>
      <c r="I116" s="169"/>
      <c r="J116" s="170">
        <f t="shared" si="7"/>
        <v>28360.61</v>
      </c>
      <c r="K116" s="170">
        <f t="shared" si="8"/>
        <v>17740.14</v>
      </c>
    </row>
    <row r="117" spans="2:11" ht="18.75" x14ac:dyDescent="0.3">
      <c r="B117" s="210">
        <v>43829</v>
      </c>
      <c r="C117" s="171" t="s">
        <v>1068</v>
      </c>
      <c r="D117" s="168"/>
      <c r="E117" s="168">
        <v>400.15</v>
      </c>
      <c r="F117" s="168"/>
      <c r="G117" s="168"/>
      <c r="H117" s="168"/>
      <c r="I117" s="169"/>
      <c r="J117" s="170">
        <f t="shared" si="7"/>
        <v>28760.760000000002</v>
      </c>
      <c r="K117" s="170">
        <f t="shared" si="8"/>
        <v>17740.14</v>
      </c>
    </row>
    <row r="118" spans="2:11" ht="18.75" x14ac:dyDescent="0.3">
      <c r="B118" s="210">
        <v>43826</v>
      </c>
      <c r="C118" s="167" t="s">
        <v>817</v>
      </c>
      <c r="D118" s="168"/>
      <c r="E118" s="168"/>
      <c r="F118" s="168"/>
      <c r="G118" s="168">
        <v>200</v>
      </c>
      <c r="H118" s="168"/>
      <c r="I118" s="169"/>
      <c r="J118" s="170">
        <f t="shared" si="7"/>
        <v>28560.760000000002</v>
      </c>
      <c r="K118" s="170">
        <f t="shared" si="8"/>
        <v>17740.14</v>
      </c>
    </row>
    <row r="119" spans="2:11" ht="18.75" x14ac:dyDescent="0.3">
      <c r="B119" s="210">
        <v>43826</v>
      </c>
      <c r="C119" s="171" t="s">
        <v>497</v>
      </c>
      <c r="D119" s="168"/>
      <c r="E119" s="168"/>
      <c r="F119" s="168"/>
      <c r="G119" s="168">
        <v>32</v>
      </c>
      <c r="H119" s="168"/>
      <c r="I119" s="169"/>
      <c r="J119" s="170">
        <f t="shared" si="7"/>
        <v>28528.760000000002</v>
      </c>
      <c r="K119" s="170">
        <f t="shared" si="8"/>
        <v>17740.14</v>
      </c>
    </row>
    <row r="120" spans="2:11" ht="18.75" x14ac:dyDescent="0.3">
      <c r="B120" s="210">
        <v>43830</v>
      </c>
      <c r="C120" s="167" t="s">
        <v>69</v>
      </c>
      <c r="D120" s="168"/>
      <c r="E120" s="168"/>
      <c r="F120" s="168"/>
      <c r="G120" s="168">
        <v>36</v>
      </c>
      <c r="H120" s="168"/>
      <c r="I120" s="169"/>
      <c r="J120" s="170">
        <f t="shared" si="7"/>
        <v>28492.760000000002</v>
      </c>
      <c r="K120" s="170">
        <f t="shared" si="8"/>
        <v>17740.14</v>
      </c>
    </row>
    <row r="121" spans="2:11" ht="18.75" x14ac:dyDescent="0.3">
      <c r="B121" s="210">
        <v>43830</v>
      </c>
      <c r="C121" s="171" t="s">
        <v>70</v>
      </c>
      <c r="D121" s="168"/>
      <c r="E121" s="168"/>
      <c r="F121" s="168"/>
      <c r="G121" s="168">
        <v>5.76</v>
      </c>
      <c r="H121" s="168"/>
      <c r="I121" s="169"/>
      <c r="J121" s="170">
        <f t="shared" si="7"/>
        <v>28487.000000000004</v>
      </c>
      <c r="K121" s="170">
        <f t="shared" si="8"/>
        <v>17740.14</v>
      </c>
    </row>
    <row r="122" spans="2:11" ht="19.5" thickBot="1" x14ac:dyDescent="0.35">
      <c r="B122" s="210"/>
      <c r="C122" s="167"/>
      <c r="D122" s="168"/>
      <c r="E122" s="168"/>
      <c r="F122" s="168"/>
      <c r="G122" s="168"/>
      <c r="H122" s="168"/>
      <c r="I122" s="169"/>
      <c r="J122" s="170">
        <f t="shared" si="7"/>
        <v>28487.000000000004</v>
      </c>
      <c r="K122" s="170">
        <f t="shared" si="8"/>
        <v>17740.14</v>
      </c>
    </row>
    <row r="123" spans="2:11" ht="19.5" thickBot="1" x14ac:dyDescent="0.35">
      <c r="B123" s="178"/>
      <c r="C123" s="179" t="s">
        <v>0</v>
      </c>
      <c r="D123" s="180">
        <f>SUM(D101:D122)</f>
        <v>204400</v>
      </c>
      <c r="E123" s="181">
        <f>SUM(E101:E122)</f>
        <v>25161.41</v>
      </c>
      <c r="F123" s="182">
        <f>SUM(D123:E123)</f>
        <v>229561.41</v>
      </c>
      <c r="G123" s="183">
        <f>SUM(G101:G122)</f>
        <v>18433.759999999998</v>
      </c>
      <c r="H123" s="180">
        <f>SUM(H101:H122)</f>
        <v>205354.59</v>
      </c>
      <c r="I123" s="182">
        <f>SUM(G123:H123)</f>
        <v>223788.35</v>
      </c>
      <c r="J123" s="184"/>
      <c r="K123" s="184"/>
    </row>
    <row r="124" spans="2:11" ht="18.75" x14ac:dyDescent="0.3">
      <c r="B124" s="151"/>
      <c r="C124" s="151"/>
      <c r="D124" s="151"/>
      <c r="E124" s="151"/>
      <c r="F124" s="151"/>
      <c r="G124" s="151"/>
      <c r="H124" s="151"/>
      <c r="I124" s="151"/>
      <c r="J124" s="151"/>
      <c r="K124" s="151"/>
    </row>
    <row r="125" spans="2:11" ht="19.5" thickBot="1" x14ac:dyDescent="0.35">
      <c r="B125" s="151"/>
      <c r="C125" s="151"/>
      <c r="D125" s="151"/>
      <c r="E125" s="151"/>
      <c r="F125" s="151"/>
      <c r="G125" s="151"/>
      <c r="H125" s="151"/>
      <c r="I125" s="151"/>
      <c r="J125" s="151"/>
      <c r="K125" s="151"/>
    </row>
    <row r="126" spans="2:11" ht="19.5" thickBot="1" x14ac:dyDescent="0.35">
      <c r="B126" s="151"/>
      <c r="C126" s="151"/>
      <c r="D126" s="151"/>
      <c r="E126" s="151"/>
      <c r="F126" s="151"/>
      <c r="G126" s="151"/>
      <c r="H126" s="151"/>
      <c r="I126" s="189" t="s">
        <v>8</v>
      </c>
      <c r="J126" s="189" t="s">
        <v>7</v>
      </c>
      <c r="K126" s="190" t="s">
        <v>0</v>
      </c>
    </row>
    <row r="127" spans="2:11" ht="19.5" thickBot="1" x14ac:dyDescent="0.35">
      <c r="B127" s="151"/>
      <c r="C127" s="151"/>
      <c r="D127" s="151"/>
      <c r="E127" s="151"/>
      <c r="F127" s="151"/>
      <c r="G127" s="151"/>
      <c r="H127" s="151"/>
      <c r="I127" s="191">
        <v>28487</v>
      </c>
      <c r="J127" s="191">
        <v>17740.14</v>
      </c>
      <c r="K127" s="184">
        <f>SUM(I127:J127)</f>
        <v>46227.14</v>
      </c>
    </row>
  </sheetData>
  <phoneticPr fontId="17" type="noConversion"/>
  <printOptions verticalCentered="1"/>
  <pageMargins left="0" right="0" top="0" bottom="0" header="0.31496062992125984" footer="0.31496062992125984"/>
  <pageSetup paperSize="9" scale="64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9"/>
  <dimension ref="B1:N27"/>
  <sheetViews>
    <sheetView workbookViewId="0">
      <selection activeCell="I15" sqref="I15"/>
    </sheetView>
  </sheetViews>
  <sheetFormatPr baseColWidth="10" defaultRowHeight="15" x14ac:dyDescent="0.25"/>
  <cols>
    <col min="6" max="6" width="0" hidden="1" customWidth="1"/>
    <col min="10" max="10" width="0" hidden="1" customWidth="1"/>
  </cols>
  <sheetData>
    <row r="1" spans="2:14" ht="28.5" x14ac:dyDescent="0.45">
      <c r="B1" s="28"/>
      <c r="C1" s="46" t="s">
        <v>36</v>
      </c>
      <c r="D1" s="46"/>
      <c r="E1" s="46"/>
      <c r="F1" s="94"/>
      <c r="G1" s="94"/>
      <c r="H1" s="94"/>
      <c r="I1" s="94"/>
      <c r="J1" s="46"/>
      <c r="K1" s="46"/>
      <c r="L1" s="46"/>
      <c r="M1" s="46"/>
    </row>
    <row r="2" spans="2:14" ht="15.75" thickBot="1" x14ac:dyDescent="0.3">
      <c r="B2" s="213"/>
      <c r="C2" s="213"/>
      <c r="D2" s="213"/>
      <c r="E2" s="213"/>
      <c r="F2" s="213"/>
      <c r="G2" s="213"/>
      <c r="H2" s="213"/>
      <c r="I2" s="213"/>
      <c r="J2" s="82"/>
      <c r="K2" s="45"/>
      <c r="L2" s="82"/>
      <c r="M2" s="82"/>
    </row>
    <row r="3" spans="2:14" ht="15.75" thickBot="1" x14ac:dyDescent="0.3">
      <c r="C3" s="31"/>
      <c r="D3" s="31"/>
      <c r="N3" s="68" t="s">
        <v>30</v>
      </c>
    </row>
    <row r="4" spans="2:14" ht="15.75" thickBot="1" x14ac:dyDescent="0.3">
      <c r="B4" s="2" t="s">
        <v>1</v>
      </c>
      <c r="C4" s="4" t="s">
        <v>2</v>
      </c>
      <c r="D4" s="2" t="s">
        <v>3</v>
      </c>
      <c r="E4" s="3" t="s">
        <v>4</v>
      </c>
      <c r="F4" s="47"/>
      <c r="G4" s="47" t="s">
        <v>26</v>
      </c>
      <c r="H4" s="47" t="s">
        <v>27</v>
      </c>
      <c r="I4" s="47" t="s">
        <v>7</v>
      </c>
      <c r="J4" s="84"/>
      <c r="K4" s="48" t="s">
        <v>8</v>
      </c>
      <c r="L4" s="48" t="s">
        <v>28</v>
      </c>
      <c r="M4" s="87" t="s">
        <v>29</v>
      </c>
      <c r="N4" s="74" t="s">
        <v>31</v>
      </c>
    </row>
    <row r="5" spans="2:14" ht="15.75" thickBot="1" x14ac:dyDescent="0.3">
      <c r="B5" s="22"/>
      <c r="C5" s="49" t="s">
        <v>9</v>
      </c>
      <c r="D5" s="50"/>
      <c r="E5" s="8"/>
      <c r="F5" s="64">
        <v>3799.82</v>
      </c>
      <c r="G5" s="64"/>
      <c r="H5" s="64"/>
      <c r="I5" s="51">
        <v>3799.82</v>
      </c>
      <c r="J5" s="51"/>
      <c r="K5" s="12"/>
      <c r="L5" s="12"/>
      <c r="M5" s="12"/>
      <c r="N5" s="88"/>
    </row>
    <row r="6" spans="2:14" x14ac:dyDescent="0.25">
      <c r="B6" s="22">
        <v>42370</v>
      </c>
      <c r="C6" s="52" t="s">
        <v>10</v>
      </c>
      <c r="D6" s="11">
        <v>151565</v>
      </c>
      <c r="E6" s="11">
        <v>114325.83</v>
      </c>
      <c r="F6" s="83">
        <f t="shared" ref="F6:F11" si="0">SUM(F5+D6-E6)</f>
        <v>41038.990000000005</v>
      </c>
      <c r="G6" s="83"/>
      <c r="H6" s="83"/>
      <c r="I6" s="51">
        <f>+I5+D6-E6</f>
        <v>41038.990000000005</v>
      </c>
      <c r="J6" s="51"/>
      <c r="K6" s="12"/>
      <c r="L6" s="12"/>
      <c r="M6" s="12"/>
      <c r="N6" s="13"/>
    </row>
    <row r="7" spans="2:14" x14ac:dyDescent="0.25">
      <c r="B7" s="18">
        <v>42401</v>
      </c>
      <c r="C7" s="53" t="s">
        <v>11</v>
      </c>
      <c r="D7" s="16">
        <v>114584.5</v>
      </c>
      <c r="E7" s="11">
        <v>124184.41</v>
      </c>
      <c r="F7" s="83">
        <f t="shared" si="0"/>
        <v>31439.079999999987</v>
      </c>
      <c r="G7" s="83">
        <v>61060.29</v>
      </c>
      <c r="H7" s="83"/>
      <c r="I7" s="51">
        <v>31439.08</v>
      </c>
      <c r="J7" s="51"/>
      <c r="K7" s="12">
        <v>61060.29</v>
      </c>
      <c r="L7" s="12"/>
      <c r="M7" s="12"/>
      <c r="N7" s="13"/>
    </row>
    <row r="8" spans="2:14" x14ac:dyDescent="0.25">
      <c r="B8" s="18">
        <v>42430</v>
      </c>
      <c r="C8" s="54" t="s">
        <v>12</v>
      </c>
      <c r="D8" s="16">
        <v>73095</v>
      </c>
      <c r="E8" s="11">
        <v>102590.53</v>
      </c>
      <c r="F8" s="83">
        <f t="shared" si="0"/>
        <v>1943.5499999999884</v>
      </c>
      <c r="G8" s="83">
        <v>16561.11</v>
      </c>
      <c r="H8" s="83">
        <v>4416.24</v>
      </c>
      <c r="I8" s="51">
        <v>1943.55</v>
      </c>
      <c r="J8" s="51">
        <f>SUM(G7+G8-H8)</f>
        <v>73205.159999999989</v>
      </c>
      <c r="K8" s="12">
        <v>73205.16</v>
      </c>
      <c r="L8" s="12">
        <f t="shared" ref="L8:M11" si="1">SUM(D8+G8)</f>
        <v>89656.11</v>
      </c>
      <c r="M8" s="12">
        <f t="shared" si="1"/>
        <v>107006.77</v>
      </c>
      <c r="N8" s="85">
        <f>SUM(L8-M8)</f>
        <v>-17350.660000000003</v>
      </c>
    </row>
    <row r="9" spans="2:14" x14ac:dyDescent="0.25">
      <c r="B9" s="18">
        <v>42461</v>
      </c>
      <c r="C9" s="55" t="s">
        <v>13</v>
      </c>
      <c r="D9" s="11">
        <v>81055</v>
      </c>
      <c r="E9" s="11">
        <v>79032.37</v>
      </c>
      <c r="F9" s="83">
        <f t="shared" si="0"/>
        <v>3966.179999999993</v>
      </c>
      <c r="G9" s="83">
        <v>29020.46</v>
      </c>
      <c r="H9" s="83">
        <v>39549.440000000002</v>
      </c>
      <c r="I9" s="51">
        <v>3966.18</v>
      </c>
      <c r="J9" s="51">
        <f>SUM(J8+G9-H9)</f>
        <v>62676.179999999993</v>
      </c>
      <c r="K9" s="12">
        <v>62676.18</v>
      </c>
      <c r="L9" s="12">
        <f t="shared" si="1"/>
        <v>110075.45999999999</v>
      </c>
      <c r="M9" s="12">
        <f t="shared" si="1"/>
        <v>118581.81</v>
      </c>
      <c r="N9" s="85">
        <f>SUM(L9-M9)</f>
        <v>-8506.3500000000058</v>
      </c>
    </row>
    <row r="10" spans="2:14" x14ac:dyDescent="0.25">
      <c r="B10" s="18">
        <v>42491</v>
      </c>
      <c r="C10" s="55" t="s">
        <v>14</v>
      </c>
      <c r="D10" s="11">
        <v>103745</v>
      </c>
      <c r="E10" s="11">
        <v>104081.9</v>
      </c>
      <c r="F10" s="83">
        <f t="shared" si="0"/>
        <v>3629.2799999999988</v>
      </c>
      <c r="G10" s="83">
        <v>15060.46</v>
      </c>
      <c r="H10" s="83">
        <v>18515.2</v>
      </c>
      <c r="I10" s="51">
        <v>3629.28</v>
      </c>
      <c r="J10" s="51">
        <f>SUM(J9+G10-H10)</f>
        <v>59221.439999999988</v>
      </c>
      <c r="K10" s="12">
        <v>59221.440000000002</v>
      </c>
      <c r="L10" s="12">
        <f t="shared" si="1"/>
        <v>118805.45999999999</v>
      </c>
      <c r="M10" s="12">
        <f t="shared" si="1"/>
        <v>122597.09999999999</v>
      </c>
      <c r="N10" s="85">
        <f>SUM(L10-M10)</f>
        <v>-3791.6399999999994</v>
      </c>
    </row>
    <row r="11" spans="2:14" x14ac:dyDescent="0.25">
      <c r="B11" s="25">
        <v>42522</v>
      </c>
      <c r="C11" s="58" t="s">
        <v>15</v>
      </c>
      <c r="D11" s="59">
        <v>135735</v>
      </c>
      <c r="E11" s="59">
        <v>108304.15</v>
      </c>
      <c r="F11" s="83">
        <f t="shared" si="0"/>
        <v>31060.130000000005</v>
      </c>
      <c r="G11" s="83">
        <v>13060.46</v>
      </c>
      <c r="H11" s="83">
        <v>19346.439999999999</v>
      </c>
      <c r="I11" s="51">
        <v>31060.13</v>
      </c>
      <c r="J11" s="51">
        <f>SUM(J10+G11-H11)</f>
        <v>52935.459999999992</v>
      </c>
      <c r="K11" s="12">
        <v>52935.46</v>
      </c>
      <c r="L11" s="12">
        <f t="shared" si="1"/>
        <v>148795.46</v>
      </c>
      <c r="M11" s="12">
        <f t="shared" si="1"/>
        <v>127650.59</v>
      </c>
      <c r="N11" s="86">
        <f>SUM(L11-M11)</f>
        <v>21144.869999999995</v>
      </c>
    </row>
    <row r="12" spans="2:14" x14ac:dyDescent="0.25">
      <c r="B12" s="25">
        <v>42552</v>
      </c>
      <c r="C12" s="58" t="s">
        <v>16</v>
      </c>
      <c r="D12" s="59"/>
      <c r="E12" s="59"/>
      <c r="F12" s="83"/>
      <c r="G12" s="83"/>
      <c r="H12" s="83"/>
      <c r="I12" s="51"/>
      <c r="J12" s="51"/>
      <c r="K12" s="12"/>
      <c r="L12" s="12"/>
      <c r="M12" s="12"/>
      <c r="N12" s="13"/>
    </row>
    <row r="13" spans="2:14" x14ac:dyDescent="0.25">
      <c r="B13" s="18">
        <v>42583</v>
      </c>
      <c r="C13" s="55" t="s">
        <v>17</v>
      </c>
      <c r="D13" s="11"/>
      <c r="E13" s="11"/>
      <c r="F13" s="83"/>
      <c r="G13" s="83"/>
      <c r="H13" s="83"/>
      <c r="I13" s="51"/>
      <c r="J13" s="51"/>
      <c r="K13" s="12"/>
      <c r="L13" s="12"/>
      <c r="M13" s="12"/>
      <c r="N13" s="13"/>
    </row>
    <row r="14" spans="2:14" x14ac:dyDescent="0.25">
      <c r="B14" s="18">
        <v>42583</v>
      </c>
      <c r="C14" s="55" t="s">
        <v>17</v>
      </c>
      <c r="D14" s="11"/>
      <c r="E14" s="11"/>
      <c r="F14" s="83"/>
      <c r="G14" s="83"/>
      <c r="H14" s="83"/>
      <c r="I14" s="51"/>
      <c r="J14" s="51"/>
      <c r="K14" s="12"/>
      <c r="L14" s="12"/>
      <c r="M14" s="12"/>
      <c r="N14" s="13"/>
    </row>
    <row r="15" spans="2:14" x14ac:dyDescent="0.25">
      <c r="B15" s="18">
        <v>42614</v>
      </c>
      <c r="C15" s="56" t="s">
        <v>18</v>
      </c>
      <c r="D15" s="11"/>
      <c r="E15" s="11"/>
      <c r="F15" s="83"/>
      <c r="G15" s="83"/>
      <c r="H15" s="83"/>
      <c r="I15" s="51"/>
      <c r="J15" s="51"/>
      <c r="K15" s="12"/>
      <c r="L15" s="12"/>
      <c r="M15" s="12"/>
      <c r="N15" s="13"/>
    </row>
    <row r="16" spans="2:14" x14ac:dyDescent="0.25">
      <c r="B16" s="18">
        <v>42644</v>
      </c>
      <c r="C16" s="55" t="s">
        <v>19</v>
      </c>
      <c r="D16" s="11"/>
      <c r="E16" s="11"/>
      <c r="F16" s="83"/>
      <c r="G16" s="83"/>
      <c r="H16" s="83"/>
      <c r="I16" s="51"/>
      <c r="J16" s="51"/>
      <c r="K16" s="12"/>
      <c r="L16" s="12"/>
      <c r="M16" s="12"/>
      <c r="N16" s="13"/>
    </row>
    <row r="17" spans="2:14" x14ac:dyDescent="0.25">
      <c r="B17" s="18">
        <v>42645</v>
      </c>
      <c r="C17" s="56" t="s">
        <v>20</v>
      </c>
      <c r="D17" s="11"/>
      <c r="E17" s="11"/>
      <c r="F17" s="83"/>
      <c r="G17" s="83"/>
      <c r="H17" s="83"/>
      <c r="I17" s="51"/>
      <c r="J17" s="51"/>
      <c r="K17" s="12"/>
      <c r="L17" s="12"/>
      <c r="M17" s="12"/>
      <c r="N17" s="13"/>
    </row>
    <row r="18" spans="2:14" ht="15.75" thickBot="1" x14ac:dyDescent="0.3">
      <c r="B18" s="18">
        <v>42646</v>
      </c>
      <c r="C18" s="55" t="s">
        <v>21</v>
      </c>
      <c r="D18" s="11"/>
      <c r="E18" s="11"/>
      <c r="F18" s="83"/>
      <c r="G18" s="83"/>
      <c r="H18" s="83"/>
      <c r="I18" s="51"/>
      <c r="J18" s="51"/>
      <c r="K18" s="12"/>
      <c r="L18" s="12"/>
      <c r="M18" s="12"/>
      <c r="N18" s="13"/>
    </row>
    <row r="19" spans="2:14" ht="15.75" thickBot="1" x14ac:dyDescent="0.3">
      <c r="B19" s="30"/>
      <c r="C19" s="7" t="s">
        <v>0</v>
      </c>
      <c r="D19" s="6">
        <f>SUM(D5:D18)</f>
        <v>659779.5</v>
      </c>
      <c r="E19" s="6">
        <f>SUM(E6:E18)</f>
        <v>632519.19000000006</v>
      </c>
      <c r="F19" s="61"/>
      <c r="G19" s="61"/>
      <c r="H19" s="61"/>
      <c r="I19" s="19"/>
      <c r="J19" s="32"/>
      <c r="K19" s="32"/>
      <c r="L19" s="32"/>
      <c r="M19" s="32"/>
    </row>
    <row r="21" spans="2:14" ht="15.75" thickBot="1" x14ac:dyDescent="0.3">
      <c r="D21" s="57"/>
      <c r="E21" s="57"/>
      <c r="F21" s="57"/>
      <c r="G21" s="57"/>
      <c r="H21" s="57"/>
      <c r="I21" s="57"/>
      <c r="J21" s="57"/>
      <c r="K21" s="57"/>
      <c r="L21" s="57"/>
      <c r="M21" s="57"/>
    </row>
    <row r="22" spans="2:14" ht="15.75" thickBot="1" x14ac:dyDescent="0.3">
      <c r="B22" s="91"/>
    </row>
    <row r="23" spans="2:14" x14ac:dyDescent="0.25">
      <c r="B23" s="57" t="s">
        <v>32</v>
      </c>
      <c r="C23" s="57"/>
      <c r="D23" s="57"/>
      <c r="E23" s="57"/>
    </row>
    <row r="24" spans="2:14" x14ac:dyDescent="0.25">
      <c r="B24" s="57" t="s">
        <v>33</v>
      </c>
      <c r="C24" s="57"/>
      <c r="D24" s="57"/>
      <c r="E24" s="57"/>
    </row>
    <row r="25" spans="2:14" x14ac:dyDescent="0.25">
      <c r="B25" s="57" t="s">
        <v>34</v>
      </c>
      <c r="C25" s="57"/>
      <c r="D25" s="57"/>
      <c r="E25" s="57"/>
      <c r="G25" s="90"/>
      <c r="H25" s="89"/>
    </row>
    <row r="26" spans="2:14" x14ac:dyDescent="0.25">
      <c r="B26" s="92" t="s">
        <v>35</v>
      </c>
      <c r="H26" s="89"/>
      <c r="I26" s="57"/>
      <c r="J26" s="57"/>
      <c r="K26" s="57"/>
    </row>
    <row r="27" spans="2:14" x14ac:dyDescent="0.25">
      <c r="B27" s="93">
        <v>2955.13</v>
      </c>
      <c r="I27" s="57"/>
      <c r="J27" s="57"/>
      <c r="K27" s="57"/>
    </row>
  </sheetData>
  <mergeCells count="1">
    <mergeCell ref="B2:I2"/>
  </mergeCells>
  <pageMargins left="0" right="0.31496062992125984" top="0.74803149606299213" bottom="0.74803149606299213" header="0.31496062992125984" footer="0.31496062992125984"/>
  <pageSetup paperSize="9"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>
      <selection sqref="A1:K137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13</vt:i4>
      </vt:variant>
    </vt:vector>
  </HeadingPairs>
  <TitlesOfParts>
    <vt:vector size="27" baseType="lpstr">
      <vt:lpstr>ENERO-19 </vt:lpstr>
      <vt:lpstr>FEBRERO-19 </vt:lpstr>
      <vt:lpstr>MARZO-19</vt:lpstr>
      <vt:lpstr>ABRIL-19</vt:lpstr>
      <vt:lpstr>MAYO-19</vt:lpstr>
      <vt:lpstr>JUNIO-19</vt:lpstr>
      <vt:lpstr>JULIO-19</vt:lpstr>
      <vt:lpstr>AGOSTO-19</vt:lpstr>
      <vt:lpstr>SEPTIEMBRE-19</vt:lpstr>
      <vt:lpstr>OCTUBRE-19</vt:lpstr>
      <vt:lpstr>NOVIEMBRE-19 </vt:lpstr>
      <vt:lpstr>DICIEMBRE-19</vt:lpstr>
      <vt:lpstr>ESTADO DE CUENTA</vt:lpstr>
      <vt:lpstr>Hoja1</vt:lpstr>
      <vt:lpstr>'ABRIL-19'!Área_de_impresión</vt:lpstr>
      <vt:lpstr>'AGOSTO-19'!Área_de_impresión</vt:lpstr>
      <vt:lpstr>'DICIEMBRE-19'!Área_de_impresión</vt:lpstr>
      <vt:lpstr>'ENERO-19 '!Área_de_impresión</vt:lpstr>
      <vt:lpstr>'ESTADO DE CUENTA'!Área_de_impresión</vt:lpstr>
      <vt:lpstr>'FEBRERO-19 '!Área_de_impresión</vt:lpstr>
      <vt:lpstr>'JULIO-19'!Área_de_impresión</vt:lpstr>
      <vt:lpstr>'JUNIO-19'!Área_de_impresión</vt:lpstr>
      <vt:lpstr>'MARZO-19'!Área_de_impresión</vt:lpstr>
      <vt:lpstr>'MAYO-19'!Área_de_impresión</vt:lpstr>
      <vt:lpstr>'NOVIEMBRE-19 '!Área_de_impresión</vt:lpstr>
      <vt:lpstr>'OCTUBRE-19'!Área_de_impresión</vt:lpstr>
      <vt:lpstr>'SEPTIEMBRE-19'!Área_de_impresión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Usuario</cp:lastModifiedBy>
  <cp:lastPrinted>2020-01-13T02:52:04Z</cp:lastPrinted>
  <dcterms:created xsi:type="dcterms:W3CDTF">2014-03-03T21:03:38Z</dcterms:created>
  <dcterms:modified xsi:type="dcterms:W3CDTF">2020-01-13T02:53:11Z</dcterms:modified>
</cp:coreProperties>
</file>