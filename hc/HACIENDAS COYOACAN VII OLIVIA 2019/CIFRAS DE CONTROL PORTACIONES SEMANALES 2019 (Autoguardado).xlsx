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IENDAS COYOACAN VII OLIVIA 2019\"/>
    </mc:Choice>
  </mc:AlternateContent>
  <xr:revisionPtr revIDLastSave="0" documentId="8_{A04625F2-4638-4AB2-8507-50CAB6F5B6F6}" xr6:coauthVersionLast="45" xr6:coauthVersionMax="45" xr10:uidLastSave="{00000000-0000-0000-0000-000000000000}"/>
  <bookViews>
    <workbookView xWindow="-120" yWindow="-120" windowWidth="20730" windowHeight="11160" firstSheet="9" activeTab="11" xr2:uid="{00000000-000D-0000-FFFF-FFFF00000000}"/>
  </bookViews>
  <sheets>
    <sheet name="C C Aportaciones ENE 19" sheetId="5" r:id="rId1"/>
    <sheet name="C C Aportaciones FEB 19" sheetId="6" r:id="rId2"/>
    <sheet name="C C Aportacines MAR 19" sheetId="7" r:id="rId3"/>
    <sheet name="C C Aportaciones ABR 19   " sheetId="9" r:id="rId4"/>
    <sheet name="C C Aportaciones MAY 19" sheetId="12" r:id="rId5"/>
    <sheet name="C C Aportaciones JUN 19" sheetId="13" r:id="rId6"/>
    <sheet name="C C Aportaciones JUL 19   " sheetId="15" r:id="rId7"/>
    <sheet name="C C Aportaciones AGO 19   " sheetId="14" r:id="rId8"/>
    <sheet name="C C Aportaciones SEP 19" sheetId="16" r:id="rId9"/>
    <sheet name="C C Aportaciones OCT 19 " sheetId="17" r:id="rId10"/>
    <sheet name="C C Aportaciones NOV 19   " sheetId="18" r:id="rId11"/>
    <sheet name="C C Aportaciones DIC 19  " sheetId="8" r:id="rId12"/>
  </sheets>
  <definedNames>
    <definedName name="_xlnm.Print_Area" localSheetId="2">'C C Aportacines MAR 19'!$A$1:$O$4</definedName>
    <definedName name="_xlnm.Print_Area" localSheetId="3">'C C Aportaciones ABR 19   '!$A$1:$O$4</definedName>
    <definedName name="_xlnm.Print_Area" localSheetId="7">'C C Aportaciones AGO 19   '!$A$1:$O$4</definedName>
    <definedName name="_xlnm.Print_Area" localSheetId="11">'C C Aportaciones DIC 19  '!$A$1:$O$4</definedName>
    <definedName name="_xlnm.Print_Area" localSheetId="0">'C C Aportaciones ENE 19'!$A$1:$O$74</definedName>
    <definedName name="_xlnm.Print_Area" localSheetId="1">'C C Aportaciones FEB 19'!$A$1:$O$73</definedName>
    <definedName name="_xlnm.Print_Area" localSheetId="6">'C C Aportaciones JUL 19   '!$A$1:$O$4</definedName>
    <definedName name="_xlnm.Print_Area" localSheetId="5">'C C Aportaciones JUN 19'!$A$1:$O$1</definedName>
    <definedName name="_xlnm.Print_Area" localSheetId="4">'C C Aportaciones MAY 19'!$A$1:$O$4</definedName>
    <definedName name="_xlnm.Print_Area" localSheetId="10">'C C Aportaciones NOV 19   '!$A$1:$O$1</definedName>
    <definedName name="_xlnm.Print_Area" localSheetId="9">'C C Aportaciones OCT 19 '!$A$1:$O$4</definedName>
    <definedName name="_xlnm.Print_Area" localSheetId="8">'C C Aportaciones SEP 19'!$A$1:$O$4</definedName>
    <definedName name="_xlnm.Print_Titles" localSheetId="2">'C C Aportacines MAR 19'!$1:$4</definedName>
    <definedName name="_xlnm.Print_Titles" localSheetId="3">'C C Aportaciones ABR 19   '!$1:$4</definedName>
    <definedName name="_xlnm.Print_Titles" localSheetId="7">'C C Aportaciones AGO 19   '!$1:$4</definedName>
    <definedName name="_xlnm.Print_Titles" localSheetId="11">'C C Aportaciones DIC 19  '!$1:$4</definedName>
    <definedName name="_xlnm.Print_Titles" localSheetId="0">'C C Aportaciones ENE 19'!$1:$7</definedName>
    <definedName name="_xlnm.Print_Titles" localSheetId="1">'C C Aportaciones FEB 19'!$1:$7</definedName>
    <definedName name="_xlnm.Print_Titles" localSheetId="6">'C C Aportaciones JUL 19   '!$1:$4</definedName>
    <definedName name="_xlnm.Print_Titles" localSheetId="5">'C C Aportaciones JUN 19'!$1:$4</definedName>
    <definedName name="_xlnm.Print_Titles" localSheetId="4">'C C Aportaciones MAY 19'!$1:$4</definedName>
    <definedName name="_xlnm.Print_Titles" localSheetId="10">'C C Aportaciones NOV 19   '!$1:$4</definedName>
    <definedName name="_xlnm.Print_Titles" localSheetId="9">'C C Aportaciones OCT 19 '!$1:$4</definedName>
    <definedName name="_xlnm.Print_Titles" localSheetId="8">'C C Aportaciones SEP 19'!$1:$4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8" l="1"/>
  <c r="B6" i="8" l="1"/>
  <c r="A6" i="8"/>
  <c r="K3" i="18" l="1"/>
  <c r="J3" i="18" l="1"/>
  <c r="H3" i="18" l="1"/>
  <c r="B3" i="18" l="1"/>
  <c r="E3" i="18" l="1"/>
  <c r="K6" i="17" l="1"/>
  <c r="B6" i="17" l="1"/>
  <c r="B6" i="9" l="1"/>
  <c r="A3" i="18" l="1"/>
  <c r="B6" i="14" l="1"/>
  <c r="E6" i="9" l="1"/>
  <c r="D6" i="9"/>
  <c r="E6" i="7" l="1"/>
  <c r="B6" i="7" l="1"/>
  <c r="N6" i="5" l="1"/>
  <c r="M6" i="5"/>
  <c r="K6" i="7" l="1"/>
  <c r="H6" i="7"/>
  <c r="M6" i="7" l="1"/>
  <c r="N6" i="7"/>
  <c r="E6" i="12" l="1"/>
  <c r="E6" i="15" l="1"/>
  <c r="B6" i="15" l="1"/>
  <c r="H3" i="13" l="1"/>
  <c r="E3" i="13" l="1"/>
  <c r="N6" i="12" l="1"/>
  <c r="M6" i="12"/>
  <c r="K6" i="5" l="1"/>
  <c r="K6" i="16" l="1"/>
  <c r="K6" i="9"/>
  <c r="H6" i="9"/>
  <c r="H6" i="16" l="1"/>
  <c r="E6" i="16" l="1"/>
  <c r="N3" i="18" l="1"/>
  <c r="M3" i="18"/>
  <c r="G3" i="18"/>
  <c r="D3" i="18"/>
  <c r="N6" i="17"/>
  <c r="M6" i="17"/>
  <c r="J6" i="17"/>
  <c r="H6" i="17"/>
  <c r="G6" i="17"/>
  <c r="E6" i="17"/>
  <c r="D6" i="17"/>
  <c r="A6" i="17"/>
  <c r="I3" i="17"/>
  <c r="F3" i="17"/>
  <c r="N6" i="16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D6" i="15"/>
  <c r="A6" i="15"/>
  <c r="I3" i="15"/>
  <c r="F3" i="15"/>
  <c r="N6" i="14"/>
  <c r="M6" i="14"/>
  <c r="K6" i="14"/>
  <c r="J6" i="14"/>
  <c r="H6" i="14"/>
  <c r="G6" i="14"/>
  <c r="E6" i="14"/>
  <c r="D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M6" i="9"/>
  <c r="J6" i="9"/>
  <c r="G6" i="9"/>
  <c r="A6" i="9"/>
  <c r="I3" i="9"/>
  <c r="F3" i="9"/>
  <c r="Q6" i="9" l="1"/>
  <c r="N6" i="8"/>
  <c r="M6" i="8"/>
  <c r="K6" i="8"/>
  <c r="J6" i="8"/>
  <c r="H6" i="8"/>
  <c r="G6" i="8"/>
  <c r="D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M6" i="6"/>
  <c r="J6" i="6"/>
  <c r="H6" i="6"/>
  <c r="G6" i="6"/>
  <c r="D6" i="6"/>
  <c r="A6" i="6"/>
  <c r="R6" i="6" l="1"/>
  <c r="Q6" i="6"/>
  <c r="F3" i="6"/>
  <c r="I3" i="6"/>
  <c r="J6" i="5"/>
  <c r="H6" i="5"/>
  <c r="G6" i="5"/>
  <c r="E6" i="5"/>
  <c r="D6" i="5"/>
  <c r="B6" i="5"/>
  <c r="A6" i="5"/>
  <c r="Q6" i="5" l="1"/>
  <c r="F3" i="5"/>
  <c r="I3" i="5"/>
  <c r="P6" i="5" l="1"/>
  <c r="R6" i="9" l="1"/>
</calcChain>
</file>

<file path=xl/sharedStrings.xml><?xml version="1.0" encoding="utf-8"?>
<sst xmlns="http://schemas.openxmlformats.org/spreadsheetml/2006/main" count="3606" uniqueCount="771">
  <si>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</si>
  <si>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</si>
  <si>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</si>
  <si>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</si>
  <si>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</si>
  <si>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</si>
  <si>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</si>
  <si>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</si>
  <si>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</si>
  <si>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</si>
  <si>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</si>
  <si>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</si>
  <si>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</si>
  <si>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</si>
  <si>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$ 200 por mes</t>
  </si>
  <si>
    <t>$ 400 por mes</t>
  </si>
  <si>
    <t>$ 300 por mes</t>
  </si>
  <si>
    <t>Pago ene/feb/18</t>
  </si>
  <si>
    <t>$ 350 por mes</t>
  </si>
  <si>
    <t>$ 250 por mes</t>
  </si>
  <si>
    <t>Pago 1 tarjetón</t>
  </si>
  <si>
    <t>$</t>
  </si>
  <si>
    <t>Pago sep $200, oct/nov/dic/</t>
  </si>
  <si>
    <t>18 y ene/19 $ 400 por mes y</t>
  </si>
  <si>
    <t>1 stiker</t>
  </si>
  <si>
    <t>Pago oct/nov/dic/18</t>
  </si>
  <si>
    <t>Pago nov/18 $ 300 y C.P.</t>
  </si>
  <si>
    <t>Pago dic/18 y ene/19</t>
  </si>
  <si>
    <t>Pago diciembre/18</t>
  </si>
  <si>
    <t>Pago ene/feb/19</t>
  </si>
  <si>
    <t>Pago nov/dic/18</t>
  </si>
  <si>
    <t>Pago T.E.#1150</t>
  </si>
  <si>
    <t>Pago anualidad 2019</t>
  </si>
  <si>
    <t>se condonó 1 mes</t>
  </si>
  <si>
    <t>Pago 1 llave</t>
  </si>
  <si>
    <t>Pago febrero/</t>
  </si>
  <si>
    <t>Pago cuota plumas</t>
  </si>
  <si>
    <t>Pago 1 T.E. # 1152</t>
  </si>
  <si>
    <t>Pago diciembre/18 y C.P.</t>
  </si>
  <si>
    <t>Pago C.P.</t>
  </si>
  <si>
    <t>Pago noviembre/18</t>
  </si>
  <si>
    <t xml:space="preserve">$ 200 por mes </t>
  </si>
  <si>
    <t>Se le condonó 1 mes</t>
  </si>
  <si>
    <t>Y Cuota Plumas</t>
  </si>
  <si>
    <t>Transferencia Bancaria</t>
  </si>
  <si>
    <t>Pago nov/dic/18 y ene/19</t>
  </si>
  <si>
    <t>y A/C $ 50 C.P.</t>
  </si>
  <si>
    <t>Pago de 2 llaves</t>
  </si>
  <si>
    <t>Pago feb/mar/19</t>
  </si>
  <si>
    <t>Pago diciembre/18 y 1 llave</t>
  </si>
  <si>
    <t>Pago de Julio a Diciembre</t>
  </si>
  <si>
    <t>2018 y ene/feb/mar/abr/19</t>
  </si>
  <si>
    <t>Pago 2 llaves</t>
  </si>
  <si>
    <t>Pago Junio/18</t>
  </si>
  <si>
    <t>Pago de Enero a Diciembre</t>
  </si>
  <si>
    <t>2018 $ 100 por mes</t>
  </si>
  <si>
    <t>Pago ene/feb/mar/19</t>
  </si>
  <si>
    <t>$ 150 por mes</t>
  </si>
  <si>
    <t>Pago Diciembre/18</t>
  </si>
  <si>
    <t xml:space="preserve">C A N C E L A D O </t>
  </si>
  <si>
    <t>Pago Enero y 1 llave</t>
  </si>
  <si>
    <t>Pago dic/ene/19</t>
  </si>
  <si>
    <t>Pago ene/feb/mar/abr/19</t>
  </si>
  <si>
    <t>Pago sep/dic/18 ene/19</t>
  </si>
  <si>
    <t>Pago dic/18 ene/19</t>
  </si>
  <si>
    <t>Pago nov/dic/18 ene/19</t>
  </si>
  <si>
    <t>$ 100 por mes</t>
  </si>
  <si>
    <t>Pago julio/418</t>
  </si>
  <si>
    <t xml:space="preserve">$ 300 por mes y </t>
  </si>
  <si>
    <t>Cuota Plumas</t>
  </si>
  <si>
    <t>se le condonò 1 mes</t>
  </si>
  <si>
    <t xml:space="preserve">Pago nov/dic/18   </t>
  </si>
  <si>
    <t>Pago 11 T.E.#1153</t>
  </si>
  <si>
    <t xml:space="preserve">$ 400 por mes 1 llave y </t>
  </si>
  <si>
    <t>1 tarjetòn</t>
  </si>
  <si>
    <t>Pago 1 tarjetòn</t>
  </si>
  <si>
    <t>Pago nov/18 $ 400 a/c</t>
  </si>
  <si>
    <t>$ 200 a dic/18 y 2 llaves</t>
  </si>
  <si>
    <t xml:space="preserve">$ 300 por mes </t>
  </si>
  <si>
    <t>Pago dic/18 y 2 tarjetones</t>
  </si>
  <si>
    <t>Pago ene/feb/19 $ 100</t>
  </si>
  <si>
    <t>por mes y Cuota Plumas</t>
  </si>
  <si>
    <t>Pago 1 T.E.#1154</t>
  </si>
  <si>
    <t xml:space="preserve">Pago nov/dic/18 $ 400 </t>
  </si>
  <si>
    <t>Pgo 1 T.E. # 1155</t>
  </si>
  <si>
    <t>Pago Cuota Plumas</t>
  </si>
  <si>
    <t>se le condonó 1 mes</t>
  </si>
  <si>
    <t>Pago 1 T.E. #</t>
  </si>
  <si>
    <t>Pago 4 stikers</t>
  </si>
  <si>
    <t>Pago agosto/18</t>
  </si>
  <si>
    <t>Pago 1 T.E.# 1157 y 1 stiker</t>
  </si>
  <si>
    <t>Pago enero/19 y 1 tarjetón</t>
  </si>
  <si>
    <t xml:space="preserve">Pago nov/dic/18  </t>
  </si>
  <si>
    <t>Pago 1 T.E. # 1158</t>
  </si>
  <si>
    <t>Pago 3 stikers</t>
  </si>
  <si>
    <t>Pago Septiembre/18</t>
  </si>
  <si>
    <t>Pago anualidad</t>
  </si>
  <si>
    <t>Pago febrero/19</t>
  </si>
  <si>
    <t>Pago jul/18 dic/18 y</t>
  </si>
  <si>
    <t>1 tarjetón</t>
  </si>
  <si>
    <t>y T.E.# 1159</t>
  </si>
  <si>
    <t>Pago ene/feb/mar/abr/</t>
  </si>
  <si>
    <t>may/18 $ 100 por mes</t>
  </si>
  <si>
    <t>Pago feb/mar/abr/may/</t>
  </si>
  <si>
    <t>jun/19 $ 200 por mes</t>
  </si>
  <si>
    <t>Pago enero/19</t>
  </si>
  <si>
    <t>Pago sep/oct/18</t>
  </si>
  <si>
    <t>Pago nov/dic/18 ene/</t>
  </si>
  <si>
    <t>feb/19 $ 400 por mes</t>
  </si>
  <si>
    <t>may/jun/19 $ 400 por mes</t>
  </si>
  <si>
    <t>Pago ene/18 y 1 llave</t>
  </si>
  <si>
    <t>$ 500 por mes</t>
  </si>
  <si>
    <t>Pago jun/jul/ago/sep/oct/</t>
  </si>
  <si>
    <t>18 $ 100 por mes</t>
  </si>
  <si>
    <t>Pago enero/19 y 1 stiker</t>
  </si>
  <si>
    <t>Tranferencia Bancaria</t>
  </si>
  <si>
    <t>Pago Enero/19</t>
  </si>
  <si>
    <t>Pago nov/dic/18 ene/feb</t>
  </si>
  <si>
    <t>19 $ 200 por mes</t>
  </si>
  <si>
    <t>Pago sep/oc/nov/18</t>
  </si>
  <si>
    <t>Pago dic/18 ene/feb/19</t>
  </si>
  <si>
    <t>Pago nov/dic/18 $ 200</t>
  </si>
  <si>
    <t>por mes</t>
  </si>
  <si>
    <t>Pago liq. Oct/18</t>
  </si>
  <si>
    <t>Pago 2 taretones</t>
  </si>
  <si>
    <t xml:space="preserve">Pago ene/feb/19 $ 400 </t>
  </si>
  <si>
    <t>por mes y 1 stiker</t>
  </si>
  <si>
    <t>Pago de feb/19 $ 300 1</t>
  </si>
  <si>
    <t>tarjetòn y 3 stikers</t>
  </si>
  <si>
    <t>Pago 3 stiker</t>
  </si>
  <si>
    <t>Pago feb/mar/19 $ 200 por</t>
  </si>
  <si>
    <t>mes y 1 tarjetòn</t>
  </si>
  <si>
    <t>Pago marzo/19</t>
  </si>
  <si>
    <t>Pago may y nov/18</t>
  </si>
  <si>
    <t>Pago nov/dic/18 y ene/</t>
  </si>
  <si>
    <t>$ 400 por mes y a/c feb /19</t>
  </si>
  <si>
    <t>feb/19 $ 200 por mes</t>
  </si>
  <si>
    <t>Pago ene/feb/mar/9</t>
  </si>
  <si>
    <t xml:space="preserve">$ 400 por mes   </t>
  </si>
  <si>
    <t>Pago liq. Dic/18 $ 200 y</t>
  </si>
  <si>
    <t>ene/19 $ 400</t>
  </si>
  <si>
    <t>Pago ene/feb/I9</t>
  </si>
  <si>
    <t>Pago  tarjetones</t>
  </si>
  <si>
    <t>Pago dic/18 y ene/feb/19</t>
  </si>
  <si>
    <t>Pago nov /dic/18</t>
  </si>
  <si>
    <t>$ 250 por mes y ene/feb/</t>
  </si>
  <si>
    <t>19 $ 400 por mes</t>
  </si>
  <si>
    <t>Pago dic/18 $ 400 y a/c</t>
  </si>
  <si>
    <t>ene/19 $ 200</t>
  </si>
  <si>
    <t>Pago sep/oct/nov/dic/18</t>
  </si>
  <si>
    <t>ene/feb/mar/19 $ 200 por</t>
  </si>
  <si>
    <t>mes</t>
  </si>
  <si>
    <t>Pago mar/abr/19</t>
  </si>
  <si>
    <t>Pago ago/sep/oct/nov/dic</t>
  </si>
  <si>
    <t>18 ene/feb /19 $ 400 por</t>
  </si>
  <si>
    <t>Pao 1 stiker</t>
  </si>
  <si>
    <t>Pago feb a dic/18</t>
  </si>
  <si>
    <t>Pago 2 stiker</t>
  </si>
  <si>
    <t>Pago 1 T.E. · 1163</t>
  </si>
  <si>
    <t>Pago mar/abri/19</t>
  </si>
  <si>
    <t>Pago marzo y 3 stiker</t>
  </si>
  <si>
    <t>Pago sep/oct/nov/dic/19</t>
  </si>
  <si>
    <t>Pago abril/19</t>
  </si>
  <si>
    <t>$ 400 por mes y 1 tarjetòn</t>
  </si>
  <si>
    <t>Pago marzo/19 y 2 stikers</t>
  </si>
  <si>
    <t>$ 400 y 1 T.E.# 1165</t>
  </si>
  <si>
    <t>Pago liq. Febrero/19</t>
  </si>
  <si>
    <t>Pago 1 stikers</t>
  </si>
  <si>
    <t xml:space="preserve">Pago ene/feb/19 </t>
  </si>
  <si>
    <t>Pago dic/18 ene/feb/mar</t>
  </si>
  <si>
    <t>19 $ 300 por mes</t>
  </si>
  <si>
    <t>Pago octubre/18</t>
  </si>
  <si>
    <t>$ 400 por mes y a/c feb/19</t>
  </si>
  <si>
    <t>Pago oct/nov/dic/18 ene/</t>
  </si>
  <si>
    <t>Se aplicó en Feb/19</t>
  </si>
  <si>
    <t>Pago nov/dic/18 ene/feb/</t>
  </si>
  <si>
    <t>mar/19 $ 300 por mes</t>
  </si>
  <si>
    <t>Pago mar/abr/may/19</t>
  </si>
  <si>
    <t>Pago marzo/19 y 1 T.E.</t>
  </si>
  <si>
    <t># 1164</t>
  </si>
  <si>
    <t>y 1 tarjetón</t>
  </si>
  <si>
    <t>Pago 1 T.E. # 1168</t>
  </si>
  <si>
    <t>y 1 stikers</t>
  </si>
  <si>
    <t>C A N C E L A D O</t>
  </si>
  <si>
    <t>Pago ene/feb/mar/abr/may</t>
  </si>
  <si>
    <t>$ 400 por mes y 3 tarjetones</t>
  </si>
  <si>
    <t>Pago feb/may/19</t>
  </si>
  <si>
    <t>Pago feb/mar/abr/19</t>
  </si>
  <si>
    <t>Pago 1 llave, 1 T.E.#7777 y</t>
  </si>
  <si>
    <t>1 tarjeón</t>
  </si>
  <si>
    <t xml:space="preserve">Pago 1 llave   </t>
  </si>
  <si>
    <t>Pago abr/may/jun/19</t>
  </si>
  <si>
    <t>Pago feb/mar/18</t>
  </si>
  <si>
    <t>$ 400 por mes y 1 llave</t>
  </si>
  <si>
    <t>de marzo/19</t>
  </si>
  <si>
    <t>$ 300 por mes y a/c $ 100</t>
  </si>
  <si>
    <t>a abr/19</t>
  </si>
  <si>
    <t>Pago abr/may/19</t>
  </si>
  <si>
    <t>$ 250 por mes y 1 llave</t>
  </si>
  <si>
    <t>cheque # 5536</t>
  </si>
  <si>
    <t xml:space="preserve">Pago ene/feb/mar/abr/ </t>
  </si>
  <si>
    <t>may/19 $ 400 por mes</t>
  </si>
  <si>
    <t>Pago de 2 llaves y 2 T.E.</t>
  </si>
  <si>
    <t># 1178 Y 1179</t>
  </si>
  <si>
    <t>Pago mar/abr/19 $ 400 por</t>
  </si>
  <si>
    <t>mes, 1 tarjeón y 2 stiker</t>
  </si>
  <si>
    <t xml:space="preserve">mes   </t>
  </si>
  <si>
    <t xml:space="preserve">Pago mar/abr/19 </t>
  </si>
  <si>
    <t>Pago mayo/19</t>
  </si>
  <si>
    <t>Pago liq. Abril/19</t>
  </si>
  <si>
    <t>Pago abr/19 y 1 tarjetón</t>
  </si>
  <si>
    <t xml:space="preserve">Pago feb/mar/19 </t>
  </si>
  <si>
    <t>Pago 1 T.E. # 1180</t>
  </si>
  <si>
    <t xml:space="preserve">Pago 1 T.E.#1181 y 1 </t>
  </si>
  <si>
    <t>tarjetón</t>
  </si>
  <si>
    <t>Pago de mayo a diciem-</t>
  </si>
  <si>
    <t>bre/19 $ 100 por mes</t>
  </si>
  <si>
    <t>Pago 2 tarjetones</t>
  </si>
  <si>
    <t>Paga ene/feb/mar/abr/</t>
  </si>
  <si>
    <t>Pago may/jun/19</t>
  </si>
  <si>
    <t>Pago julio/19</t>
  </si>
  <si>
    <t>$ 400 por mes T.E.#1182</t>
  </si>
  <si>
    <t>Pago ago/18 y feb/19</t>
  </si>
  <si>
    <t>Pago T.E.#1183</t>
  </si>
  <si>
    <t>may/jun/19 $ 200 por mes</t>
  </si>
  <si>
    <t>feb/mar/abr/may/19</t>
  </si>
  <si>
    <t>Pago T.E.#1184</t>
  </si>
  <si>
    <t>Pago Mayo y 2 tarjetones</t>
  </si>
  <si>
    <t>Pago Mar/Abr/19</t>
  </si>
  <si>
    <t>Pago Abr/May/19</t>
  </si>
  <si>
    <t>Pago Feb/Mar/Abr/19</t>
  </si>
  <si>
    <t>Pago Feb/Mar//19</t>
  </si>
  <si>
    <t>Pago depto 1 Mar/Abr/19</t>
  </si>
  <si>
    <t>Pago depto 2 Mar/Abr/19</t>
  </si>
  <si>
    <t>Pago depto 3 Mar/Abr/19</t>
  </si>
  <si>
    <r>
      <t>Pago 1 T.E.</t>
    </r>
    <r>
      <rPr>
        <i/>
        <sz val="11"/>
        <color theme="1"/>
        <rFont val="Calibri"/>
        <family val="2"/>
        <scheme val="minor"/>
      </rPr>
      <t xml:space="preserve"> y 1 tarjetòn</t>
    </r>
  </si>
  <si>
    <t>Pago $300 Feb Mar/Abr/19</t>
  </si>
  <si>
    <t>$ 400 por mes y 2 tarjetones</t>
  </si>
  <si>
    <t>Pago Ago/18 y Ene/19</t>
  </si>
  <si>
    <t>Pago May/jun/19</t>
  </si>
  <si>
    <t>Pago Abril/19</t>
  </si>
  <si>
    <t>Pago Marzo/19</t>
  </si>
  <si>
    <t>Pago de Enero a Junio</t>
  </si>
  <si>
    <t>Pago Agosto/18 $ 300 1 llave</t>
  </si>
  <si>
    <t>y 1 tarjetòn</t>
  </si>
  <si>
    <t>Pago Abril/19 y 1 tarjetòn</t>
  </si>
  <si>
    <t>Pago 2 T.E. #1186 Y 1187</t>
  </si>
  <si>
    <t>Pago de Enero a Mayo/19</t>
  </si>
  <si>
    <t>Pago Feb/Mar/19ç</t>
  </si>
  <si>
    <t>Pago 1 T.E. #1188 Y 1 Stiker</t>
  </si>
  <si>
    <t>Pago Marzo</t>
  </si>
  <si>
    <t>Pago Mar/Abr/May/19</t>
  </si>
  <si>
    <t>Pago 2 T.E. #1189 Y1190</t>
  </si>
  <si>
    <t>Pago Enero a Mayo/19</t>
  </si>
  <si>
    <t>Pago Febrero $ 400 y a/c</t>
  </si>
  <si>
    <t>$ 100 Marzo/19</t>
  </si>
  <si>
    <t xml:space="preserve">Pago liq Mar $ 100 pago </t>
  </si>
  <si>
    <t>Abril $ 200 Y a/c $ 150 May</t>
  </si>
  <si>
    <t>Pago Oct/Nov/Dic/18 Ene/</t>
  </si>
  <si>
    <t>a Junio/119 $ 200 por mes</t>
  </si>
  <si>
    <t>Pago Noviembre/18</t>
  </si>
  <si>
    <t>Pago de Oct a Dic/18 y de</t>
  </si>
  <si>
    <t>Enero a Mayo/19 $ 200 por</t>
  </si>
  <si>
    <t>mes, 1 T..E.#1192 y 1 repro</t>
  </si>
  <si>
    <t>gramaciòn de tarjeta elec.</t>
  </si>
  <si>
    <t>Pago Feb/Mar/Abr/May/19</t>
  </si>
  <si>
    <t>$ 400 por mes, 1 T.E.#1193</t>
  </si>
  <si>
    <t>1 Llave y 1 reactivaciòn d</t>
  </si>
  <si>
    <t>tarjeta electrònica</t>
  </si>
  <si>
    <t>Pago May/Jun/Jul/Ago//19</t>
  </si>
  <si>
    <t xml:space="preserve">$ 400 por mes </t>
  </si>
  <si>
    <t xml:space="preserve">Pago Oct/Nov/Dic/18  </t>
  </si>
  <si>
    <t>Pago Ene/Feb/Mar/19</t>
  </si>
  <si>
    <t>Pago May/Jun/19</t>
  </si>
  <si>
    <t>Pago Abr/May/Jun/Jul/19</t>
  </si>
  <si>
    <t>1 Porta tarjeta</t>
  </si>
  <si>
    <t>Pago 1 tarjeton</t>
  </si>
  <si>
    <t>Pago 2 T.E. #1194 Y 1195</t>
  </si>
  <si>
    <t>Pago 3 tarjetones</t>
  </si>
  <si>
    <t>Pago Mayo y 2 T.E.#11997</t>
  </si>
  <si>
    <t>Y 1196</t>
  </si>
  <si>
    <t>Pago Mar/Abr/may/19</t>
  </si>
  <si>
    <t>$200 por mes</t>
  </si>
  <si>
    <t>Pago 2 T.E.#1198 Y 1199</t>
  </si>
  <si>
    <t>Pago Mayo 1 llave y 1 tarjer</t>
  </si>
  <si>
    <t>Pago Abrl/19</t>
  </si>
  <si>
    <t>Pago Mayo a Septiembre/19</t>
  </si>
  <si>
    <t>Pago reprogramaciòn de</t>
  </si>
  <si>
    <t>Pago Dic/18 Ene/19 $ 300</t>
  </si>
  <si>
    <t>y a/c $ 200 Febreroo/19</t>
  </si>
  <si>
    <t>Pago Enero a Diciembe/18</t>
  </si>
  <si>
    <t>$ 400 por mes y de Enero</t>
  </si>
  <si>
    <t>a Junio $ 400 por mes</t>
  </si>
  <si>
    <t xml:space="preserve">2 T.E.#1200 Y 1201 y 8 </t>
  </si>
  <si>
    <t>tarjetones</t>
  </si>
  <si>
    <t>Pago de Julio a Diciembre/19</t>
  </si>
  <si>
    <t>Pago T.E.· 1102</t>
  </si>
  <si>
    <t>Pago 1 Llave</t>
  </si>
  <si>
    <t>Pago Febrero a Junio/19</t>
  </si>
  <si>
    <t xml:space="preserve">Pago 1 llave y 2 </t>
  </si>
  <si>
    <t>T.E.#1203 Y 1204</t>
  </si>
  <si>
    <t>T.E.#1205</t>
  </si>
  <si>
    <t>Pago Junio/19</t>
  </si>
  <si>
    <t>Pago Mayo y 1 Tarjetón</t>
  </si>
  <si>
    <t>Pago Reprogramación</t>
  </si>
  <si>
    <t>$ 300 por mes y a/c $ 200 de</t>
  </si>
  <si>
    <t>Pago Mayo/19</t>
  </si>
  <si>
    <t>Pago T.E. #1208</t>
  </si>
  <si>
    <t>Pago Feb/Mar/19 $ 300 por</t>
  </si>
  <si>
    <t>mes y 1 tarjetón</t>
  </si>
  <si>
    <t>Pago Mar/AbR/19</t>
  </si>
  <si>
    <t>Pago T.E.# 1545</t>
  </si>
  <si>
    <t>Pago Junio, 1 llave, 1 T.E.</t>
  </si>
  <si>
    <t># 1546 Y 2 tarjetones</t>
  </si>
  <si>
    <t>Pago Abr/May/Jun/19</t>
  </si>
  <si>
    <t>Pago Jul/Ago/19</t>
  </si>
  <si>
    <t>Pago Julio/19</t>
  </si>
  <si>
    <t>Pago T.E.#1211 y 1 Tarjetòn</t>
  </si>
  <si>
    <t>Pago Sep/18 y Feb/19</t>
  </si>
  <si>
    <t>Pago T.E.#1212</t>
  </si>
  <si>
    <t>Pago T.E.#1213</t>
  </si>
  <si>
    <t>Pago 2 tarjetones y 2 stike</t>
  </si>
  <si>
    <t>Pago T.E.#1215</t>
  </si>
  <si>
    <t>Pago Junio y 1 tarjetòn</t>
  </si>
  <si>
    <t>Pago Mayo/19 1 T.E.#1216</t>
  </si>
  <si>
    <t>Pago Junio y 1 llave</t>
  </si>
  <si>
    <t>Pago T.E.#1217 Y 1 llave</t>
  </si>
  <si>
    <t>Pago Mar/Ab r/19</t>
  </si>
  <si>
    <t>Pago Jun/Jul/19</t>
  </si>
  <si>
    <t>Pago de Julio a Dic/18</t>
  </si>
  <si>
    <t>$ 100 por mes y de Enero</t>
  </si>
  <si>
    <t>a Julio/19 $ 100 por mes</t>
  </si>
  <si>
    <t>Pago T.E.#1218</t>
  </si>
  <si>
    <t>Pago Ene/Feb/Mar/Abr/</t>
  </si>
  <si>
    <t>May/19 $ 400 por mes</t>
  </si>
  <si>
    <t>Pago 1 T.E.#1220 y 1 tarjeto</t>
  </si>
  <si>
    <t>Pago 1 T.E.#1221</t>
  </si>
  <si>
    <t>Pago Abr/May/18</t>
  </si>
  <si>
    <t>Pago Anualidad 2019</t>
  </si>
  <si>
    <t>$ 300 por mes y 1 T,E,#1223</t>
  </si>
  <si>
    <t>Pago Julio</t>
  </si>
  <si>
    <t>Pago T.E.#1225</t>
  </si>
  <si>
    <t xml:space="preserve">Pago Junio, 1 T.E. #1224 y </t>
  </si>
  <si>
    <t>Pago Feb/Mar/Abr/May/</t>
  </si>
  <si>
    <t>Jun/19 $ 350 por mes</t>
  </si>
  <si>
    <t>Pago T.E.#1226</t>
  </si>
  <si>
    <t>Pago Liq. $ 100 Feb pago</t>
  </si>
  <si>
    <t>Mar/Abr/May/19 $ 300</t>
  </si>
  <si>
    <t>por mes a/c $ 200 Jun/19</t>
  </si>
  <si>
    <t>Pago de 3 T.E. #1228,1229</t>
  </si>
  <si>
    <t>$ 400 y 1 llave</t>
  </si>
  <si>
    <t>Pago liq. $ 50 Mayo/19</t>
  </si>
  <si>
    <t xml:space="preserve">pago Junio/19 $ 200 y </t>
  </si>
  <si>
    <t>Pago Jun/Jul/Ago/19</t>
  </si>
  <si>
    <t>Pago May/Jun/Jul/19</t>
  </si>
  <si>
    <t>Pago Julio/19 $ 400, 1 T.E.</t>
  </si>
  <si>
    <t># 1231 Y 2 tarjetones</t>
  </si>
  <si>
    <t>Pago Mayo</t>
  </si>
  <si>
    <t>Pago Jun/jul/19</t>
  </si>
  <si>
    <t>Pago May/Jun/Jul/Ago/</t>
  </si>
  <si>
    <t>Sep/19 $ 300 por mes</t>
  </si>
  <si>
    <t>Pago Mayo/Jun/19</t>
  </si>
  <si>
    <t>Pago Feb/Mar/19</t>
  </si>
  <si>
    <t>Pago liq. $ 300 Marzo y a/c</t>
  </si>
  <si>
    <t>$ 100  Abril/19</t>
  </si>
  <si>
    <t>May/Jun/19</t>
  </si>
  <si>
    <t xml:space="preserve">Pago $ 300 Abril y a/c </t>
  </si>
  <si>
    <t>$100 en Mayo19</t>
  </si>
  <si>
    <t>Pago Mar/Abr/May/jun/</t>
  </si>
  <si>
    <t>jul/19 $ 400 por mes</t>
  </si>
  <si>
    <t>Pago 1 T.E.#1232 Y 1 tarjet</t>
  </si>
  <si>
    <t>Pago may/jun/jul/19</t>
  </si>
  <si>
    <t>Pago junio/19</t>
  </si>
  <si>
    <t>Pago jun/jul/19</t>
  </si>
  <si>
    <t xml:space="preserve">Pago Marzo $ 150 y a/c </t>
  </si>
  <si>
    <t>Abril $ 50</t>
  </si>
  <si>
    <t>Pago liq. Mayo $ 300 y</t>
  </si>
  <si>
    <t xml:space="preserve">Junio $ 400 </t>
  </si>
  <si>
    <t>Pago liq. Junio $ 100 y 1</t>
  </si>
  <si>
    <t>llave</t>
  </si>
  <si>
    <t>Pago May/Jun/Jul/Ago/19</t>
  </si>
  <si>
    <t>Pago T.E.#1233</t>
  </si>
  <si>
    <t xml:space="preserve">Pago Mayo $ 150 del </t>
  </si>
  <si>
    <t>departamento 1,2 y 3</t>
  </si>
  <si>
    <t>Pago May/Juni/Jul/19</t>
  </si>
  <si>
    <t>Pago Abr/May/Jun/Jul/</t>
  </si>
  <si>
    <t>Ago/19 $ 300 por mes</t>
  </si>
  <si>
    <t>Pago Anualidad 2018</t>
  </si>
  <si>
    <t>Pago 2 T.E.#15572 Y 15572</t>
  </si>
  <si>
    <t>Y 2 tarjetones</t>
  </si>
  <si>
    <t>Pago Agosto/19</t>
  </si>
  <si>
    <t>Pago Julio/19 y 1 Tarjetón</t>
  </si>
  <si>
    <t>Pago Jul/19 y 1 T.E.#1237</t>
  </si>
  <si>
    <t>Pago Julio/19 y 1 T.E.1238</t>
  </si>
  <si>
    <t>Pago Jun/Jul/19 $ 400 por</t>
  </si>
  <si>
    <t>mes y 2 stikerss</t>
  </si>
  <si>
    <t>Pago Jul/Ago/Sep/19</t>
  </si>
  <si>
    <t>Pago Mayo/Junio/19</t>
  </si>
  <si>
    <t>Pago 2 llaves, 2 T.E.#1239</t>
  </si>
  <si>
    <t>1240  y 3 tarjetones</t>
  </si>
  <si>
    <t>Pago Mar/Abr/May/Jun/19</t>
  </si>
  <si>
    <t>Pago liq. Mayo</t>
  </si>
  <si>
    <t>Pago Ago/Sep/Oct/Nov/</t>
  </si>
  <si>
    <t>Dic/19 $ 200 por mes</t>
  </si>
  <si>
    <t>Pago de Enero a Diciem-</t>
  </si>
  <si>
    <t>bre/18 $ 200 por mes</t>
  </si>
  <si>
    <t>Pago de Enero a Julio/19</t>
  </si>
  <si>
    <t>Pago Junio/Julio/19</t>
  </si>
  <si>
    <t># 400 por mes</t>
  </si>
  <si>
    <t xml:space="preserve">Pago Julio/19   </t>
  </si>
  <si>
    <t>Pago Julio/19 T.E.#1241</t>
  </si>
  <si>
    <t>Pago Julio/Agosto</t>
  </si>
  <si>
    <t>Pago Junio/Julio/Agosto</t>
  </si>
  <si>
    <t>Pago de Agosto a Diciem-</t>
  </si>
  <si>
    <t>bre/19 $ 200 por mes</t>
  </si>
  <si>
    <t>Pago Julio/Agosto/19</t>
  </si>
  <si>
    <t>$ 300 por mes y 1 tarjetòn</t>
  </si>
  <si>
    <t>Pago Sep/Oct/819</t>
  </si>
  <si>
    <t>Pago de Jun/Jul/Ago/19</t>
  </si>
  <si>
    <t>Transferencia Bancaría</t>
  </si>
  <si>
    <t>Pago 2 Tarjeta # 1242/1243</t>
  </si>
  <si>
    <t>Pago 1 T.E.# 1244 y 1 tarjet</t>
  </si>
  <si>
    <t>Pago Ago/Sep/19</t>
  </si>
  <si>
    <t>Pago T.E.#1245</t>
  </si>
  <si>
    <t>$ 400 por mes y T.E.#1247</t>
  </si>
  <si>
    <t>Pago Mar/Abr/May/Jun/</t>
  </si>
  <si>
    <t>Jul/19 $ 400 por mes</t>
  </si>
  <si>
    <t>Pago Jul/Ago/Sep/Oct/</t>
  </si>
  <si>
    <t>Nov/Dic/19 $ 400 por mes</t>
  </si>
  <si>
    <t>Pago Agosto y 1 tarjetón</t>
  </si>
  <si>
    <t>Pago Oct/Nov/19</t>
  </si>
  <si>
    <t>Pago Agosto y 2 taretones</t>
  </si>
  <si>
    <t>Pago Julio, 1 llave y 1 tarje</t>
  </si>
  <si>
    <t>Sep/19 $ 200 por mes</t>
  </si>
  <si>
    <t>Pago Mayo/Junio/Julio/19</t>
  </si>
  <si>
    <t>Pago 1 tarjertón</t>
  </si>
  <si>
    <t>Pago de Abril a Agosto/19</t>
  </si>
  <si>
    <t>Pago Agosto, T.E.1248</t>
  </si>
  <si>
    <t>y 1 tarjeton</t>
  </si>
  <si>
    <t>Pago Julio y Agosto/19</t>
  </si>
  <si>
    <t>Pago Agosto, T.E. 1249</t>
  </si>
  <si>
    <t>Pago  Junio, Julio y Ago/19</t>
  </si>
  <si>
    <t>Pago Julio//19</t>
  </si>
  <si>
    <t>Pago Ago/Sep/Oct/19</t>
  </si>
  <si>
    <t>Pago Jun/Jul/Ago/Sep/19</t>
  </si>
  <si>
    <t>Pago 1 Llave, 1 T.E.#1250</t>
  </si>
  <si>
    <t>y 4 tarjetones</t>
  </si>
  <si>
    <t>Pago Septiembre</t>
  </si>
  <si>
    <t>Pago de Enero a Juilio/19</t>
  </si>
  <si>
    <t>$ 200 por mes y a/c $ 100</t>
  </si>
  <si>
    <t>al  mes de Agosto/19</t>
  </si>
  <si>
    <t>Pago 2 T.E.#1251 Y 1252</t>
  </si>
  <si>
    <t>Junio</t>
  </si>
  <si>
    <t>Pago Sep/Oct/19</t>
  </si>
  <si>
    <t>Pago de Jul a Dic/19</t>
  </si>
  <si>
    <t>Pago Septiembre/19</t>
  </si>
  <si>
    <t>Pago de 1 T.E. #1253</t>
  </si>
  <si>
    <t>Pago Jun/Jul/Ago/Sep/</t>
  </si>
  <si>
    <t>Oct/19 $ 100 por mes</t>
  </si>
  <si>
    <t>Pago Agosto/19 y 1 llave</t>
  </si>
  <si>
    <t xml:space="preserve">Pago Ago/Sep/19 </t>
  </si>
  <si>
    <t xml:space="preserve">Pago Agosto/19  </t>
  </si>
  <si>
    <t>Pago Jun. Liq. $ 100 Jul/Ago</t>
  </si>
  <si>
    <t>Pago Sep/19 y 1 tajetòn</t>
  </si>
  <si>
    <t>Pago Sep/Oct/Nov/Dic/19</t>
  </si>
  <si>
    <t>Pago Sep/Oct/Nov/19</t>
  </si>
  <si>
    <t>Pago T.E.#1254</t>
  </si>
  <si>
    <t>Pago Ago/19 y 1 tarjetòn</t>
  </si>
  <si>
    <t>y 1 T.E.#1255</t>
  </si>
  <si>
    <t>Pago Sep/19 T.B.</t>
  </si>
  <si>
    <t>Tranferencia Bancaría</t>
  </si>
  <si>
    <t>se deposito 14/08/19</t>
  </si>
  <si>
    <r>
      <t>Pago 1 T.E.</t>
    </r>
    <r>
      <rPr>
        <i/>
        <sz val="11"/>
        <color theme="1"/>
        <rFont val="Calibri"/>
        <family val="2"/>
        <scheme val="minor"/>
      </rPr>
      <t>#1256</t>
    </r>
  </si>
  <si>
    <t>Pago Sep/19 y 1 llave</t>
  </si>
  <si>
    <t>Pago T.E. # 1257 y 1 tarjetón</t>
  </si>
  <si>
    <t>Pago Agosto a Diciembre/19</t>
  </si>
  <si>
    <t>Pago Agosto y 1 T.E.#1259</t>
  </si>
  <si>
    <t>Pago de un video evento</t>
  </si>
  <si>
    <t>de toda una semana.</t>
  </si>
  <si>
    <t>Pago Jun/Jul//19</t>
  </si>
  <si>
    <t>$ 400 por mes y 2 tarjeton</t>
  </si>
  <si>
    <t>Pago de 1 T.E.#1261</t>
  </si>
  <si>
    <t>Pago Oct/Nov/Dic/19</t>
  </si>
  <si>
    <t>Pago 1 T.E.#1262 Y 1 tarjet</t>
  </si>
  <si>
    <t>Pago 1 T.E. #1263</t>
  </si>
  <si>
    <t>Pago 1 T.E.#1264</t>
  </si>
  <si>
    <t xml:space="preserve">Pago Oct/Nov/Dic/16 y </t>
  </si>
  <si>
    <t>Ene/Feb/Mar/Abr/17</t>
  </si>
  <si>
    <t>$ 400 por mes y A/C</t>
  </si>
  <si>
    <t>$ 200 a Mayo/17</t>
  </si>
  <si>
    <t>Pago Octubre/19</t>
  </si>
  <si>
    <t>Pago Septiembre y 1 tarjeto</t>
  </si>
  <si>
    <t>Pago T.E.# 1269</t>
  </si>
  <si>
    <t>Pago 1 T.E.#1267 y 1 tarjetòn</t>
  </si>
  <si>
    <t>Pago Nov/Dic/19</t>
  </si>
  <si>
    <t>$ 300 por mes y 2 tarjetones</t>
  </si>
  <si>
    <t>Transferencia Bancarìa</t>
  </si>
  <si>
    <t>Pao Ago/Sep/19</t>
  </si>
  <si>
    <t>Pago de 1 tarjetòn</t>
  </si>
  <si>
    <t>Pago anualidad del 2019</t>
  </si>
  <si>
    <t>Pago Jul/Agos/Sep/19</t>
  </si>
  <si>
    <t>y 1 T.E.#1268</t>
  </si>
  <si>
    <t>Pago Jul y Sep/19</t>
  </si>
  <si>
    <t>Pagol Oct/Nov/19</t>
  </si>
  <si>
    <t>Pago Diciembre/19</t>
  </si>
  <si>
    <t>Pago Oct/19 y T.E.#1270</t>
  </si>
  <si>
    <t>Pago Jul/Ago/Sep/Oct/19</t>
  </si>
  <si>
    <t>Pago T.E.#1272</t>
  </si>
  <si>
    <t>Pago T.E.# 1274</t>
  </si>
  <si>
    <t>Pago Sep/Oct/19 $ 400</t>
  </si>
  <si>
    <t>por mes y 1 tarjetón</t>
  </si>
  <si>
    <t>Oct/19 $ 400 por mes</t>
  </si>
  <si>
    <t>Pago T.E.# 1275</t>
  </si>
  <si>
    <t>Pago T.E..# 1276</t>
  </si>
  <si>
    <t>Ago/19 $ 400 por mes</t>
  </si>
  <si>
    <t xml:space="preserve">Pago Junio/19 y A/C </t>
  </si>
  <si>
    <t>$ 100 Julio/19</t>
  </si>
  <si>
    <t>$ 150 por mes y 1 T.E.</t>
  </si>
  <si>
    <t># 1278/178</t>
  </si>
  <si>
    <t>Pago Oct/19 y 1 llave</t>
  </si>
  <si>
    <t>Pago Oct/Nov/19 $ 300</t>
  </si>
  <si>
    <t>por mes y Dic/19 $ 400</t>
  </si>
  <si>
    <t>Pago liq. Mayo/18 $ 200</t>
  </si>
  <si>
    <t>y Jun/jul/Ago/Sep/Oct/</t>
  </si>
  <si>
    <t>Nov/Dic/18 $ 400 por mes</t>
  </si>
  <si>
    <t xml:space="preserve">$ 150 por mes  </t>
  </si>
  <si>
    <t>Pago T.E.#1277/177</t>
  </si>
  <si>
    <t>Pago Sep/Oct $ 200 x mes</t>
  </si>
  <si>
    <t>Pago de Noviembre/19</t>
  </si>
  <si>
    <t>Pago T.E.# 1283/180</t>
  </si>
  <si>
    <t>Pago T.E. # 1281/179</t>
  </si>
  <si>
    <t>Pago T.E.# 1286/183</t>
  </si>
  <si>
    <t>Pago de Abril a Diciembre</t>
  </si>
  <si>
    <t>Pago T.E. 1287/184</t>
  </si>
  <si>
    <t>1288/185</t>
  </si>
  <si>
    <t>cheque Deposito Cuenta</t>
  </si>
  <si>
    <t>Pago 2 T.E.#1284/181 y</t>
  </si>
  <si>
    <t># 1285/182</t>
  </si>
  <si>
    <t>Pago anualidad 2020</t>
  </si>
  <si>
    <t xml:space="preserve">Se condona 1 mes </t>
  </si>
  <si>
    <t>Pago Noviembre/19</t>
  </si>
  <si>
    <t>Pago Oct/Nov/Dic/19 y Ene/</t>
  </si>
  <si>
    <t>Feb/20 $ 300  por mes</t>
  </si>
  <si>
    <t>Pago Sep/Oct/19 y 7 tarjetone</t>
  </si>
  <si>
    <t>Pago 7 tarjetones</t>
  </si>
  <si>
    <t>Pago 1 llave y 1 T.E.#1289/186</t>
  </si>
  <si>
    <t>Pago Sep/Oct/Nov/19 y</t>
  </si>
  <si>
    <t>2 tarjetones</t>
  </si>
  <si>
    <t>Pago Nov/19 y 1 tarjetón</t>
  </si>
  <si>
    <t>Pago Oct/19 T.E.#1297/188</t>
  </si>
  <si>
    <t>Pago Noviembre/19 y 1 tarjet</t>
  </si>
  <si>
    <t>Pago Oct/Nov/19 y 1 tarjetón</t>
  </si>
  <si>
    <t>Pago 1 llave y 1 tarjetón</t>
  </si>
  <si>
    <t>Pago 4 tarjetones</t>
  </si>
  <si>
    <t>Pago T.E.#1293/190</t>
  </si>
  <si>
    <t>Pago Jul $ 300 Ago/Sep/19</t>
  </si>
  <si>
    <t>Pago 1 T.E.#1297/194</t>
  </si>
  <si>
    <t xml:space="preserve">Pago Oct/Nov/Dic/19 y 2 </t>
  </si>
  <si>
    <t xml:space="preserve"> y </t>
  </si>
  <si>
    <t>Pago Octubre/19 y 1 tarjetón</t>
  </si>
  <si>
    <t xml:space="preserve">Pago Nov/Dic/19 $ 250 por </t>
  </si>
  <si>
    <t xml:space="preserve">Pago Sep/Oct/19 $ 200 por </t>
  </si>
  <si>
    <t>mes y 2 tarjetones</t>
  </si>
  <si>
    <t>Pago 6 tarjetones</t>
  </si>
  <si>
    <t>Pago Octubre/19 y 4 tarjetone</t>
  </si>
  <si>
    <t>Pago T.E.#1294/191</t>
  </si>
  <si>
    <t>Tranferencia bancaria</t>
  </si>
  <si>
    <t xml:space="preserve">Pago Sep/Oct/19 $ 400 por </t>
  </si>
  <si>
    <t>mes, Transferencia Bancaría</t>
  </si>
  <si>
    <t>Pago Oct/19 y 2 tarjetones</t>
  </si>
  <si>
    <t xml:space="preserve">Pago 1 T.E.#1290/187 y 1 </t>
  </si>
  <si>
    <t>Pago Diciembre/2019</t>
  </si>
  <si>
    <t>$400 por mes</t>
  </si>
  <si>
    <t>Pago 1 T.E.#1295/192</t>
  </si>
  <si>
    <t>y 2 tarjetones</t>
  </si>
  <si>
    <t xml:space="preserve">Pago Oct/Nov/19 $ 300 por </t>
  </si>
  <si>
    <t>Pago Abr/May/Jun/Jul/Ago/19</t>
  </si>
  <si>
    <t xml:space="preserve">Sep/Oct/Nov/19 $ 400 por </t>
  </si>
  <si>
    <t>mes y 1 T.E.# 1296/193</t>
  </si>
  <si>
    <t>Pago Nov/19 y 2 tarjetones</t>
  </si>
  <si>
    <t>Pago Ago/Sep/Oct/Nov/19</t>
  </si>
  <si>
    <t>$ 400 por mes y 1 tarjetón</t>
  </si>
  <si>
    <t>Pago Septiembre $ 150 y a/c</t>
  </si>
  <si>
    <t>Oct/19 $ 50</t>
  </si>
  <si>
    <t>Pago Sept/Oct/19</t>
  </si>
  <si>
    <t>Pago Octubre/19 $ 150 por</t>
  </si>
  <si>
    <t>Depto. 157/1 157/2 157/3</t>
  </si>
  <si>
    <t xml:space="preserve">Pago Octubre/ 19  </t>
  </si>
  <si>
    <t>Pago 2 T.E.#1299  y 1300</t>
  </si>
  <si>
    <t>Pago 2 Tarjetones</t>
  </si>
  <si>
    <t>Pago de 1 tarjetón</t>
  </si>
  <si>
    <t>Pago de anualidad</t>
  </si>
  <si>
    <t xml:space="preserve">$ 500 por mes </t>
  </si>
  <si>
    <t xml:space="preserve">Se condonó 1 mes por </t>
  </si>
  <si>
    <t>Pago de Nov/19 y 1 tarjetó</t>
  </si>
  <si>
    <t>Pago de 2 tarjetones</t>
  </si>
  <si>
    <t>Pago de Nov/19 y 3 tarjetó</t>
  </si>
  <si>
    <t>Pago Anualidad/19</t>
  </si>
  <si>
    <t>Pago Anualidad/20</t>
  </si>
  <si>
    <t xml:space="preserve">Pago Diciembre/19 y 3 </t>
  </si>
  <si>
    <t>Pago de Abr/May/Jun/Jul</t>
  </si>
  <si>
    <t xml:space="preserve">Ago/Sep/Oct/19 </t>
  </si>
  <si>
    <t>Pago de Nov/Dic/19</t>
  </si>
  <si>
    <t xml:space="preserve">Pago Oct/Nov/19 y 2 </t>
  </si>
  <si>
    <t>Pago de Jul/Ago/Sep/19</t>
  </si>
  <si>
    <t>Pago Sept/Oct/Nov/19</t>
  </si>
  <si>
    <t>Pago Sept/Oct/Nov/Dic/19</t>
  </si>
  <si>
    <t>$ 300 por mes y 1 tarjetón</t>
  </si>
  <si>
    <t>Pago 1 T.E.# 1302/199</t>
  </si>
  <si>
    <t>Pago 1 T.E.# 1301/198</t>
  </si>
  <si>
    <t>Pago 1 T.E.#1303/200 y</t>
  </si>
  <si>
    <t>Pago Jul/Ago/Sept/19</t>
  </si>
  <si>
    <t>Pago Octubre/19 y 1 llave</t>
  </si>
  <si>
    <t>Pago Nov/19 y 1 llave</t>
  </si>
  <si>
    <t>Pago de 1 T.E.# 1304/201</t>
  </si>
  <si>
    <t>Pago Ago/Sept/Oct/Nov</t>
  </si>
  <si>
    <t>/19 $ 400 por mes</t>
  </si>
  <si>
    <t>Pago 1 T.E.#1298/195</t>
  </si>
  <si>
    <t>Pago de 4 tajetones</t>
  </si>
  <si>
    <t>Pago T.E.#1305/202</t>
  </si>
  <si>
    <t>$ 400 por mes (cheque)</t>
  </si>
  <si>
    <t>Pago con cheque</t>
  </si>
  <si>
    <t xml:space="preserve">$200 por mes </t>
  </si>
  <si>
    <t>Pago reparación pluma</t>
  </si>
  <si>
    <t>Pago T.E.#1306/203</t>
  </si>
  <si>
    <t>$ 400 por mes y 1 T.E.</t>
  </si>
  <si>
    <t>#1308/205</t>
  </si>
  <si>
    <t>Pago 2 tarjetónes</t>
  </si>
  <si>
    <t>#1309/206</t>
  </si>
  <si>
    <t>Pago Noviembre y 4</t>
  </si>
  <si>
    <t>Pago Noviembre y 1 T.E.</t>
  </si>
  <si>
    <t>#1310/207</t>
  </si>
  <si>
    <t>Pago de activación de 2</t>
  </si>
  <si>
    <t>tarjetas</t>
  </si>
  <si>
    <t>Pago 5 tarjetones</t>
  </si>
  <si>
    <t xml:space="preserve"> Pago Nov/Dic/19</t>
  </si>
  <si>
    <t>$ 400 por mes  y 1 tarjetón</t>
  </si>
  <si>
    <t>Cambio de T.E.</t>
  </si>
  <si>
    <t>Cambio 3 T.E.</t>
  </si>
  <si>
    <t>Cambio  4 T.E.</t>
  </si>
  <si>
    <t>Cambio 2 T.E.</t>
  </si>
  <si>
    <t>Cambio 4 T.E.</t>
  </si>
  <si>
    <t>$ 400 poro mes</t>
  </si>
  <si>
    <t>Cambio de 2 T.E.</t>
  </si>
  <si>
    <t>Cambio 1 T.E.</t>
  </si>
  <si>
    <t>Pago Oct/Nov/19 $ 200</t>
  </si>
  <si>
    <t>por mes y Cambio 1 T.E.</t>
  </si>
  <si>
    <t>$250 por mes y cambio</t>
  </si>
  <si>
    <t>1 T.E.</t>
  </si>
  <si>
    <t>Pago Nov/19 y cambio de</t>
  </si>
  <si>
    <t>2 T.E.</t>
  </si>
  <si>
    <t>Camibio 3 T.E.</t>
  </si>
  <si>
    <t>Cambio 1 T.E. y compro 1</t>
  </si>
  <si>
    <t>tarjeta nueva</t>
  </si>
  <si>
    <t>Cambio 5 T.E.</t>
  </si>
  <si>
    <t>Pago Septiembre/19 y</t>
  </si>
  <si>
    <t>Compra 1 T.E. nueva</t>
  </si>
  <si>
    <t>y cambio 1 T.E.</t>
  </si>
  <si>
    <t xml:space="preserve">Pago Diciembre/19 y </t>
  </si>
  <si>
    <t>cambio 2 T.E.</t>
  </si>
  <si>
    <t>Compra 2 T.E. nuevas</t>
  </si>
  <si>
    <t xml:space="preserve">Pago Sep/Oct/Nov/19 </t>
  </si>
  <si>
    <t xml:space="preserve">$ 300 por mes y cambio </t>
  </si>
  <si>
    <t>y compro 1 T.E. nueva</t>
  </si>
  <si>
    <t>Pago Nov $ 150 por depto</t>
  </si>
  <si>
    <t>son 3 y cambio 1 T.E.</t>
  </si>
  <si>
    <t>Pago Nov/Dic/19 Ene/20</t>
  </si>
  <si>
    <t>$  400 por mes</t>
  </si>
  <si>
    <t>Compro 1 T.E. nueva y</t>
  </si>
  <si>
    <t xml:space="preserve">Pago Diciembre / 19  </t>
  </si>
  <si>
    <t>Pago 1 T.E.</t>
  </si>
  <si>
    <t>y cambio 3 T.E.</t>
  </si>
  <si>
    <t>y cambio 2 T.E.</t>
  </si>
  <si>
    <t>Pago Dic/19 Ene/Feb/20</t>
  </si>
  <si>
    <t>Cambio 6 T.E.</t>
  </si>
  <si>
    <t>Compra 1 tarjetón</t>
  </si>
  <si>
    <t xml:space="preserve">Pago Diciembre/19 </t>
  </si>
  <si>
    <t>Pago Ago/Sep//19</t>
  </si>
  <si>
    <t>$ 100 por mes,  Oct/Nov/</t>
  </si>
  <si>
    <t>cambio de 1 T.E.</t>
  </si>
  <si>
    <t>Compra 1 T.E nueve y</t>
  </si>
  <si>
    <t>Compro 1 llave</t>
  </si>
  <si>
    <t>Pago Noviembre/19 y</t>
  </si>
  <si>
    <t xml:space="preserve">Compro 1 T.E. nueva </t>
  </si>
  <si>
    <t>Compra 2 tarjetones</t>
  </si>
  <si>
    <t>Pago Nov/DIC/19</t>
  </si>
  <si>
    <t>$ 400 Por mes</t>
  </si>
  <si>
    <t>Compro 1 tarjetón</t>
  </si>
  <si>
    <t>Compro 2 tarjetones</t>
  </si>
  <si>
    <t>y cambio de 2 T.E.</t>
  </si>
  <si>
    <t>cambio 1 T.E.</t>
  </si>
  <si>
    <t>y cambio de 1 T.E.</t>
  </si>
  <si>
    <t>y  cambio 1 T.E.</t>
  </si>
  <si>
    <t>Compra 1 llave</t>
  </si>
  <si>
    <t>Pago Noviembre y compro</t>
  </si>
  <si>
    <t xml:space="preserve">Pago Nov/19 $ 200 y </t>
  </si>
  <si>
    <t>Pago de Agosto a Dic/19</t>
  </si>
  <si>
    <t>$ 100 por mes y</t>
  </si>
  <si>
    <t>Pago Oct/Nov/19 y cambio</t>
  </si>
  <si>
    <t xml:space="preserve">Pago Noiembre/19 y </t>
  </si>
  <si>
    <t>Cambo 1 T.E.</t>
  </si>
  <si>
    <t>Pago Ocutbre/19</t>
  </si>
  <si>
    <t>$ 200 por mes,  Compra</t>
  </si>
  <si>
    <t>1 T.E. y cambio 1 T.E.</t>
  </si>
  <si>
    <t>Pago Nov/19 cambio 1 T.E.</t>
  </si>
  <si>
    <t>y compra 1 T.E. nueva</t>
  </si>
  <si>
    <t>/19 $ 250 por mes</t>
  </si>
  <si>
    <t>Pago Octubre719</t>
  </si>
  <si>
    <t>Compra de 1 tarjetón</t>
  </si>
  <si>
    <t xml:space="preserve">Compro 2 T.E. y compra </t>
  </si>
  <si>
    <t>Pago Diciembre y 1 tarjeto</t>
  </si>
  <si>
    <t>Compra de 1 T.E. nueva</t>
  </si>
  <si>
    <t>Pago Nov/Dic/19 $ 400</t>
  </si>
  <si>
    <t>Compra 2 T.E. Nuevas</t>
  </si>
  <si>
    <t>Compra 1 T.E. Nueva y</t>
  </si>
  <si>
    <t>2  cambio T.E.</t>
  </si>
  <si>
    <t xml:space="preserve">Pago Noviembre y </t>
  </si>
  <si>
    <t xml:space="preserve">Compra 1 T.E. Nueva </t>
  </si>
  <si>
    <t>Compra 1 T.E. Nueva</t>
  </si>
  <si>
    <t>Cambio de 3 T.E.</t>
  </si>
  <si>
    <t>Pago de Junio a Diciembre</t>
  </si>
  <si>
    <t>Pago Diciembre</t>
  </si>
  <si>
    <t>Pago anulidad 2020</t>
  </si>
  <si>
    <t xml:space="preserve">Pago Noviembre/19 </t>
  </si>
  <si>
    <t>Pago Nov/Dic719</t>
  </si>
  <si>
    <t>Cambio de 1 T.E.</t>
  </si>
  <si>
    <t>Pago Ene/Feb/20</t>
  </si>
  <si>
    <t>Pago Nov/Dic/ 19 y Ene/Feb</t>
  </si>
  <si>
    <t xml:space="preserve">20 $ 250 por mes, cambio </t>
  </si>
  <si>
    <t>1 T.E. y 1 llave</t>
  </si>
  <si>
    <t>Pago Diciembre/19 y</t>
  </si>
  <si>
    <t>y Compra de 1 T.E. nueva</t>
  </si>
  <si>
    <t xml:space="preserve"> Compra 1 T.E. Nueva</t>
  </si>
  <si>
    <t xml:space="preserve">Pago Oct/Nov/ $ 300 por </t>
  </si>
  <si>
    <t>mes y Dic/19 $ 400</t>
  </si>
  <si>
    <t>Pago Ene/Feb/Mar/Abr/19</t>
  </si>
  <si>
    <t>Pago Dic/19 $ 400 y Ene/20</t>
  </si>
  <si>
    <t>Pago Enero/20</t>
  </si>
  <si>
    <t>Pago 2 T.E. nueva</t>
  </si>
  <si>
    <t>Pago Ago/Sept/19</t>
  </si>
  <si>
    <t>Pago 1 T.E. Nueva</t>
  </si>
  <si>
    <t>Pago Enero/2020</t>
  </si>
  <si>
    <t>$ 300 por mes y 1 llave</t>
  </si>
  <si>
    <t>Compra de 1 T.E.#092</t>
  </si>
  <si>
    <t>Pago Octubre19</t>
  </si>
  <si>
    <t>Compra de 1 T.E.#118</t>
  </si>
  <si>
    <t>$ 200 por mes y 1 tarjetón</t>
  </si>
  <si>
    <t>Cambio de 2 T.E.#123 Y152</t>
  </si>
  <si>
    <t>compra de 1 T.E.#156</t>
  </si>
  <si>
    <t>Pago de Mayo a Diciembre</t>
  </si>
  <si>
    <t xml:space="preserve">$ 200 por mes   </t>
  </si>
  <si>
    <t>Compra de 1 T.E.#074</t>
  </si>
  <si>
    <t>Compra 1 T.E.#1009</t>
  </si>
  <si>
    <t>Pago Diciembre y 1 llave</t>
  </si>
  <si>
    <t>Compra 1 T.E. # 053</t>
  </si>
  <si>
    <t>Compra 1 T.E.#1045</t>
  </si>
  <si>
    <t>Compra 1 T.E.#1204</t>
  </si>
  <si>
    <t xml:space="preserve">Pago Dic/19 $ 400 </t>
  </si>
  <si>
    <t>Ene/2020 $ 500</t>
  </si>
  <si>
    <t>Compra T.E.#1205</t>
  </si>
  <si>
    <t>Compra 1 T.E. # 1209</t>
  </si>
  <si>
    <t>Pago Dic/19 $ 200 y 1 llave</t>
  </si>
  <si>
    <t>Compra 1 T.E.# 1210 y 1</t>
  </si>
  <si>
    <t>Pago liq. $ 100 Ago,</t>
  </si>
  <si>
    <t>Sep/Oct/Nov/Dic/19</t>
  </si>
  <si>
    <t>$ 200 por mes, 1 T.E.#75</t>
  </si>
  <si>
    <t>y 1 tarjetón.</t>
  </si>
  <si>
    <t>Pago Diciembre y 1 T.E.</t>
  </si>
  <si>
    <t>#1211</t>
  </si>
  <si>
    <t>$ 800 y 1 T.E.# 1000</t>
  </si>
  <si>
    <t>Compra 1 T.E.# 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</si>
</sst>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4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2" fontId="0" fillId="5" borderId="0" xfId="0" applyNumberFormat="1" applyFill="1"/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0" fontId="0" fillId="11" borderId="0" xfId="0" applyFill="1" applyAlignment="1">
      <alignment horizontal="center"/>
    </xf>
    <xf numFmtId="4" fontId="0" fillId="11" borderId="0" xfId="0" applyNumberFormat="1" applyFill="1"/>
    <xf numFmtId="0" fontId="0" fillId="11" borderId="0" xfId="0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2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6" fontId="0" fillId="5" borderId="0" xfId="0" applyNumberFormat="1" applyFill="1" applyAlignment="1">
      <alignment horizontal="left"/>
    </xf>
    <xf numFmtId="4" fontId="0" fillId="7" borderId="0" xfId="0" applyNumberFormat="1" applyFill="1"/>
    <xf numFmtId="6" fontId="0" fillId="7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6" fontId="0" fillId="6" borderId="0" xfId="0" applyNumberFormat="1" applyFill="1" applyAlignment="1">
      <alignment horizontal="left"/>
    </xf>
    <xf numFmtId="2" fontId="0" fillId="6" borderId="0" xfId="0" applyNumberFormat="1" applyFill="1"/>
    <xf numFmtId="0" fontId="0" fillId="4" borderId="0" xfId="0" applyFill="1" applyAlignment="1">
      <alignment horizontal="left"/>
    </xf>
    <xf numFmtId="17" fontId="0" fillId="7" borderId="0" xfId="0" applyNumberFormat="1" applyFill="1" applyAlignment="1">
      <alignment horizontal="left"/>
    </xf>
    <xf numFmtId="17" fontId="0" fillId="5" borderId="0" xfId="0" applyNumberFormat="1" applyFill="1" applyAlignment="1">
      <alignment horizontal="left"/>
    </xf>
    <xf numFmtId="0" fontId="0" fillId="5" borderId="0" xfId="0" applyFont="1" applyFill="1" applyBorder="1" applyAlignment="1">
      <alignment horizontal="center"/>
    </xf>
    <xf numFmtId="17" fontId="0" fillId="6" borderId="0" xfId="0" applyNumberFormat="1" applyFill="1" applyAlignment="1">
      <alignment horizontal="left"/>
    </xf>
    <xf numFmtId="0" fontId="0" fillId="13" borderId="0" xfId="0" applyFill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6" fontId="0" fillId="4" borderId="0" xfId="0" applyNumberFormat="1" applyFill="1" applyAlignment="1">
      <alignment horizontal="left"/>
    </xf>
    <xf numFmtId="0" fontId="5" fillId="14" borderId="0" xfId="0" applyFont="1" applyFill="1" applyAlignment="1">
      <alignment horizontal="center"/>
    </xf>
    <xf numFmtId="17" fontId="0" fillId="7" borderId="0" xfId="0" applyNumberFormat="1" applyFill="1"/>
    <xf numFmtId="0" fontId="0" fillId="5" borderId="0" xfId="0" applyFill="1" applyAlignment="1"/>
    <xf numFmtId="0" fontId="0" fillId="5" borderId="0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opLeftCell="G5" zoomScaleNormal="100" workbookViewId="0">
      <pane ySplit="3" topLeftCell="A16" activePane="bottomLeft" state="frozen"/>
      <selection activeCell="A5" sqref="A5"/>
      <selection pane="bottomLeft" activeCell="K31" sqref="K31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5.855468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>
        <f>A6+D6+G6+J6+M6</f>
        <v>203</v>
      </c>
      <c r="H3" s="3" t="s">
        <v>3</v>
      </c>
      <c r="I3" s="2">
        <f>B6+E6+H6+K6+N6</f>
        <v>160520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2" t="s">
        <v>6</v>
      </c>
      <c r="K5" s="132"/>
      <c r="L5" s="132"/>
      <c r="M5" s="124" t="s">
        <v>12</v>
      </c>
      <c r="N5" s="124"/>
      <c r="O5" s="124"/>
      <c r="P5" s="124" t="s">
        <v>12</v>
      </c>
      <c r="Q5" s="124"/>
      <c r="R5" s="124"/>
    </row>
    <row r="6" spans="1:18" x14ac:dyDescent="0.25">
      <c r="A6" s="8">
        <f>SUBTOTAL(3,A8:A121)</f>
        <v>54</v>
      </c>
      <c r="B6" s="8">
        <f>SUBTOTAL(9,B8:B121)</f>
        <v>33860</v>
      </c>
      <c r="C6" s="35">
        <v>43471</v>
      </c>
      <c r="D6" s="8">
        <f>SUBTOTAL(3,D8:D121)</f>
        <v>48</v>
      </c>
      <c r="E6" s="1">
        <f>SUBTOTAL(9,E8:E121)</f>
        <v>41900</v>
      </c>
      <c r="F6" s="38">
        <v>43478</v>
      </c>
      <c r="G6" s="8">
        <f>SUBTOTAL(3,G8:G121)</f>
        <v>53</v>
      </c>
      <c r="H6" s="1">
        <f>SUBTOTAL(9,H8:H121)</f>
        <v>43350</v>
      </c>
      <c r="I6" s="39">
        <v>43485</v>
      </c>
      <c r="J6" s="8">
        <f>SUBTOTAL(3,J8:J121)</f>
        <v>38</v>
      </c>
      <c r="K6" s="1">
        <f>SUBTOTAL(9,K8:K121)</f>
        <v>28400</v>
      </c>
      <c r="L6" s="84">
        <v>43492</v>
      </c>
      <c r="M6" s="8">
        <f>SUBTOTAL(3,M8:M124)</f>
        <v>10</v>
      </c>
      <c r="N6" s="1">
        <f>SUBTOTAL(9,N8:N124)</f>
        <v>13010</v>
      </c>
      <c r="O6" s="85"/>
      <c r="P6" s="1">
        <f>+D6+G6+J6+M6</f>
        <v>149</v>
      </c>
      <c r="Q6" s="1">
        <f>+E6+H6+K6+N6</f>
        <v>126660</v>
      </c>
      <c r="R6" s="85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4" t="s">
        <v>1</v>
      </c>
      <c r="Q7" s="94" t="s">
        <v>3</v>
      </c>
      <c r="R7" s="94" t="s">
        <v>2</v>
      </c>
    </row>
    <row r="8" spans="1:18" x14ac:dyDescent="0.25">
      <c r="A8" s="16">
        <v>18072</v>
      </c>
      <c r="B8" s="106">
        <v>400</v>
      </c>
      <c r="C8" s="17"/>
      <c r="D8" s="13">
        <v>18126</v>
      </c>
      <c r="E8" s="70">
        <v>650</v>
      </c>
      <c r="F8" s="14" t="s">
        <v>38</v>
      </c>
      <c r="G8" s="9">
        <v>18174</v>
      </c>
      <c r="H8" s="77">
        <v>250</v>
      </c>
      <c r="I8" s="10"/>
      <c r="J8" s="50">
        <v>18227</v>
      </c>
      <c r="K8" s="79">
        <v>400</v>
      </c>
      <c r="L8" s="51"/>
      <c r="M8" s="75">
        <v>18265</v>
      </c>
      <c r="N8" s="73">
        <v>60</v>
      </c>
      <c r="O8" s="15" t="s">
        <v>94</v>
      </c>
      <c r="P8" s="6"/>
      <c r="Q8" s="6"/>
    </row>
    <row r="9" spans="1:18" x14ac:dyDescent="0.25">
      <c r="A9" s="16">
        <v>18073</v>
      </c>
      <c r="B9" s="106">
        <v>1820</v>
      </c>
      <c r="C9" s="21" t="s">
        <v>22</v>
      </c>
      <c r="D9" s="13"/>
      <c r="E9" s="70"/>
      <c r="F9" s="23" t="s">
        <v>15</v>
      </c>
      <c r="G9" s="9">
        <v>18175</v>
      </c>
      <c r="H9" s="77">
        <v>400</v>
      </c>
      <c r="I9" s="10" t="s">
        <v>61</v>
      </c>
      <c r="J9" s="50">
        <v>18228</v>
      </c>
      <c r="K9" s="79">
        <v>200</v>
      </c>
      <c r="L9" s="51" t="s">
        <v>82</v>
      </c>
      <c r="M9" s="75">
        <v>18266</v>
      </c>
      <c r="N9" s="73">
        <v>400</v>
      </c>
      <c r="O9" s="15" t="s">
        <v>95</v>
      </c>
      <c r="P9" s="90"/>
      <c r="Q9" s="90"/>
    </row>
    <row r="10" spans="1:18" x14ac:dyDescent="0.25">
      <c r="A10" s="16"/>
      <c r="B10" s="106"/>
      <c r="C10" s="17" t="s">
        <v>23</v>
      </c>
      <c r="D10" s="13">
        <v>18127</v>
      </c>
      <c r="E10" s="70">
        <v>250</v>
      </c>
      <c r="F10" s="14" t="s">
        <v>39</v>
      </c>
      <c r="G10" s="9"/>
      <c r="H10" s="77"/>
      <c r="I10" s="10" t="s">
        <v>14</v>
      </c>
      <c r="J10" s="50">
        <v>18229</v>
      </c>
      <c r="K10" s="79">
        <v>300</v>
      </c>
      <c r="L10" s="51" t="s">
        <v>28</v>
      </c>
      <c r="M10" s="75">
        <v>18267</v>
      </c>
      <c r="N10" s="73">
        <v>4400</v>
      </c>
      <c r="O10" s="109" t="s">
        <v>96</v>
      </c>
    </row>
    <row r="11" spans="1:18" x14ac:dyDescent="0.25">
      <c r="A11" s="16"/>
      <c r="B11" s="106"/>
      <c r="C11" s="17" t="s">
        <v>24</v>
      </c>
      <c r="D11" s="13">
        <v>18128</v>
      </c>
      <c r="E11" s="76">
        <v>400</v>
      </c>
      <c r="F11" s="14" t="s">
        <v>40</v>
      </c>
      <c r="G11" s="9">
        <v>18176</v>
      </c>
      <c r="H11" s="77">
        <v>300</v>
      </c>
      <c r="I11" s="10"/>
      <c r="J11" s="50">
        <v>18230</v>
      </c>
      <c r="K11" s="79">
        <v>300</v>
      </c>
      <c r="L11" s="51"/>
      <c r="M11" s="75"/>
      <c r="N11" s="73"/>
      <c r="O11" s="15" t="s">
        <v>15</v>
      </c>
    </row>
    <row r="12" spans="1:18" x14ac:dyDescent="0.25">
      <c r="A12" s="16">
        <v>18074</v>
      </c>
      <c r="B12" s="106">
        <v>600</v>
      </c>
      <c r="C12" s="17" t="s">
        <v>25</v>
      </c>
      <c r="D12" s="13">
        <v>18129</v>
      </c>
      <c r="E12" s="70">
        <v>2250</v>
      </c>
      <c r="F12" s="14" t="s">
        <v>32</v>
      </c>
      <c r="G12" s="9">
        <v>18177</v>
      </c>
      <c r="H12" s="77">
        <v>400</v>
      </c>
      <c r="I12" s="10" t="s">
        <v>52</v>
      </c>
      <c r="J12" s="53">
        <v>18231</v>
      </c>
      <c r="K12" s="72">
        <v>400</v>
      </c>
      <c r="L12" s="56"/>
      <c r="M12" s="75"/>
      <c r="N12" s="73"/>
      <c r="O12" s="15" t="s">
        <v>42</v>
      </c>
    </row>
    <row r="13" spans="1:18" x14ac:dyDescent="0.25">
      <c r="A13" s="16"/>
      <c r="B13" s="17"/>
      <c r="C13" s="17" t="s">
        <v>14</v>
      </c>
      <c r="D13" s="13"/>
      <c r="E13" s="70"/>
      <c r="F13" s="14" t="s">
        <v>41</v>
      </c>
      <c r="G13" s="9">
        <v>18178</v>
      </c>
      <c r="H13" s="77">
        <v>300</v>
      </c>
      <c r="I13" s="10"/>
      <c r="J13" s="50">
        <v>18232</v>
      </c>
      <c r="K13" s="79">
        <v>1050</v>
      </c>
      <c r="L13" s="51" t="s">
        <v>83</v>
      </c>
      <c r="M13" s="75">
        <v>18268</v>
      </c>
      <c r="N13" s="73">
        <v>50</v>
      </c>
      <c r="O13" s="15" t="s">
        <v>20</v>
      </c>
    </row>
    <row r="14" spans="1:18" x14ac:dyDescent="0.25">
      <c r="A14" s="16">
        <v>18075</v>
      </c>
      <c r="B14" s="106">
        <v>100</v>
      </c>
      <c r="C14" s="17"/>
      <c r="D14" s="13"/>
      <c r="E14" s="70"/>
      <c r="F14" s="14" t="s">
        <v>42</v>
      </c>
      <c r="G14" s="9">
        <v>18179</v>
      </c>
      <c r="H14" s="77">
        <v>1600</v>
      </c>
      <c r="I14" s="10" t="s">
        <v>62</v>
      </c>
      <c r="J14" s="50"/>
      <c r="K14" s="79"/>
      <c r="L14" s="51" t="s">
        <v>81</v>
      </c>
      <c r="M14" s="75">
        <v>18269</v>
      </c>
      <c r="N14" s="73">
        <v>800</v>
      </c>
      <c r="O14" s="15" t="s">
        <v>30</v>
      </c>
    </row>
    <row r="15" spans="1:18" x14ac:dyDescent="0.25">
      <c r="A15" s="16">
        <v>18076</v>
      </c>
      <c r="B15" s="106">
        <v>5500</v>
      </c>
      <c r="C15" s="17" t="s">
        <v>26</v>
      </c>
      <c r="D15" s="13"/>
      <c r="E15" s="70"/>
      <c r="F15" s="14" t="s">
        <v>43</v>
      </c>
      <c r="G15" s="9"/>
      <c r="H15" s="77"/>
      <c r="I15" s="10" t="s">
        <v>15</v>
      </c>
      <c r="J15" s="50">
        <v>18233</v>
      </c>
      <c r="K15" s="79">
        <v>200</v>
      </c>
      <c r="L15" s="51" t="s">
        <v>34</v>
      </c>
      <c r="M15" s="75"/>
      <c r="N15" s="73"/>
      <c r="O15" s="15" t="s">
        <v>15</v>
      </c>
    </row>
    <row r="16" spans="1:18" x14ac:dyDescent="0.25">
      <c r="A16" s="16">
        <v>18077</v>
      </c>
      <c r="B16" s="106">
        <v>400</v>
      </c>
      <c r="C16" s="17" t="s">
        <v>27</v>
      </c>
      <c r="D16" s="13">
        <v>18130</v>
      </c>
      <c r="E16" s="70">
        <v>400</v>
      </c>
      <c r="F16" s="14" t="s">
        <v>44</v>
      </c>
      <c r="G16" s="9">
        <v>18180</v>
      </c>
      <c r="H16" s="77">
        <v>1200</v>
      </c>
      <c r="I16" s="24" t="s">
        <v>63</v>
      </c>
      <c r="J16" s="50">
        <v>18234</v>
      </c>
      <c r="K16" s="79">
        <v>200</v>
      </c>
      <c r="L16" s="51" t="s">
        <v>84</v>
      </c>
      <c r="M16" s="75">
        <v>18270</v>
      </c>
      <c r="N16" s="73">
        <v>350</v>
      </c>
      <c r="O16" s="15" t="s">
        <v>97</v>
      </c>
    </row>
    <row r="17" spans="1:15" x14ac:dyDescent="0.25">
      <c r="A17" s="16"/>
      <c r="B17" s="106"/>
      <c r="C17" s="17" t="s">
        <v>14</v>
      </c>
      <c r="D17" s="13">
        <v>18131</v>
      </c>
      <c r="E17" s="70">
        <v>200</v>
      </c>
      <c r="F17" s="14" t="s">
        <v>34</v>
      </c>
      <c r="G17" s="9"/>
      <c r="H17" s="77"/>
      <c r="I17" s="10" t="s">
        <v>15</v>
      </c>
      <c r="J17" s="50">
        <v>18235</v>
      </c>
      <c r="K17" s="79">
        <v>600</v>
      </c>
      <c r="L17" s="51" t="s">
        <v>64</v>
      </c>
      <c r="M17" s="75">
        <v>18271</v>
      </c>
      <c r="N17" s="73">
        <v>350</v>
      </c>
      <c r="O17" s="15" t="s">
        <v>98</v>
      </c>
    </row>
    <row r="18" spans="1:15" x14ac:dyDescent="0.25">
      <c r="A18" s="16">
        <v>18078</v>
      </c>
      <c r="B18" s="106">
        <v>300</v>
      </c>
      <c r="C18" s="17"/>
      <c r="D18" s="13">
        <v>18132</v>
      </c>
      <c r="E18" s="70">
        <v>400</v>
      </c>
      <c r="F18" s="14" t="s">
        <v>30</v>
      </c>
      <c r="G18" s="9">
        <v>18181</v>
      </c>
      <c r="H18" s="77">
        <v>400</v>
      </c>
      <c r="I18" s="10"/>
      <c r="J18" s="50"/>
      <c r="K18" s="79"/>
      <c r="L18" s="51" t="s">
        <v>16</v>
      </c>
      <c r="M18" s="75"/>
      <c r="N18" s="73"/>
      <c r="O18" s="15" t="s">
        <v>99</v>
      </c>
    </row>
    <row r="19" spans="1:15" x14ac:dyDescent="0.25">
      <c r="A19" s="16">
        <v>18079</v>
      </c>
      <c r="B19" s="106">
        <v>300</v>
      </c>
      <c r="C19" s="17"/>
      <c r="D19" s="13"/>
      <c r="E19" s="70"/>
      <c r="F19" s="14" t="s">
        <v>41</v>
      </c>
      <c r="G19" s="9">
        <v>18182</v>
      </c>
      <c r="H19" s="77">
        <v>400</v>
      </c>
      <c r="I19" s="10"/>
      <c r="J19" s="50">
        <v>18236</v>
      </c>
      <c r="K19" s="79">
        <v>250</v>
      </c>
      <c r="L19" s="51" t="s">
        <v>85</v>
      </c>
      <c r="M19" s="75">
        <v>18272</v>
      </c>
      <c r="N19" s="73">
        <v>1200</v>
      </c>
      <c r="O19" s="31" t="s">
        <v>45</v>
      </c>
    </row>
    <row r="20" spans="1:15" x14ac:dyDescent="0.25">
      <c r="A20" s="16">
        <v>18080</v>
      </c>
      <c r="B20" s="106">
        <v>400</v>
      </c>
      <c r="C20" s="17" t="s">
        <v>27</v>
      </c>
      <c r="D20" s="13">
        <v>18133</v>
      </c>
      <c r="E20" s="70">
        <v>200</v>
      </c>
      <c r="F20" s="14"/>
      <c r="G20" s="9">
        <v>18183</v>
      </c>
      <c r="H20" s="77">
        <v>400</v>
      </c>
      <c r="I20" s="10"/>
      <c r="J20" s="50">
        <v>18237</v>
      </c>
      <c r="K20" s="79">
        <v>400</v>
      </c>
      <c r="L20" s="51"/>
      <c r="M20" s="75"/>
      <c r="N20" s="73"/>
      <c r="O20" s="15" t="s">
        <v>15</v>
      </c>
    </row>
    <row r="21" spans="1:15" x14ac:dyDescent="0.25">
      <c r="A21" s="16"/>
      <c r="B21" s="106"/>
      <c r="C21" s="17" t="s">
        <v>14</v>
      </c>
      <c r="D21" s="13">
        <v>18134</v>
      </c>
      <c r="E21" s="70">
        <v>900</v>
      </c>
      <c r="F21" s="14" t="s">
        <v>45</v>
      </c>
      <c r="G21" s="9">
        <v>18184</v>
      </c>
      <c r="H21" s="77">
        <v>400</v>
      </c>
      <c r="I21" s="10" t="s">
        <v>64</v>
      </c>
      <c r="J21" s="53">
        <v>18238</v>
      </c>
      <c r="K21" s="72">
        <v>4400</v>
      </c>
      <c r="L21" s="51" t="s">
        <v>32</v>
      </c>
      <c r="M21" s="75">
        <v>18273</v>
      </c>
      <c r="N21" s="73">
        <v>4600</v>
      </c>
      <c r="O21" s="15" t="s">
        <v>96</v>
      </c>
    </row>
    <row r="22" spans="1:15" x14ac:dyDescent="0.25">
      <c r="A22" s="16">
        <v>18081</v>
      </c>
      <c r="B22" s="106">
        <v>800</v>
      </c>
      <c r="C22" s="17" t="s">
        <v>27</v>
      </c>
      <c r="D22" s="13"/>
      <c r="E22" s="70"/>
      <c r="F22" s="14" t="s">
        <v>16</v>
      </c>
      <c r="G22" s="9"/>
      <c r="H22" s="77"/>
      <c r="I22" s="25" t="s">
        <v>14</v>
      </c>
      <c r="J22" s="50"/>
      <c r="K22" s="79"/>
      <c r="L22" s="51" t="s">
        <v>15</v>
      </c>
      <c r="M22" s="75"/>
      <c r="N22" s="73"/>
      <c r="O22" s="15" t="s">
        <v>15</v>
      </c>
    </row>
    <row r="23" spans="1:15" x14ac:dyDescent="0.25">
      <c r="A23" s="16"/>
      <c r="B23" s="106"/>
      <c r="C23" s="17" t="s">
        <v>15</v>
      </c>
      <c r="D23" s="13">
        <v>18135</v>
      </c>
      <c r="E23" s="70">
        <v>200</v>
      </c>
      <c r="F23" s="14" t="s">
        <v>34</v>
      </c>
      <c r="G23" s="9">
        <v>18185</v>
      </c>
      <c r="H23" s="77">
        <v>400</v>
      </c>
      <c r="I23" s="10" t="s">
        <v>64</v>
      </c>
      <c r="J23" s="50"/>
      <c r="K23" s="79"/>
      <c r="L23" s="51" t="s">
        <v>86</v>
      </c>
      <c r="M23" s="75"/>
      <c r="N23" s="73"/>
      <c r="O23" s="15" t="s">
        <v>100</v>
      </c>
    </row>
    <row r="24" spans="1:15" x14ac:dyDescent="0.25">
      <c r="A24" s="16">
        <v>18082</v>
      </c>
      <c r="B24" s="106">
        <v>400</v>
      </c>
      <c r="C24" s="107"/>
      <c r="D24" s="13">
        <v>18136</v>
      </c>
      <c r="E24" s="70">
        <v>400</v>
      </c>
      <c r="F24" s="105"/>
      <c r="G24" s="9"/>
      <c r="H24" s="77"/>
      <c r="I24" s="10" t="s">
        <v>14</v>
      </c>
      <c r="J24" s="50">
        <v>18239</v>
      </c>
      <c r="K24" s="79">
        <v>200</v>
      </c>
      <c r="L24" s="51"/>
      <c r="M24" s="75">
        <v>18274</v>
      </c>
      <c r="N24" s="73">
        <v>800</v>
      </c>
      <c r="O24" s="15" t="s">
        <v>29</v>
      </c>
    </row>
    <row r="25" spans="1:15" x14ac:dyDescent="0.25">
      <c r="A25" s="16">
        <v>18083</v>
      </c>
      <c r="B25" s="106">
        <v>400</v>
      </c>
      <c r="C25" s="17"/>
      <c r="D25" s="13">
        <v>18137</v>
      </c>
      <c r="E25" s="70">
        <v>4450</v>
      </c>
      <c r="F25" s="14" t="s">
        <v>32</v>
      </c>
      <c r="G25" s="9">
        <v>18186</v>
      </c>
      <c r="H25" s="77">
        <v>350</v>
      </c>
      <c r="I25" s="10"/>
      <c r="J25" s="50">
        <v>18240</v>
      </c>
      <c r="K25" s="79">
        <v>400</v>
      </c>
      <c r="L25" s="51"/>
      <c r="M25" s="75"/>
      <c r="N25" s="73"/>
      <c r="O25" s="15" t="s">
        <v>15</v>
      </c>
    </row>
    <row r="26" spans="1:15" x14ac:dyDescent="0.25">
      <c r="A26" s="16">
        <v>18084</v>
      </c>
      <c r="B26" s="106">
        <v>40</v>
      </c>
      <c r="C26" s="17"/>
      <c r="D26" s="13"/>
      <c r="E26" s="70"/>
      <c r="F26" s="14" t="s">
        <v>15</v>
      </c>
      <c r="G26" s="9">
        <v>18187</v>
      </c>
      <c r="H26" s="77">
        <v>400</v>
      </c>
      <c r="I26" s="10"/>
      <c r="J26" s="50">
        <v>18241</v>
      </c>
      <c r="K26" s="79">
        <v>4400</v>
      </c>
      <c r="L26" s="51" t="s">
        <v>32</v>
      </c>
      <c r="M26" s="75"/>
      <c r="N26" s="73"/>
      <c r="O26" s="15"/>
    </row>
    <row r="27" spans="1:15" x14ac:dyDescent="0.25">
      <c r="A27" s="16">
        <v>18085</v>
      </c>
      <c r="B27" s="106">
        <v>50</v>
      </c>
      <c r="C27" s="17" t="s">
        <v>20</v>
      </c>
      <c r="D27" s="13"/>
      <c r="E27" s="70"/>
      <c r="F27" s="14" t="s">
        <v>46</v>
      </c>
      <c r="G27" s="9">
        <v>18188</v>
      </c>
      <c r="H27" s="77">
        <v>400</v>
      </c>
      <c r="I27" s="10"/>
      <c r="J27" s="50"/>
      <c r="K27" s="79"/>
      <c r="L27" s="51" t="s">
        <v>15</v>
      </c>
      <c r="M27" s="75"/>
      <c r="N27" s="73"/>
      <c r="O27" s="15"/>
    </row>
    <row r="28" spans="1:15" x14ac:dyDescent="0.25">
      <c r="A28" s="16">
        <v>18086</v>
      </c>
      <c r="B28" s="106">
        <v>400</v>
      </c>
      <c r="C28" s="17" t="s">
        <v>28</v>
      </c>
      <c r="D28" s="13">
        <v>18138</v>
      </c>
      <c r="E28" s="70">
        <v>350</v>
      </c>
      <c r="F28" s="14"/>
      <c r="G28" s="9">
        <v>18189</v>
      </c>
      <c r="H28" s="77">
        <v>400</v>
      </c>
      <c r="I28" s="10"/>
      <c r="J28" s="50"/>
      <c r="K28" s="79"/>
      <c r="L28" s="51" t="s">
        <v>86</v>
      </c>
      <c r="M28" s="75"/>
      <c r="N28" s="73"/>
      <c r="O28" s="15"/>
    </row>
    <row r="29" spans="1:15" x14ac:dyDescent="0.25">
      <c r="A29" s="16">
        <v>18087</v>
      </c>
      <c r="B29" s="106">
        <v>400</v>
      </c>
      <c r="C29" s="17"/>
      <c r="D29" s="13"/>
      <c r="E29" s="70"/>
      <c r="F29" s="14"/>
      <c r="G29" s="9">
        <v>18190</v>
      </c>
      <c r="H29" s="77">
        <v>400</v>
      </c>
      <c r="I29" s="10"/>
      <c r="J29" s="120">
        <v>18242</v>
      </c>
      <c r="K29" s="79">
        <v>200</v>
      </c>
      <c r="L29" s="51" t="s">
        <v>87</v>
      </c>
      <c r="M29" s="75"/>
      <c r="N29" s="73"/>
      <c r="O29" s="15"/>
    </row>
    <row r="30" spans="1:15" x14ac:dyDescent="0.25">
      <c r="A30" s="16">
        <v>18088</v>
      </c>
      <c r="B30" s="106">
        <v>400</v>
      </c>
      <c r="C30" s="17"/>
      <c r="D30" s="13">
        <v>18139</v>
      </c>
      <c r="E30" s="70">
        <v>400</v>
      </c>
      <c r="F30" s="14" t="s">
        <v>47</v>
      </c>
      <c r="G30" s="9">
        <v>18191</v>
      </c>
      <c r="H30" s="77">
        <v>300</v>
      </c>
      <c r="I30" s="10" t="s">
        <v>65</v>
      </c>
      <c r="J30" s="50">
        <v>18243</v>
      </c>
      <c r="K30" s="79">
        <v>80</v>
      </c>
      <c r="L30" s="51" t="s">
        <v>88</v>
      </c>
      <c r="M30" s="75"/>
      <c r="N30" s="73"/>
      <c r="O30" s="15"/>
    </row>
    <row r="31" spans="1:15" x14ac:dyDescent="0.25">
      <c r="A31" s="16">
        <v>18089</v>
      </c>
      <c r="B31" s="106">
        <v>500</v>
      </c>
      <c r="C31" s="107" t="s">
        <v>29</v>
      </c>
      <c r="D31" s="13">
        <v>18140</v>
      </c>
      <c r="E31" s="70">
        <v>800</v>
      </c>
      <c r="F31" s="105" t="s">
        <v>29</v>
      </c>
      <c r="G31" s="9"/>
      <c r="H31" s="77"/>
      <c r="I31" s="10" t="s">
        <v>66</v>
      </c>
      <c r="J31" s="50">
        <v>18244</v>
      </c>
      <c r="K31" s="79">
        <v>400</v>
      </c>
      <c r="L31" s="51" t="s">
        <v>64</v>
      </c>
      <c r="M31" s="75"/>
      <c r="N31" s="73"/>
      <c r="O31" s="15"/>
    </row>
    <row r="32" spans="1:15" x14ac:dyDescent="0.25">
      <c r="A32" s="16"/>
      <c r="B32" s="49"/>
      <c r="C32" s="17" t="s">
        <v>19</v>
      </c>
      <c r="D32" s="13"/>
      <c r="E32" s="70"/>
      <c r="F32" s="14" t="s">
        <v>15</v>
      </c>
      <c r="G32" s="9">
        <v>18192</v>
      </c>
      <c r="H32" s="77">
        <v>300</v>
      </c>
      <c r="I32" s="10" t="s">
        <v>65</v>
      </c>
      <c r="J32" s="50"/>
      <c r="K32" s="79"/>
      <c r="L32" s="51" t="s">
        <v>14</v>
      </c>
      <c r="M32" s="75"/>
      <c r="N32" s="73"/>
      <c r="O32" s="15"/>
    </row>
    <row r="33" spans="1:15" x14ac:dyDescent="0.25">
      <c r="A33" s="16">
        <v>18090</v>
      </c>
      <c r="B33" s="49">
        <v>50</v>
      </c>
      <c r="C33" s="17" t="s">
        <v>20</v>
      </c>
      <c r="D33" s="13">
        <v>18141</v>
      </c>
      <c r="E33" s="70">
        <v>400</v>
      </c>
      <c r="F33" s="14" t="s">
        <v>29</v>
      </c>
      <c r="G33" s="9"/>
      <c r="H33" s="77"/>
      <c r="I33" s="10" t="s">
        <v>66</v>
      </c>
      <c r="J33" s="50">
        <v>18245</v>
      </c>
      <c r="K33" s="79">
        <v>400</v>
      </c>
      <c r="L33" s="51" t="s">
        <v>83</v>
      </c>
      <c r="M33" s="75"/>
      <c r="N33" s="73"/>
      <c r="O33" s="15"/>
    </row>
    <row r="34" spans="1:15" x14ac:dyDescent="0.25">
      <c r="A34" s="16">
        <v>18091</v>
      </c>
      <c r="B34" s="49">
        <v>800</v>
      </c>
      <c r="C34" s="17" t="s">
        <v>30</v>
      </c>
      <c r="D34" s="13"/>
      <c r="E34" s="70"/>
      <c r="F34" s="20" t="s">
        <v>41</v>
      </c>
      <c r="G34" s="9">
        <v>18193</v>
      </c>
      <c r="H34" s="77">
        <v>400</v>
      </c>
      <c r="I34" s="10" t="s">
        <v>67</v>
      </c>
      <c r="J34" s="50"/>
      <c r="K34" s="79"/>
      <c r="L34" s="51" t="s">
        <v>14</v>
      </c>
      <c r="M34" s="75"/>
      <c r="N34" s="73"/>
      <c r="O34" s="15"/>
    </row>
    <row r="35" spans="1:15" x14ac:dyDescent="0.25">
      <c r="A35" s="16"/>
      <c r="B35" s="49"/>
      <c r="C35" s="17" t="s">
        <v>15</v>
      </c>
      <c r="D35" s="13">
        <v>18142</v>
      </c>
      <c r="E35" s="70">
        <v>400</v>
      </c>
      <c r="F35" s="14"/>
      <c r="G35" s="9">
        <v>18194</v>
      </c>
      <c r="H35" s="77">
        <v>400</v>
      </c>
      <c r="I35" s="10"/>
      <c r="J35" s="50">
        <v>18246</v>
      </c>
      <c r="K35" s="79">
        <v>400</v>
      </c>
      <c r="L35" s="51"/>
      <c r="M35" s="75"/>
      <c r="N35" s="73"/>
      <c r="O35" s="15"/>
    </row>
    <row r="36" spans="1:15" x14ac:dyDescent="0.25">
      <c r="A36" s="16">
        <v>18092</v>
      </c>
      <c r="B36" s="49">
        <v>400</v>
      </c>
      <c r="C36" s="17"/>
      <c r="D36" s="13">
        <v>18143</v>
      </c>
      <c r="E36" s="70">
        <v>300</v>
      </c>
      <c r="F36" s="14"/>
      <c r="G36" s="9">
        <v>18195</v>
      </c>
      <c r="H36" s="77">
        <v>3250</v>
      </c>
      <c r="I36" s="10" t="s">
        <v>32</v>
      </c>
      <c r="J36" s="50">
        <v>18247</v>
      </c>
      <c r="K36" s="79">
        <v>4400</v>
      </c>
      <c r="L36" s="51" t="s">
        <v>32</v>
      </c>
      <c r="M36" s="75"/>
      <c r="N36" s="73"/>
      <c r="O36" s="15"/>
    </row>
    <row r="37" spans="1:15" x14ac:dyDescent="0.25">
      <c r="A37" s="16">
        <v>18093</v>
      </c>
      <c r="B37" s="49">
        <v>800</v>
      </c>
      <c r="C37" s="17" t="s">
        <v>27</v>
      </c>
      <c r="D37" s="13">
        <v>18144</v>
      </c>
      <c r="E37" s="70">
        <v>400</v>
      </c>
      <c r="F37" s="14"/>
      <c r="G37" s="9"/>
      <c r="H37" s="77"/>
      <c r="I37" s="10" t="s">
        <v>68</v>
      </c>
      <c r="J37" s="50"/>
      <c r="K37" s="79"/>
      <c r="L37" s="52" t="s">
        <v>15</v>
      </c>
      <c r="M37" s="75"/>
      <c r="N37" s="73"/>
      <c r="O37" s="15"/>
    </row>
    <row r="38" spans="1:15" x14ac:dyDescent="0.25">
      <c r="A38" s="16"/>
      <c r="B38" s="49"/>
      <c r="C38" s="17" t="s">
        <v>15</v>
      </c>
      <c r="D38" s="13">
        <v>18145</v>
      </c>
      <c r="E38" s="70">
        <v>800</v>
      </c>
      <c r="F38" s="14" t="s">
        <v>29</v>
      </c>
      <c r="G38" s="9"/>
      <c r="H38" s="77"/>
      <c r="I38" s="10" t="s">
        <v>69</v>
      </c>
      <c r="J38" s="50"/>
      <c r="K38" s="79"/>
      <c r="L38" s="52" t="s">
        <v>86</v>
      </c>
      <c r="M38" s="75"/>
      <c r="N38" s="73"/>
      <c r="O38" s="15"/>
    </row>
    <row r="39" spans="1:15" x14ac:dyDescent="0.25">
      <c r="A39" s="16">
        <v>18094</v>
      </c>
      <c r="B39" s="49">
        <v>400</v>
      </c>
      <c r="C39" s="17" t="s">
        <v>27</v>
      </c>
      <c r="D39" s="13"/>
      <c r="E39" s="70"/>
      <c r="F39" s="14" t="s">
        <v>15</v>
      </c>
      <c r="G39" s="9">
        <v>18196</v>
      </c>
      <c r="H39" s="77">
        <v>400</v>
      </c>
      <c r="I39" s="10"/>
      <c r="J39" s="50">
        <v>18248</v>
      </c>
      <c r="K39" s="79">
        <v>400</v>
      </c>
      <c r="L39" s="51" t="s">
        <v>89</v>
      </c>
      <c r="M39" s="75"/>
      <c r="N39" s="73"/>
      <c r="O39" s="15"/>
    </row>
    <row r="40" spans="1:15" x14ac:dyDescent="0.25">
      <c r="A40" s="16"/>
      <c r="B40" s="49"/>
      <c r="C40" s="17" t="s">
        <v>14</v>
      </c>
      <c r="D40" s="13">
        <v>18146</v>
      </c>
      <c r="E40" s="70">
        <v>500</v>
      </c>
      <c r="F40" s="14" t="s">
        <v>48</v>
      </c>
      <c r="G40" s="9">
        <v>18197</v>
      </c>
      <c r="H40" s="77">
        <v>4400</v>
      </c>
      <c r="I40" s="10" t="s">
        <v>32</v>
      </c>
      <c r="J40" s="50">
        <v>18249</v>
      </c>
      <c r="K40" s="79">
        <v>220</v>
      </c>
      <c r="L40" s="51" t="s">
        <v>90</v>
      </c>
      <c r="M40" s="75"/>
      <c r="N40" s="73"/>
      <c r="O40" s="15"/>
    </row>
    <row r="41" spans="1:15" x14ac:dyDescent="0.25">
      <c r="A41" s="16">
        <v>18095</v>
      </c>
      <c r="B41" s="49">
        <v>400</v>
      </c>
      <c r="C41" s="17" t="s">
        <v>30</v>
      </c>
      <c r="D41" s="13"/>
      <c r="E41" s="70"/>
      <c r="F41" s="14" t="s">
        <v>19</v>
      </c>
      <c r="G41" s="9"/>
      <c r="H41" s="77"/>
      <c r="I41" s="10" t="s">
        <v>15</v>
      </c>
      <c r="J41" s="50">
        <v>18250</v>
      </c>
      <c r="K41" s="79">
        <v>450</v>
      </c>
      <c r="L41" s="51" t="s">
        <v>91</v>
      </c>
      <c r="M41" s="75"/>
      <c r="N41" s="73"/>
      <c r="O41" s="15"/>
    </row>
    <row r="42" spans="1:15" x14ac:dyDescent="0.25">
      <c r="A42" s="16"/>
      <c r="B42" s="49"/>
      <c r="C42" s="17" t="s">
        <v>14</v>
      </c>
      <c r="D42" s="13">
        <v>18147</v>
      </c>
      <c r="E42" s="70">
        <v>400</v>
      </c>
      <c r="F42" s="14"/>
      <c r="G42" s="9"/>
      <c r="H42" s="77"/>
      <c r="I42" s="10" t="s">
        <v>70</v>
      </c>
      <c r="J42" s="50">
        <v>18251</v>
      </c>
      <c r="K42" s="79">
        <v>400</v>
      </c>
      <c r="L42" s="51"/>
      <c r="M42" s="75"/>
      <c r="N42" s="73"/>
      <c r="O42" s="15"/>
    </row>
    <row r="43" spans="1:15" x14ac:dyDescent="0.25">
      <c r="A43" s="16">
        <v>18096</v>
      </c>
      <c r="B43" s="49">
        <v>250</v>
      </c>
      <c r="C43" s="17" t="s">
        <v>31</v>
      </c>
      <c r="D43" s="13">
        <v>18148</v>
      </c>
      <c r="E43" s="70">
        <v>4400</v>
      </c>
      <c r="F43" s="14" t="s">
        <v>32</v>
      </c>
      <c r="G43" s="9">
        <v>18198</v>
      </c>
      <c r="H43" s="77">
        <v>4400</v>
      </c>
      <c r="I43" s="10" t="s">
        <v>32</v>
      </c>
      <c r="J43" s="53">
        <v>18252</v>
      </c>
      <c r="K43" s="72">
        <v>500</v>
      </c>
      <c r="L43" s="51" t="s">
        <v>92</v>
      </c>
      <c r="M43" s="75"/>
      <c r="N43" s="73"/>
      <c r="O43" s="15"/>
    </row>
    <row r="44" spans="1:15" x14ac:dyDescent="0.25">
      <c r="A44" s="16">
        <v>18097</v>
      </c>
      <c r="B44" s="49">
        <v>350</v>
      </c>
      <c r="C44" s="17"/>
      <c r="D44" s="13"/>
      <c r="E44" s="70"/>
      <c r="F44" s="14" t="s">
        <v>15</v>
      </c>
      <c r="G44" s="9"/>
      <c r="H44" s="77"/>
      <c r="I44" s="10" t="s">
        <v>15</v>
      </c>
      <c r="J44" s="50"/>
      <c r="K44" s="79"/>
      <c r="L44" s="51" t="s">
        <v>19</v>
      </c>
      <c r="M44" s="75"/>
      <c r="N44" s="73"/>
      <c r="O44" s="15"/>
    </row>
    <row r="45" spans="1:15" x14ac:dyDescent="0.25">
      <c r="A45" s="16">
        <v>18098</v>
      </c>
      <c r="B45" s="49">
        <v>400</v>
      </c>
      <c r="C45" s="17"/>
      <c r="D45" s="13"/>
      <c r="E45" s="70"/>
      <c r="F45" s="14" t="s">
        <v>42</v>
      </c>
      <c r="G45" s="9"/>
      <c r="H45" s="77"/>
      <c r="I45" s="10" t="s">
        <v>70</v>
      </c>
      <c r="J45" s="53">
        <v>18253</v>
      </c>
      <c r="K45" s="72">
        <v>200</v>
      </c>
      <c r="L45" s="51" t="s">
        <v>93</v>
      </c>
      <c r="M45" s="75"/>
      <c r="N45" s="73"/>
      <c r="O45" s="31"/>
    </row>
    <row r="46" spans="1:15" x14ac:dyDescent="0.25">
      <c r="A46" s="16">
        <v>18099</v>
      </c>
      <c r="B46" s="49">
        <v>50</v>
      </c>
      <c r="C46" s="17" t="s">
        <v>20</v>
      </c>
      <c r="D46" s="13">
        <v>18149</v>
      </c>
      <c r="E46" s="70">
        <v>250</v>
      </c>
      <c r="F46" s="14"/>
      <c r="G46" s="9">
        <v>18199</v>
      </c>
      <c r="H46" s="77">
        <v>200</v>
      </c>
      <c r="I46" s="10" t="s">
        <v>34</v>
      </c>
      <c r="J46" s="50">
        <v>18254</v>
      </c>
      <c r="K46" s="79">
        <v>300</v>
      </c>
      <c r="L46" s="51"/>
      <c r="M46" s="75"/>
      <c r="N46" s="73"/>
      <c r="O46" s="15"/>
    </row>
    <row r="47" spans="1:15" x14ac:dyDescent="0.25">
      <c r="A47" s="16">
        <v>18100</v>
      </c>
      <c r="B47" s="49">
        <v>2200</v>
      </c>
      <c r="C47" s="17" t="s">
        <v>32</v>
      </c>
      <c r="D47" s="13">
        <v>18150</v>
      </c>
      <c r="E47" s="70">
        <v>900</v>
      </c>
      <c r="F47" s="14" t="s">
        <v>45</v>
      </c>
      <c r="G47" s="9">
        <v>18200</v>
      </c>
      <c r="H47" s="77">
        <v>1450</v>
      </c>
      <c r="I47" s="10" t="s">
        <v>65</v>
      </c>
      <c r="J47" s="50">
        <v>18255</v>
      </c>
      <c r="K47" s="79">
        <v>400</v>
      </c>
      <c r="L47" s="51"/>
      <c r="M47" s="75"/>
      <c r="N47" s="73"/>
      <c r="O47" s="15"/>
    </row>
    <row r="48" spans="1:15" x14ac:dyDescent="0.25">
      <c r="A48" s="16"/>
      <c r="B48" s="49"/>
      <c r="C48" s="17" t="s">
        <v>14</v>
      </c>
      <c r="D48" s="13"/>
      <c r="E48" s="70"/>
      <c r="F48" s="14" t="s">
        <v>16</v>
      </c>
      <c r="G48" s="9"/>
      <c r="H48" s="77"/>
      <c r="I48" s="10" t="s">
        <v>15</v>
      </c>
      <c r="J48" s="50">
        <v>18256</v>
      </c>
      <c r="K48" s="79">
        <v>300</v>
      </c>
      <c r="L48" s="51"/>
      <c r="M48" s="75"/>
      <c r="N48" s="73"/>
      <c r="O48" s="15"/>
    </row>
    <row r="49" spans="1:15" x14ac:dyDescent="0.25">
      <c r="A49" s="16"/>
      <c r="B49" s="49"/>
      <c r="C49" s="17" t="s">
        <v>33</v>
      </c>
      <c r="D49" s="13">
        <v>18151</v>
      </c>
      <c r="E49" s="70">
        <v>600</v>
      </c>
      <c r="F49" s="14" t="s">
        <v>49</v>
      </c>
      <c r="G49" s="9"/>
      <c r="H49" s="77"/>
      <c r="I49" s="10" t="s">
        <v>69</v>
      </c>
      <c r="J49" s="50">
        <v>18257</v>
      </c>
      <c r="K49" s="79">
        <v>250</v>
      </c>
      <c r="L49" s="51" t="s">
        <v>85</v>
      </c>
      <c r="M49" s="75"/>
      <c r="N49" s="73"/>
      <c r="O49" s="15"/>
    </row>
    <row r="50" spans="1:15" x14ac:dyDescent="0.25">
      <c r="A50" s="16">
        <v>18101</v>
      </c>
      <c r="B50" s="49">
        <v>200</v>
      </c>
      <c r="C50" s="17" t="s">
        <v>34</v>
      </c>
      <c r="D50" s="13">
        <v>18152</v>
      </c>
      <c r="E50" s="70">
        <v>2000</v>
      </c>
      <c r="F50" s="14" t="s">
        <v>50</v>
      </c>
      <c r="G50" s="9">
        <v>18201</v>
      </c>
      <c r="H50" s="77">
        <v>300</v>
      </c>
      <c r="I50" s="10"/>
      <c r="J50" s="53">
        <v>18258</v>
      </c>
      <c r="K50" s="79">
        <v>400</v>
      </c>
      <c r="L50" s="54"/>
      <c r="M50" s="75"/>
      <c r="N50" s="73"/>
      <c r="O50" s="15"/>
    </row>
    <row r="51" spans="1:15" x14ac:dyDescent="0.25">
      <c r="A51" s="16">
        <v>18102</v>
      </c>
      <c r="B51" s="49">
        <v>400</v>
      </c>
      <c r="C51" s="17"/>
      <c r="D51" s="13"/>
      <c r="E51" s="70"/>
      <c r="F51" s="14" t="s">
        <v>51</v>
      </c>
      <c r="G51" s="9">
        <v>18202</v>
      </c>
      <c r="H51" s="77">
        <v>400</v>
      </c>
      <c r="I51" s="10"/>
      <c r="J51" s="53">
        <v>18259</v>
      </c>
      <c r="K51" s="79">
        <v>350</v>
      </c>
      <c r="L51" s="55"/>
      <c r="M51" s="75"/>
      <c r="N51" s="73"/>
      <c r="O51" s="15"/>
    </row>
    <row r="52" spans="1:15" x14ac:dyDescent="0.25">
      <c r="A52" s="16">
        <v>18103</v>
      </c>
      <c r="B52" s="49">
        <v>400</v>
      </c>
      <c r="C52" s="17"/>
      <c r="D52" s="13"/>
      <c r="E52" s="70"/>
      <c r="F52" s="14" t="s">
        <v>41</v>
      </c>
      <c r="G52" s="9">
        <v>18203</v>
      </c>
      <c r="H52" s="77">
        <v>200</v>
      </c>
      <c r="I52" s="10" t="s">
        <v>34</v>
      </c>
      <c r="J52" s="53">
        <v>18260</v>
      </c>
      <c r="K52" s="72">
        <v>400</v>
      </c>
      <c r="L52" s="54"/>
      <c r="M52" s="75"/>
      <c r="N52" s="73"/>
      <c r="O52" s="15"/>
    </row>
    <row r="53" spans="1:15" x14ac:dyDescent="0.25">
      <c r="A53" s="16">
        <v>18104</v>
      </c>
      <c r="B53" s="49">
        <v>400</v>
      </c>
      <c r="C53" s="17"/>
      <c r="D53" s="13">
        <v>18153</v>
      </c>
      <c r="E53" s="70">
        <v>400</v>
      </c>
      <c r="F53" s="14" t="s">
        <v>52</v>
      </c>
      <c r="G53" s="9">
        <v>18204</v>
      </c>
      <c r="H53" s="77">
        <v>800</v>
      </c>
      <c r="I53" s="10" t="s">
        <v>71</v>
      </c>
      <c r="J53" s="53">
        <v>18261</v>
      </c>
      <c r="K53" s="72">
        <v>450</v>
      </c>
      <c r="L53" s="54" t="s">
        <v>56</v>
      </c>
      <c r="M53" s="75"/>
      <c r="N53" s="73"/>
      <c r="O53" s="15"/>
    </row>
    <row r="54" spans="1:15" x14ac:dyDescent="0.25">
      <c r="A54" s="16">
        <v>18105</v>
      </c>
      <c r="B54" s="49">
        <v>300</v>
      </c>
      <c r="C54" s="17"/>
      <c r="D54" s="13">
        <v>18154</v>
      </c>
      <c r="E54" s="70">
        <v>400</v>
      </c>
      <c r="F54" s="14"/>
      <c r="G54" s="9"/>
      <c r="H54" s="77"/>
      <c r="I54" s="10" t="s">
        <v>15</v>
      </c>
      <c r="J54" s="53"/>
      <c r="K54" s="72"/>
      <c r="L54" s="54" t="s">
        <v>57</v>
      </c>
      <c r="M54" s="75"/>
      <c r="N54" s="73"/>
      <c r="O54" s="15"/>
    </row>
    <row r="55" spans="1:15" x14ac:dyDescent="0.25">
      <c r="A55" s="16">
        <v>18106</v>
      </c>
      <c r="B55" s="49">
        <v>250</v>
      </c>
      <c r="C55" s="17"/>
      <c r="D55" s="13">
        <v>18155</v>
      </c>
      <c r="E55" s="70">
        <v>800</v>
      </c>
      <c r="F55" s="14" t="s">
        <v>27</v>
      </c>
      <c r="G55" s="9">
        <v>18205</v>
      </c>
      <c r="H55" s="77">
        <v>300</v>
      </c>
      <c r="I55" s="10"/>
      <c r="J55" s="53">
        <v>18262</v>
      </c>
      <c r="K55" s="72">
        <v>200</v>
      </c>
      <c r="L55" s="54" t="s">
        <v>34</v>
      </c>
      <c r="M55" s="75"/>
      <c r="N55" s="73"/>
      <c r="O55" s="15"/>
    </row>
    <row r="56" spans="1:15" x14ac:dyDescent="0.25">
      <c r="A56" s="16">
        <v>18107</v>
      </c>
      <c r="B56" s="49">
        <v>800</v>
      </c>
      <c r="C56" s="17" t="s">
        <v>29</v>
      </c>
      <c r="D56" s="13"/>
      <c r="E56" s="70"/>
      <c r="F56" s="23" t="s">
        <v>15</v>
      </c>
      <c r="G56" s="9">
        <v>18206</v>
      </c>
      <c r="H56" s="77">
        <v>400</v>
      </c>
      <c r="I56" s="10"/>
      <c r="J56" s="53">
        <v>18263</v>
      </c>
      <c r="K56" s="72">
        <v>3300</v>
      </c>
      <c r="L56" s="54" t="s">
        <v>32</v>
      </c>
      <c r="M56" s="75"/>
      <c r="N56" s="73"/>
      <c r="O56" s="15"/>
    </row>
    <row r="57" spans="1:15" x14ac:dyDescent="0.25">
      <c r="A57" s="16"/>
      <c r="B57" s="49"/>
      <c r="C57" s="17" t="s">
        <v>15</v>
      </c>
      <c r="D57" s="13">
        <v>18156</v>
      </c>
      <c r="E57" s="70">
        <v>300</v>
      </c>
      <c r="F57" s="23"/>
      <c r="G57" s="9">
        <v>18207</v>
      </c>
      <c r="H57" s="77">
        <v>4400</v>
      </c>
      <c r="I57" s="10" t="s">
        <v>32</v>
      </c>
      <c r="J57" s="53"/>
      <c r="K57" s="72"/>
      <c r="L57" s="54" t="s">
        <v>16</v>
      </c>
      <c r="M57" s="75"/>
      <c r="N57" s="73"/>
      <c r="O57" s="15"/>
    </row>
    <row r="58" spans="1:15" x14ac:dyDescent="0.25">
      <c r="A58" s="16">
        <v>18108</v>
      </c>
      <c r="B58" s="49">
        <v>200</v>
      </c>
      <c r="C58" s="17"/>
      <c r="D58" s="13">
        <v>18157</v>
      </c>
      <c r="E58" s="70">
        <v>400</v>
      </c>
      <c r="F58" s="14" t="s">
        <v>53</v>
      </c>
      <c r="G58" s="9"/>
      <c r="H58" s="77"/>
      <c r="I58" s="10" t="s">
        <v>15</v>
      </c>
      <c r="J58" s="53"/>
      <c r="K58" s="72"/>
      <c r="L58" s="54" t="s">
        <v>86</v>
      </c>
      <c r="M58" s="75"/>
      <c r="N58" s="73"/>
      <c r="O58" s="15"/>
    </row>
    <row r="59" spans="1:15" x14ac:dyDescent="0.25">
      <c r="A59" s="16">
        <v>18109</v>
      </c>
      <c r="B59" s="49">
        <v>400</v>
      </c>
      <c r="C59" s="17"/>
      <c r="D59" s="13">
        <v>18158</v>
      </c>
      <c r="E59" s="70">
        <v>1200</v>
      </c>
      <c r="F59" s="14" t="s">
        <v>54</v>
      </c>
      <c r="G59" s="9"/>
      <c r="H59" s="77"/>
      <c r="I59" s="10" t="s">
        <v>70</v>
      </c>
      <c r="J59" s="53">
        <v>18264</v>
      </c>
      <c r="K59" s="72">
        <v>300</v>
      </c>
      <c r="L59" s="54"/>
      <c r="M59" s="75"/>
      <c r="N59" s="73"/>
      <c r="O59" s="15"/>
    </row>
    <row r="60" spans="1:15" x14ac:dyDescent="0.25">
      <c r="A60" s="16">
        <v>18110</v>
      </c>
      <c r="B60" s="49">
        <v>400</v>
      </c>
      <c r="C60" s="17"/>
      <c r="D60" s="13"/>
      <c r="E60" s="70"/>
      <c r="F60" s="23" t="s">
        <v>55</v>
      </c>
      <c r="G60" s="9">
        <v>18208</v>
      </c>
      <c r="H60" s="77">
        <v>400</v>
      </c>
      <c r="I60" s="10"/>
      <c r="J60" s="53"/>
      <c r="K60" s="72"/>
      <c r="L60" s="54"/>
      <c r="M60" s="75"/>
      <c r="N60" s="73"/>
      <c r="O60" s="15"/>
    </row>
    <row r="61" spans="1:15" x14ac:dyDescent="0.25">
      <c r="A61" s="16">
        <v>18111</v>
      </c>
      <c r="B61" s="49">
        <v>400</v>
      </c>
      <c r="C61" s="17" t="s">
        <v>28</v>
      </c>
      <c r="D61" s="13">
        <v>18159</v>
      </c>
      <c r="E61" s="70">
        <v>450</v>
      </c>
      <c r="F61" s="14" t="s">
        <v>56</v>
      </c>
      <c r="G61" s="9">
        <v>18209</v>
      </c>
      <c r="H61" s="77">
        <v>300</v>
      </c>
      <c r="I61" s="10"/>
      <c r="J61" s="53"/>
      <c r="K61" s="72"/>
      <c r="L61" s="54"/>
      <c r="M61" s="75"/>
      <c r="N61" s="73"/>
      <c r="O61" s="15"/>
    </row>
    <row r="62" spans="1:15" x14ac:dyDescent="0.25">
      <c r="A62" s="16">
        <v>18112</v>
      </c>
      <c r="B62" s="49">
        <v>200</v>
      </c>
      <c r="C62" s="17" t="s">
        <v>35</v>
      </c>
      <c r="D62" s="13"/>
      <c r="E62" s="70"/>
      <c r="F62" s="14" t="s">
        <v>57</v>
      </c>
      <c r="G62" s="9">
        <v>18210</v>
      </c>
      <c r="H62" s="77">
        <v>200</v>
      </c>
      <c r="I62" s="10" t="s">
        <v>72</v>
      </c>
      <c r="J62" s="53"/>
      <c r="K62" s="72"/>
      <c r="L62" s="54"/>
      <c r="M62" s="75"/>
      <c r="N62" s="73"/>
      <c r="O62" s="15"/>
    </row>
    <row r="63" spans="1:15" x14ac:dyDescent="0.25">
      <c r="A63" s="16">
        <v>18113</v>
      </c>
      <c r="B63" s="49">
        <v>200</v>
      </c>
      <c r="C63" s="17"/>
      <c r="D63" s="13">
        <v>18160</v>
      </c>
      <c r="E63" s="70">
        <v>500</v>
      </c>
      <c r="F63" s="14" t="s">
        <v>29</v>
      </c>
      <c r="G63" s="9">
        <v>18211</v>
      </c>
      <c r="H63" s="77">
        <v>250</v>
      </c>
      <c r="I63" s="108"/>
      <c r="J63" s="53"/>
      <c r="K63" s="72"/>
      <c r="L63" s="54"/>
      <c r="M63" s="75"/>
      <c r="N63" s="73"/>
      <c r="O63" s="15"/>
    </row>
    <row r="64" spans="1:15" x14ac:dyDescent="0.25">
      <c r="A64" s="16">
        <v>18114</v>
      </c>
      <c r="B64" s="49">
        <v>300</v>
      </c>
      <c r="C64" s="17"/>
      <c r="D64" s="13"/>
      <c r="E64" s="70"/>
      <c r="F64" s="14" t="s">
        <v>19</v>
      </c>
      <c r="G64" s="9">
        <v>18212</v>
      </c>
      <c r="H64" s="77">
        <v>1050</v>
      </c>
      <c r="I64" s="10" t="s">
        <v>64</v>
      </c>
      <c r="J64" s="53"/>
      <c r="K64" s="72"/>
      <c r="L64" s="54"/>
      <c r="M64" s="75"/>
      <c r="N64" s="73"/>
      <c r="O64" s="15"/>
    </row>
    <row r="65" spans="1:15" x14ac:dyDescent="0.25">
      <c r="A65" s="16">
        <v>18115</v>
      </c>
      <c r="B65" s="49">
        <v>150</v>
      </c>
      <c r="C65" s="17"/>
      <c r="D65" s="13">
        <v>18161</v>
      </c>
      <c r="E65" s="70">
        <v>4400</v>
      </c>
      <c r="F65" s="14" t="s">
        <v>32</v>
      </c>
      <c r="G65" s="9"/>
      <c r="H65" s="77"/>
      <c r="I65" s="10" t="s">
        <v>73</v>
      </c>
      <c r="J65" s="53"/>
      <c r="K65" s="72"/>
      <c r="L65" s="54"/>
      <c r="M65" s="75"/>
      <c r="N65" s="73"/>
      <c r="O65" s="15"/>
    </row>
    <row r="66" spans="1:15" x14ac:dyDescent="0.25">
      <c r="A66" s="16">
        <v>18116</v>
      </c>
      <c r="B66" s="49">
        <v>250</v>
      </c>
      <c r="C66" s="17" t="s">
        <v>36</v>
      </c>
      <c r="D66" s="13"/>
      <c r="E66" s="70"/>
      <c r="F66" s="14" t="s">
        <v>15</v>
      </c>
      <c r="G66" s="9"/>
      <c r="H66" s="77"/>
      <c r="I66" s="10" t="s">
        <v>74</v>
      </c>
      <c r="J66" s="53"/>
      <c r="K66" s="72"/>
      <c r="L66" s="54"/>
      <c r="M66" s="75"/>
      <c r="N66" s="73"/>
      <c r="O66" s="15"/>
    </row>
    <row r="67" spans="1:15" x14ac:dyDescent="0.25">
      <c r="A67" s="16">
        <v>18117</v>
      </c>
      <c r="B67" s="49">
        <v>400</v>
      </c>
      <c r="C67" s="17"/>
      <c r="D67" s="13"/>
      <c r="E67" s="70"/>
      <c r="F67" s="14" t="s">
        <v>42</v>
      </c>
      <c r="G67" s="9">
        <v>18213</v>
      </c>
      <c r="H67" s="77">
        <v>300</v>
      </c>
      <c r="I67" s="10"/>
      <c r="J67" s="50"/>
      <c r="K67" s="79"/>
      <c r="L67" s="51"/>
      <c r="M67" s="75"/>
      <c r="N67" s="73"/>
      <c r="O67" s="15"/>
    </row>
    <row r="68" spans="1:15" x14ac:dyDescent="0.25">
      <c r="A68" s="16">
        <v>18118</v>
      </c>
      <c r="B68" s="49">
        <v>400</v>
      </c>
      <c r="C68" s="17" t="s">
        <v>28</v>
      </c>
      <c r="D68" s="13">
        <v>18162</v>
      </c>
      <c r="E68" s="70">
        <v>600</v>
      </c>
      <c r="F68" s="14" t="s">
        <v>29</v>
      </c>
      <c r="G68" s="9">
        <v>18214</v>
      </c>
      <c r="H68" s="77">
        <v>50</v>
      </c>
      <c r="I68" s="10" t="s">
        <v>75</v>
      </c>
      <c r="J68" s="50"/>
      <c r="K68" s="79"/>
      <c r="L68" s="51"/>
      <c r="M68" s="75"/>
      <c r="N68" s="73"/>
      <c r="O68" s="15"/>
    </row>
    <row r="69" spans="1:15" x14ac:dyDescent="0.25">
      <c r="A69" s="16">
        <v>18119</v>
      </c>
      <c r="B69" s="49">
        <v>400</v>
      </c>
      <c r="C69" s="17"/>
      <c r="D69" s="13"/>
      <c r="E69" s="70"/>
      <c r="F69" s="14" t="s">
        <v>16</v>
      </c>
      <c r="G69" s="9">
        <v>18215</v>
      </c>
      <c r="H69" s="77">
        <v>4400</v>
      </c>
      <c r="I69" s="10" t="s">
        <v>32</v>
      </c>
      <c r="J69" s="50"/>
      <c r="K69" s="79"/>
      <c r="L69" s="51"/>
      <c r="M69" s="75"/>
      <c r="N69" s="73"/>
      <c r="O69" s="15"/>
    </row>
    <row r="70" spans="1:15" x14ac:dyDescent="0.25">
      <c r="A70" s="16">
        <v>18120</v>
      </c>
      <c r="B70" s="49">
        <v>300</v>
      </c>
      <c r="C70" s="17"/>
      <c r="D70" s="13">
        <v>18163</v>
      </c>
      <c r="E70" s="70">
        <v>1200</v>
      </c>
      <c r="F70" s="14" t="s">
        <v>56</v>
      </c>
      <c r="G70" s="9"/>
      <c r="H70" s="77"/>
      <c r="I70" s="10" t="s">
        <v>15</v>
      </c>
      <c r="J70" s="50"/>
      <c r="K70" s="79"/>
      <c r="L70" s="51"/>
      <c r="M70" s="75"/>
      <c r="N70" s="73"/>
      <c r="O70" s="15"/>
    </row>
    <row r="71" spans="1:15" x14ac:dyDescent="0.25">
      <c r="A71" s="16">
        <v>18121</v>
      </c>
      <c r="B71" s="49">
        <v>400</v>
      </c>
      <c r="C71" s="17"/>
      <c r="D71" s="13"/>
      <c r="E71" s="70"/>
      <c r="F71" s="14" t="s">
        <v>15</v>
      </c>
      <c r="G71" s="9">
        <v>18216</v>
      </c>
      <c r="H71" s="77">
        <v>800</v>
      </c>
      <c r="I71" s="10" t="s">
        <v>64</v>
      </c>
      <c r="J71" s="50"/>
      <c r="K71" s="79"/>
      <c r="L71" s="51"/>
      <c r="M71" s="75"/>
      <c r="N71" s="73"/>
      <c r="O71" s="15"/>
    </row>
    <row r="72" spans="1:15" x14ac:dyDescent="0.25">
      <c r="A72" s="16">
        <v>18122</v>
      </c>
      <c r="B72" s="49">
        <v>400</v>
      </c>
      <c r="C72" s="17"/>
      <c r="D72" s="13">
        <v>18164</v>
      </c>
      <c r="E72" s="70">
        <v>400</v>
      </c>
      <c r="F72" s="14"/>
      <c r="G72" s="9"/>
      <c r="H72" s="77"/>
      <c r="I72" s="10" t="s">
        <v>15</v>
      </c>
      <c r="J72" s="50"/>
      <c r="K72" s="79"/>
      <c r="L72" s="51"/>
      <c r="M72" s="75"/>
      <c r="N72" s="73"/>
      <c r="O72" s="15"/>
    </row>
    <row r="73" spans="1:15" x14ac:dyDescent="0.25">
      <c r="A73" s="16">
        <v>18123</v>
      </c>
      <c r="B73" s="49">
        <v>2400</v>
      </c>
      <c r="C73" s="17" t="s">
        <v>32</v>
      </c>
      <c r="D73" s="13">
        <v>18165</v>
      </c>
      <c r="E73" s="70">
        <v>350</v>
      </c>
      <c r="F73" s="14"/>
      <c r="G73" s="9">
        <v>18217</v>
      </c>
      <c r="H73" s="77">
        <v>400</v>
      </c>
      <c r="I73" s="10"/>
      <c r="J73" s="50"/>
      <c r="K73" s="79"/>
      <c r="L73" s="51"/>
      <c r="M73" s="75"/>
      <c r="N73" s="73"/>
      <c r="O73" s="15"/>
    </row>
    <row r="74" spans="1:15" x14ac:dyDescent="0.25">
      <c r="A74" s="16"/>
      <c r="B74" s="49"/>
      <c r="C74" s="17" t="s">
        <v>14</v>
      </c>
      <c r="D74" s="13">
        <v>18166</v>
      </c>
      <c r="E74" s="70">
        <v>50</v>
      </c>
      <c r="F74" s="14" t="s">
        <v>20</v>
      </c>
      <c r="G74" s="9">
        <v>18218</v>
      </c>
      <c r="H74" s="77">
        <v>400</v>
      </c>
      <c r="I74" s="10"/>
      <c r="J74" s="50"/>
      <c r="K74" s="79"/>
      <c r="L74" s="51"/>
      <c r="M74" s="75"/>
      <c r="N74" s="73"/>
      <c r="O74" s="15"/>
    </row>
    <row r="75" spans="1:15" x14ac:dyDescent="0.25">
      <c r="A75" s="16">
        <v>18124</v>
      </c>
      <c r="B75" s="49">
        <v>4400</v>
      </c>
      <c r="C75" s="17" t="s">
        <v>32</v>
      </c>
      <c r="D75" s="13">
        <v>18167</v>
      </c>
      <c r="E75" s="70">
        <v>250</v>
      </c>
      <c r="F75" s="14"/>
      <c r="G75" s="9">
        <v>18219</v>
      </c>
      <c r="H75" s="77">
        <v>400</v>
      </c>
      <c r="I75" s="10"/>
      <c r="J75" s="50"/>
      <c r="K75" s="79"/>
      <c r="L75" s="51"/>
      <c r="M75" s="75"/>
      <c r="N75" s="73"/>
      <c r="O75" s="15"/>
    </row>
    <row r="76" spans="1:15" x14ac:dyDescent="0.25">
      <c r="A76" s="16"/>
      <c r="B76" s="49"/>
      <c r="C76" s="17" t="s">
        <v>15</v>
      </c>
      <c r="D76" s="13">
        <v>18168</v>
      </c>
      <c r="E76" s="70">
        <v>400</v>
      </c>
      <c r="F76" s="14" t="s">
        <v>30</v>
      </c>
      <c r="G76" s="9">
        <v>18220</v>
      </c>
      <c r="H76" s="77">
        <v>1000</v>
      </c>
      <c r="I76" s="10" t="s">
        <v>76</v>
      </c>
      <c r="J76" s="50"/>
      <c r="K76" s="79"/>
      <c r="L76" s="51"/>
      <c r="M76" s="75"/>
      <c r="N76" s="73"/>
      <c r="O76" s="15"/>
    </row>
    <row r="77" spans="1:15" x14ac:dyDescent="0.25">
      <c r="A77" s="16"/>
      <c r="B77" s="49"/>
      <c r="C77" s="17" t="s">
        <v>33</v>
      </c>
      <c r="D77" s="13"/>
      <c r="E77" s="70"/>
      <c r="F77" s="14" t="s">
        <v>41</v>
      </c>
      <c r="G77" s="9"/>
      <c r="H77" s="77"/>
      <c r="I77" s="10" t="s">
        <v>77</v>
      </c>
      <c r="J77" s="50"/>
      <c r="K77" s="79"/>
      <c r="L77" s="51"/>
      <c r="M77" s="75"/>
      <c r="N77" s="73"/>
      <c r="O77" s="15"/>
    </row>
    <row r="78" spans="1:15" x14ac:dyDescent="0.25">
      <c r="A78" s="16">
        <v>18125</v>
      </c>
      <c r="B78" s="49">
        <v>200</v>
      </c>
      <c r="C78" s="17" t="s">
        <v>37</v>
      </c>
      <c r="D78" s="13">
        <v>18169</v>
      </c>
      <c r="E78" s="70">
        <v>800</v>
      </c>
      <c r="F78" s="14" t="s">
        <v>27</v>
      </c>
      <c r="G78" s="9">
        <v>18221</v>
      </c>
      <c r="H78" s="77">
        <v>900</v>
      </c>
      <c r="I78" s="10" t="s">
        <v>65</v>
      </c>
      <c r="J78" s="50"/>
      <c r="K78" s="79"/>
      <c r="L78" s="51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 t="s">
        <v>15</v>
      </c>
      <c r="G79" s="9"/>
      <c r="H79" s="77"/>
      <c r="I79" s="10" t="s">
        <v>78</v>
      </c>
      <c r="J79" s="50"/>
      <c r="K79" s="79"/>
      <c r="L79" s="51"/>
      <c r="M79" s="75"/>
      <c r="N79" s="73"/>
      <c r="O79" s="15"/>
    </row>
    <row r="80" spans="1:15" x14ac:dyDescent="0.25">
      <c r="A80" s="16"/>
      <c r="B80" s="49"/>
      <c r="C80" s="17"/>
      <c r="D80" s="13">
        <v>18170</v>
      </c>
      <c r="E80" s="70">
        <v>400</v>
      </c>
      <c r="F80" s="14" t="s">
        <v>58</v>
      </c>
      <c r="G80" s="9">
        <v>18222</v>
      </c>
      <c r="H80" s="77">
        <v>50</v>
      </c>
      <c r="I80" s="10" t="s">
        <v>75</v>
      </c>
      <c r="J80" s="50"/>
      <c r="K80" s="79"/>
      <c r="L80" s="51"/>
      <c r="M80" s="75"/>
      <c r="N80" s="73"/>
      <c r="O80" s="15"/>
    </row>
    <row r="81" spans="1:15" x14ac:dyDescent="0.25">
      <c r="A81" s="16"/>
      <c r="B81" s="49"/>
      <c r="C81" s="17"/>
      <c r="D81" s="13">
        <v>18171</v>
      </c>
      <c r="E81" s="70"/>
      <c r="F81" s="14" t="s">
        <v>59</v>
      </c>
      <c r="G81" s="9">
        <v>18223</v>
      </c>
      <c r="H81" s="77">
        <v>500</v>
      </c>
      <c r="I81" s="10" t="s">
        <v>79</v>
      </c>
      <c r="J81" s="50"/>
      <c r="K81" s="79"/>
      <c r="L81" s="51"/>
      <c r="M81" s="75"/>
      <c r="N81" s="73"/>
      <c r="O81" s="15"/>
    </row>
    <row r="82" spans="1:15" x14ac:dyDescent="0.25">
      <c r="A82" s="16"/>
      <c r="B82" s="49"/>
      <c r="C82" s="17"/>
      <c r="D82" s="13">
        <v>18172</v>
      </c>
      <c r="E82" s="70">
        <v>4400</v>
      </c>
      <c r="F82" s="14" t="s">
        <v>32</v>
      </c>
      <c r="G82" s="9">
        <v>18224</v>
      </c>
      <c r="H82" s="77">
        <v>400</v>
      </c>
      <c r="I82" s="10" t="s">
        <v>28</v>
      </c>
      <c r="J82" s="50"/>
      <c r="K82" s="79"/>
      <c r="L82" s="51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 t="s">
        <v>15</v>
      </c>
      <c r="G83" s="9">
        <v>18225</v>
      </c>
      <c r="H83" s="77">
        <v>400</v>
      </c>
      <c r="I83" s="10"/>
      <c r="J83" s="50"/>
      <c r="K83" s="79"/>
      <c r="L83" s="51"/>
      <c r="M83" s="75"/>
      <c r="N83" s="73"/>
      <c r="O83" s="15"/>
    </row>
    <row r="84" spans="1:15" x14ac:dyDescent="0.25">
      <c r="A84" s="16"/>
      <c r="B84" s="49"/>
      <c r="C84" s="17"/>
      <c r="D84" s="13">
        <v>18173</v>
      </c>
      <c r="E84" s="70">
        <v>600</v>
      </c>
      <c r="F84" s="14" t="s">
        <v>60</v>
      </c>
      <c r="G84" s="9">
        <v>18226</v>
      </c>
      <c r="H84" s="77">
        <v>450</v>
      </c>
      <c r="I84" s="10" t="s">
        <v>80</v>
      </c>
      <c r="J84" s="50"/>
      <c r="K84" s="79"/>
      <c r="L84" s="51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9"/>
      <c r="H85" s="77"/>
      <c r="I85" s="10" t="s">
        <v>81</v>
      </c>
      <c r="J85" s="50"/>
      <c r="K85" s="79"/>
      <c r="L85" s="51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9"/>
      <c r="H86" s="77"/>
      <c r="I86" s="108"/>
      <c r="J86" s="50"/>
      <c r="K86" s="79"/>
      <c r="L86" s="51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9"/>
      <c r="H87" s="77"/>
      <c r="I87" s="10"/>
      <c r="J87" s="50"/>
      <c r="K87" s="79"/>
      <c r="L87" s="51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9"/>
      <c r="H88" s="77"/>
      <c r="I88" s="10"/>
      <c r="J88" s="50"/>
      <c r="K88" s="79"/>
      <c r="L88" s="51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9"/>
      <c r="H89" s="77"/>
      <c r="I89" s="10"/>
      <c r="J89" s="50"/>
      <c r="K89" s="79"/>
      <c r="L89" s="51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9"/>
      <c r="H90" s="77"/>
      <c r="I90" s="10"/>
      <c r="J90" s="50"/>
      <c r="K90" s="79"/>
      <c r="L90" s="51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9"/>
      <c r="H91" s="77"/>
      <c r="I91" s="10"/>
      <c r="J91" s="50"/>
      <c r="K91" s="79"/>
      <c r="L91" s="51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9"/>
      <c r="H92" s="77"/>
      <c r="I92" s="10"/>
      <c r="J92" s="50"/>
      <c r="K92" s="79"/>
      <c r="L92" s="51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9"/>
      <c r="H93" s="77"/>
      <c r="I93" s="10"/>
      <c r="J93" s="50"/>
      <c r="K93" s="79"/>
      <c r="L93" s="51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9"/>
      <c r="H94" s="77"/>
      <c r="I94" s="10"/>
      <c r="J94" s="50"/>
      <c r="K94" s="79"/>
      <c r="L94" s="51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9"/>
      <c r="H95" s="77"/>
      <c r="I95" s="10"/>
      <c r="J95" s="50"/>
      <c r="K95" s="79"/>
      <c r="L95" s="51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9"/>
      <c r="H96" s="77"/>
      <c r="I96" s="10"/>
      <c r="J96" s="50"/>
      <c r="K96" s="79"/>
      <c r="L96" s="51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9"/>
      <c r="H97" s="77"/>
      <c r="I97" s="10"/>
      <c r="J97" s="50"/>
      <c r="K97" s="79"/>
      <c r="L97" s="51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9"/>
      <c r="H98" s="77"/>
      <c r="I98" s="10"/>
      <c r="J98" s="50"/>
      <c r="K98" s="79"/>
      <c r="L98" s="51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9"/>
      <c r="H99" s="77"/>
      <c r="I99" s="10"/>
      <c r="J99" s="50"/>
      <c r="K99" s="79"/>
      <c r="L99" s="51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9"/>
      <c r="H100" s="77"/>
      <c r="I100" s="10"/>
      <c r="J100" s="50"/>
      <c r="K100" s="79"/>
      <c r="L100" s="51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9"/>
      <c r="H101" s="77"/>
      <c r="I101" s="10"/>
      <c r="J101" s="50"/>
      <c r="K101" s="79"/>
      <c r="L101" s="51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9"/>
      <c r="H102" s="77"/>
      <c r="I102" s="10"/>
      <c r="J102" s="50"/>
      <c r="K102" s="79"/>
      <c r="L102" s="51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9"/>
      <c r="H103" s="77"/>
      <c r="I103" s="10"/>
      <c r="J103" s="50"/>
      <c r="K103" s="79"/>
      <c r="L103" s="51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9"/>
      <c r="H104" s="77"/>
      <c r="I104" s="10"/>
      <c r="J104" s="50"/>
      <c r="K104" s="79"/>
      <c r="L104" s="51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9"/>
      <c r="H105" s="77"/>
      <c r="I105" s="10"/>
      <c r="J105" s="50"/>
      <c r="K105" s="79"/>
      <c r="L105" s="51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9"/>
      <c r="H106" s="77"/>
      <c r="I106" s="10"/>
      <c r="J106" s="50"/>
      <c r="K106" s="79"/>
      <c r="L106" s="51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9"/>
      <c r="H107" s="77"/>
      <c r="I107" s="10"/>
      <c r="J107" s="50"/>
      <c r="K107" s="79"/>
      <c r="L107" s="51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9"/>
      <c r="H108" s="77"/>
      <c r="I108" s="10"/>
      <c r="J108" s="50"/>
      <c r="K108" s="79"/>
      <c r="L108" s="51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9"/>
      <c r="H109" s="77"/>
      <c r="I109" s="10"/>
      <c r="J109" s="50"/>
      <c r="K109" s="79"/>
      <c r="L109" s="51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9"/>
      <c r="H110" s="77"/>
      <c r="I110" s="10"/>
      <c r="J110" s="50"/>
      <c r="K110" s="79"/>
      <c r="L110" s="51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9"/>
      <c r="H111" s="77"/>
      <c r="I111" s="10"/>
      <c r="J111" s="50"/>
      <c r="K111" s="79"/>
      <c r="L111" s="51"/>
      <c r="M111" s="75"/>
      <c r="N111" s="73"/>
      <c r="O111" s="15"/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81"/>
  <sheetViews>
    <sheetView topLeftCell="A5" zoomScaleNormal="100" workbookViewId="0">
      <pane ySplit="3" topLeftCell="A8" activePane="bottomLeft" state="frozen"/>
      <selection activeCell="A5" sqref="A5"/>
      <selection pane="bottomLeft" activeCell="A9" sqref="A9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>
        <f>A6+D6+G6+J6+M6</f>
        <v>174</v>
      </c>
      <c r="H3" s="3" t="s">
        <v>3</v>
      </c>
      <c r="I3" s="2">
        <f>B6+E6+H6+K6+N6</f>
        <v>93880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2" t="s">
        <v>6</v>
      </c>
      <c r="K5" s="132"/>
      <c r="L5" s="132"/>
      <c r="M5" s="124" t="s">
        <v>12</v>
      </c>
      <c r="N5" s="124"/>
      <c r="O5" s="124"/>
      <c r="P5" s="27"/>
      <c r="Q5" s="133" t="s">
        <v>13</v>
      </c>
      <c r="R5" s="133"/>
    </row>
    <row r="6" spans="1:18" x14ac:dyDescent="0.25">
      <c r="A6" s="8">
        <f>SUBTOTAL(3,A8:A122)</f>
        <v>42</v>
      </c>
      <c r="B6" s="8">
        <f>SUBTOTAL(9,B8:B122)</f>
        <v>25140</v>
      </c>
      <c r="C6" s="35">
        <v>43499</v>
      </c>
      <c r="D6" s="8">
        <f>SUBTOTAL(3,D8:D121)</f>
        <v>54</v>
      </c>
      <c r="E6" s="1">
        <f>SUBTOTAL(9,E8:E121)</f>
        <v>24940</v>
      </c>
      <c r="F6" s="38">
        <v>43506</v>
      </c>
      <c r="G6" s="8">
        <f>SUBTOTAL(3,G8:G121)</f>
        <v>41</v>
      </c>
      <c r="H6" s="1">
        <f>SUBTOTAL(9,H8:H121)</f>
        <v>21430</v>
      </c>
      <c r="I6" s="39">
        <v>43513</v>
      </c>
      <c r="J6" s="8">
        <f>SUBTOTAL(3,J8:J107)</f>
        <v>35</v>
      </c>
      <c r="K6" s="1">
        <f>SUM(K8:K145)</f>
        <v>20370</v>
      </c>
      <c r="L6" s="83">
        <v>43520</v>
      </c>
      <c r="M6" s="1">
        <f>SUBTOTAL(3,M8:M121)</f>
        <v>2</v>
      </c>
      <c r="N6" s="1">
        <f>SUBTOTAL(9,N8:N121)</f>
        <v>2000</v>
      </c>
      <c r="O6" s="86"/>
      <c r="Q6" s="30">
        <f>+A6+'C C Aportaciones FEB 19'!D6+G6+J6+M6</f>
        <v>174</v>
      </c>
      <c r="R6" s="29">
        <f>+B6+E6+H6+K6+N6</f>
        <v>93880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18275</v>
      </c>
      <c r="B8" s="49"/>
      <c r="C8" s="17" t="s">
        <v>59</v>
      </c>
      <c r="D8" s="13">
        <v>18317</v>
      </c>
      <c r="E8" s="70">
        <v>400</v>
      </c>
      <c r="F8" s="14" t="s">
        <v>115</v>
      </c>
      <c r="G8" s="9">
        <v>18371</v>
      </c>
      <c r="H8" s="77">
        <v>1500</v>
      </c>
      <c r="I8" s="10" t="s">
        <v>134</v>
      </c>
      <c r="J8" s="50">
        <v>18412</v>
      </c>
      <c r="K8" s="79">
        <v>200</v>
      </c>
      <c r="L8" s="51" t="s">
        <v>34</v>
      </c>
      <c r="M8" s="75">
        <v>18447</v>
      </c>
      <c r="N8" s="73">
        <v>800</v>
      </c>
      <c r="O8" s="15" t="s">
        <v>27</v>
      </c>
    </row>
    <row r="9" spans="1:18" x14ac:dyDescent="0.25">
      <c r="A9" s="16">
        <v>18276</v>
      </c>
      <c r="B9" s="49">
        <v>500</v>
      </c>
      <c r="C9" s="17" t="s">
        <v>101</v>
      </c>
      <c r="D9" s="13">
        <v>18318</v>
      </c>
      <c r="E9" s="70">
        <v>600</v>
      </c>
      <c r="F9" s="23" t="s">
        <v>116</v>
      </c>
      <c r="G9" s="9"/>
      <c r="H9" s="77"/>
      <c r="I9" s="10" t="s">
        <v>135</v>
      </c>
      <c r="J9" s="50">
        <v>18413</v>
      </c>
      <c r="K9" s="79">
        <v>300</v>
      </c>
      <c r="L9" s="51" t="s">
        <v>144</v>
      </c>
      <c r="M9" s="75"/>
      <c r="N9" s="73"/>
      <c r="O9" s="15" t="s">
        <v>15</v>
      </c>
    </row>
    <row r="10" spans="1:18" x14ac:dyDescent="0.25">
      <c r="A10" s="16"/>
      <c r="B10" s="49"/>
      <c r="C10" s="17" t="s">
        <v>102</v>
      </c>
      <c r="D10" s="13">
        <v>18319</v>
      </c>
      <c r="E10" s="70"/>
      <c r="F10" s="14"/>
      <c r="G10" s="9"/>
      <c r="H10" s="77"/>
      <c r="I10" s="108">
        <v>300</v>
      </c>
      <c r="J10" s="50"/>
      <c r="K10" s="79"/>
      <c r="L10" s="51" t="s">
        <v>57</v>
      </c>
      <c r="M10" s="75">
        <v>18448</v>
      </c>
      <c r="N10" s="73">
        <v>1200</v>
      </c>
      <c r="O10" s="15" t="s">
        <v>120</v>
      </c>
    </row>
    <row r="11" spans="1:18" x14ac:dyDescent="0.25">
      <c r="A11" s="16">
        <v>18277</v>
      </c>
      <c r="B11" s="49">
        <v>400</v>
      </c>
      <c r="C11" s="17"/>
      <c r="D11" s="13"/>
      <c r="E11" s="70">
        <v>800</v>
      </c>
      <c r="F11" s="14" t="s">
        <v>117</v>
      </c>
      <c r="G11" s="9">
        <v>18372</v>
      </c>
      <c r="H11" s="77">
        <v>300</v>
      </c>
      <c r="I11" s="10"/>
      <c r="J11" s="50">
        <v>18414</v>
      </c>
      <c r="K11" s="79">
        <v>200</v>
      </c>
      <c r="L11" s="51" t="s">
        <v>34</v>
      </c>
      <c r="M11" s="75"/>
      <c r="N11" s="73"/>
      <c r="O11" s="15" t="s">
        <v>15</v>
      </c>
    </row>
    <row r="12" spans="1:18" x14ac:dyDescent="0.25">
      <c r="A12" s="16">
        <v>18278</v>
      </c>
      <c r="B12" s="49">
        <v>1000</v>
      </c>
      <c r="C12" s="17" t="s">
        <v>103</v>
      </c>
      <c r="D12" s="13"/>
      <c r="E12" s="70"/>
      <c r="F12" s="14" t="s">
        <v>118</v>
      </c>
      <c r="G12" s="9">
        <v>18373</v>
      </c>
      <c r="H12" s="77">
        <v>400</v>
      </c>
      <c r="I12" s="10" t="s">
        <v>27</v>
      </c>
      <c r="J12" s="50">
        <v>18415</v>
      </c>
      <c r="K12" s="79">
        <v>50</v>
      </c>
      <c r="L12" s="51" t="s">
        <v>75</v>
      </c>
      <c r="M12" s="75"/>
      <c r="N12" s="73"/>
      <c r="O12" s="15"/>
    </row>
    <row r="13" spans="1:18" x14ac:dyDescent="0.25">
      <c r="A13" s="16"/>
      <c r="B13" s="49"/>
      <c r="C13" s="17" t="s">
        <v>104</v>
      </c>
      <c r="D13" s="13"/>
      <c r="E13" s="70"/>
      <c r="F13" s="14" t="s">
        <v>115</v>
      </c>
      <c r="G13" s="9"/>
      <c r="H13" s="77"/>
      <c r="I13" s="10" t="s">
        <v>14</v>
      </c>
      <c r="J13" s="50">
        <v>18416</v>
      </c>
      <c r="K13" s="79">
        <v>1850</v>
      </c>
      <c r="L13" s="51" t="s">
        <v>25</v>
      </c>
      <c r="M13" s="75"/>
      <c r="N13" s="73"/>
      <c r="O13" s="15"/>
    </row>
    <row r="14" spans="1:18" x14ac:dyDescent="0.25">
      <c r="A14" s="16">
        <v>18279</v>
      </c>
      <c r="B14" s="49">
        <v>400</v>
      </c>
      <c r="C14" s="17"/>
      <c r="D14" s="13">
        <v>18320</v>
      </c>
      <c r="E14" s="70">
        <v>400</v>
      </c>
      <c r="F14" s="14" t="s">
        <v>28</v>
      </c>
      <c r="G14" s="9">
        <v>18374</v>
      </c>
      <c r="H14" s="77">
        <v>400</v>
      </c>
      <c r="I14" s="10"/>
      <c r="J14" s="50"/>
      <c r="K14" s="79"/>
      <c r="L14" s="51" t="s">
        <v>145</v>
      </c>
      <c r="M14" s="75"/>
      <c r="N14" s="73"/>
      <c r="O14" s="15"/>
    </row>
    <row r="15" spans="1:18" x14ac:dyDescent="0.25">
      <c r="A15" s="16">
        <v>18280</v>
      </c>
      <c r="B15" s="49">
        <v>400</v>
      </c>
      <c r="C15" s="17"/>
      <c r="D15" s="13">
        <v>18321</v>
      </c>
      <c r="E15" s="70">
        <v>1200</v>
      </c>
      <c r="F15" s="14" t="s">
        <v>119</v>
      </c>
      <c r="G15" s="9">
        <v>18375</v>
      </c>
      <c r="H15" s="77">
        <v>400</v>
      </c>
      <c r="I15" s="10" t="s">
        <v>105</v>
      </c>
      <c r="J15" s="50"/>
      <c r="K15" s="79"/>
      <c r="L15" s="51" t="s">
        <v>146</v>
      </c>
      <c r="M15" s="75"/>
      <c r="N15" s="73"/>
      <c r="O15" s="15"/>
    </row>
    <row r="16" spans="1:18" x14ac:dyDescent="0.25">
      <c r="A16" s="16">
        <v>18281</v>
      </c>
      <c r="B16" s="49">
        <v>400</v>
      </c>
      <c r="C16" s="17"/>
      <c r="D16" s="13"/>
      <c r="E16" s="70"/>
      <c r="F16" s="14" t="s">
        <v>15</v>
      </c>
      <c r="G16" s="9">
        <v>18376</v>
      </c>
      <c r="H16" s="77">
        <v>200</v>
      </c>
      <c r="I16" s="24" t="s">
        <v>34</v>
      </c>
      <c r="J16" s="50">
        <v>18417</v>
      </c>
      <c r="K16" s="79">
        <v>800</v>
      </c>
      <c r="L16" s="51" t="s">
        <v>29</v>
      </c>
      <c r="M16" s="75"/>
      <c r="N16" s="73"/>
      <c r="O16" s="15"/>
    </row>
    <row r="17" spans="1:15" x14ac:dyDescent="0.25">
      <c r="A17" s="16">
        <v>18282</v>
      </c>
      <c r="B17" s="49">
        <v>200</v>
      </c>
      <c r="C17" s="17" t="s">
        <v>105</v>
      </c>
      <c r="D17" s="13">
        <v>18322</v>
      </c>
      <c r="E17" s="70">
        <v>400</v>
      </c>
      <c r="F17" s="14"/>
      <c r="G17" s="9">
        <v>18377</v>
      </c>
      <c r="H17" s="77">
        <v>300</v>
      </c>
      <c r="I17" s="10" t="s">
        <v>132</v>
      </c>
      <c r="J17" s="50"/>
      <c r="K17" s="79"/>
      <c r="L17" s="51" t="s">
        <v>15</v>
      </c>
      <c r="M17" s="75"/>
      <c r="N17" s="73"/>
      <c r="O17" s="15"/>
    </row>
    <row r="18" spans="1:15" x14ac:dyDescent="0.25">
      <c r="A18" s="16">
        <v>18283</v>
      </c>
      <c r="B18" s="49">
        <v>800</v>
      </c>
      <c r="C18" s="17" t="s">
        <v>27</v>
      </c>
      <c r="D18" s="13">
        <v>18323</v>
      </c>
      <c r="E18" s="70">
        <v>600</v>
      </c>
      <c r="F18" s="14" t="s">
        <v>120</v>
      </c>
      <c r="G18" s="9">
        <v>18378</v>
      </c>
      <c r="H18" s="77">
        <v>400</v>
      </c>
      <c r="I18" s="10"/>
      <c r="J18" s="50">
        <v>18418</v>
      </c>
      <c r="K18" s="79">
        <v>600</v>
      </c>
      <c r="L18" s="51" t="s">
        <v>147</v>
      </c>
      <c r="M18" s="75"/>
      <c r="N18" s="73"/>
      <c r="O18" s="15"/>
    </row>
    <row r="19" spans="1:15" x14ac:dyDescent="0.25">
      <c r="A19" s="16"/>
      <c r="B19" s="49"/>
      <c r="C19" s="17" t="s">
        <v>15</v>
      </c>
      <c r="D19" s="13"/>
      <c r="E19" s="70"/>
      <c r="F19" s="14" t="s">
        <v>14</v>
      </c>
      <c r="G19" s="9">
        <v>18379</v>
      </c>
      <c r="H19" s="77">
        <v>400</v>
      </c>
      <c r="I19" s="10"/>
      <c r="J19" s="50"/>
      <c r="K19" s="79"/>
      <c r="L19" s="51" t="s">
        <v>148</v>
      </c>
      <c r="M19" s="75"/>
      <c r="N19" s="73"/>
      <c r="O19" s="15"/>
    </row>
    <row r="20" spans="1:15" x14ac:dyDescent="0.25">
      <c r="A20" s="16">
        <v>18284</v>
      </c>
      <c r="B20" s="49">
        <v>800</v>
      </c>
      <c r="C20" s="17" t="s">
        <v>106</v>
      </c>
      <c r="D20" s="13">
        <v>18324</v>
      </c>
      <c r="E20" s="70">
        <v>400</v>
      </c>
      <c r="F20" s="14" t="s">
        <v>121</v>
      </c>
      <c r="G20" s="9">
        <v>18380</v>
      </c>
      <c r="H20" s="77">
        <v>400</v>
      </c>
      <c r="I20" s="10" t="s">
        <v>29</v>
      </c>
      <c r="J20" s="50">
        <v>18419</v>
      </c>
      <c r="K20" s="79">
        <v>400</v>
      </c>
      <c r="L20" s="51" t="s">
        <v>48</v>
      </c>
      <c r="M20" s="75"/>
      <c r="N20" s="73"/>
      <c r="O20" s="15"/>
    </row>
    <row r="21" spans="1:15" x14ac:dyDescent="0.25">
      <c r="A21" s="16"/>
      <c r="B21" s="49"/>
      <c r="C21" s="17" t="s">
        <v>15</v>
      </c>
      <c r="D21" s="13"/>
      <c r="E21" s="70"/>
      <c r="F21" s="14" t="s">
        <v>122</v>
      </c>
      <c r="G21" s="9"/>
      <c r="H21" s="77"/>
      <c r="I21" s="10" t="s">
        <v>14</v>
      </c>
      <c r="J21" s="50"/>
      <c r="K21" s="79"/>
      <c r="L21" s="51" t="s">
        <v>14</v>
      </c>
      <c r="M21" s="75"/>
      <c r="N21" s="73"/>
      <c r="O21" s="15"/>
    </row>
    <row r="22" spans="1:15" x14ac:dyDescent="0.25">
      <c r="A22" s="16">
        <v>18285</v>
      </c>
      <c r="B22" s="49">
        <v>400</v>
      </c>
      <c r="C22" s="17" t="s">
        <v>28</v>
      </c>
      <c r="D22" s="13">
        <v>18325</v>
      </c>
      <c r="E22" s="70">
        <v>50</v>
      </c>
      <c r="F22" s="14" t="s">
        <v>123</v>
      </c>
      <c r="G22" s="9">
        <v>18381</v>
      </c>
      <c r="H22" s="77">
        <v>250</v>
      </c>
      <c r="I22" s="25"/>
      <c r="J22" s="50">
        <v>18420</v>
      </c>
      <c r="K22" s="79">
        <v>400</v>
      </c>
      <c r="L22" s="51"/>
      <c r="M22" s="75"/>
      <c r="N22" s="73"/>
      <c r="O22" s="15"/>
    </row>
    <row r="23" spans="1:15" x14ac:dyDescent="0.25">
      <c r="A23" s="16">
        <v>18286</v>
      </c>
      <c r="B23" s="49">
        <v>200</v>
      </c>
      <c r="C23" s="17" t="s">
        <v>105</v>
      </c>
      <c r="D23" s="13">
        <v>18326</v>
      </c>
      <c r="E23" s="70">
        <v>400</v>
      </c>
      <c r="F23" s="14" t="s">
        <v>28</v>
      </c>
      <c r="G23" s="9">
        <v>18382</v>
      </c>
      <c r="H23" s="77">
        <v>800</v>
      </c>
      <c r="I23" s="10" t="s">
        <v>134</v>
      </c>
      <c r="J23" s="50">
        <v>18421</v>
      </c>
      <c r="K23" s="79">
        <v>1400</v>
      </c>
      <c r="L23" s="52" t="s">
        <v>149</v>
      </c>
      <c r="M23" s="75"/>
      <c r="N23" s="73"/>
      <c r="O23" s="15"/>
    </row>
    <row r="24" spans="1:15" x14ac:dyDescent="0.25">
      <c r="A24" s="16">
        <v>18287</v>
      </c>
      <c r="B24" s="49">
        <v>400</v>
      </c>
      <c r="C24" s="17"/>
      <c r="D24" s="13">
        <v>18327</v>
      </c>
      <c r="E24" s="70">
        <v>400</v>
      </c>
      <c r="F24" s="14" t="s">
        <v>116</v>
      </c>
      <c r="G24" s="9"/>
      <c r="H24" s="77"/>
      <c r="I24" s="10" t="s">
        <v>136</v>
      </c>
      <c r="J24" s="50"/>
      <c r="K24" s="79"/>
      <c r="L24" s="52" t="s">
        <v>150</v>
      </c>
      <c r="M24" s="75"/>
      <c r="N24" s="73"/>
      <c r="O24" s="15"/>
    </row>
    <row r="25" spans="1:15" x14ac:dyDescent="0.25">
      <c r="A25" s="16">
        <v>18288</v>
      </c>
      <c r="B25" s="49">
        <v>1600</v>
      </c>
      <c r="C25" s="17" t="s">
        <v>107</v>
      </c>
      <c r="D25" s="13">
        <v>18328</v>
      </c>
      <c r="E25" s="70">
        <v>800</v>
      </c>
      <c r="F25" s="14" t="s">
        <v>29</v>
      </c>
      <c r="G25" s="9">
        <v>18383</v>
      </c>
      <c r="H25" s="77">
        <v>400</v>
      </c>
      <c r="I25" s="10"/>
      <c r="J25" s="50"/>
      <c r="K25" s="79"/>
      <c r="L25" s="51" t="s">
        <v>151</v>
      </c>
      <c r="M25" s="75"/>
      <c r="N25" s="73"/>
      <c r="O25" s="15"/>
    </row>
    <row r="26" spans="1:15" x14ac:dyDescent="0.25">
      <c r="A26" s="16"/>
      <c r="B26" s="49"/>
      <c r="C26" s="17" t="s">
        <v>108</v>
      </c>
      <c r="D26" s="13"/>
      <c r="E26" s="70"/>
      <c r="F26" s="14" t="s">
        <v>15</v>
      </c>
      <c r="G26" s="9">
        <v>18384</v>
      </c>
      <c r="H26" s="77">
        <v>400</v>
      </c>
      <c r="I26" s="10"/>
      <c r="J26" s="50">
        <v>18422</v>
      </c>
      <c r="K26" s="79">
        <v>400</v>
      </c>
      <c r="L26" s="51"/>
      <c r="M26" s="75"/>
      <c r="N26" s="73"/>
      <c r="O26" s="15"/>
    </row>
    <row r="27" spans="1:15" x14ac:dyDescent="0.25">
      <c r="A27" s="16">
        <v>18289</v>
      </c>
      <c r="B27" s="49">
        <v>400</v>
      </c>
      <c r="C27" s="17"/>
      <c r="D27" s="13">
        <v>18329</v>
      </c>
      <c r="E27" s="70">
        <v>100</v>
      </c>
      <c r="F27" s="14" t="s">
        <v>124</v>
      </c>
      <c r="G27" s="9">
        <v>18385</v>
      </c>
      <c r="H27" s="77">
        <v>1200</v>
      </c>
      <c r="I27" s="10" t="s">
        <v>137</v>
      </c>
      <c r="J27" s="50">
        <v>18423</v>
      </c>
      <c r="K27" s="79">
        <v>600</v>
      </c>
      <c r="L27" s="51" t="s">
        <v>29</v>
      </c>
      <c r="M27" s="75"/>
      <c r="N27" s="73"/>
      <c r="O27" s="15"/>
    </row>
    <row r="28" spans="1:15" x14ac:dyDescent="0.25">
      <c r="A28" s="16">
        <v>18290</v>
      </c>
      <c r="B28" s="49">
        <v>400</v>
      </c>
      <c r="C28" s="17" t="s">
        <v>105</v>
      </c>
      <c r="D28" s="13">
        <v>18330</v>
      </c>
      <c r="E28" s="70">
        <v>400</v>
      </c>
      <c r="F28" s="14"/>
      <c r="G28" s="9"/>
      <c r="H28" s="77"/>
      <c r="I28" s="10" t="s">
        <v>138</v>
      </c>
      <c r="J28" s="50"/>
      <c r="K28" s="79"/>
      <c r="L28" s="51" t="s">
        <v>16</v>
      </c>
      <c r="M28" s="75"/>
      <c r="N28" s="73"/>
      <c r="O28" s="15"/>
    </row>
    <row r="29" spans="1:15" x14ac:dyDescent="0.25">
      <c r="A29" s="16">
        <v>18291</v>
      </c>
      <c r="B29" s="49">
        <v>4400</v>
      </c>
      <c r="C29" s="17" t="s">
        <v>32</v>
      </c>
      <c r="D29" s="13">
        <v>18331</v>
      </c>
      <c r="E29" s="70">
        <v>1200</v>
      </c>
      <c r="F29" s="14" t="s">
        <v>65</v>
      </c>
      <c r="G29" s="9">
        <v>18386</v>
      </c>
      <c r="H29" s="77">
        <v>800</v>
      </c>
      <c r="I29" s="10" t="s">
        <v>29</v>
      </c>
      <c r="J29" s="50">
        <v>18424</v>
      </c>
      <c r="K29" s="79">
        <v>400</v>
      </c>
      <c r="L29" s="51"/>
      <c r="M29" s="75"/>
      <c r="N29" s="73"/>
      <c r="O29" s="15"/>
    </row>
    <row r="30" spans="1:15" x14ac:dyDescent="0.25">
      <c r="A30" s="16"/>
      <c r="B30" s="49"/>
      <c r="C30" s="17" t="s">
        <v>15</v>
      </c>
      <c r="D30" s="13"/>
      <c r="E30" s="70"/>
      <c r="F30" s="14" t="s">
        <v>15</v>
      </c>
      <c r="G30" s="9"/>
      <c r="H30" s="77"/>
      <c r="I30" s="10" t="s">
        <v>15</v>
      </c>
      <c r="J30" s="53">
        <v>18425</v>
      </c>
      <c r="K30" s="79">
        <v>250</v>
      </c>
      <c r="L30" s="51"/>
      <c r="M30" s="75"/>
      <c r="N30" s="73"/>
      <c r="O30" s="15"/>
    </row>
    <row r="31" spans="1:15" x14ac:dyDescent="0.25">
      <c r="A31" s="16"/>
      <c r="B31" s="49"/>
      <c r="C31" s="17" t="s">
        <v>42</v>
      </c>
      <c r="D31" s="13">
        <v>18332</v>
      </c>
      <c r="E31" s="70">
        <v>400</v>
      </c>
      <c r="F31" s="14" t="s">
        <v>116</v>
      </c>
      <c r="G31" s="9">
        <v>18387</v>
      </c>
      <c r="H31" s="77">
        <v>200</v>
      </c>
      <c r="I31" s="10"/>
      <c r="J31" s="50">
        <v>18426</v>
      </c>
      <c r="K31" s="79">
        <v>300</v>
      </c>
      <c r="L31" s="51"/>
      <c r="M31" s="75"/>
      <c r="N31" s="73"/>
      <c r="O31" s="15"/>
    </row>
    <row r="32" spans="1:15" x14ac:dyDescent="0.25">
      <c r="A32" s="16">
        <v>18292</v>
      </c>
      <c r="B32" s="49">
        <v>400</v>
      </c>
      <c r="C32" s="17"/>
      <c r="D32" s="13">
        <v>18333</v>
      </c>
      <c r="E32" s="70">
        <v>400</v>
      </c>
      <c r="F32" s="14"/>
      <c r="G32" s="9">
        <v>18388</v>
      </c>
      <c r="H32" s="77">
        <v>400</v>
      </c>
      <c r="I32" s="10"/>
      <c r="J32" s="53">
        <v>18427</v>
      </c>
      <c r="K32" s="79">
        <v>800</v>
      </c>
      <c r="L32" s="51" t="s">
        <v>152</v>
      </c>
      <c r="M32" s="75"/>
      <c r="N32" s="73"/>
      <c r="O32" s="15"/>
    </row>
    <row r="33" spans="1:15" x14ac:dyDescent="0.25">
      <c r="A33" s="16">
        <v>18293</v>
      </c>
      <c r="B33" s="49">
        <v>100</v>
      </c>
      <c r="C33" s="17"/>
      <c r="D33" s="13">
        <v>18334</v>
      </c>
      <c r="E33" s="70">
        <v>400</v>
      </c>
      <c r="F33" s="14" t="s">
        <v>116</v>
      </c>
      <c r="G33" s="9">
        <v>18389</v>
      </c>
      <c r="H33" s="77">
        <v>600</v>
      </c>
      <c r="I33" s="10" t="s">
        <v>29</v>
      </c>
      <c r="J33" s="50"/>
      <c r="K33" s="79"/>
      <c r="L33" s="51" t="s">
        <v>15</v>
      </c>
      <c r="M33" s="75"/>
      <c r="N33" s="73"/>
      <c r="O33" s="15"/>
    </row>
    <row r="34" spans="1:15" x14ac:dyDescent="0.25">
      <c r="A34" s="16">
        <v>18294</v>
      </c>
      <c r="B34" s="49">
        <v>800</v>
      </c>
      <c r="C34" s="17" t="s">
        <v>29</v>
      </c>
      <c r="D34" s="13">
        <v>18335</v>
      </c>
      <c r="E34" s="70">
        <v>800</v>
      </c>
      <c r="F34" s="14" t="s">
        <v>64</v>
      </c>
      <c r="G34" s="9"/>
      <c r="H34" s="77"/>
      <c r="I34" s="10" t="s">
        <v>16</v>
      </c>
      <c r="J34" s="50">
        <v>18428</v>
      </c>
      <c r="K34" s="79">
        <v>2800</v>
      </c>
      <c r="L34" s="51" t="s">
        <v>153</v>
      </c>
      <c r="M34" s="75"/>
      <c r="N34" s="73"/>
      <c r="O34" s="15"/>
    </row>
    <row r="35" spans="1:15" x14ac:dyDescent="0.25">
      <c r="A35" s="16"/>
      <c r="B35" s="49"/>
      <c r="C35" s="17" t="s">
        <v>15</v>
      </c>
      <c r="D35" s="13"/>
      <c r="E35" s="70"/>
      <c r="F35" s="20" t="s">
        <v>15</v>
      </c>
      <c r="G35" s="9">
        <v>18390</v>
      </c>
      <c r="H35" s="77">
        <v>250</v>
      </c>
      <c r="I35" s="10"/>
      <c r="J35" s="53"/>
      <c r="K35" s="79"/>
      <c r="L35" s="51" t="s">
        <v>154</v>
      </c>
      <c r="M35" s="75"/>
      <c r="N35" s="73"/>
      <c r="O35" s="15"/>
    </row>
    <row r="36" spans="1:15" x14ac:dyDescent="0.25">
      <c r="A36" s="16">
        <v>18295</v>
      </c>
      <c r="B36" s="49">
        <v>2400</v>
      </c>
      <c r="C36" s="17" t="s">
        <v>101</v>
      </c>
      <c r="D36" s="13">
        <v>18336</v>
      </c>
      <c r="E36" s="70">
        <v>800</v>
      </c>
      <c r="F36" s="14" t="s">
        <v>29</v>
      </c>
      <c r="G36" s="9">
        <v>18391</v>
      </c>
      <c r="H36" s="77">
        <v>2400</v>
      </c>
      <c r="I36" s="10" t="s">
        <v>101</v>
      </c>
      <c r="J36" s="53"/>
      <c r="K36" s="79"/>
      <c r="L36" s="55" t="s">
        <v>151</v>
      </c>
      <c r="M36" s="75"/>
      <c r="N36" s="73"/>
      <c r="O36" s="15"/>
    </row>
    <row r="37" spans="1:15" x14ac:dyDescent="0.25">
      <c r="A37" s="16"/>
      <c r="B37" s="49"/>
      <c r="C37" s="17" t="s">
        <v>109</v>
      </c>
      <c r="D37" s="13"/>
      <c r="E37" s="70"/>
      <c r="F37" s="14" t="s">
        <v>15</v>
      </c>
      <c r="G37" s="9"/>
      <c r="H37" s="77"/>
      <c r="I37" s="10" t="s">
        <v>109</v>
      </c>
      <c r="J37" s="53">
        <v>18429</v>
      </c>
      <c r="K37" s="72">
        <v>400</v>
      </c>
      <c r="L37" s="51"/>
      <c r="M37" s="75"/>
      <c r="N37" s="73"/>
      <c r="O37" s="15"/>
    </row>
    <row r="38" spans="1:15" x14ac:dyDescent="0.25">
      <c r="A38" s="16">
        <v>18296</v>
      </c>
      <c r="B38" s="49">
        <v>400</v>
      </c>
      <c r="C38" s="17"/>
      <c r="D38" s="13">
        <v>18337</v>
      </c>
      <c r="E38" s="70">
        <v>800</v>
      </c>
      <c r="F38" s="14" t="s">
        <v>29</v>
      </c>
      <c r="G38" s="9">
        <v>18392</v>
      </c>
      <c r="H38" s="77">
        <v>200</v>
      </c>
      <c r="I38" s="10"/>
      <c r="J38" s="53">
        <v>18430</v>
      </c>
      <c r="K38" s="72">
        <v>400</v>
      </c>
      <c r="L38" s="54" t="s">
        <v>105</v>
      </c>
      <c r="M38" s="75"/>
      <c r="N38" s="73"/>
      <c r="O38" s="15"/>
    </row>
    <row r="39" spans="1:15" x14ac:dyDescent="0.25">
      <c r="A39" s="16">
        <v>18297</v>
      </c>
      <c r="B39" s="49">
        <v>400</v>
      </c>
      <c r="C39" s="17"/>
      <c r="D39" s="13"/>
      <c r="E39" s="70"/>
      <c r="F39" s="14" t="s">
        <v>15</v>
      </c>
      <c r="G39" s="9">
        <v>18393</v>
      </c>
      <c r="H39" s="77">
        <v>800</v>
      </c>
      <c r="I39" s="10" t="s">
        <v>17</v>
      </c>
      <c r="J39" s="53">
        <v>18431</v>
      </c>
      <c r="K39" s="72">
        <v>900</v>
      </c>
      <c r="L39" s="51" t="s">
        <v>56</v>
      </c>
      <c r="M39" s="75"/>
      <c r="N39" s="73"/>
      <c r="O39" s="15"/>
    </row>
    <row r="40" spans="1:15" x14ac:dyDescent="0.25">
      <c r="A40" s="16">
        <v>18298</v>
      </c>
      <c r="B40" s="49">
        <v>350</v>
      </c>
      <c r="C40" s="17"/>
      <c r="D40" s="13">
        <v>18338</v>
      </c>
      <c r="E40" s="70">
        <v>300</v>
      </c>
      <c r="F40" s="14"/>
      <c r="G40" s="9"/>
      <c r="H40" s="77"/>
      <c r="I40" s="10" t="s">
        <v>15</v>
      </c>
      <c r="J40" s="53"/>
      <c r="K40" s="72"/>
      <c r="L40" s="51" t="s">
        <v>16</v>
      </c>
      <c r="M40" s="75"/>
      <c r="N40" s="73"/>
      <c r="O40" s="15"/>
    </row>
    <row r="41" spans="1:15" x14ac:dyDescent="0.25">
      <c r="A41" s="16">
        <v>18299</v>
      </c>
      <c r="B41" s="49"/>
      <c r="C41" s="17" t="s">
        <v>59</v>
      </c>
      <c r="D41" s="13">
        <v>18339</v>
      </c>
      <c r="E41" s="70">
        <v>50</v>
      </c>
      <c r="F41" s="14" t="s">
        <v>75</v>
      </c>
      <c r="G41" s="9">
        <v>18394</v>
      </c>
      <c r="H41" s="77">
        <v>600</v>
      </c>
      <c r="I41" s="10" t="s">
        <v>139</v>
      </c>
      <c r="J41" s="53">
        <v>18432</v>
      </c>
      <c r="K41" s="72">
        <v>300</v>
      </c>
      <c r="L41" s="51"/>
      <c r="M41" s="75"/>
      <c r="N41" s="73"/>
      <c r="O41" s="15"/>
    </row>
    <row r="42" spans="1:15" x14ac:dyDescent="0.25">
      <c r="A42" s="16">
        <v>18300</v>
      </c>
      <c r="B42" s="49">
        <v>600</v>
      </c>
      <c r="C42" s="17" t="s">
        <v>110</v>
      </c>
      <c r="D42" s="13">
        <v>18340</v>
      </c>
      <c r="E42" s="70">
        <v>400</v>
      </c>
      <c r="F42" s="14" t="s">
        <v>29</v>
      </c>
      <c r="G42" s="9"/>
      <c r="H42" s="77"/>
      <c r="I42" s="10" t="s">
        <v>140</v>
      </c>
      <c r="J42" s="53">
        <v>18433</v>
      </c>
      <c r="K42" s="72">
        <v>400</v>
      </c>
      <c r="L42" s="51" t="s">
        <v>105</v>
      </c>
      <c r="M42" s="75"/>
      <c r="N42" s="73"/>
      <c r="O42" s="15"/>
    </row>
    <row r="43" spans="1:15" x14ac:dyDescent="0.25">
      <c r="A43" s="16">
        <v>18301</v>
      </c>
      <c r="B43" s="49">
        <v>150</v>
      </c>
      <c r="C43" s="17"/>
      <c r="D43" s="13"/>
      <c r="E43" s="70"/>
      <c r="F43" s="14" t="s">
        <v>14</v>
      </c>
      <c r="G43" s="9">
        <v>18395</v>
      </c>
      <c r="H43" s="77">
        <v>900</v>
      </c>
      <c r="I43" s="10" t="s">
        <v>56</v>
      </c>
      <c r="J43" s="53">
        <v>18434</v>
      </c>
      <c r="K43" s="72">
        <v>600</v>
      </c>
      <c r="L43" s="51" t="s">
        <v>29</v>
      </c>
      <c r="M43" s="75"/>
      <c r="N43" s="73"/>
      <c r="O43" s="15"/>
    </row>
    <row r="44" spans="1:15" x14ac:dyDescent="0.25">
      <c r="A44" s="16">
        <v>18302</v>
      </c>
      <c r="B44" s="49">
        <v>400</v>
      </c>
      <c r="C44" s="17"/>
      <c r="D44" s="13">
        <v>18341</v>
      </c>
      <c r="E44" s="70">
        <v>400</v>
      </c>
      <c r="F44" s="14"/>
      <c r="G44" s="9"/>
      <c r="H44" s="77"/>
      <c r="I44" s="10" t="s">
        <v>16</v>
      </c>
      <c r="J44" s="53"/>
      <c r="K44" s="72"/>
      <c r="L44" s="51" t="s">
        <v>16</v>
      </c>
      <c r="M44" s="75"/>
      <c r="N44" s="73"/>
      <c r="O44" s="15"/>
    </row>
    <row r="45" spans="1:15" x14ac:dyDescent="0.25">
      <c r="A45" s="16">
        <v>18303</v>
      </c>
      <c r="B45" s="49">
        <v>400</v>
      </c>
      <c r="C45" s="17"/>
      <c r="D45" s="13">
        <v>18342</v>
      </c>
      <c r="E45" s="70">
        <v>400</v>
      </c>
      <c r="F45" s="14"/>
      <c r="G45" s="9">
        <v>18396</v>
      </c>
      <c r="H45" s="77">
        <v>800</v>
      </c>
      <c r="I45" s="10" t="s">
        <v>29</v>
      </c>
      <c r="J45" s="53">
        <v>18435</v>
      </c>
      <c r="K45" s="72">
        <v>800</v>
      </c>
      <c r="L45" s="51" t="s">
        <v>29</v>
      </c>
      <c r="M45" s="75"/>
      <c r="N45" s="73"/>
      <c r="O45" s="15"/>
    </row>
    <row r="46" spans="1:15" x14ac:dyDescent="0.25">
      <c r="A46" s="16">
        <v>18304</v>
      </c>
      <c r="B46" s="49">
        <v>400</v>
      </c>
      <c r="C46" s="17" t="s">
        <v>92</v>
      </c>
      <c r="D46" s="13">
        <v>18343</v>
      </c>
      <c r="E46" s="70">
        <v>400</v>
      </c>
      <c r="F46" s="69"/>
      <c r="G46" s="9"/>
      <c r="H46" s="77"/>
      <c r="I46" s="10" t="s">
        <v>15</v>
      </c>
      <c r="J46" s="53"/>
      <c r="K46" s="72"/>
      <c r="L46" s="51" t="s">
        <v>15</v>
      </c>
      <c r="M46" s="75"/>
      <c r="N46" s="73"/>
      <c r="O46" s="15"/>
    </row>
    <row r="47" spans="1:15" x14ac:dyDescent="0.25">
      <c r="A47" s="16"/>
      <c r="B47" s="49"/>
      <c r="C47" s="17" t="s">
        <v>14</v>
      </c>
      <c r="D47" s="13">
        <v>18344</v>
      </c>
      <c r="E47" s="70">
        <v>200</v>
      </c>
      <c r="F47" s="14" t="s">
        <v>34</v>
      </c>
      <c r="G47" s="9">
        <v>18397</v>
      </c>
      <c r="H47" s="77">
        <v>300</v>
      </c>
      <c r="I47" s="10" t="s">
        <v>105</v>
      </c>
      <c r="J47" s="53">
        <v>18436</v>
      </c>
      <c r="K47" s="72">
        <v>400</v>
      </c>
      <c r="L47" s="51" t="s">
        <v>105</v>
      </c>
      <c r="M47" s="75"/>
      <c r="N47" s="73"/>
      <c r="O47" s="15"/>
    </row>
    <row r="48" spans="1:15" x14ac:dyDescent="0.25">
      <c r="A48" s="16">
        <v>18305</v>
      </c>
      <c r="B48" s="49">
        <v>400</v>
      </c>
      <c r="C48" s="17"/>
      <c r="D48" s="13">
        <v>18345</v>
      </c>
      <c r="E48" s="70">
        <v>400</v>
      </c>
      <c r="F48" s="14" t="s">
        <v>116</v>
      </c>
      <c r="G48" s="9">
        <v>18398</v>
      </c>
      <c r="H48" s="77">
        <v>200</v>
      </c>
      <c r="I48" s="10" t="s">
        <v>34</v>
      </c>
      <c r="J48" s="53">
        <v>18437</v>
      </c>
      <c r="K48" s="72">
        <v>350</v>
      </c>
      <c r="L48" s="51"/>
      <c r="M48" s="75"/>
      <c r="N48" s="73"/>
      <c r="O48" s="15"/>
    </row>
    <row r="49" spans="1:15" x14ac:dyDescent="0.25">
      <c r="A49" s="16">
        <v>18306</v>
      </c>
      <c r="B49" s="49">
        <v>400</v>
      </c>
      <c r="C49" s="17"/>
      <c r="D49" s="13">
        <v>18346</v>
      </c>
      <c r="E49" s="70">
        <v>820</v>
      </c>
      <c r="F49" s="14" t="s">
        <v>125</v>
      </c>
      <c r="G49" s="9">
        <v>18399</v>
      </c>
      <c r="H49" s="77">
        <v>800</v>
      </c>
      <c r="I49" s="10" t="s">
        <v>141</v>
      </c>
      <c r="J49" s="53">
        <v>18438</v>
      </c>
      <c r="K49" s="72">
        <v>400</v>
      </c>
      <c r="L49" s="54"/>
      <c r="M49" s="75"/>
      <c r="N49" s="73"/>
      <c r="O49" s="15"/>
    </row>
    <row r="50" spans="1:15" x14ac:dyDescent="0.25">
      <c r="A50" s="16">
        <v>18307</v>
      </c>
      <c r="B50" s="49">
        <v>400</v>
      </c>
      <c r="C50" s="17" t="s">
        <v>105</v>
      </c>
      <c r="D50" s="13"/>
      <c r="E50" s="70"/>
      <c r="F50" s="14" t="s">
        <v>126</v>
      </c>
      <c r="G50" s="9"/>
      <c r="H50" s="77"/>
      <c r="I50" s="10" t="s">
        <v>15</v>
      </c>
      <c r="J50" s="53">
        <v>18439</v>
      </c>
      <c r="K50" s="72">
        <v>400</v>
      </c>
      <c r="L50" s="51"/>
      <c r="M50" s="75"/>
      <c r="N50" s="73"/>
      <c r="O50" s="15"/>
    </row>
    <row r="51" spans="1:15" x14ac:dyDescent="0.25">
      <c r="A51" s="16">
        <v>18308</v>
      </c>
      <c r="B51" s="49"/>
      <c r="C51" s="17" t="s">
        <v>59</v>
      </c>
      <c r="D51" s="13">
        <v>18347</v>
      </c>
      <c r="E51" s="70">
        <v>400</v>
      </c>
      <c r="F51" s="14"/>
      <c r="G51" s="9">
        <v>18400</v>
      </c>
      <c r="H51" s="77">
        <v>400</v>
      </c>
      <c r="I51" s="10" t="s">
        <v>29</v>
      </c>
      <c r="J51" s="53">
        <v>18440</v>
      </c>
      <c r="K51" s="72">
        <v>400</v>
      </c>
      <c r="L51" s="51"/>
      <c r="M51" s="75"/>
      <c r="N51" s="73"/>
      <c r="O51" s="15"/>
    </row>
    <row r="52" spans="1:15" x14ac:dyDescent="0.25">
      <c r="A52" s="16">
        <v>18309</v>
      </c>
      <c r="B52" s="49">
        <v>400</v>
      </c>
      <c r="C52" s="17" t="s">
        <v>105</v>
      </c>
      <c r="D52" s="13">
        <v>18348</v>
      </c>
      <c r="E52" s="70">
        <v>410</v>
      </c>
      <c r="F52" s="14" t="s">
        <v>127</v>
      </c>
      <c r="G52" s="9"/>
      <c r="H52" s="77"/>
      <c r="I52" s="10" t="s">
        <v>14</v>
      </c>
      <c r="J52" s="50">
        <v>18441</v>
      </c>
      <c r="K52" s="79">
        <v>50</v>
      </c>
      <c r="L52" s="51" t="s">
        <v>75</v>
      </c>
      <c r="M52" s="75"/>
      <c r="N52" s="73"/>
      <c r="O52" s="15"/>
    </row>
    <row r="53" spans="1:15" x14ac:dyDescent="0.25">
      <c r="A53" s="16">
        <v>18310</v>
      </c>
      <c r="B53" s="49">
        <v>400</v>
      </c>
      <c r="C53" s="17"/>
      <c r="D53" s="13"/>
      <c r="E53" s="70"/>
      <c r="F53" s="14" t="s">
        <v>128</v>
      </c>
      <c r="G53" s="9">
        <v>18401</v>
      </c>
      <c r="H53" s="77">
        <v>400</v>
      </c>
      <c r="I53" s="10" t="s">
        <v>29</v>
      </c>
      <c r="J53" s="50">
        <v>18442</v>
      </c>
      <c r="K53" s="79">
        <v>800</v>
      </c>
      <c r="L53" s="51" t="s">
        <v>29</v>
      </c>
      <c r="M53" s="75"/>
      <c r="N53" s="73"/>
      <c r="O53" s="15"/>
    </row>
    <row r="54" spans="1:15" x14ac:dyDescent="0.25">
      <c r="A54" s="16">
        <v>18311</v>
      </c>
      <c r="B54" s="49">
        <v>1000</v>
      </c>
      <c r="C54" s="17" t="s">
        <v>29</v>
      </c>
      <c r="D54" s="13">
        <v>18349</v>
      </c>
      <c r="E54" s="70">
        <v>400</v>
      </c>
      <c r="F54" s="14"/>
      <c r="G54" s="9"/>
      <c r="H54" s="77"/>
      <c r="I54" s="10" t="s">
        <v>14</v>
      </c>
      <c r="J54" s="50"/>
      <c r="K54" s="79"/>
      <c r="L54" s="51" t="s">
        <v>15</v>
      </c>
      <c r="M54" s="75"/>
      <c r="N54" s="73"/>
      <c r="O54" s="15"/>
    </row>
    <row r="55" spans="1:15" x14ac:dyDescent="0.25">
      <c r="A55" s="16"/>
      <c r="B55" s="49"/>
      <c r="C55" s="17" t="s">
        <v>111</v>
      </c>
      <c r="D55" s="13">
        <v>18350</v>
      </c>
      <c r="E55" s="70">
        <v>60</v>
      </c>
      <c r="F55" s="23" t="s">
        <v>129</v>
      </c>
      <c r="G55" s="9">
        <v>18402</v>
      </c>
      <c r="H55" s="77">
        <v>600</v>
      </c>
      <c r="I55" s="10" t="s">
        <v>29</v>
      </c>
      <c r="J55" s="50">
        <v>18443</v>
      </c>
      <c r="K55" s="79">
        <v>20</v>
      </c>
      <c r="L55" s="51" t="s">
        <v>155</v>
      </c>
      <c r="M55" s="75"/>
      <c r="N55" s="73"/>
      <c r="O55" s="15"/>
    </row>
    <row r="56" spans="1:15" x14ac:dyDescent="0.25">
      <c r="A56" s="16">
        <v>18312</v>
      </c>
      <c r="B56" s="49">
        <v>500</v>
      </c>
      <c r="C56" s="17" t="s">
        <v>112</v>
      </c>
      <c r="D56" s="13">
        <v>18351</v>
      </c>
      <c r="E56" s="70">
        <v>700</v>
      </c>
      <c r="F56" s="23" t="s">
        <v>29</v>
      </c>
      <c r="G56" s="9"/>
      <c r="H56" s="77"/>
      <c r="I56" s="10" t="s">
        <v>16</v>
      </c>
      <c r="J56" s="50">
        <v>18444</v>
      </c>
      <c r="K56" s="79">
        <v>400</v>
      </c>
      <c r="L56" s="88" t="s">
        <v>132</v>
      </c>
      <c r="M56" s="75"/>
      <c r="N56" s="73"/>
      <c r="O56" s="15"/>
    </row>
    <row r="57" spans="1:15" x14ac:dyDescent="0.25">
      <c r="A57" s="16"/>
      <c r="B57" s="49"/>
      <c r="C57" s="17" t="s">
        <v>113</v>
      </c>
      <c r="D57" s="13"/>
      <c r="E57" s="70"/>
      <c r="F57" s="69" t="s">
        <v>18</v>
      </c>
      <c r="G57" s="9">
        <v>18403</v>
      </c>
      <c r="H57" s="77"/>
      <c r="I57" s="10" t="s">
        <v>59</v>
      </c>
      <c r="J57" s="50">
        <v>18445</v>
      </c>
      <c r="K57" s="79">
        <v>800</v>
      </c>
      <c r="L57" s="51" t="s">
        <v>29</v>
      </c>
      <c r="M57" s="75"/>
      <c r="N57" s="73"/>
      <c r="O57" s="15"/>
    </row>
    <row r="58" spans="1:15" x14ac:dyDescent="0.25">
      <c r="A58" s="16">
        <v>18313</v>
      </c>
      <c r="B58" s="49">
        <v>1200</v>
      </c>
      <c r="C58" s="17" t="s">
        <v>56</v>
      </c>
      <c r="D58" s="13">
        <v>18352</v>
      </c>
      <c r="E58" s="70">
        <v>400</v>
      </c>
      <c r="F58" s="14"/>
      <c r="G58" s="9">
        <v>18404</v>
      </c>
      <c r="H58" s="77">
        <v>80</v>
      </c>
      <c r="I58" s="10" t="s">
        <v>88</v>
      </c>
      <c r="J58" s="53"/>
      <c r="K58" s="72"/>
      <c r="L58" s="54" t="s">
        <v>15</v>
      </c>
      <c r="M58" s="75"/>
      <c r="N58" s="73"/>
      <c r="O58" s="15"/>
    </row>
    <row r="59" spans="1:15" x14ac:dyDescent="0.25">
      <c r="A59" s="16"/>
      <c r="B59" s="49"/>
      <c r="C59" s="17" t="s">
        <v>15</v>
      </c>
      <c r="D59" s="13">
        <v>18353</v>
      </c>
      <c r="E59" s="70">
        <v>300</v>
      </c>
      <c r="F59" s="23"/>
      <c r="G59" s="9">
        <v>18405</v>
      </c>
      <c r="H59" s="77">
        <v>200</v>
      </c>
      <c r="I59" s="10" t="s">
        <v>34</v>
      </c>
      <c r="J59" s="53">
        <v>18446</v>
      </c>
      <c r="K59" s="72">
        <v>800</v>
      </c>
      <c r="L59" s="54" t="s">
        <v>48</v>
      </c>
      <c r="M59" s="75"/>
      <c r="N59" s="73"/>
      <c r="O59" s="15"/>
    </row>
    <row r="60" spans="1:15" x14ac:dyDescent="0.25">
      <c r="A60" s="16">
        <v>18314</v>
      </c>
      <c r="B60" s="49">
        <v>400</v>
      </c>
      <c r="C60" s="17"/>
      <c r="D60" s="13">
        <v>18354</v>
      </c>
      <c r="E60" s="70">
        <v>600</v>
      </c>
      <c r="F60" s="14" t="s">
        <v>56</v>
      </c>
      <c r="G60" s="9">
        <v>18406</v>
      </c>
      <c r="H60" s="77">
        <v>400</v>
      </c>
      <c r="I60" s="10"/>
      <c r="J60" s="53"/>
      <c r="K60" s="79"/>
      <c r="L60" s="51" t="s">
        <v>15</v>
      </c>
      <c r="M60" s="75"/>
      <c r="N60" s="73"/>
      <c r="O60" s="15"/>
    </row>
    <row r="61" spans="1:15" x14ac:dyDescent="0.25">
      <c r="A61" s="16">
        <v>18315</v>
      </c>
      <c r="B61" s="49">
        <v>240</v>
      </c>
      <c r="C61" s="17" t="s">
        <v>114</v>
      </c>
      <c r="D61" s="13"/>
      <c r="E61" s="70"/>
      <c r="F61" s="14" t="s">
        <v>14</v>
      </c>
      <c r="G61" s="9">
        <v>18407</v>
      </c>
      <c r="H61" s="77">
        <v>200</v>
      </c>
      <c r="I61" s="10"/>
      <c r="J61" s="53"/>
      <c r="K61" s="72"/>
      <c r="L61" s="51"/>
      <c r="M61" s="75"/>
      <c r="N61" s="73"/>
      <c r="O61" s="15"/>
    </row>
    <row r="62" spans="1:15" x14ac:dyDescent="0.25">
      <c r="A62" s="16">
        <v>18316</v>
      </c>
      <c r="B62" s="49">
        <v>300</v>
      </c>
      <c r="C62" s="21"/>
      <c r="D62" s="13">
        <v>18355</v>
      </c>
      <c r="E62" s="70">
        <v>400</v>
      </c>
      <c r="F62" s="14"/>
      <c r="G62" s="9">
        <v>18408</v>
      </c>
      <c r="H62" s="77">
        <v>400</v>
      </c>
      <c r="I62" s="10"/>
      <c r="J62" s="53"/>
      <c r="K62" s="72"/>
      <c r="L62" s="54"/>
      <c r="M62" s="75"/>
      <c r="N62" s="73"/>
      <c r="O62" s="15"/>
    </row>
    <row r="63" spans="1:15" x14ac:dyDescent="0.25">
      <c r="A63" s="16"/>
      <c r="B63" s="49"/>
      <c r="C63" s="17"/>
      <c r="D63" s="13">
        <v>18356</v>
      </c>
      <c r="E63" s="70">
        <v>450</v>
      </c>
      <c r="F63" s="14" t="s">
        <v>130</v>
      </c>
      <c r="G63" s="9">
        <v>18409</v>
      </c>
      <c r="H63" s="77">
        <v>150</v>
      </c>
      <c r="I63" s="10" t="s">
        <v>142</v>
      </c>
      <c r="J63" s="53"/>
      <c r="K63" s="72"/>
      <c r="L63" s="54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 t="s">
        <v>131</v>
      </c>
      <c r="G64" s="9">
        <v>18410</v>
      </c>
      <c r="H64" s="77">
        <v>1200</v>
      </c>
      <c r="I64" s="10" t="s">
        <v>143</v>
      </c>
      <c r="J64" s="53"/>
      <c r="K64" s="72"/>
      <c r="L64" s="54"/>
      <c r="M64" s="75"/>
      <c r="N64" s="73"/>
      <c r="O64" s="15"/>
    </row>
    <row r="65" spans="1:15" x14ac:dyDescent="0.25">
      <c r="A65" s="16"/>
      <c r="B65" s="49"/>
      <c r="C65" s="17"/>
      <c r="D65" s="13">
        <v>18357</v>
      </c>
      <c r="E65" s="70">
        <v>200</v>
      </c>
      <c r="F65" s="14" t="s">
        <v>132</v>
      </c>
      <c r="G65" s="9"/>
      <c r="H65" s="77"/>
      <c r="I65" s="10" t="s">
        <v>15</v>
      </c>
      <c r="J65" s="53"/>
      <c r="K65" s="72"/>
      <c r="L65" s="54"/>
      <c r="M65" s="75"/>
      <c r="N65" s="73"/>
      <c r="O65" s="15"/>
    </row>
    <row r="66" spans="1:15" x14ac:dyDescent="0.25">
      <c r="A66" s="16"/>
      <c r="B66" s="49"/>
      <c r="C66" s="17"/>
      <c r="D66" s="13">
        <v>18358</v>
      </c>
      <c r="E66" s="70">
        <v>400</v>
      </c>
      <c r="F66" s="14"/>
      <c r="G66" s="9">
        <v>18411</v>
      </c>
      <c r="H66" s="77">
        <v>400</v>
      </c>
      <c r="I66" s="10" t="s">
        <v>29</v>
      </c>
      <c r="J66" s="53"/>
      <c r="K66" s="72"/>
      <c r="L66" s="54"/>
      <c r="M66" s="75"/>
      <c r="N66" s="73"/>
      <c r="O66" s="15"/>
    </row>
    <row r="67" spans="1:15" x14ac:dyDescent="0.25">
      <c r="A67" s="16"/>
      <c r="B67" s="49"/>
      <c r="C67" s="17"/>
      <c r="D67" s="13">
        <v>18359</v>
      </c>
      <c r="E67" s="70">
        <v>400</v>
      </c>
      <c r="F67" s="14"/>
      <c r="G67" s="9"/>
      <c r="H67" s="77"/>
      <c r="I67" s="10" t="s">
        <v>14</v>
      </c>
      <c r="J67" s="53"/>
      <c r="K67" s="72"/>
      <c r="L67" s="54"/>
      <c r="M67" s="75"/>
      <c r="N67" s="73"/>
      <c r="O67" s="15"/>
    </row>
    <row r="68" spans="1:15" x14ac:dyDescent="0.25">
      <c r="A68" s="16"/>
      <c r="B68" s="49"/>
      <c r="C68" s="87"/>
      <c r="D68" s="13">
        <v>18360</v>
      </c>
      <c r="E68" s="70">
        <v>800</v>
      </c>
      <c r="F68" s="14" t="s">
        <v>30</v>
      </c>
      <c r="G68" s="9"/>
      <c r="H68" s="77"/>
      <c r="I68" s="10"/>
      <c r="J68" s="53"/>
      <c r="K68" s="72"/>
      <c r="L68" s="54"/>
      <c r="M68" s="75"/>
      <c r="N68" s="73"/>
      <c r="O68" s="15"/>
    </row>
    <row r="69" spans="1:15" x14ac:dyDescent="0.25">
      <c r="A69" s="16"/>
      <c r="B69" s="49"/>
      <c r="C69" s="17"/>
      <c r="D69" s="13"/>
      <c r="E69" s="70"/>
      <c r="F69" s="14" t="s">
        <v>15</v>
      </c>
      <c r="G69" s="9"/>
      <c r="H69" s="77"/>
      <c r="I69" s="10"/>
      <c r="J69" s="53"/>
      <c r="K69" s="72"/>
      <c r="L69" s="54"/>
      <c r="M69" s="75"/>
      <c r="N69" s="73"/>
      <c r="O69" s="15"/>
    </row>
    <row r="70" spans="1:15" x14ac:dyDescent="0.25">
      <c r="A70" s="16"/>
      <c r="B70" s="49"/>
      <c r="C70" s="17"/>
      <c r="D70" s="13">
        <v>18361</v>
      </c>
      <c r="E70" s="70">
        <v>200</v>
      </c>
      <c r="F70" s="14"/>
      <c r="G70" s="9"/>
      <c r="H70" s="77"/>
      <c r="I70" s="10"/>
      <c r="J70" s="53"/>
      <c r="K70" s="72"/>
      <c r="L70" s="54"/>
      <c r="M70" s="75"/>
      <c r="N70" s="73"/>
      <c r="O70" s="15"/>
    </row>
    <row r="71" spans="1:15" x14ac:dyDescent="0.25">
      <c r="A71" s="16"/>
      <c r="B71" s="49"/>
      <c r="C71" s="22"/>
      <c r="D71" s="13">
        <v>18362</v>
      </c>
      <c r="E71" s="70">
        <v>800</v>
      </c>
      <c r="F71" s="14" t="s">
        <v>30</v>
      </c>
      <c r="G71" s="9"/>
      <c r="H71" s="77"/>
      <c r="I71" s="10"/>
      <c r="J71" s="53"/>
      <c r="K71" s="72"/>
      <c r="L71" s="54"/>
      <c r="M71" s="75"/>
      <c r="N71" s="73"/>
      <c r="O71" s="15"/>
    </row>
    <row r="72" spans="1:15" x14ac:dyDescent="0.25">
      <c r="A72" s="16"/>
      <c r="B72" s="49"/>
      <c r="C72" s="17"/>
      <c r="D72" s="13"/>
      <c r="E72" s="70"/>
      <c r="F72" s="14" t="s">
        <v>15</v>
      </c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/>
      <c r="B73" s="49"/>
      <c r="C73" s="17"/>
      <c r="D73" s="13">
        <v>18363</v>
      </c>
      <c r="E73" s="70">
        <v>400</v>
      </c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/>
      <c r="B74" s="49"/>
      <c r="C74" s="17"/>
      <c r="D74" s="13">
        <v>18364</v>
      </c>
      <c r="E74" s="70">
        <v>400</v>
      </c>
      <c r="F74" s="14" t="s">
        <v>133</v>
      </c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/>
      <c r="B75" s="49"/>
      <c r="C75" s="17"/>
      <c r="D75" s="13"/>
      <c r="E75" s="70"/>
      <c r="F75" s="14" t="s">
        <v>14</v>
      </c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/>
      <c r="B76" s="49"/>
      <c r="C76" s="17"/>
      <c r="D76" s="13">
        <v>18365</v>
      </c>
      <c r="E76" s="70">
        <v>300</v>
      </c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/>
      <c r="D77" s="13">
        <v>18366</v>
      </c>
      <c r="E77" s="70">
        <v>300</v>
      </c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/>
      <c r="B78" s="49"/>
      <c r="C78" s="17"/>
      <c r="D78" s="13">
        <v>18367</v>
      </c>
      <c r="E78" s="70">
        <v>600</v>
      </c>
      <c r="F78" s="14" t="s">
        <v>29</v>
      </c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 t="s">
        <v>16</v>
      </c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/>
      <c r="B80" s="49"/>
      <c r="C80" s="17"/>
      <c r="D80" s="13">
        <v>18368</v>
      </c>
      <c r="E80" s="70">
        <v>300</v>
      </c>
      <c r="F80" s="14" t="s">
        <v>116</v>
      </c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/>
      <c r="B81" s="49"/>
      <c r="C81" s="17"/>
      <c r="D81" s="13">
        <v>18369</v>
      </c>
      <c r="E81" s="70">
        <v>300</v>
      </c>
      <c r="F81" s="14" t="s">
        <v>116</v>
      </c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/>
      <c r="D82" s="13">
        <v>18370</v>
      </c>
      <c r="E82" s="70">
        <v>300</v>
      </c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7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  <row r="581" spans="1:15" x14ac:dyDescent="0.25">
      <c r="A581" s="26"/>
      <c r="B581" s="26"/>
      <c r="C581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5"/>
  <sheetViews>
    <sheetView topLeftCell="A5" zoomScaleNormal="100" workbookViewId="0">
      <pane ySplit="3" topLeftCell="A31" activePane="bottomLeft" state="frozen"/>
      <selection activeCell="A5" sqref="A5"/>
      <selection pane="bottomLeft" activeCell="L47" sqref="L4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5.1406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2" t="s">
        <v>6</v>
      </c>
      <c r="K5" s="132"/>
      <c r="L5" s="132"/>
      <c r="M5" s="124" t="s">
        <v>12</v>
      </c>
      <c r="N5" s="134"/>
      <c r="O5" s="135"/>
      <c r="Q5" s="133" t="s">
        <v>13</v>
      </c>
      <c r="R5" s="133"/>
    </row>
    <row r="6" spans="1:18" x14ac:dyDescent="0.25">
      <c r="A6" s="8">
        <f>SUBTOTAL(3,A8:A120)</f>
        <v>57</v>
      </c>
      <c r="B6" s="8">
        <f>SUBTOTAL(9,B8:B141)</f>
        <v>27760</v>
      </c>
      <c r="C6" s="35">
        <v>43527</v>
      </c>
      <c r="D6" s="8">
        <f>SUBTOTAL(3,D9:D121)</f>
        <v>56</v>
      </c>
      <c r="E6" s="1">
        <f>SUBTOTAL(9,E8:E121)</f>
        <v>30950</v>
      </c>
      <c r="F6" s="38">
        <v>43534</v>
      </c>
      <c r="G6" s="8">
        <f>SUBTOTAL(3,G8:G120)</f>
        <v>29</v>
      </c>
      <c r="H6" s="1">
        <f>SUBTOTAL(9,H8:H120)</f>
        <v>17190</v>
      </c>
      <c r="I6" s="39">
        <v>43541</v>
      </c>
      <c r="J6" s="8">
        <f>SUBTOTAL(3,J8:J110)</f>
        <v>27</v>
      </c>
      <c r="K6" s="1">
        <f>SUBTOTAL(9,K8:K110)</f>
        <v>18100</v>
      </c>
      <c r="L6" s="83">
        <v>43183</v>
      </c>
      <c r="M6" s="1">
        <f>SUBTOTAL(3,M8:M120)</f>
        <v>0</v>
      </c>
      <c r="N6" s="1">
        <f>SUBTOTAL(9,N8:N120)</f>
        <v>0</v>
      </c>
      <c r="O6" s="85">
        <v>43555</v>
      </c>
      <c r="Q6" s="30">
        <f>+A6+D6+G6+J6+M6</f>
        <v>169</v>
      </c>
      <c r="R6" s="34">
        <f>+B6+E6+H6+K6+N6</f>
        <v>94000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8" t="s">
        <v>1</v>
      </c>
      <c r="K7" s="78" t="s">
        <v>3</v>
      </c>
      <c r="L7" s="78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18449</v>
      </c>
      <c r="B8" s="49">
        <v>2200</v>
      </c>
      <c r="C8" s="17" t="s">
        <v>156</v>
      </c>
      <c r="D8" s="114">
        <v>18506</v>
      </c>
      <c r="E8" s="70">
        <v>400</v>
      </c>
      <c r="F8" s="123" t="s">
        <v>168</v>
      </c>
      <c r="G8" s="11">
        <v>18561</v>
      </c>
      <c r="H8" s="67">
        <v>800</v>
      </c>
      <c r="I8" s="12" t="s">
        <v>29</v>
      </c>
      <c r="J8" s="80">
        <v>18627</v>
      </c>
      <c r="K8" s="81"/>
      <c r="L8" s="82" t="s">
        <v>183</v>
      </c>
      <c r="M8" s="75"/>
      <c r="N8" s="73"/>
      <c r="O8" s="15"/>
      <c r="Q8" s="32"/>
      <c r="R8" s="32"/>
    </row>
    <row r="9" spans="1:18" x14ac:dyDescent="0.25">
      <c r="A9" s="16"/>
      <c r="B9" s="49"/>
      <c r="C9" s="17" t="s">
        <v>14</v>
      </c>
      <c r="D9" s="13"/>
      <c r="E9" s="70"/>
      <c r="F9" s="122" t="s">
        <v>14</v>
      </c>
      <c r="G9" s="11"/>
      <c r="H9" s="67"/>
      <c r="I9" s="12" t="s">
        <v>15</v>
      </c>
      <c r="J9" s="53">
        <v>18628</v>
      </c>
      <c r="K9" s="72">
        <v>2150</v>
      </c>
      <c r="L9" s="54" t="s">
        <v>184</v>
      </c>
      <c r="M9" s="75"/>
      <c r="N9" s="73"/>
      <c r="O9" s="15"/>
    </row>
    <row r="10" spans="1:18" x14ac:dyDescent="0.25">
      <c r="A10" s="16">
        <v>18450</v>
      </c>
      <c r="B10" s="49">
        <v>600</v>
      </c>
      <c r="C10" s="17" t="s">
        <v>56</v>
      </c>
      <c r="D10" s="13">
        <v>18507</v>
      </c>
      <c r="E10" s="70">
        <v>600</v>
      </c>
      <c r="F10" s="14" t="s">
        <v>97</v>
      </c>
      <c r="G10" s="11">
        <v>18562</v>
      </c>
      <c r="H10" s="67">
        <v>2400</v>
      </c>
      <c r="I10" s="12" t="s">
        <v>32</v>
      </c>
      <c r="J10" s="53"/>
      <c r="K10" s="72"/>
      <c r="L10" s="54" t="s">
        <v>185</v>
      </c>
      <c r="M10" s="75"/>
      <c r="N10" s="73"/>
      <c r="O10" s="15"/>
    </row>
    <row r="11" spans="1:18" x14ac:dyDescent="0.25">
      <c r="A11" s="16"/>
      <c r="B11" s="49"/>
      <c r="C11" s="17" t="s">
        <v>14</v>
      </c>
      <c r="D11" s="13">
        <v>18508</v>
      </c>
      <c r="E11" s="70">
        <v>450</v>
      </c>
      <c r="F11" s="14" t="s">
        <v>120</v>
      </c>
      <c r="G11" s="11"/>
      <c r="H11" s="67"/>
      <c r="I11" s="12" t="s">
        <v>14</v>
      </c>
      <c r="J11" s="53">
        <v>18629</v>
      </c>
      <c r="K11" s="72">
        <v>400</v>
      </c>
      <c r="L11" s="54"/>
      <c r="M11" s="75"/>
      <c r="N11" s="73"/>
      <c r="O11" s="15"/>
    </row>
    <row r="12" spans="1:18" x14ac:dyDescent="0.25">
      <c r="A12" s="16">
        <v>18451</v>
      </c>
      <c r="B12" s="49">
        <v>400</v>
      </c>
      <c r="C12" s="17"/>
      <c r="D12" s="13"/>
      <c r="E12" s="70"/>
      <c r="F12" s="103" t="s">
        <v>57</v>
      </c>
      <c r="G12" s="11">
        <v>18563</v>
      </c>
      <c r="H12" s="67">
        <v>20</v>
      </c>
      <c r="I12" s="12" t="s">
        <v>167</v>
      </c>
      <c r="J12" s="53">
        <v>18630</v>
      </c>
      <c r="K12" s="72">
        <v>400</v>
      </c>
      <c r="L12" s="54" t="s">
        <v>162</v>
      </c>
      <c r="M12" s="75"/>
      <c r="N12" s="73"/>
      <c r="O12" s="15"/>
    </row>
    <row r="13" spans="1:18" x14ac:dyDescent="0.25">
      <c r="A13" s="16">
        <v>18452</v>
      </c>
      <c r="B13" s="49">
        <v>200</v>
      </c>
      <c r="C13" s="17" t="s">
        <v>105</v>
      </c>
      <c r="D13" s="13">
        <v>18508</v>
      </c>
      <c r="E13" s="70">
        <v>450</v>
      </c>
      <c r="F13" s="14" t="s">
        <v>120</v>
      </c>
      <c r="G13" s="11">
        <v>18564</v>
      </c>
      <c r="H13" s="67">
        <v>250</v>
      </c>
      <c r="I13" s="12" t="s">
        <v>97</v>
      </c>
      <c r="J13" s="53">
        <v>18631</v>
      </c>
      <c r="K13" s="72">
        <v>400</v>
      </c>
      <c r="L13" s="54"/>
      <c r="M13" s="75"/>
      <c r="N13" s="73"/>
      <c r="O13" s="15"/>
    </row>
    <row r="14" spans="1:18" x14ac:dyDescent="0.25">
      <c r="A14" s="16">
        <v>18453</v>
      </c>
      <c r="B14" s="49">
        <v>300</v>
      </c>
      <c r="C14" s="17" t="s">
        <v>97</v>
      </c>
      <c r="D14" s="13"/>
      <c r="E14" s="70"/>
      <c r="F14" s="14" t="s">
        <v>57</v>
      </c>
      <c r="G14" s="11">
        <v>18565</v>
      </c>
      <c r="H14" s="67">
        <v>600</v>
      </c>
      <c r="I14" s="12" t="s">
        <v>48</v>
      </c>
      <c r="J14" s="53">
        <v>18632</v>
      </c>
      <c r="K14" s="72">
        <v>800</v>
      </c>
      <c r="L14" s="54" t="s">
        <v>186</v>
      </c>
      <c r="M14" s="75"/>
      <c r="N14" s="73"/>
      <c r="O14" s="31"/>
    </row>
    <row r="15" spans="1:18" x14ac:dyDescent="0.25">
      <c r="A15" s="16">
        <v>18454</v>
      </c>
      <c r="B15" s="49">
        <v>400</v>
      </c>
      <c r="C15" s="17"/>
      <c r="D15" s="13">
        <v>18508</v>
      </c>
      <c r="E15" s="70">
        <v>450</v>
      </c>
      <c r="F15" s="14" t="s">
        <v>120</v>
      </c>
      <c r="G15" s="11"/>
      <c r="H15" s="67"/>
      <c r="I15" s="12" t="s">
        <v>16</v>
      </c>
      <c r="J15" s="53"/>
      <c r="K15" s="72"/>
      <c r="L15" s="54" t="s">
        <v>138</v>
      </c>
      <c r="M15" s="75"/>
      <c r="N15" s="73"/>
      <c r="O15" s="15"/>
    </row>
    <row r="16" spans="1:18" x14ac:dyDescent="0.25">
      <c r="A16" s="16">
        <v>18455</v>
      </c>
      <c r="B16" s="49">
        <v>400</v>
      </c>
      <c r="C16" s="17" t="s">
        <v>48</v>
      </c>
      <c r="D16" s="13"/>
      <c r="E16" s="70"/>
      <c r="F16" s="95" t="s">
        <v>57</v>
      </c>
      <c r="G16" s="11">
        <v>18566</v>
      </c>
      <c r="H16" s="67">
        <v>50</v>
      </c>
      <c r="I16" s="12" t="s">
        <v>20</v>
      </c>
      <c r="J16" s="53">
        <v>18633</v>
      </c>
      <c r="K16" s="72">
        <v>300</v>
      </c>
      <c r="L16" s="54" t="s">
        <v>162</v>
      </c>
      <c r="M16" s="75"/>
      <c r="N16" s="73"/>
      <c r="O16" s="15"/>
    </row>
    <row r="17" spans="1:15" x14ac:dyDescent="0.25">
      <c r="A17" s="16"/>
      <c r="B17" s="49"/>
      <c r="C17" s="17" t="s">
        <v>14</v>
      </c>
      <c r="D17" s="13">
        <v>18509</v>
      </c>
      <c r="E17" s="70">
        <v>300</v>
      </c>
      <c r="F17" s="14"/>
      <c r="G17" s="11">
        <v>18567</v>
      </c>
      <c r="H17" s="67">
        <v>400</v>
      </c>
      <c r="I17" s="12" t="s">
        <v>29</v>
      </c>
      <c r="J17" s="53">
        <v>18634</v>
      </c>
      <c r="K17" s="72">
        <v>900</v>
      </c>
      <c r="L17" s="54" t="s">
        <v>187</v>
      </c>
      <c r="M17" s="75"/>
      <c r="N17" s="73"/>
      <c r="O17" s="15"/>
    </row>
    <row r="18" spans="1:15" x14ac:dyDescent="0.25">
      <c r="A18" s="16">
        <v>18456</v>
      </c>
      <c r="B18" s="49">
        <v>200</v>
      </c>
      <c r="C18" s="17" t="s">
        <v>105</v>
      </c>
      <c r="D18" s="13">
        <v>18510</v>
      </c>
      <c r="E18" s="70">
        <v>1200</v>
      </c>
      <c r="F18" s="14" t="s">
        <v>169</v>
      </c>
      <c r="G18" s="11"/>
      <c r="H18" s="67"/>
      <c r="I18" s="12" t="s">
        <v>14</v>
      </c>
      <c r="J18" s="53"/>
      <c r="K18" s="72"/>
      <c r="L18" s="54" t="s">
        <v>16</v>
      </c>
      <c r="M18" s="75"/>
      <c r="N18" s="73"/>
      <c r="O18" s="15"/>
    </row>
    <row r="19" spans="1:15" x14ac:dyDescent="0.25">
      <c r="A19" s="16">
        <v>18457</v>
      </c>
      <c r="B19" s="49">
        <v>400</v>
      </c>
      <c r="C19" s="17" t="s">
        <v>48</v>
      </c>
      <c r="D19" s="13"/>
      <c r="E19" s="70"/>
      <c r="F19" s="14" t="s">
        <v>170</v>
      </c>
      <c r="G19" s="11">
        <v>18568</v>
      </c>
      <c r="H19" s="67">
        <v>1600</v>
      </c>
      <c r="I19" s="12" t="s">
        <v>62</v>
      </c>
      <c r="J19" s="53">
        <v>18635</v>
      </c>
      <c r="K19" s="72">
        <v>300</v>
      </c>
      <c r="L19" s="54" t="s">
        <v>162</v>
      </c>
      <c r="M19" s="75"/>
      <c r="N19" s="73"/>
      <c r="O19" s="15"/>
    </row>
    <row r="20" spans="1:15" x14ac:dyDescent="0.25">
      <c r="A20" s="16"/>
      <c r="B20" s="49"/>
      <c r="C20" s="17" t="s">
        <v>14</v>
      </c>
      <c r="D20" s="13">
        <v>18511</v>
      </c>
      <c r="E20" s="70">
        <v>400</v>
      </c>
      <c r="F20" s="14" t="s">
        <v>171</v>
      </c>
      <c r="G20" s="11"/>
      <c r="H20" s="67"/>
      <c r="I20" s="12" t="s">
        <v>15</v>
      </c>
      <c r="J20" s="53">
        <v>18636</v>
      </c>
      <c r="K20" s="72">
        <v>1200</v>
      </c>
      <c r="L20" s="54" t="s">
        <v>187</v>
      </c>
      <c r="M20" s="75"/>
      <c r="N20" s="73"/>
      <c r="O20" s="15"/>
    </row>
    <row r="21" spans="1:15" x14ac:dyDescent="0.25">
      <c r="A21" s="16">
        <v>18458</v>
      </c>
      <c r="B21" s="49">
        <v>400</v>
      </c>
      <c r="C21" s="17"/>
      <c r="D21" s="13">
        <v>18512</v>
      </c>
      <c r="E21" s="70">
        <v>1200</v>
      </c>
      <c r="F21" s="14" t="s">
        <v>56</v>
      </c>
      <c r="G21" s="11">
        <v>18569</v>
      </c>
      <c r="H21" s="67">
        <v>400</v>
      </c>
      <c r="I21" s="12"/>
      <c r="J21" s="53"/>
      <c r="K21" s="72"/>
      <c r="L21" s="54" t="s">
        <v>15</v>
      </c>
      <c r="M21" s="75"/>
      <c r="N21" s="73"/>
      <c r="O21" s="15"/>
    </row>
    <row r="22" spans="1:15" x14ac:dyDescent="0.25">
      <c r="A22" s="16">
        <v>18459</v>
      </c>
      <c r="B22" s="49">
        <v>400</v>
      </c>
      <c r="C22" s="17"/>
      <c r="D22" s="13"/>
      <c r="E22" s="70"/>
      <c r="F22" s="14" t="s">
        <v>15</v>
      </c>
      <c r="G22" s="11">
        <v>18570</v>
      </c>
      <c r="H22" s="67">
        <v>400</v>
      </c>
      <c r="I22" s="12" t="s">
        <v>29</v>
      </c>
      <c r="J22" s="53">
        <v>18637</v>
      </c>
      <c r="K22" s="72">
        <v>400</v>
      </c>
      <c r="L22" s="54" t="s">
        <v>162</v>
      </c>
      <c r="M22" s="75"/>
      <c r="N22" s="73"/>
      <c r="O22" s="15"/>
    </row>
    <row r="23" spans="1:15" x14ac:dyDescent="0.25">
      <c r="A23" s="16">
        <v>18460</v>
      </c>
      <c r="B23" s="49">
        <v>40</v>
      </c>
      <c r="C23" s="17" t="s">
        <v>157</v>
      </c>
      <c r="D23" s="13">
        <v>18513</v>
      </c>
      <c r="E23" s="70">
        <v>1300</v>
      </c>
      <c r="F23" s="14" t="s">
        <v>65</v>
      </c>
      <c r="G23" s="11"/>
      <c r="H23" s="67"/>
      <c r="I23" s="12" t="s">
        <v>14</v>
      </c>
      <c r="J23" s="53">
        <v>18638</v>
      </c>
      <c r="K23" s="72">
        <v>400</v>
      </c>
      <c r="L23" s="54" t="s">
        <v>105</v>
      </c>
      <c r="M23" s="75"/>
      <c r="N23" s="73"/>
      <c r="O23" s="15"/>
    </row>
    <row r="24" spans="1:15" x14ac:dyDescent="0.25">
      <c r="A24" s="16">
        <v>18461</v>
      </c>
      <c r="B24" s="49">
        <v>400</v>
      </c>
      <c r="C24" s="17"/>
      <c r="D24" s="13"/>
      <c r="E24" s="70"/>
      <c r="F24" s="14" t="s">
        <v>172</v>
      </c>
      <c r="G24" s="11">
        <v>18571</v>
      </c>
      <c r="H24" s="67">
        <v>800</v>
      </c>
      <c r="I24" s="12" t="s">
        <v>64</v>
      </c>
      <c r="J24" s="53">
        <v>18639</v>
      </c>
      <c r="K24" s="72">
        <v>400</v>
      </c>
      <c r="L24" s="54" t="s">
        <v>162</v>
      </c>
      <c r="M24" s="75"/>
      <c r="N24" s="73"/>
      <c r="O24" s="15"/>
    </row>
    <row r="25" spans="1:15" x14ac:dyDescent="0.25">
      <c r="A25" s="16">
        <v>18462</v>
      </c>
      <c r="B25" s="49">
        <v>400</v>
      </c>
      <c r="C25" s="17"/>
      <c r="D25" s="13"/>
      <c r="E25" s="70"/>
      <c r="F25" s="105">
        <v>100</v>
      </c>
      <c r="G25" s="11"/>
      <c r="H25" s="67"/>
      <c r="I25" s="12" t="s">
        <v>15</v>
      </c>
      <c r="J25" s="53">
        <v>18640</v>
      </c>
      <c r="K25" s="72">
        <v>4400</v>
      </c>
      <c r="L25" s="54" t="s">
        <v>32</v>
      </c>
      <c r="M25" s="75"/>
      <c r="N25" s="73"/>
      <c r="O25" s="15"/>
    </row>
    <row r="26" spans="1:15" x14ac:dyDescent="0.25">
      <c r="A26" s="16">
        <v>18463</v>
      </c>
      <c r="B26" s="49">
        <v>350</v>
      </c>
      <c r="C26" s="17"/>
      <c r="D26" s="13">
        <v>18514</v>
      </c>
      <c r="E26" s="70">
        <v>1200</v>
      </c>
      <c r="F26" s="14" t="s">
        <v>173</v>
      </c>
      <c r="G26" s="11">
        <v>18572</v>
      </c>
      <c r="H26" s="67">
        <v>800</v>
      </c>
      <c r="I26" s="12" t="s">
        <v>48</v>
      </c>
      <c r="J26" s="53"/>
      <c r="K26" s="72"/>
      <c r="L26" s="54" t="s">
        <v>86</v>
      </c>
      <c r="M26" s="75"/>
      <c r="N26" s="73"/>
      <c r="O26" s="15"/>
    </row>
    <row r="27" spans="1:15" x14ac:dyDescent="0.25">
      <c r="A27" s="16">
        <v>18464</v>
      </c>
      <c r="B27" s="49">
        <v>400</v>
      </c>
      <c r="C27" s="17"/>
      <c r="D27" s="13"/>
      <c r="E27" s="70"/>
      <c r="F27" s="14" t="s">
        <v>170</v>
      </c>
      <c r="G27" s="11"/>
      <c r="H27" s="67"/>
      <c r="I27" s="12" t="s">
        <v>15</v>
      </c>
      <c r="J27" s="53"/>
      <c r="K27" s="72"/>
      <c r="L27" s="54" t="s">
        <v>15</v>
      </c>
      <c r="M27" s="75"/>
      <c r="N27" s="73"/>
      <c r="O27" s="31"/>
    </row>
    <row r="28" spans="1:15" x14ac:dyDescent="0.25">
      <c r="A28" s="16">
        <v>18465</v>
      </c>
      <c r="B28" s="49">
        <v>200</v>
      </c>
      <c r="C28" s="17" t="s">
        <v>34</v>
      </c>
      <c r="D28" s="13"/>
      <c r="E28" s="70"/>
      <c r="F28" s="14" t="s">
        <v>44</v>
      </c>
      <c r="G28" s="11">
        <v>18573</v>
      </c>
      <c r="H28" s="67">
        <v>800</v>
      </c>
      <c r="I28" s="12" t="s">
        <v>48</v>
      </c>
      <c r="J28" s="53">
        <v>18641</v>
      </c>
      <c r="K28" s="72">
        <v>400</v>
      </c>
      <c r="L28" s="91"/>
      <c r="M28" s="75"/>
      <c r="N28" s="73"/>
      <c r="O28" s="15"/>
    </row>
    <row r="29" spans="1:15" x14ac:dyDescent="0.25">
      <c r="A29" s="16">
        <v>18466</v>
      </c>
      <c r="B29" s="49">
        <v>400</v>
      </c>
      <c r="C29" s="17"/>
      <c r="D29" s="13">
        <v>18515</v>
      </c>
      <c r="E29" s="70">
        <v>1200</v>
      </c>
      <c r="F29" s="14" t="s">
        <v>120</v>
      </c>
      <c r="G29" s="11"/>
      <c r="H29" s="67"/>
      <c r="I29" s="12" t="s">
        <v>15</v>
      </c>
      <c r="J29" s="53">
        <v>18642</v>
      </c>
      <c r="K29" s="72">
        <v>400</v>
      </c>
      <c r="L29" s="54" t="s">
        <v>162</v>
      </c>
      <c r="M29" s="75"/>
      <c r="N29" s="73"/>
      <c r="O29" s="15"/>
    </row>
    <row r="30" spans="1:15" x14ac:dyDescent="0.25">
      <c r="A30" s="16">
        <v>18467</v>
      </c>
      <c r="B30" s="49">
        <v>300</v>
      </c>
      <c r="C30" s="17"/>
      <c r="D30" s="13"/>
      <c r="E30" s="70"/>
      <c r="F30" s="14" t="s">
        <v>15</v>
      </c>
      <c r="G30" s="11">
        <v>18574</v>
      </c>
      <c r="H30" s="67">
        <v>400</v>
      </c>
      <c r="I30" s="12"/>
      <c r="J30" s="53">
        <v>18643</v>
      </c>
      <c r="K30" s="72">
        <v>400</v>
      </c>
      <c r="L30" s="54" t="s">
        <v>29</v>
      </c>
      <c r="M30" s="75"/>
      <c r="N30" s="73"/>
      <c r="O30" s="15"/>
    </row>
    <row r="31" spans="1:15" x14ac:dyDescent="0.25">
      <c r="A31" s="16">
        <v>18468</v>
      </c>
      <c r="B31" s="49">
        <v>400</v>
      </c>
      <c r="C31" s="17"/>
      <c r="D31" s="13">
        <v>18516</v>
      </c>
      <c r="E31" s="70">
        <v>50</v>
      </c>
      <c r="F31" s="14" t="s">
        <v>20</v>
      </c>
      <c r="G31" s="11">
        <v>18575</v>
      </c>
      <c r="H31" s="67">
        <v>450</v>
      </c>
      <c r="I31" s="12" t="s">
        <v>132</v>
      </c>
      <c r="J31" s="53"/>
      <c r="K31" s="72"/>
      <c r="L31" s="54" t="s">
        <v>14</v>
      </c>
      <c r="M31" s="75"/>
      <c r="N31" s="73"/>
      <c r="O31" s="15"/>
    </row>
    <row r="32" spans="1:15" x14ac:dyDescent="0.25">
      <c r="A32" s="16">
        <v>18469</v>
      </c>
      <c r="B32" s="49">
        <v>200</v>
      </c>
      <c r="C32" s="17" t="s">
        <v>158</v>
      </c>
      <c r="D32" s="13">
        <v>18517</v>
      </c>
      <c r="E32" s="70"/>
      <c r="F32" s="14" t="s">
        <v>32</v>
      </c>
      <c r="G32" s="11"/>
      <c r="H32" s="67"/>
      <c r="I32" s="12" t="s">
        <v>180</v>
      </c>
      <c r="J32" s="53">
        <v>18644</v>
      </c>
      <c r="K32" s="72">
        <v>600</v>
      </c>
      <c r="L32" s="54" t="s">
        <v>152</v>
      </c>
      <c r="M32" s="75"/>
      <c r="N32" s="73"/>
      <c r="O32" s="15"/>
    </row>
    <row r="33" spans="1:15" x14ac:dyDescent="0.25">
      <c r="A33" s="16">
        <v>18470</v>
      </c>
      <c r="B33" s="49">
        <v>800</v>
      </c>
      <c r="C33" s="17" t="s">
        <v>159</v>
      </c>
      <c r="D33" s="13"/>
      <c r="E33" s="70"/>
      <c r="F33" s="14" t="s">
        <v>42</v>
      </c>
      <c r="G33" s="11">
        <v>18576</v>
      </c>
      <c r="H33" s="67">
        <v>200</v>
      </c>
      <c r="I33" s="12" t="s">
        <v>181</v>
      </c>
      <c r="J33" s="53"/>
      <c r="K33" s="72"/>
      <c r="L33" s="54" t="s">
        <v>16</v>
      </c>
      <c r="M33" s="75"/>
      <c r="N33" s="73"/>
      <c r="O33" s="15"/>
    </row>
    <row r="34" spans="1:15" x14ac:dyDescent="0.25">
      <c r="A34" s="16"/>
      <c r="B34" s="49"/>
      <c r="C34" s="17" t="s">
        <v>15</v>
      </c>
      <c r="D34" s="13"/>
      <c r="E34" s="70"/>
      <c r="F34" s="14" t="s">
        <v>44</v>
      </c>
      <c r="G34" s="11">
        <v>18577</v>
      </c>
      <c r="H34" s="67">
        <v>600</v>
      </c>
      <c r="I34" s="12" t="s">
        <v>56</v>
      </c>
      <c r="J34" s="53">
        <v>18645</v>
      </c>
      <c r="K34" s="72">
        <v>400</v>
      </c>
      <c r="L34" s="54"/>
      <c r="M34" s="75"/>
      <c r="N34" s="73"/>
      <c r="O34" s="31"/>
    </row>
    <row r="35" spans="1:15" x14ac:dyDescent="0.25">
      <c r="A35" s="16">
        <v>18471</v>
      </c>
      <c r="B35" s="49">
        <v>460</v>
      </c>
      <c r="C35" s="17" t="s">
        <v>160</v>
      </c>
      <c r="D35" s="13"/>
      <c r="E35" s="70"/>
      <c r="F35" s="14" t="s">
        <v>174</v>
      </c>
      <c r="G35" s="11"/>
      <c r="H35" s="67"/>
      <c r="I35" s="12" t="s">
        <v>14</v>
      </c>
      <c r="J35" s="53">
        <v>18646</v>
      </c>
      <c r="K35" s="72">
        <v>800</v>
      </c>
      <c r="L35" s="54" t="s">
        <v>152</v>
      </c>
      <c r="M35" s="75"/>
      <c r="N35" s="73"/>
      <c r="O35" s="15"/>
    </row>
    <row r="36" spans="1:15" x14ac:dyDescent="0.25">
      <c r="A36" s="16">
        <v>18472</v>
      </c>
      <c r="B36" s="49">
        <v>400</v>
      </c>
      <c r="C36" s="17"/>
      <c r="D36" s="13">
        <v>18518</v>
      </c>
      <c r="E36" s="70">
        <v>200</v>
      </c>
      <c r="F36" s="14" t="s">
        <v>34</v>
      </c>
      <c r="G36" s="11">
        <v>18578</v>
      </c>
      <c r="H36" s="67">
        <v>400</v>
      </c>
      <c r="I36" s="12"/>
      <c r="J36" s="53"/>
      <c r="K36" s="72"/>
      <c r="L36" s="54" t="s">
        <v>15</v>
      </c>
      <c r="M36" s="75"/>
      <c r="N36" s="73"/>
      <c r="O36" s="15"/>
    </row>
    <row r="37" spans="1:15" x14ac:dyDescent="0.25">
      <c r="A37" s="16">
        <v>18473</v>
      </c>
      <c r="B37" s="49">
        <v>500</v>
      </c>
      <c r="C37" s="17" t="s">
        <v>48</v>
      </c>
      <c r="D37" s="13">
        <v>18519</v>
      </c>
      <c r="E37" s="70">
        <v>1200</v>
      </c>
      <c r="F37" s="14" t="s">
        <v>56</v>
      </c>
      <c r="G37" s="11">
        <v>18579</v>
      </c>
      <c r="H37" s="67">
        <v>320</v>
      </c>
      <c r="I37" s="12" t="s">
        <v>132</v>
      </c>
      <c r="J37" s="53">
        <v>18647</v>
      </c>
      <c r="K37" s="72">
        <v>800</v>
      </c>
      <c r="L37" s="54" t="s">
        <v>152</v>
      </c>
      <c r="M37" s="75"/>
      <c r="N37" s="73"/>
      <c r="O37" s="15"/>
    </row>
    <row r="38" spans="1:15" x14ac:dyDescent="0.25">
      <c r="A38" s="16"/>
      <c r="B38" s="49"/>
      <c r="C38" s="17" t="s">
        <v>19</v>
      </c>
      <c r="D38" s="13"/>
      <c r="E38" s="70"/>
      <c r="F38" s="14" t="s">
        <v>15</v>
      </c>
      <c r="G38" s="11"/>
      <c r="H38" s="67"/>
      <c r="I38" s="12" t="s">
        <v>182</v>
      </c>
      <c r="J38" s="53"/>
      <c r="K38" s="72"/>
      <c r="L38" s="54" t="s">
        <v>15</v>
      </c>
      <c r="M38" s="75"/>
      <c r="N38" s="73"/>
      <c r="O38" s="15"/>
    </row>
    <row r="39" spans="1:15" x14ac:dyDescent="0.25">
      <c r="A39" s="16">
        <v>18474</v>
      </c>
      <c r="B39" s="49">
        <v>1200</v>
      </c>
      <c r="C39" s="17" t="s">
        <v>161</v>
      </c>
      <c r="D39" s="13">
        <v>18520</v>
      </c>
      <c r="E39" s="70">
        <v>300</v>
      </c>
      <c r="F39" s="14"/>
      <c r="G39" s="11">
        <v>18580</v>
      </c>
      <c r="H39" s="67">
        <v>800</v>
      </c>
      <c r="I39" s="12" t="s">
        <v>48</v>
      </c>
      <c r="J39" s="53">
        <v>18648</v>
      </c>
      <c r="K39" s="72">
        <v>400</v>
      </c>
      <c r="L39" s="54" t="s">
        <v>162</v>
      </c>
      <c r="M39" s="75"/>
      <c r="N39" s="73"/>
      <c r="O39" s="15"/>
    </row>
    <row r="40" spans="1:15" x14ac:dyDescent="0.25">
      <c r="A40" s="16"/>
      <c r="B40" s="49"/>
      <c r="C40" s="17" t="s">
        <v>16</v>
      </c>
      <c r="D40" s="13">
        <v>18521</v>
      </c>
      <c r="E40" s="70">
        <v>300</v>
      </c>
      <c r="F40" s="14" t="s">
        <v>92</v>
      </c>
      <c r="G40" s="11"/>
      <c r="H40" s="67"/>
      <c r="I40" s="12" t="s">
        <v>15</v>
      </c>
      <c r="J40" s="53">
        <v>18649</v>
      </c>
      <c r="K40" s="72">
        <v>50</v>
      </c>
      <c r="L40" s="54" t="s">
        <v>20</v>
      </c>
      <c r="M40" s="75"/>
      <c r="N40" s="73"/>
      <c r="O40" s="15"/>
    </row>
    <row r="41" spans="1:15" x14ac:dyDescent="0.25">
      <c r="A41" s="16">
        <v>18475</v>
      </c>
      <c r="B41" s="49">
        <v>200</v>
      </c>
      <c r="C41" s="17"/>
      <c r="D41" s="13"/>
      <c r="E41" s="70"/>
      <c r="F41" s="14" t="s">
        <v>57</v>
      </c>
      <c r="G41" s="11">
        <v>18581</v>
      </c>
      <c r="H41" s="67">
        <v>400</v>
      </c>
      <c r="I41" s="12"/>
      <c r="J41" s="53">
        <v>18650</v>
      </c>
      <c r="K41" s="72">
        <v>450</v>
      </c>
      <c r="L41" s="54" t="s">
        <v>188</v>
      </c>
      <c r="M41" s="75"/>
      <c r="N41" s="73"/>
      <c r="O41" s="15"/>
    </row>
    <row r="42" spans="1:15" x14ac:dyDescent="0.25">
      <c r="A42" s="16">
        <v>18476</v>
      </c>
      <c r="B42" s="49">
        <v>1200</v>
      </c>
      <c r="C42" s="17" t="s">
        <v>56</v>
      </c>
      <c r="D42" s="13">
        <v>18522</v>
      </c>
      <c r="E42" s="70">
        <v>100</v>
      </c>
      <c r="F42" s="14"/>
      <c r="G42" s="11">
        <v>18582</v>
      </c>
      <c r="H42" s="67">
        <v>400</v>
      </c>
      <c r="I42" s="12"/>
      <c r="J42" s="53"/>
      <c r="K42" s="72"/>
      <c r="L42" s="54" t="s">
        <v>189</v>
      </c>
      <c r="M42" s="75"/>
      <c r="N42" s="73"/>
      <c r="O42" s="15"/>
    </row>
    <row r="43" spans="1:15" x14ac:dyDescent="0.25">
      <c r="A43" s="16"/>
      <c r="B43" s="49"/>
      <c r="C43" s="17" t="s">
        <v>15</v>
      </c>
      <c r="D43" s="13">
        <v>18523</v>
      </c>
      <c r="E43" s="70">
        <v>800</v>
      </c>
      <c r="F43" s="14" t="s">
        <v>48</v>
      </c>
      <c r="G43" s="11">
        <v>18583</v>
      </c>
      <c r="H43" s="67">
        <v>400</v>
      </c>
      <c r="I43" s="12"/>
      <c r="J43" s="53">
        <v>18651</v>
      </c>
      <c r="K43" s="72">
        <v>200</v>
      </c>
      <c r="L43" s="54" t="s">
        <v>190</v>
      </c>
      <c r="M43" s="75"/>
      <c r="N43" s="73"/>
      <c r="O43" s="15"/>
    </row>
    <row r="44" spans="1:15" x14ac:dyDescent="0.25">
      <c r="A44" s="16">
        <v>18477</v>
      </c>
      <c r="B44" s="49">
        <v>400</v>
      </c>
      <c r="C44" s="17" t="s">
        <v>97</v>
      </c>
      <c r="D44" s="13"/>
      <c r="E44" s="70"/>
      <c r="F44" s="14" t="s">
        <v>15</v>
      </c>
      <c r="G44" s="11">
        <v>18584</v>
      </c>
      <c r="H44" s="67">
        <v>400</v>
      </c>
      <c r="I44" s="12"/>
      <c r="J44" s="53">
        <v>18652</v>
      </c>
      <c r="K44" s="72">
        <v>300</v>
      </c>
      <c r="L44" s="54"/>
      <c r="M44" s="75"/>
      <c r="N44" s="73"/>
      <c r="O44" s="15"/>
    </row>
    <row r="45" spans="1:15" x14ac:dyDescent="0.25">
      <c r="A45" s="16">
        <v>18478</v>
      </c>
      <c r="B45" s="49">
        <v>800</v>
      </c>
      <c r="C45" s="17" t="s">
        <v>48</v>
      </c>
      <c r="D45" s="13">
        <v>18524</v>
      </c>
      <c r="E45" s="70">
        <v>200</v>
      </c>
      <c r="F45" s="14" t="s">
        <v>34</v>
      </c>
      <c r="G45" s="11">
        <v>18585</v>
      </c>
      <c r="H45" s="67">
        <v>800</v>
      </c>
      <c r="I45" s="12" t="s">
        <v>29</v>
      </c>
      <c r="J45" s="53">
        <v>18653</v>
      </c>
      <c r="K45" s="72">
        <v>450</v>
      </c>
      <c r="L45" s="54" t="s">
        <v>191</v>
      </c>
      <c r="M45" s="75"/>
      <c r="N45" s="73"/>
      <c r="O45" s="15"/>
    </row>
    <row r="46" spans="1:15" x14ac:dyDescent="0.25">
      <c r="A46" s="16"/>
      <c r="B46" s="49"/>
      <c r="C46" s="17" t="s">
        <v>15</v>
      </c>
      <c r="D46" s="13">
        <v>18525</v>
      </c>
      <c r="E46" s="70">
        <v>800</v>
      </c>
      <c r="F46" s="14" t="s">
        <v>48</v>
      </c>
      <c r="G46" s="11"/>
      <c r="H46" s="67"/>
      <c r="I46" s="12" t="s">
        <v>15</v>
      </c>
      <c r="J46" s="53"/>
      <c r="K46" s="72"/>
      <c r="L46" s="54" t="s">
        <v>57</v>
      </c>
      <c r="M46" s="75"/>
      <c r="N46" s="73"/>
      <c r="O46" s="15"/>
    </row>
    <row r="47" spans="1:15" x14ac:dyDescent="0.25">
      <c r="A47" s="16">
        <v>18479</v>
      </c>
      <c r="B47" s="49">
        <v>200</v>
      </c>
      <c r="C47" s="17" t="s">
        <v>162</v>
      </c>
      <c r="D47" s="13"/>
      <c r="E47" s="70"/>
      <c r="F47" s="14" t="s">
        <v>15</v>
      </c>
      <c r="G47" s="11">
        <v>18586</v>
      </c>
      <c r="H47" s="67">
        <v>800</v>
      </c>
      <c r="I47" s="12" t="s">
        <v>48</v>
      </c>
      <c r="J47" s="53"/>
      <c r="K47" s="72"/>
      <c r="L47" s="54"/>
      <c r="M47" s="75"/>
      <c r="N47" s="73"/>
      <c r="O47" s="15"/>
    </row>
    <row r="48" spans="1:15" x14ac:dyDescent="0.25">
      <c r="A48" s="16">
        <v>18480</v>
      </c>
      <c r="B48" s="49">
        <v>150</v>
      </c>
      <c r="C48" s="17"/>
      <c r="D48" s="13">
        <v>18526</v>
      </c>
      <c r="E48" s="70">
        <v>400</v>
      </c>
      <c r="F48" s="14" t="s">
        <v>105</v>
      </c>
      <c r="G48" s="11"/>
      <c r="H48" s="67"/>
      <c r="I48" s="12" t="s">
        <v>15</v>
      </c>
      <c r="J48" s="53"/>
      <c r="K48" s="72"/>
      <c r="L48" s="54"/>
      <c r="M48" s="75"/>
      <c r="N48" s="73"/>
      <c r="O48" s="15"/>
    </row>
    <row r="49" spans="1:15" x14ac:dyDescent="0.25">
      <c r="A49" s="16">
        <v>18481</v>
      </c>
      <c r="B49" s="49">
        <v>350</v>
      </c>
      <c r="C49" s="17"/>
      <c r="D49" s="13">
        <v>18527</v>
      </c>
      <c r="E49" s="70">
        <v>400</v>
      </c>
      <c r="F49" s="14"/>
      <c r="G49" s="11">
        <v>18587</v>
      </c>
      <c r="H49" s="67">
        <v>400</v>
      </c>
      <c r="I49" s="12"/>
      <c r="J49" s="53"/>
      <c r="K49" s="72"/>
      <c r="L49" s="54"/>
      <c r="M49" s="75"/>
      <c r="N49" s="73"/>
      <c r="O49" s="15"/>
    </row>
    <row r="50" spans="1:15" x14ac:dyDescent="0.25">
      <c r="A50" s="16">
        <v>18482</v>
      </c>
      <c r="B50" s="49">
        <v>400</v>
      </c>
      <c r="C50" s="17"/>
      <c r="D50" s="13">
        <v>18528</v>
      </c>
      <c r="E50" s="70">
        <v>400</v>
      </c>
      <c r="F50" s="14"/>
      <c r="G50" s="11">
        <v>18588</v>
      </c>
      <c r="H50" s="67">
        <v>300</v>
      </c>
      <c r="I50" s="12"/>
      <c r="J50" s="53"/>
      <c r="K50" s="72"/>
      <c r="L50" s="54"/>
      <c r="M50" s="75"/>
      <c r="N50" s="73"/>
      <c r="O50" s="15"/>
    </row>
    <row r="51" spans="1:15" x14ac:dyDescent="0.25">
      <c r="A51" s="16">
        <v>18483</v>
      </c>
      <c r="B51" s="49">
        <v>250</v>
      </c>
      <c r="C51" s="17" t="s">
        <v>162</v>
      </c>
      <c r="D51" s="13">
        <v>18529</v>
      </c>
      <c r="E51" s="70">
        <v>1500</v>
      </c>
      <c r="F51" s="14" t="s">
        <v>175</v>
      </c>
      <c r="G51" s="11">
        <v>18589</v>
      </c>
      <c r="H51" s="67">
        <v>800</v>
      </c>
      <c r="I51" s="12" t="s">
        <v>62</v>
      </c>
      <c r="J51" s="53"/>
      <c r="K51" s="72"/>
      <c r="L51" s="54"/>
      <c r="M51" s="75"/>
      <c r="N51" s="73"/>
      <c r="O51" s="15"/>
    </row>
    <row r="52" spans="1:15" x14ac:dyDescent="0.25">
      <c r="A52" s="16">
        <v>18484</v>
      </c>
      <c r="B52" s="49">
        <v>400</v>
      </c>
      <c r="C52" s="17" t="s">
        <v>97</v>
      </c>
      <c r="D52" s="13"/>
      <c r="E52" s="70"/>
      <c r="F52" s="14" t="s">
        <v>176</v>
      </c>
      <c r="G52" s="11"/>
      <c r="H52" s="67"/>
      <c r="I52" s="12" t="s">
        <v>14</v>
      </c>
      <c r="J52" s="53"/>
      <c r="K52" s="72"/>
      <c r="L52" s="54"/>
      <c r="M52" s="75"/>
      <c r="N52" s="73"/>
      <c r="O52" s="15"/>
    </row>
    <row r="53" spans="1:15" x14ac:dyDescent="0.25">
      <c r="A53" s="16">
        <v>18485</v>
      </c>
      <c r="B53" s="49">
        <v>400</v>
      </c>
      <c r="C53" s="17"/>
      <c r="D53" s="13">
        <v>18530</v>
      </c>
      <c r="E53" s="70">
        <v>400</v>
      </c>
      <c r="F53" s="14"/>
      <c r="G53" s="11"/>
      <c r="H53" s="67"/>
      <c r="I53" s="12"/>
      <c r="J53" s="53"/>
      <c r="K53" s="72"/>
      <c r="L53" s="54"/>
      <c r="M53" s="75"/>
      <c r="N53" s="73"/>
      <c r="O53" s="15"/>
    </row>
    <row r="54" spans="1:15" x14ac:dyDescent="0.25">
      <c r="A54" s="16">
        <v>18486</v>
      </c>
      <c r="B54" s="49">
        <v>400</v>
      </c>
      <c r="C54" s="17" t="s">
        <v>97</v>
      </c>
      <c r="D54" s="13">
        <v>18531</v>
      </c>
      <c r="E54" s="70">
        <v>300</v>
      </c>
      <c r="F54" s="14"/>
      <c r="G54" s="11"/>
      <c r="H54" s="67"/>
      <c r="I54" s="12"/>
      <c r="J54" s="53"/>
      <c r="K54" s="72"/>
      <c r="L54" s="54"/>
      <c r="M54" s="75"/>
      <c r="N54" s="73"/>
      <c r="O54" s="15"/>
    </row>
    <row r="55" spans="1:15" x14ac:dyDescent="0.25">
      <c r="A55" s="16">
        <v>18487</v>
      </c>
      <c r="B55" s="49">
        <v>1200</v>
      </c>
      <c r="C55" s="17" t="s">
        <v>62</v>
      </c>
      <c r="D55" s="13">
        <v>18532</v>
      </c>
      <c r="E55" s="70">
        <v>600</v>
      </c>
      <c r="F55" s="69" t="s">
        <v>48</v>
      </c>
      <c r="G55" s="11"/>
      <c r="H55" s="67"/>
      <c r="I55" s="12"/>
      <c r="J55" s="53"/>
      <c r="K55" s="72"/>
      <c r="L55" s="54"/>
      <c r="M55" s="75"/>
      <c r="N55" s="73"/>
      <c r="O55" s="15"/>
    </row>
    <row r="56" spans="1:15" x14ac:dyDescent="0.25">
      <c r="A56" s="16"/>
      <c r="B56" s="49"/>
      <c r="C56" s="17" t="s">
        <v>16</v>
      </c>
      <c r="D56" s="13"/>
      <c r="E56" s="70"/>
      <c r="F56" s="14" t="s">
        <v>16</v>
      </c>
      <c r="G56" s="11"/>
      <c r="H56" s="67"/>
      <c r="I56" s="12"/>
      <c r="J56" s="53"/>
      <c r="K56" s="72"/>
      <c r="L56" s="54"/>
      <c r="M56" s="75"/>
      <c r="N56" s="73"/>
      <c r="O56" s="15"/>
    </row>
    <row r="57" spans="1:15" x14ac:dyDescent="0.25">
      <c r="A57" s="16">
        <v>18488</v>
      </c>
      <c r="B57" s="49">
        <v>800</v>
      </c>
      <c r="C57" s="17" t="s">
        <v>48</v>
      </c>
      <c r="D57" s="13">
        <v>18533</v>
      </c>
      <c r="E57" s="70">
        <v>200</v>
      </c>
      <c r="F57" s="14"/>
      <c r="G57" s="11"/>
      <c r="H57" s="67"/>
      <c r="I57" s="12"/>
      <c r="J57" s="53"/>
      <c r="K57" s="72"/>
      <c r="L57" s="54"/>
      <c r="M57" s="75"/>
      <c r="N57" s="73"/>
      <c r="O57" s="15"/>
    </row>
    <row r="58" spans="1:15" x14ac:dyDescent="0.25">
      <c r="A58" s="16"/>
      <c r="B58" s="49"/>
      <c r="C58" s="17" t="s">
        <v>15</v>
      </c>
      <c r="D58" s="13">
        <v>18534</v>
      </c>
      <c r="E58" s="70">
        <v>1200</v>
      </c>
      <c r="F58" s="14" t="s">
        <v>56</v>
      </c>
      <c r="G58" s="11"/>
      <c r="H58" s="67"/>
      <c r="I58" s="12"/>
      <c r="J58" s="53"/>
      <c r="K58" s="72"/>
      <c r="L58" s="54"/>
      <c r="M58" s="75"/>
      <c r="N58" s="73"/>
      <c r="O58" s="15"/>
    </row>
    <row r="59" spans="1:15" x14ac:dyDescent="0.25">
      <c r="A59" s="16">
        <v>18489</v>
      </c>
      <c r="B59" s="49">
        <v>400</v>
      </c>
      <c r="C59" s="17" t="s">
        <v>97</v>
      </c>
      <c r="D59" s="13"/>
      <c r="E59" s="70"/>
      <c r="F59" s="14" t="s">
        <v>15</v>
      </c>
      <c r="G59" s="11"/>
      <c r="H59" s="67"/>
      <c r="I59" s="12"/>
      <c r="J59" s="53"/>
      <c r="K59" s="72"/>
      <c r="L59" s="54"/>
      <c r="M59" s="75"/>
      <c r="N59" s="73"/>
      <c r="O59" s="15"/>
    </row>
    <row r="60" spans="1:15" x14ac:dyDescent="0.25">
      <c r="A60" s="16">
        <v>18490</v>
      </c>
      <c r="B60" s="49">
        <v>800</v>
      </c>
      <c r="C60" s="89" t="s">
        <v>30</v>
      </c>
      <c r="D60" s="13">
        <v>18535</v>
      </c>
      <c r="E60" s="70">
        <v>400</v>
      </c>
      <c r="F60" s="14" t="s">
        <v>97</v>
      </c>
      <c r="G60" s="11"/>
      <c r="H60" s="67"/>
      <c r="I60" s="12"/>
      <c r="J60" s="53"/>
      <c r="K60" s="72"/>
      <c r="L60" s="54"/>
      <c r="M60" s="75"/>
      <c r="N60" s="73"/>
      <c r="O60" s="15"/>
    </row>
    <row r="61" spans="1:15" x14ac:dyDescent="0.25">
      <c r="A61" s="16"/>
      <c r="B61" s="49"/>
      <c r="C61" s="17" t="s">
        <v>15</v>
      </c>
      <c r="D61" s="13">
        <v>18536</v>
      </c>
      <c r="E61" s="70">
        <v>600</v>
      </c>
      <c r="F61" s="14" t="s">
        <v>56</v>
      </c>
      <c r="G61" s="11"/>
      <c r="H61" s="67"/>
      <c r="I61" s="12"/>
      <c r="J61" s="53"/>
      <c r="K61" s="72"/>
      <c r="L61" s="54"/>
      <c r="M61" s="75"/>
      <c r="N61" s="73"/>
      <c r="O61" s="15"/>
    </row>
    <row r="62" spans="1:15" x14ac:dyDescent="0.25">
      <c r="A62" s="16">
        <v>18491</v>
      </c>
      <c r="B62" s="49">
        <v>400</v>
      </c>
      <c r="C62" s="17"/>
      <c r="D62" s="13"/>
      <c r="E62" s="70"/>
      <c r="F62" s="14" t="s">
        <v>14</v>
      </c>
      <c r="G62" s="11"/>
      <c r="H62" s="67"/>
      <c r="I62" s="12"/>
      <c r="J62" s="53"/>
      <c r="K62" s="72"/>
      <c r="L62" s="54"/>
      <c r="M62" s="75"/>
      <c r="N62" s="73"/>
      <c r="O62" s="15"/>
    </row>
    <row r="63" spans="1:15" x14ac:dyDescent="0.25">
      <c r="A63" s="16">
        <v>18492</v>
      </c>
      <c r="B63" s="49">
        <v>800</v>
      </c>
      <c r="C63" s="17" t="s">
        <v>29</v>
      </c>
      <c r="D63" s="13">
        <v>18537</v>
      </c>
      <c r="E63" s="70">
        <v>400</v>
      </c>
      <c r="F63" s="14"/>
      <c r="G63" s="11"/>
      <c r="H63" s="67"/>
      <c r="I63" s="12"/>
      <c r="J63" s="53"/>
      <c r="K63" s="72"/>
      <c r="L63" s="54"/>
      <c r="M63" s="75"/>
      <c r="N63" s="73"/>
      <c r="O63" s="15"/>
    </row>
    <row r="64" spans="1:15" x14ac:dyDescent="0.25">
      <c r="A64" s="16"/>
      <c r="B64" s="49"/>
      <c r="C64" s="17" t="s">
        <v>15</v>
      </c>
      <c r="D64" s="13">
        <v>18538</v>
      </c>
      <c r="E64" s="70">
        <v>800</v>
      </c>
      <c r="F64" s="14" t="s">
        <v>152</v>
      </c>
      <c r="G64" s="11"/>
      <c r="H64" s="67"/>
      <c r="I64" s="12"/>
      <c r="J64" s="53"/>
      <c r="K64" s="72"/>
      <c r="L64" s="54"/>
      <c r="M64" s="75"/>
      <c r="N64" s="73"/>
      <c r="O64" s="15"/>
    </row>
    <row r="65" spans="1:15" x14ac:dyDescent="0.25">
      <c r="A65" s="16">
        <v>18493</v>
      </c>
      <c r="B65" s="49">
        <v>1000</v>
      </c>
      <c r="C65" s="17" t="s">
        <v>103</v>
      </c>
      <c r="D65" s="13"/>
      <c r="E65" s="70"/>
      <c r="F65" s="14" t="s">
        <v>15</v>
      </c>
      <c r="G65" s="11"/>
      <c r="H65" s="67"/>
      <c r="I65" s="12"/>
      <c r="J65" s="53"/>
      <c r="K65" s="72"/>
      <c r="L65" s="54"/>
      <c r="M65" s="75"/>
      <c r="N65" s="73"/>
      <c r="O65" s="15"/>
    </row>
    <row r="66" spans="1:15" x14ac:dyDescent="0.25">
      <c r="A66" s="16"/>
      <c r="B66" s="49"/>
      <c r="C66" s="121" t="s">
        <v>104</v>
      </c>
      <c r="D66" s="13">
        <v>18539</v>
      </c>
      <c r="E66" s="70">
        <v>1200</v>
      </c>
      <c r="F66" s="14" t="s">
        <v>177</v>
      </c>
      <c r="G66" s="11"/>
      <c r="H66" s="67"/>
      <c r="I66" s="12"/>
      <c r="J66" s="53"/>
      <c r="K66" s="72"/>
      <c r="L66" s="54"/>
      <c r="M66" s="75"/>
      <c r="N66" s="73"/>
      <c r="O66" s="15"/>
    </row>
    <row r="67" spans="1:15" x14ac:dyDescent="0.25">
      <c r="A67" s="16">
        <v>18494</v>
      </c>
      <c r="B67" s="49">
        <v>850</v>
      </c>
      <c r="C67" s="17" t="s">
        <v>29</v>
      </c>
      <c r="D67" s="13"/>
      <c r="E67" s="70"/>
      <c r="F67" s="14" t="s">
        <v>15</v>
      </c>
      <c r="G67" s="11"/>
      <c r="H67" s="67"/>
      <c r="I67" s="12"/>
      <c r="J67" s="53"/>
      <c r="K67" s="72"/>
      <c r="L67" s="54"/>
      <c r="M67" s="75"/>
      <c r="N67" s="73"/>
      <c r="O67" s="15"/>
    </row>
    <row r="68" spans="1:15" x14ac:dyDescent="0.25">
      <c r="A68" s="16"/>
      <c r="B68" s="49"/>
      <c r="C68" s="17" t="s">
        <v>163</v>
      </c>
      <c r="D68" s="13">
        <v>18540</v>
      </c>
      <c r="E68" s="70">
        <v>800</v>
      </c>
      <c r="F68" s="14" t="s">
        <v>152</v>
      </c>
      <c r="G68" s="11"/>
      <c r="H68" s="67"/>
      <c r="I68" s="12"/>
      <c r="J68" s="53"/>
      <c r="K68" s="72"/>
      <c r="L68" s="54"/>
      <c r="M68" s="75"/>
      <c r="N68" s="73"/>
      <c r="O68" s="15"/>
    </row>
    <row r="69" spans="1:15" x14ac:dyDescent="0.25">
      <c r="A69" s="16">
        <v>18495</v>
      </c>
      <c r="B69" s="49">
        <v>400</v>
      </c>
      <c r="C69" s="17"/>
      <c r="D69" s="13"/>
      <c r="E69" s="70"/>
      <c r="F69" s="14" t="s">
        <v>15</v>
      </c>
      <c r="G69" s="11"/>
      <c r="H69" s="67"/>
      <c r="I69" s="12"/>
      <c r="J69" s="53"/>
      <c r="K69" s="72"/>
      <c r="L69" s="54"/>
      <c r="M69" s="75"/>
      <c r="N69" s="73"/>
      <c r="O69" s="15"/>
    </row>
    <row r="70" spans="1:15" x14ac:dyDescent="0.25">
      <c r="A70" s="16">
        <v>18496</v>
      </c>
      <c r="B70" s="49">
        <v>440</v>
      </c>
      <c r="C70" s="17" t="s">
        <v>164</v>
      </c>
      <c r="D70" s="13">
        <v>18541</v>
      </c>
      <c r="E70" s="70">
        <v>400</v>
      </c>
      <c r="F70" s="14"/>
      <c r="G70" s="11"/>
      <c r="H70" s="67"/>
      <c r="I70" s="12"/>
      <c r="J70" s="53"/>
      <c r="K70" s="72"/>
      <c r="L70" s="54"/>
      <c r="M70" s="75"/>
      <c r="N70" s="73"/>
      <c r="O70" s="15"/>
    </row>
    <row r="71" spans="1:15" x14ac:dyDescent="0.25">
      <c r="A71" s="16">
        <v>18497</v>
      </c>
      <c r="B71" s="49">
        <v>600</v>
      </c>
      <c r="C71" s="17" t="s">
        <v>56</v>
      </c>
      <c r="D71" s="13">
        <v>18542</v>
      </c>
      <c r="E71" s="70">
        <v>250</v>
      </c>
      <c r="F71" s="14"/>
      <c r="G71" s="11"/>
      <c r="H71" s="67"/>
      <c r="I71" s="12"/>
      <c r="J71" s="53"/>
      <c r="K71" s="72"/>
      <c r="L71" s="54"/>
      <c r="M71" s="75"/>
      <c r="N71" s="73"/>
      <c r="O71" s="15"/>
    </row>
    <row r="72" spans="1:15" x14ac:dyDescent="0.25">
      <c r="A72" s="16"/>
      <c r="B72" s="49"/>
      <c r="C72" s="17" t="s">
        <v>14</v>
      </c>
      <c r="D72" s="13">
        <v>18543</v>
      </c>
      <c r="E72" s="70">
        <v>250</v>
      </c>
      <c r="F72" s="14" t="s">
        <v>105</v>
      </c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>
        <v>18498</v>
      </c>
      <c r="B73" s="49">
        <v>600</v>
      </c>
      <c r="C73" s="17" t="s">
        <v>159</v>
      </c>
      <c r="D73" s="13">
        <v>18544</v>
      </c>
      <c r="E73" s="70">
        <v>800</v>
      </c>
      <c r="F73" s="14" t="s">
        <v>168</v>
      </c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/>
      <c r="B74" s="49"/>
      <c r="C74" s="17" t="s">
        <v>16</v>
      </c>
      <c r="D74" s="13"/>
      <c r="E74" s="70"/>
      <c r="F74" s="14" t="s">
        <v>15</v>
      </c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>
        <v>18499</v>
      </c>
      <c r="B75" s="49">
        <v>600</v>
      </c>
      <c r="C75" s="17" t="s">
        <v>56</v>
      </c>
      <c r="D75" s="13">
        <v>18545</v>
      </c>
      <c r="E75" s="70">
        <v>300</v>
      </c>
      <c r="F75" s="14" t="s">
        <v>97</v>
      </c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/>
      <c r="B76" s="49"/>
      <c r="C76" s="17" t="s">
        <v>14</v>
      </c>
      <c r="D76" s="13">
        <v>18546</v>
      </c>
      <c r="E76" s="70">
        <v>400</v>
      </c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>
        <v>18500</v>
      </c>
      <c r="B77" s="49">
        <v>600</v>
      </c>
      <c r="C77" s="17" t="s">
        <v>97</v>
      </c>
      <c r="D77" s="13">
        <v>18547</v>
      </c>
      <c r="E77" s="70">
        <v>600</v>
      </c>
      <c r="F77" s="14" t="s">
        <v>56</v>
      </c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/>
      <c r="B78" s="49"/>
      <c r="C78" s="17" t="s">
        <v>165</v>
      </c>
      <c r="D78" s="13"/>
      <c r="E78" s="70"/>
      <c r="F78" s="14" t="s">
        <v>14</v>
      </c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>
        <v>18501</v>
      </c>
      <c r="B79" s="49">
        <v>100</v>
      </c>
      <c r="C79" s="17" t="s">
        <v>166</v>
      </c>
      <c r="D79" s="13">
        <v>18548</v>
      </c>
      <c r="E79" s="70">
        <v>400</v>
      </c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>
        <v>18502</v>
      </c>
      <c r="B80" s="49">
        <v>200</v>
      </c>
      <c r="C80" s="17" t="s">
        <v>34</v>
      </c>
      <c r="D80" s="13">
        <v>18549</v>
      </c>
      <c r="E80" s="70">
        <v>400</v>
      </c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>
        <v>18503</v>
      </c>
      <c r="B81" s="49">
        <v>400</v>
      </c>
      <c r="C81" s="17" t="s">
        <v>97</v>
      </c>
      <c r="D81" s="13">
        <v>18550</v>
      </c>
      <c r="E81" s="70">
        <v>200</v>
      </c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>
        <v>18504</v>
      </c>
      <c r="B82" s="49">
        <v>50</v>
      </c>
      <c r="C82" s="17" t="s">
        <v>75</v>
      </c>
      <c r="D82" s="13">
        <v>18551</v>
      </c>
      <c r="E82" s="70">
        <v>400</v>
      </c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>
        <v>18505</v>
      </c>
      <c r="B83" s="49">
        <v>20</v>
      </c>
      <c r="C83" s="17" t="s">
        <v>167</v>
      </c>
      <c r="D83" s="13">
        <v>18552</v>
      </c>
      <c r="E83" s="70">
        <v>700</v>
      </c>
      <c r="F83" s="14" t="s">
        <v>48</v>
      </c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 t="s">
        <v>18</v>
      </c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/>
      <c r="D85" s="13">
        <v>18553</v>
      </c>
      <c r="E85" s="70">
        <v>250</v>
      </c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/>
      <c r="B86" s="49"/>
      <c r="C86" s="17"/>
      <c r="D86" s="13">
        <v>18554</v>
      </c>
      <c r="E86" s="70">
        <v>600</v>
      </c>
      <c r="F86" s="14" t="s">
        <v>178</v>
      </c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 t="s">
        <v>179</v>
      </c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/>
      <c r="D88" s="13">
        <v>18555</v>
      </c>
      <c r="E88" s="70">
        <v>300</v>
      </c>
      <c r="F88" s="14" t="s">
        <v>97</v>
      </c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/>
      <c r="D89" s="13">
        <v>18556</v>
      </c>
      <c r="E89" s="70">
        <v>300</v>
      </c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/>
      <c r="D90" s="13">
        <v>18557</v>
      </c>
      <c r="E90" s="70">
        <v>300</v>
      </c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/>
      <c r="D91" s="13">
        <v>18558</v>
      </c>
      <c r="E91" s="70">
        <v>800</v>
      </c>
      <c r="F91" s="14" t="s">
        <v>48</v>
      </c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 t="s">
        <v>15</v>
      </c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/>
      <c r="D93" s="13">
        <v>18559</v>
      </c>
      <c r="E93" s="70">
        <v>200</v>
      </c>
      <c r="F93" s="14" t="s">
        <v>97</v>
      </c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/>
      <c r="D94" s="13">
        <v>18560</v>
      </c>
      <c r="E94" s="70">
        <v>400</v>
      </c>
      <c r="F94" s="14" t="s">
        <v>97</v>
      </c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4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53"/>
      <c r="K133" s="72"/>
      <c r="L133" s="54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53"/>
      <c r="K134" s="72"/>
      <c r="L134" s="54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53"/>
      <c r="K135" s="72"/>
      <c r="L135" s="54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53"/>
      <c r="K136" s="72"/>
      <c r="L136" s="54"/>
      <c r="M136" s="75"/>
      <c r="N136" s="73"/>
      <c r="O136" s="15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53"/>
      <c r="K137" s="72"/>
      <c r="L137" s="54"/>
      <c r="M137" s="75"/>
      <c r="N137" s="73"/>
      <c r="O137" s="15"/>
    </row>
    <row r="138" spans="1:15" x14ac:dyDescent="0.25">
      <c r="A138" s="16"/>
      <c r="B138" s="49"/>
      <c r="C138" s="17"/>
      <c r="D138" s="13"/>
      <c r="E138" s="70"/>
      <c r="F138" s="14"/>
      <c r="G138" s="11"/>
      <c r="H138" s="67"/>
      <c r="I138" s="12"/>
      <c r="J138" s="53"/>
      <c r="K138" s="72"/>
      <c r="L138" s="54"/>
      <c r="M138" s="75"/>
      <c r="N138" s="73"/>
      <c r="O138" s="15"/>
    </row>
    <row r="139" spans="1:15" x14ac:dyDescent="0.25">
      <c r="A139" s="16"/>
      <c r="B139" s="49"/>
      <c r="C139" s="17"/>
      <c r="D139" s="13"/>
      <c r="E139" s="70"/>
      <c r="F139" s="14"/>
      <c r="G139" s="11"/>
      <c r="H139" s="67"/>
      <c r="I139" s="12"/>
      <c r="J139" s="53"/>
      <c r="K139" s="72"/>
      <c r="L139" s="54"/>
      <c r="M139" s="75"/>
      <c r="N139" s="73"/>
      <c r="O139" s="15"/>
    </row>
    <row r="140" spans="1:15" x14ac:dyDescent="0.25">
      <c r="A140" s="16"/>
      <c r="B140" s="49"/>
      <c r="C140" s="17"/>
      <c r="D140" s="13"/>
      <c r="E140" s="70"/>
      <c r="F140" s="14"/>
      <c r="G140" s="11"/>
      <c r="H140" s="67"/>
      <c r="I140" s="12"/>
      <c r="J140" s="53"/>
      <c r="K140" s="72"/>
      <c r="L140" s="54"/>
      <c r="M140" s="75"/>
      <c r="N140" s="73"/>
      <c r="O140" s="15"/>
    </row>
    <row r="141" spans="1:15" x14ac:dyDescent="0.25">
      <c r="A141" s="16"/>
      <c r="B141" s="49"/>
      <c r="C141" s="17"/>
      <c r="D141" s="13"/>
      <c r="E141" s="70"/>
      <c r="F141" s="14"/>
      <c r="G141" s="11"/>
      <c r="H141" s="67"/>
      <c r="I141" s="12"/>
      <c r="J141" s="53"/>
      <c r="K141" s="72"/>
      <c r="L141" s="54"/>
      <c r="M141" s="75"/>
      <c r="N141" s="73"/>
      <c r="O141" s="15"/>
    </row>
    <row r="142" spans="1:15" x14ac:dyDescent="0.25">
      <c r="A142" s="16"/>
      <c r="B142" s="49"/>
      <c r="C142" s="17"/>
      <c r="D142" s="13"/>
      <c r="E142" s="70"/>
      <c r="F142" s="14"/>
      <c r="G142" s="11"/>
      <c r="H142" s="67"/>
      <c r="I142" s="12"/>
      <c r="J142" s="53"/>
      <c r="K142" s="72"/>
      <c r="L142" s="54"/>
      <c r="M142" s="75"/>
      <c r="N142" s="73"/>
      <c r="O142" s="15"/>
    </row>
    <row r="143" spans="1:15" x14ac:dyDescent="0.25">
      <c r="A143" s="16"/>
      <c r="B143" s="49"/>
      <c r="C143" s="17"/>
      <c r="D143" s="13"/>
      <c r="E143" s="70"/>
      <c r="F143" s="14"/>
      <c r="G143" s="11"/>
      <c r="H143" s="67"/>
      <c r="I143" s="12"/>
      <c r="J143" s="53"/>
      <c r="K143" s="72"/>
      <c r="L143" s="54"/>
      <c r="M143" s="75"/>
      <c r="N143" s="73"/>
      <c r="O143" s="15"/>
    </row>
    <row r="144" spans="1:15" x14ac:dyDescent="0.25">
      <c r="A144" s="16"/>
      <c r="B144" s="49"/>
      <c r="C144" s="17"/>
      <c r="D144" s="13"/>
      <c r="E144" s="70"/>
      <c r="F144" s="14"/>
      <c r="G144" s="11"/>
      <c r="H144" s="67"/>
      <c r="I144" s="12"/>
      <c r="J144" s="53"/>
      <c r="K144" s="72"/>
      <c r="L144" s="54"/>
      <c r="M144" s="75"/>
      <c r="N144" s="73"/>
      <c r="O144" s="15"/>
    </row>
    <row r="145" spans="1:15" x14ac:dyDescent="0.25">
      <c r="A145" s="16"/>
      <c r="B145" s="49"/>
      <c r="C145" s="17"/>
      <c r="D145" s="13"/>
      <c r="E145" s="70"/>
      <c r="F145" s="14"/>
      <c r="G145" s="11"/>
      <c r="H145" s="67"/>
      <c r="I145" s="12"/>
      <c r="J145" s="53"/>
      <c r="K145" s="72"/>
      <c r="L145" s="54"/>
      <c r="M145" s="75"/>
      <c r="N145" s="73"/>
      <c r="O145" s="15"/>
    </row>
    <row r="146" spans="1:15" x14ac:dyDescent="0.25">
      <c r="A146" s="16"/>
      <c r="B146" s="49"/>
      <c r="C146" s="17"/>
      <c r="D146" s="13"/>
      <c r="E146" s="70"/>
      <c r="F146" s="14"/>
      <c r="G146" s="11"/>
      <c r="H146" s="67"/>
      <c r="I146" s="12"/>
      <c r="J146" s="53"/>
      <c r="K146" s="72"/>
      <c r="L146" s="54"/>
      <c r="M146" s="75"/>
      <c r="N146" s="73"/>
      <c r="O146" s="15"/>
    </row>
    <row r="147" spans="1:15" x14ac:dyDescent="0.25">
      <c r="A147" s="16"/>
      <c r="B147" s="49"/>
      <c r="C147" s="17"/>
      <c r="D147" s="13"/>
      <c r="E147" s="70"/>
      <c r="F147" s="14"/>
      <c r="G147" s="11"/>
      <c r="H147" s="67"/>
      <c r="I147" s="12"/>
      <c r="J147" s="53"/>
      <c r="K147" s="72"/>
      <c r="L147" s="54"/>
      <c r="M147" s="75"/>
      <c r="N147" s="73"/>
      <c r="O147" s="15"/>
    </row>
    <row r="148" spans="1:15" x14ac:dyDescent="0.25">
      <c r="A148" s="16"/>
      <c r="B148" s="49"/>
      <c r="C148" s="17"/>
      <c r="D148" s="13"/>
      <c r="E148" s="70"/>
      <c r="F148" s="14"/>
      <c r="G148" s="11"/>
      <c r="H148" s="67"/>
      <c r="I148" s="12"/>
      <c r="J148" s="53"/>
      <c r="K148" s="72"/>
      <c r="L148" s="54"/>
      <c r="M148" s="75"/>
      <c r="N148" s="73"/>
      <c r="O148" s="15"/>
    </row>
    <row r="149" spans="1:15" x14ac:dyDescent="0.25">
      <c r="A149" s="16"/>
      <c r="B149" s="49"/>
      <c r="C149" s="17"/>
      <c r="D149" s="13"/>
      <c r="E149" s="70"/>
      <c r="F149" s="14"/>
      <c r="G149" s="11"/>
      <c r="H149" s="67"/>
      <c r="I149" s="12"/>
      <c r="J149" s="53"/>
      <c r="K149" s="72"/>
      <c r="L149" s="54"/>
      <c r="M149" s="75"/>
      <c r="N149" s="73"/>
      <c r="O149" s="15"/>
    </row>
    <row r="150" spans="1:15" x14ac:dyDescent="0.25">
      <c r="A150" s="26"/>
      <c r="B150" s="26"/>
      <c r="C150" s="58"/>
      <c r="D150" s="13"/>
      <c r="E150" s="70"/>
      <c r="F150" s="14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6"/>
  <sheetViews>
    <sheetView topLeftCell="A5" workbookViewId="0">
      <pane ySplit="3" topLeftCell="A47" activePane="bottomLeft" state="frozen"/>
      <selection activeCell="A5" sqref="A5"/>
      <selection pane="bottomLeft" activeCell="E51" sqref="E5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6" t="s">
        <v>6</v>
      </c>
      <c r="K5" s="136"/>
      <c r="L5" s="136"/>
      <c r="M5" s="124" t="s">
        <v>12</v>
      </c>
      <c r="N5" s="124"/>
      <c r="O5" s="124"/>
      <c r="Q5" s="133" t="s">
        <v>13</v>
      </c>
      <c r="R5" s="133"/>
    </row>
    <row r="6" spans="1:18" x14ac:dyDescent="0.25">
      <c r="A6" s="8">
        <f>SUBTOTAL(3,A8:A120)</f>
        <v>63</v>
      </c>
      <c r="B6" s="8">
        <f>SUBTOTAL(9,B8:B120)</f>
        <v>31500</v>
      </c>
      <c r="C6" s="35">
        <v>43562</v>
      </c>
      <c r="D6" s="8">
        <f>SUBTOTAL(3,D8:D121)</f>
        <v>35</v>
      </c>
      <c r="E6" s="1">
        <f>SUBTOTAL(9,E8:E121)</f>
        <v>12890</v>
      </c>
      <c r="F6" s="38">
        <v>43569</v>
      </c>
      <c r="G6" s="8">
        <f>SUBTOTAL(3,G8:G122)</f>
        <v>30</v>
      </c>
      <c r="H6" s="1">
        <f>SUBTOTAL(9,H8:H122)</f>
        <v>19650</v>
      </c>
      <c r="I6" s="39">
        <v>43576</v>
      </c>
      <c r="J6" s="8">
        <f>SUBTOTAL(3,J8:J110)</f>
        <v>36</v>
      </c>
      <c r="K6" s="1">
        <f>SUBTOTAL(9,K8:K110)</f>
        <v>23150</v>
      </c>
      <c r="L6" s="63">
        <v>43583</v>
      </c>
      <c r="M6" s="1">
        <f>SUBTOTAL(3,M8:M120)</f>
        <v>0</v>
      </c>
      <c r="N6" s="1">
        <f>SUBTOTAL(9,N8:N120)</f>
        <v>0</v>
      </c>
      <c r="O6" s="86">
        <v>43219</v>
      </c>
      <c r="Q6" s="30">
        <f>+A6+D6+G6+J6+M6</f>
        <v>164</v>
      </c>
      <c r="R6" s="29">
        <f>+B6+E6+H6+K6+N6</f>
        <v>87190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18654</v>
      </c>
      <c r="B8" s="49">
        <v>400</v>
      </c>
      <c r="C8" s="17" t="s">
        <v>44</v>
      </c>
      <c r="D8" s="13">
        <v>18717</v>
      </c>
      <c r="E8" s="70">
        <v>400</v>
      </c>
      <c r="F8" s="14" t="s">
        <v>132</v>
      </c>
      <c r="G8" s="11">
        <v>18752</v>
      </c>
      <c r="H8" s="67">
        <v>100</v>
      </c>
      <c r="I8" s="12" t="s">
        <v>217</v>
      </c>
      <c r="J8" s="61">
        <v>18782</v>
      </c>
      <c r="K8" s="71">
        <v>4400</v>
      </c>
      <c r="L8" s="62" t="s">
        <v>32</v>
      </c>
      <c r="M8" s="75"/>
      <c r="N8" s="110"/>
      <c r="O8" s="15"/>
      <c r="Q8" s="32"/>
      <c r="R8" s="32"/>
    </row>
    <row r="9" spans="1:18" x14ac:dyDescent="0.25">
      <c r="A9" s="16">
        <v>18655</v>
      </c>
      <c r="B9" s="49">
        <v>1000</v>
      </c>
      <c r="C9" s="17" t="s">
        <v>192</v>
      </c>
      <c r="D9" s="13">
        <v>18718</v>
      </c>
      <c r="E9" s="70">
        <v>400</v>
      </c>
      <c r="F9" s="14" t="s">
        <v>105</v>
      </c>
      <c r="G9" s="11">
        <v>18753</v>
      </c>
      <c r="H9" s="67">
        <v>2400</v>
      </c>
      <c r="I9" s="12" t="s">
        <v>218</v>
      </c>
      <c r="J9" s="61"/>
      <c r="K9" s="71"/>
      <c r="L9" s="62" t="s">
        <v>15</v>
      </c>
      <c r="M9" s="75"/>
      <c r="N9" s="73"/>
      <c r="O9" s="15"/>
    </row>
    <row r="10" spans="1:18" x14ac:dyDescent="0.25">
      <c r="A10" s="16"/>
      <c r="B10" s="49"/>
      <c r="C10" s="17" t="s">
        <v>193</v>
      </c>
      <c r="D10" s="13">
        <v>18719</v>
      </c>
      <c r="E10" s="70">
        <v>200</v>
      </c>
      <c r="F10" s="14" t="s">
        <v>34</v>
      </c>
      <c r="G10" s="11"/>
      <c r="H10" s="67"/>
      <c r="I10" s="12" t="s">
        <v>109</v>
      </c>
      <c r="J10" s="61"/>
      <c r="K10" s="71"/>
      <c r="L10" s="62" t="s">
        <v>86</v>
      </c>
      <c r="M10" s="75"/>
      <c r="N10" s="73"/>
      <c r="O10" s="15"/>
    </row>
    <row r="11" spans="1:18" x14ac:dyDescent="0.25">
      <c r="A11" s="16">
        <v>18656</v>
      </c>
      <c r="B11" s="49">
        <v>200</v>
      </c>
      <c r="C11" s="17" t="s">
        <v>44</v>
      </c>
      <c r="D11" s="13">
        <v>18720</v>
      </c>
      <c r="E11" s="70">
        <v>400</v>
      </c>
      <c r="F11" s="14" t="s">
        <v>132</v>
      </c>
      <c r="G11" s="11">
        <v>18754</v>
      </c>
      <c r="H11" s="67">
        <v>1200</v>
      </c>
      <c r="I11" s="12" t="s">
        <v>56</v>
      </c>
      <c r="J11" s="61">
        <v>18783</v>
      </c>
      <c r="K11" s="71">
        <v>500</v>
      </c>
      <c r="L11" s="62" t="s">
        <v>219</v>
      </c>
      <c r="M11" s="75"/>
      <c r="N11" s="73"/>
      <c r="O11" s="15"/>
    </row>
    <row r="12" spans="1:18" x14ac:dyDescent="0.25">
      <c r="A12" s="16">
        <v>18657</v>
      </c>
      <c r="B12" s="49">
        <v>200</v>
      </c>
      <c r="C12" s="17" t="s">
        <v>34</v>
      </c>
      <c r="D12" s="13">
        <v>18721</v>
      </c>
      <c r="E12" s="70">
        <v>150</v>
      </c>
      <c r="F12" s="14"/>
      <c r="G12" s="11"/>
      <c r="H12" s="67"/>
      <c r="I12" s="12" t="s">
        <v>15</v>
      </c>
      <c r="J12" s="61"/>
      <c r="K12" s="71"/>
      <c r="L12" s="62" t="s">
        <v>19</v>
      </c>
      <c r="M12" s="75"/>
      <c r="N12" s="73"/>
      <c r="O12" s="15"/>
    </row>
    <row r="13" spans="1:18" x14ac:dyDescent="0.25">
      <c r="A13" s="16">
        <v>18658</v>
      </c>
      <c r="B13" s="49">
        <v>300</v>
      </c>
      <c r="C13" s="17" t="s">
        <v>132</v>
      </c>
      <c r="D13" s="13">
        <v>18722</v>
      </c>
      <c r="E13" s="70">
        <v>400</v>
      </c>
      <c r="F13" s="14" t="s">
        <v>97</v>
      </c>
      <c r="G13" s="11">
        <v>18755</v>
      </c>
      <c r="H13" s="67">
        <v>400</v>
      </c>
      <c r="I13" s="12" t="s">
        <v>97</v>
      </c>
      <c r="J13" s="61">
        <v>18784</v>
      </c>
      <c r="K13" s="71">
        <v>600</v>
      </c>
      <c r="L13" s="62" t="s">
        <v>62</v>
      </c>
      <c r="M13" s="75"/>
      <c r="N13" s="73"/>
      <c r="O13" s="15"/>
    </row>
    <row r="14" spans="1:18" ht="15" customHeight="1" x14ac:dyDescent="0.25">
      <c r="A14" s="16">
        <v>18659</v>
      </c>
      <c r="B14" s="49"/>
      <c r="C14" s="17" t="s">
        <v>44</v>
      </c>
      <c r="D14" s="13">
        <v>18723</v>
      </c>
      <c r="E14" s="70">
        <v>400</v>
      </c>
      <c r="F14" s="14"/>
      <c r="G14" s="11">
        <v>18756</v>
      </c>
      <c r="H14" s="67">
        <v>400</v>
      </c>
      <c r="I14" s="12" t="s">
        <v>162</v>
      </c>
      <c r="J14" s="61"/>
      <c r="K14" s="71"/>
      <c r="L14" s="62" t="s">
        <v>57</v>
      </c>
      <c r="M14" s="75"/>
      <c r="N14" s="73"/>
      <c r="O14" s="115"/>
    </row>
    <row r="15" spans="1:18" hidden="1" x14ac:dyDescent="0.25">
      <c r="A15" s="16"/>
      <c r="B15" s="49"/>
      <c r="C15" s="17"/>
      <c r="D15" s="13"/>
      <c r="E15" s="70"/>
      <c r="F15" s="14"/>
      <c r="G15" s="11">
        <v>18757</v>
      </c>
      <c r="H15" s="67">
        <v>200</v>
      </c>
      <c r="I15" s="12" t="s">
        <v>48</v>
      </c>
      <c r="J15" s="61"/>
      <c r="K15" s="71"/>
      <c r="L15" s="92"/>
      <c r="M15" s="75"/>
      <c r="N15" s="73"/>
      <c r="O15" s="15"/>
    </row>
    <row r="16" spans="1:18" x14ac:dyDescent="0.25">
      <c r="A16" s="16"/>
      <c r="B16" s="49"/>
      <c r="C16" s="17" t="s">
        <v>194</v>
      </c>
      <c r="D16" s="13">
        <v>18724</v>
      </c>
      <c r="E16" s="70">
        <v>890</v>
      </c>
      <c r="F16" s="14" t="s">
        <v>204</v>
      </c>
      <c r="G16" s="11">
        <v>18758</v>
      </c>
      <c r="H16" s="67">
        <v>800</v>
      </c>
      <c r="I16" s="12"/>
      <c r="J16" s="61">
        <v>18785</v>
      </c>
      <c r="K16" s="71">
        <v>300</v>
      </c>
      <c r="L16" s="62" t="s">
        <v>29</v>
      </c>
      <c r="M16" s="75"/>
      <c r="N16" s="73"/>
      <c r="O16" s="15"/>
    </row>
    <row r="17" spans="1:15" x14ac:dyDescent="0.25">
      <c r="A17" s="16">
        <v>18660</v>
      </c>
      <c r="B17" s="49">
        <v>100</v>
      </c>
      <c r="C17" s="17"/>
      <c r="D17" s="13"/>
      <c r="E17" s="70"/>
      <c r="F17" s="14" t="s">
        <v>205</v>
      </c>
      <c r="G17" s="11"/>
      <c r="H17" s="67"/>
      <c r="I17" s="12" t="s">
        <v>15</v>
      </c>
      <c r="J17" s="61"/>
      <c r="K17" s="71"/>
      <c r="L17" s="62" t="s">
        <v>57</v>
      </c>
      <c r="M17" s="75"/>
      <c r="N17" s="73"/>
      <c r="O17" s="15"/>
    </row>
    <row r="18" spans="1:15" x14ac:dyDescent="0.25">
      <c r="A18" s="16">
        <v>18661</v>
      </c>
      <c r="B18" s="49">
        <v>750</v>
      </c>
      <c r="C18" s="17" t="s">
        <v>56</v>
      </c>
      <c r="D18" s="13">
        <v>18725</v>
      </c>
      <c r="E18" s="70">
        <v>200</v>
      </c>
      <c r="F18" s="14" t="s">
        <v>34</v>
      </c>
      <c r="G18" s="11"/>
      <c r="H18" s="67"/>
      <c r="I18" s="12"/>
      <c r="J18" s="61">
        <v>18786</v>
      </c>
      <c r="K18" s="71"/>
      <c r="L18" s="62" t="s">
        <v>59</v>
      </c>
      <c r="M18" s="75"/>
      <c r="N18" s="73"/>
      <c r="O18" s="15"/>
    </row>
    <row r="19" spans="1:15" x14ac:dyDescent="0.25">
      <c r="A19" s="16"/>
      <c r="B19" s="49"/>
      <c r="C19" s="17" t="s">
        <v>19</v>
      </c>
      <c r="D19" s="13">
        <v>18726</v>
      </c>
      <c r="E19" s="70">
        <v>400</v>
      </c>
      <c r="F19" s="33"/>
      <c r="G19" s="11">
        <v>18759</v>
      </c>
      <c r="H19" s="67">
        <v>300</v>
      </c>
      <c r="I19" s="12"/>
      <c r="J19" s="61">
        <v>18787</v>
      </c>
      <c r="K19" s="71">
        <v>900</v>
      </c>
      <c r="L19" s="62" t="s">
        <v>191</v>
      </c>
      <c r="M19" s="75"/>
      <c r="N19" s="73"/>
      <c r="O19" s="15"/>
    </row>
    <row r="20" spans="1:15" x14ac:dyDescent="0.25">
      <c r="A20" s="16">
        <v>18662</v>
      </c>
      <c r="B20" s="49">
        <v>250</v>
      </c>
      <c r="C20" s="17"/>
      <c r="D20" s="13">
        <v>18727</v>
      </c>
      <c r="E20" s="70">
        <v>800</v>
      </c>
      <c r="F20" s="14" t="s">
        <v>204</v>
      </c>
      <c r="G20" s="11">
        <v>18760</v>
      </c>
      <c r="H20" s="67">
        <v>400</v>
      </c>
      <c r="I20" s="12" t="s">
        <v>187</v>
      </c>
      <c r="J20" s="61"/>
      <c r="K20" s="71"/>
      <c r="L20" s="62" t="s">
        <v>16</v>
      </c>
      <c r="M20" s="75"/>
      <c r="N20" s="73"/>
      <c r="O20" s="15"/>
    </row>
    <row r="21" spans="1:15" x14ac:dyDescent="0.25">
      <c r="A21" s="16">
        <v>18663</v>
      </c>
      <c r="B21" s="49">
        <v>1200</v>
      </c>
      <c r="C21" s="17" t="s">
        <v>62</v>
      </c>
      <c r="D21" s="13"/>
      <c r="E21" s="70"/>
      <c r="F21" s="14" t="s">
        <v>206</v>
      </c>
      <c r="G21" s="11">
        <v>18761</v>
      </c>
      <c r="H21" s="67">
        <v>1200</v>
      </c>
      <c r="I21" s="12" t="s">
        <v>15</v>
      </c>
      <c r="J21" s="61">
        <v>18788</v>
      </c>
      <c r="K21" s="71">
        <v>300</v>
      </c>
      <c r="L21" s="62" t="s">
        <v>220</v>
      </c>
      <c r="M21" s="75"/>
      <c r="N21" s="73"/>
      <c r="O21" s="15"/>
    </row>
    <row r="22" spans="1:15" x14ac:dyDescent="0.25">
      <c r="A22" s="16"/>
      <c r="B22" s="49"/>
      <c r="C22" s="17" t="s">
        <v>16</v>
      </c>
      <c r="D22" s="13">
        <v>18728</v>
      </c>
      <c r="E22" s="70">
        <v>400</v>
      </c>
      <c r="F22" s="14"/>
      <c r="G22" s="11"/>
      <c r="H22" s="67"/>
      <c r="I22" s="12" t="s">
        <v>48</v>
      </c>
      <c r="J22" s="61">
        <v>18789</v>
      </c>
      <c r="K22" s="71">
        <v>800</v>
      </c>
      <c r="L22" s="62" t="s">
        <v>152</v>
      </c>
      <c r="M22" s="75"/>
      <c r="N22" s="73"/>
      <c r="O22" s="15"/>
    </row>
    <row r="23" spans="1:15" x14ac:dyDescent="0.25">
      <c r="A23" s="16">
        <v>18664</v>
      </c>
      <c r="B23" s="49">
        <v>600</v>
      </c>
      <c r="C23" s="17" t="s">
        <v>56</v>
      </c>
      <c r="D23" s="13">
        <v>18729</v>
      </c>
      <c r="E23" s="70">
        <v>400</v>
      </c>
      <c r="F23" s="14"/>
      <c r="G23" s="11">
        <v>18762</v>
      </c>
      <c r="H23" s="67">
        <v>800</v>
      </c>
      <c r="I23" s="12" t="s">
        <v>15</v>
      </c>
      <c r="J23" s="61"/>
      <c r="K23" s="71"/>
      <c r="L23" s="62" t="s">
        <v>15</v>
      </c>
      <c r="M23" s="75"/>
      <c r="N23" s="73"/>
      <c r="O23" s="15"/>
    </row>
    <row r="24" spans="1:15" x14ac:dyDescent="0.25">
      <c r="A24" s="16"/>
      <c r="B24" s="49"/>
      <c r="C24" s="17" t="s">
        <v>14</v>
      </c>
      <c r="D24" s="13">
        <v>18730</v>
      </c>
      <c r="E24" s="70">
        <v>400</v>
      </c>
      <c r="F24" s="14"/>
      <c r="G24" s="11"/>
      <c r="H24" s="67"/>
      <c r="I24" s="12" t="s">
        <v>152</v>
      </c>
      <c r="J24" s="61">
        <v>18790</v>
      </c>
      <c r="K24" s="71">
        <v>900</v>
      </c>
      <c r="L24" s="62" t="s">
        <v>187</v>
      </c>
      <c r="M24" s="75"/>
      <c r="N24" s="73"/>
      <c r="O24" s="15"/>
    </row>
    <row r="25" spans="1:15" x14ac:dyDescent="0.25">
      <c r="A25" s="16">
        <v>18665</v>
      </c>
      <c r="B25" s="49">
        <v>300</v>
      </c>
      <c r="C25" s="17"/>
      <c r="D25" s="13">
        <v>18731</v>
      </c>
      <c r="E25" s="70">
        <v>300</v>
      </c>
      <c r="F25" s="14" t="s">
        <v>177</v>
      </c>
      <c r="G25" s="11">
        <v>18763</v>
      </c>
      <c r="H25" s="67">
        <v>800</v>
      </c>
      <c r="I25" s="12" t="s">
        <v>15</v>
      </c>
      <c r="J25" s="61"/>
      <c r="K25" s="71"/>
      <c r="L25" s="62" t="s">
        <v>16</v>
      </c>
      <c r="M25" s="75"/>
      <c r="N25" s="73"/>
      <c r="O25" s="15"/>
    </row>
    <row r="26" spans="1:15" x14ac:dyDescent="0.25">
      <c r="A26" s="16">
        <v>18666</v>
      </c>
      <c r="B26" s="49">
        <v>600</v>
      </c>
      <c r="C26" s="17" t="s">
        <v>132</v>
      </c>
      <c r="D26" s="13"/>
      <c r="E26" s="70"/>
      <c r="F26" s="14" t="s">
        <v>66</v>
      </c>
      <c r="G26" s="11"/>
      <c r="H26" s="67"/>
      <c r="I26" s="12" t="s">
        <v>132</v>
      </c>
      <c r="J26" s="61">
        <v>18791</v>
      </c>
      <c r="K26" s="71">
        <v>1000</v>
      </c>
      <c r="L26" s="62" t="s">
        <v>152</v>
      </c>
      <c r="M26" s="75"/>
      <c r="N26" s="73"/>
      <c r="O26" s="15"/>
    </row>
    <row r="27" spans="1:15" x14ac:dyDescent="0.25">
      <c r="A27" s="16">
        <v>18667</v>
      </c>
      <c r="B27" s="49">
        <v>400</v>
      </c>
      <c r="C27" s="17" t="s">
        <v>152</v>
      </c>
      <c r="D27" s="13">
        <v>18732</v>
      </c>
      <c r="E27" s="70">
        <v>400</v>
      </c>
      <c r="F27" s="14" t="s">
        <v>207</v>
      </c>
      <c r="G27" s="11">
        <v>18764</v>
      </c>
      <c r="H27" s="67">
        <v>400</v>
      </c>
      <c r="I27" s="12"/>
      <c r="J27" s="61"/>
      <c r="K27" s="71"/>
      <c r="L27" s="62" t="s">
        <v>221</v>
      </c>
      <c r="M27" s="75"/>
      <c r="N27" s="73"/>
      <c r="O27" s="31"/>
    </row>
    <row r="28" spans="1:15" x14ac:dyDescent="0.25">
      <c r="A28" s="16"/>
      <c r="B28" s="49"/>
      <c r="C28" s="17" t="s">
        <v>14</v>
      </c>
      <c r="D28" s="13"/>
      <c r="E28" s="70"/>
      <c r="F28" s="14" t="s">
        <v>14</v>
      </c>
      <c r="G28" s="11">
        <v>18765</v>
      </c>
      <c r="H28" s="67">
        <v>400</v>
      </c>
      <c r="I28" s="12" t="s">
        <v>48</v>
      </c>
      <c r="J28" s="61">
        <v>18792</v>
      </c>
      <c r="K28" s="71">
        <v>400</v>
      </c>
      <c r="L28" s="62" t="s">
        <v>97</v>
      </c>
      <c r="M28" s="75"/>
      <c r="N28" s="73"/>
      <c r="O28" s="15"/>
    </row>
    <row r="29" spans="1:15" x14ac:dyDescent="0.25">
      <c r="A29" s="16">
        <v>18668</v>
      </c>
      <c r="B29" s="49"/>
      <c r="C29" s="17" t="s">
        <v>59</v>
      </c>
      <c r="D29" s="13">
        <v>18733</v>
      </c>
      <c r="E29" s="70">
        <v>200</v>
      </c>
      <c r="F29" s="14" t="s">
        <v>208</v>
      </c>
      <c r="G29" s="11">
        <v>18766</v>
      </c>
      <c r="H29" s="67">
        <v>800</v>
      </c>
      <c r="I29" s="12" t="s">
        <v>15</v>
      </c>
      <c r="J29" s="61">
        <v>18793</v>
      </c>
      <c r="K29" s="71">
        <v>400</v>
      </c>
      <c r="L29" s="62" t="s">
        <v>222</v>
      </c>
      <c r="M29" s="75"/>
      <c r="N29" s="73"/>
      <c r="O29" s="15"/>
    </row>
    <row r="30" spans="1:15" x14ac:dyDescent="0.25">
      <c r="A30" s="16">
        <v>18669</v>
      </c>
      <c r="B30" s="49">
        <v>1200</v>
      </c>
      <c r="C30" s="17" t="s">
        <v>56</v>
      </c>
      <c r="D30" s="13">
        <v>18734</v>
      </c>
      <c r="E30" s="70">
        <v>200</v>
      </c>
      <c r="F30" s="14" t="s">
        <v>209</v>
      </c>
      <c r="G30" s="11"/>
      <c r="H30" s="67"/>
      <c r="I30" s="12"/>
      <c r="J30" s="61"/>
      <c r="K30" s="71"/>
      <c r="L30" s="62" t="s">
        <v>14</v>
      </c>
      <c r="M30" s="75"/>
      <c r="N30" s="73"/>
      <c r="O30" s="15"/>
    </row>
    <row r="31" spans="1:15" x14ac:dyDescent="0.25">
      <c r="A31" s="16"/>
      <c r="B31" s="49"/>
      <c r="C31" s="17" t="s">
        <v>15</v>
      </c>
      <c r="D31" s="13">
        <v>18735</v>
      </c>
      <c r="E31" s="70">
        <v>800</v>
      </c>
      <c r="F31" s="14" t="s">
        <v>29</v>
      </c>
      <c r="G31" s="11">
        <v>18767</v>
      </c>
      <c r="H31" s="67">
        <v>300</v>
      </c>
      <c r="I31" s="12" t="s">
        <v>177</v>
      </c>
      <c r="J31" s="61">
        <v>18794</v>
      </c>
      <c r="K31" s="71">
        <v>400</v>
      </c>
      <c r="L31" s="62"/>
      <c r="M31" s="75"/>
      <c r="N31" s="73"/>
      <c r="O31" s="15"/>
    </row>
    <row r="32" spans="1:15" x14ac:dyDescent="0.25">
      <c r="A32" s="16">
        <v>18670</v>
      </c>
      <c r="B32" s="49">
        <v>1000</v>
      </c>
      <c r="C32" s="17" t="s">
        <v>56</v>
      </c>
      <c r="D32" s="13"/>
      <c r="E32" s="70"/>
      <c r="F32" s="14" t="s">
        <v>15</v>
      </c>
      <c r="G32" s="11">
        <v>18768</v>
      </c>
      <c r="H32" s="67">
        <v>1200</v>
      </c>
      <c r="I32" s="12" t="s">
        <v>15</v>
      </c>
      <c r="J32" s="61">
        <v>18795</v>
      </c>
      <c r="K32" s="71">
        <v>200</v>
      </c>
      <c r="L32" s="62" t="s">
        <v>223</v>
      </c>
      <c r="M32" s="75"/>
      <c r="N32" s="73"/>
      <c r="O32" s="15"/>
    </row>
    <row r="33" spans="1:15" x14ac:dyDescent="0.25">
      <c r="A33" s="16"/>
      <c r="B33" s="49"/>
      <c r="C33" s="17" t="s">
        <v>195</v>
      </c>
      <c r="D33" s="13">
        <v>18736</v>
      </c>
      <c r="E33" s="70">
        <v>300</v>
      </c>
      <c r="F33" s="14"/>
      <c r="G33" s="11"/>
      <c r="H33" s="67"/>
      <c r="I33" s="12" t="s">
        <v>187</v>
      </c>
      <c r="J33" s="61">
        <v>18796</v>
      </c>
      <c r="K33" s="71">
        <v>400</v>
      </c>
      <c r="L33" s="62"/>
      <c r="M33" s="75"/>
      <c r="N33" s="73"/>
      <c r="O33" s="15"/>
    </row>
    <row r="34" spans="1:15" x14ac:dyDescent="0.25">
      <c r="A34" s="16"/>
      <c r="B34" s="49"/>
      <c r="C34" s="17" t="s">
        <v>196</v>
      </c>
      <c r="D34" s="13">
        <v>18737</v>
      </c>
      <c r="E34" s="70">
        <v>250</v>
      </c>
      <c r="F34" s="14"/>
      <c r="G34" s="11">
        <v>18769</v>
      </c>
      <c r="H34" s="67">
        <v>1200</v>
      </c>
      <c r="I34" s="12" t="s">
        <v>15</v>
      </c>
      <c r="J34" s="61">
        <v>18797</v>
      </c>
      <c r="K34" s="71">
        <v>400</v>
      </c>
      <c r="L34" s="62" t="s">
        <v>208</v>
      </c>
      <c r="M34" s="75"/>
      <c r="N34" s="73"/>
      <c r="O34" s="31"/>
    </row>
    <row r="35" spans="1:15" x14ac:dyDescent="0.25">
      <c r="A35" s="16">
        <v>18671</v>
      </c>
      <c r="B35" s="49">
        <v>600</v>
      </c>
      <c r="C35" s="17" t="s">
        <v>56</v>
      </c>
      <c r="D35" s="13">
        <v>18738</v>
      </c>
      <c r="E35" s="70">
        <v>300</v>
      </c>
      <c r="F35" s="14" t="s">
        <v>210</v>
      </c>
      <c r="G35" s="11"/>
      <c r="H35" s="67"/>
      <c r="I35" s="12" t="s">
        <v>213</v>
      </c>
      <c r="J35" s="61">
        <v>18798</v>
      </c>
      <c r="K35" s="71">
        <v>800</v>
      </c>
      <c r="L35" s="62" t="s">
        <v>219</v>
      </c>
      <c r="M35" s="75"/>
      <c r="N35" s="73"/>
      <c r="O35" s="15"/>
    </row>
    <row r="36" spans="1:15" x14ac:dyDescent="0.25">
      <c r="A36" s="16"/>
      <c r="B36" s="49"/>
      <c r="C36" s="17" t="s">
        <v>14</v>
      </c>
      <c r="D36" s="13">
        <v>18739</v>
      </c>
      <c r="E36" s="70">
        <v>400</v>
      </c>
      <c r="F36" s="14" t="s">
        <v>211</v>
      </c>
      <c r="G36" s="11">
        <v>18770</v>
      </c>
      <c r="H36" s="67">
        <v>250</v>
      </c>
      <c r="I36" s="12" t="s">
        <v>214</v>
      </c>
      <c r="J36" s="61"/>
      <c r="K36" s="71"/>
      <c r="L36" s="62" t="s">
        <v>15</v>
      </c>
      <c r="M36" s="75"/>
      <c r="N36" s="73"/>
      <c r="O36" s="15"/>
    </row>
    <row r="37" spans="1:15" x14ac:dyDescent="0.25">
      <c r="A37" s="16">
        <v>18672</v>
      </c>
      <c r="B37" s="49">
        <v>200</v>
      </c>
      <c r="C37" s="17"/>
      <c r="D37" s="13"/>
      <c r="E37" s="70"/>
      <c r="F37" s="14" t="s">
        <v>14</v>
      </c>
      <c r="G37" s="11"/>
      <c r="H37" s="67"/>
      <c r="I37" s="12" t="s">
        <v>56</v>
      </c>
      <c r="J37" s="61">
        <v>18799</v>
      </c>
      <c r="K37" s="71">
        <v>300</v>
      </c>
      <c r="L37" s="62"/>
      <c r="M37" s="75"/>
      <c r="N37" s="73"/>
      <c r="O37" s="15"/>
    </row>
    <row r="38" spans="1:15" x14ac:dyDescent="0.25">
      <c r="A38" s="16">
        <v>18673</v>
      </c>
      <c r="B38" s="49">
        <v>400</v>
      </c>
      <c r="C38" s="17" t="s">
        <v>152</v>
      </c>
      <c r="D38" s="13">
        <v>18740</v>
      </c>
      <c r="E38" s="70">
        <v>400</v>
      </c>
      <c r="F38" s="14"/>
      <c r="G38" s="11">
        <v>18771</v>
      </c>
      <c r="H38" s="67">
        <v>900</v>
      </c>
      <c r="I38" s="12" t="s">
        <v>16</v>
      </c>
      <c r="J38" s="61">
        <v>18800</v>
      </c>
      <c r="K38" s="71">
        <v>300</v>
      </c>
      <c r="L38" s="62" t="s">
        <v>208</v>
      </c>
      <c r="M38" s="75"/>
      <c r="N38" s="73"/>
      <c r="O38" s="15"/>
    </row>
    <row r="39" spans="1:15" x14ac:dyDescent="0.25">
      <c r="A39" s="16"/>
      <c r="B39" s="49"/>
      <c r="C39" s="17" t="s">
        <v>14</v>
      </c>
      <c r="D39" s="13">
        <v>18741</v>
      </c>
      <c r="E39" s="70">
        <v>500</v>
      </c>
      <c r="F39" s="14"/>
      <c r="G39" s="11"/>
      <c r="H39" s="67"/>
      <c r="I39" s="12" t="s">
        <v>215</v>
      </c>
      <c r="J39" s="61">
        <v>18801</v>
      </c>
      <c r="K39" s="71">
        <v>800</v>
      </c>
      <c r="L39" s="62" t="s">
        <v>219</v>
      </c>
      <c r="M39" s="75"/>
      <c r="N39" s="73"/>
      <c r="O39" s="15"/>
    </row>
    <row r="40" spans="1:15" x14ac:dyDescent="0.25">
      <c r="A40" s="16">
        <v>18674</v>
      </c>
      <c r="B40" s="49">
        <v>200</v>
      </c>
      <c r="C40" s="17"/>
      <c r="D40" s="13">
        <v>18742</v>
      </c>
      <c r="E40" s="70">
        <v>400</v>
      </c>
      <c r="F40" s="14"/>
      <c r="G40" s="11">
        <v>18772</v>
      </c>
      <c r="H40" s="67">
        <v>800</v>
      </c>
      <c r="I40" s="12" t="s">
        <v>216</v>
      </c>
      <c r="J40" s="61"/>
      <c r="K40" s="71"/>
      <c r="L40" s="62" t="s">
        <v>15</v>
      </c>
      <c r="M40" s="75"/>
      <c r="N40" s="73"/>
      <c r="O40" s="15"/>
    </row>
    <row r="41" spans="1:15" x14ac:dyDescent="0.25">
      <c r="A41" s="16">
        <v>18675</v>
      </c>
      <c r="B41" s="49">
        <v>400</v>
      </c>
      <c r="C41" s="17"/>
      <c r="D41" s="13">
        <v>18743</v>
      </c>
      <c r="E41" s="70">
        <v>400</v>
      </c>
      <c r="F41" s="14"/>
      <c r="G41" s="11"/>
      <c r="H41" s="67"/>
      <c r="I41" s="12" t="s">
        <v>215</v>
      </c>
      <c r="J41" s="61">
        <v>18802</v>
      </c>
      <c r="K41" s="71">
        <v>400</v>
      </c>
      <c r="L41" s="62" t="s">
        <v>208</v>
      </c>
      <c r="M41" s="75"/>
      <c r="N41" s="73"/>
      <c r="O41" s="15"/>
    </row>
    <row r="42" spans="1:15" x14ac:dyDescent="0.25">
      <c r="A42" s="16">
        <v>18676</v>
      </c>
      <c r="B42" s="49">
        <v>400</v>
      </c>
      <c r="C42" s="17" t="s">
        <v>132</v>
      </c>
      <c r="D42" s="13">
        <v>18744</v>
      </c>
      <c r="E42" s="70">
        <v>400</v>
      </c>
      <c r="F42" s="14" t="s">
        <v>97</v>
      </c>
      <c r="G42" s="11">
        <v>18773</v>
      </c>
      <c r="H42" s="67">
        <v>800</v>
      </c>
      <c r="I42" s="12" t="s">
        <v>216</v>
      </c>
      <c r="J42" s="61">
        <v>18803</v>
      </c>
      <c r="K42" s="71">
        <v>400</v>
      </c>
      <c r="L42" s="62"/>
      <c r="M42" s="75"/>
      <c r="N42" s="73"/>
      <c r="O42" s="15"/>
    </row>
    <row r="43" spans="1:15" x14ac:dyDescent="0.25">
      <c r="A43" s="16">
        <v>18677</v>
      </c>
      <c r="B43" s="49">
        <v>1200</v>
      </c>
      <c r="C43" s="17" t="s">
        <v>187</v>
      </c>
      <c r="D43" s="13">
        <v>18745</v>
      </c>
      <c r="E43" s="70">
        <v>350</v>
      </c>
      <c r="F43" s="14"/>
      <c r="G43" s="11"/>
      <c r="H43" s="67"/>
      <c r="I43" s="12" t="s">
        <v>152</v>
      </c>
      <c r="J43" s="61">
        <v>18804</v>
      </c>
      <c r="K43" s="71">
        <v>750</v>
      </c>
      <c r="L43" s="62" t="s">
        <v>187</v>
      </c>
      <c r="M43" s="75"/>
      <c r="N43" s="73"/>
      <c r="O43" s="15"/>
    </row>
    <row r="44" spans="1:15" x14ac:dyDescent="0.25">
      <c r="A44" s="16"/>
      <c r="B44" s="49"/>
      <c r="C44" s="17" t="s">
        <v>15</v>
      </c>
      <c r="D44" s="13">
        <v>18746</v>
      </c>
      <c r="E44" s="70">
        <v>400</v>
      </c>
      <c r="F44" s="14"/>
      <c r="G44" s="11">
        <v>18774</v>
      </c>
      <c r="H44" s="67">
        <v>400</v>
      </c>
      <c r="I44" s="12" t="s">
        <v>14</v>
      </c>
      <c r="J44" s="61"/>
      <c r="K44" s="71"/>
      <c r="L44" s="62" t="s">
        <v>19</v>
      </c>
      <c r="M44" s="75"/>
      <c r="N44" s="73"/>
      <c r="O44" s="15"/>
    </row>
    <row r="45" spans="1:15" x14ac:dyDescent="0.25">
      <c r="A45" s="16">
        <v>18678</v>
      </c>
      <c r="B45" s="49">
        <v>400</v>
      </c>
      <c r="C45" s="17" t="s">
        <v>132</v>
      </c>
      <c r="D45" s="13">
        <v>18747</v>
      </c>
      <c r="E45" s="70">
        <v>500</v>
      </c>
      <c r="F45" s="14" t="s">
        <v>159</v>
      </c>
      <c r="G45" s="11"/>
      <c r="H45" s="67"/>
      <c r="I45" s="12" t="s">
        <v>191</v>
      </c>
      <c r="J45" s="61">
        <v>18805</v>
      </c>
      <c r="K45" s="71">
        <v>400</v>
      </c>
      <c r="L45" s="62" t="s">
        <v>132</v>
      </c>
      <c r="M45" s="75"/>
      <c r="N45" s="73"/>
      <c r="O45" s="15"/>
    </row>
    <row r="46" spans="1:15" x14ac:dyDescent="0.25">
      <c r="A46" s="16">
        <v>18679</v>
      </c>
      <c r="B46" s="49">
        <v>800</v>
      </c>
      <c r="C46" s="17" t="s">
        <v>197</v>
      </c>
      <c r="D46" s="13"/>
      <c r="E46" s="70"/>
      <c r="F46" s="14" t="s">
        <v>19</v>
      </c>
      <c r="G46" s="11">
        <v>18775</v>
      </c>
      <c r="H46" s="67">
        <v>1200</v>
      </c>
      <c r="I46" s="12" t="s">
        <v>15</v>
      </c>
      <c r="J46" s="61">
        <v>18806</v>
      </c>
      <c r="K46" s="71">
        <v>400</v>
      </c>
      <c r="L46" s="62" t="s">
        <v>132</v>
      </c>
      <c r="M46" s="75"/>
      <c r="N46" s="73"/>
      <c r="O46" s="15"/>
    </row>
    <row r="47" spans="1:15" x14ac:dyDescent="0.25">
      <c r="A47" s="16"/>
      <c r="B47" s="49"/>
      <c r="C47" s="17" t="s">
        <v>15</v>
      </c>
      <c r="D47" s="13">
        <v>18748</v>
      </c>
      <c r="E47" s="70">
        <v>50</v>
      </c>
      <c r="F47" s="14" t="s">
        <v>20</v>
      </c>
      <c r="G47" s="11"/>
      <c r="H47" s="67"/>
      <c r="I47" s="12" t="s">
        <v>132</v>
      </c>
      <c r="J47" s="61">
        <v>18807</v>
      </c>
      <c r="K47" s="71">
        <v>800</v>
      </c>
      <c r="L47" s="62" t="s">
        <v>48</v>
      </c>
      <c r="M47" s="75"/>
      <c r="N47" s="73"/>
      <c r="O47" s="15"/>
    </row>
    <row r="48" spans="1:15" x14ac:dyDescent="0.25">
      <c r="A48" s="16">
        <v>18680</v>
      </c>
      <c r="B48" s="49">
        <v>200</v>
      </c>
      <c r="C48" s="17"/>
      <c r="D48" s="13">
        <v>18749</v>
      </c>
      <c r="E48" s="70">
        <v>200</v>
      </c>
      <c r="F48" s="14" t="s">
        <v>212</v>
      </c>
      <c r="G48" s="11">
        <v>18776</v>
      </c>
      <c r="H48" s="67">
        <v>300</v>
      </c>
      <c r="I48" s="12" t="s">
        <v>197</v>
      </c>
      <c r="J48" s="61"/>
      <c r="K48" s="71"/>
      <c r="L48" s="62" t="s">
        <v>15</v>
      </c>
      <c r="M48" s="75"/>
      <c r="N48" s="73"/>
      <c r="O48" s="15"/>
    </row>
    <row r="49" spans="1:15" x14ac:dyDescent="0.25">
      <c r="A49" s="16">
        <v>18681</v>
      </c>
      <c r="B49" s="49">
        <v>800</v>
      </c>
      <c r="C49" s="17" t="s">
        <v>152</v>
      </c>
      <c r="D49" s="13">
        <v>18750</v>
      </c>
      <c r="E49" s="70"/>
      <c r="F49" s="14" t="s">
        <v>59</v>
      </c>
      <c r="G49" s="11">
        <v>18777</v>
      </c>
      <c r="H49" s="67">
        <v>400</v>
      </c>
      <c r="I49" s="12" t="s">
        <v>14</v>
      </c>
      <c r="J49" s="61">
        <v>18808</v>
      </c>
      <c r="K49" s="71">
        <v>500</v>
      </c>
      <c r="L49" s="62" t="s">
        <v>219</v>
      </c>
      <c r="M49" s="75"/>
      <c r="N49" s="73"/>
      <c r="O49" s="15"/>
    </row>
    <row r="50" spans="1:15" x14ac:dyDescent="0.25">
      <c r="A50" s="16"/>
      <c r="B50" s="49"/>
      <c r="C50" s="17" t="s">
        <v>15</v>
      </c>
      <c r="D50" s="13">
        <v>18751</v>
      </c>
      <c r="E50" s="70">
        <v>300</v>
      </c>
      <c r="F50" s="14"/>
      <c r="G50" s="11"/>
      <c r="H50" s="67"/>
      <c r="I50" s="12" t="s">
        <v>59</v>
      </c>
      <c r="J50" s="61"/>
      <c r="K50" s="71"/>
      <c r="L50" s="62" t="s">
        <v>19</v>
      </c>
      <c r="M50" s="75"/>
      <c r="N50" s="73"/>
      <c r="O50" s="15"/>
    </row>
    <row r="51" spans="1:15" x14ac:dyDescent="0.25">
      <c r="A51" s="16">
        <v>18682</v>
      </c>
      <c r="B51" s="49">
        <v>400</v>
      </c>
      <c r="C51" s="17"/>
      <c r="D51" s="13"/>
      <c r="E51" s="70"/>
      <c r="F51" s="14"/>
      <c r="G51" s="11">
        <v>18778</v>
      </c>
      <c r="H51" s="67"/>
      <c r="I51" s="12" t="s">
        <v>48</v>
      </c>
      <c r="J51" s="61">
        <v>18809</v>
      </c>
      <c r="K51" s="71">
        <v>1200</v>
      </c>
      <c r="L51" s="62" t="s">
        <v>200</v>
      </c>
      <c r="M51" s="75"/>
      <c r="N51" s="73"/>
      <c r="O51" s="15"/>
    </row>
    <row r="52" spans="1:15" x14ac:dyDescent="0.25">
      <c r="A52" s="16">
        <v>18683</v>
      </c>
      <c r="B52" s="49">
        <v>400</v>
      </c>
      <c r="C52" s="17"/>
      <c r="D52" s="13"/>
      <c r="E52" s="70"/>
      <c r="F52" s="14"/>
      <c r="G52" s="11">
        <v>18779</v>
      </c>
      <c r="H52" s="67">
        <v>800</v>
      </c>
      <c r="I52" s="12" t="s">
        <v>15</v>
      </c>
      <c r="J52" s="61"/>
      <c r="K52" s="71"/>
      <c r="L52" s="62" t="s">
        <v>224</v>
      </c>
      <c r="M52" s="75"/>
      <c r="N52" s="73"/>
      <c r="O52" s="15"/>
    </row>
    <row r="53" spans="1:15" x14ac:dyDescent="0.25">
      <c r="A53" s="16">
        <v>18684</v>
      </c>
      <c r="B53" s="49">
        <v>400</v>
      </c>
      <c r="C53" s="17"/>
      <c r="D53" s="13"/>
      <c r="E53" s="70"/>
      <c r="F53" s="14"/>
      <c r="G53" s="11"/>
      <c r="H53" s="67"/>
      <c r="I53" s="12"/>
      <c r="J53" s="61">
        <v>18810</v>
      </c>
      <c r="K53" s="71">
        <v>400</v>
      </c>
      <c r="L53" s="62" t="s">
        <v>208</v>
      </c>
      <c r="M53" s="75"/>
      <c r="N53" s="73"/>
      <c r="O53" s="15"/>
    </row>
    <row r="54" spans="1:15" x14ac:dyDescent="0.25">
      <c r="A54" s="16">
        <v>18685</v>
      </c>
      <c r="B54" s="49">
        <v>50</v>
      </c>
      <c r="C54" s="17" t="s">
        <v>20</v>
      </c>
      <c r="D54" s="13"/>
      <c r="E54" s="70"/>
      <c r="F54" s="14"/>
      <c r="G54" s="11">
        <v>18780</v>
      </c>
      <c r="H54" s="67">
        <v>300</v>
      </c>
      <c r="I54" s="12" t="s">
        <v>34</v>
      </c>
      <c r="J54" s="61">
        <v>18811</v>
      </c>
      <c r="K54" s="71">
        <v>400</v>
      </c>
      <c r="L54" s="62"/>
      <c r="M54" s="75"/>
      <c r="N54" s="73"/>
      <c r="O54" s="15"/>
    </row>
    <row r="55" spans="1:15" x14ac:dyDescent="0.25">
      <c r="A55" s="16">
        <v>18686</v>
      </c>
      <c r="B55" s="49">
        <v>350</v>
      </c>
      <c r="C55" s="17"/>
      <c r="D55" s="13"/>
      <c r="E55" s="70"/>
      <c r="F55" s="14"/>
      <c r="G55" s="11">
        <v>18781</v>
      </c>
      <c r="H55" s="67">
        <v>200</v>
      </c>
      <c r="I55" s="12"/>
      <c r="J55" s="61">
        <v>18812</v>
      </c>
      <c r="K55" s="71"/>
      <c r="L55" s="62" t="s">
        <v>59</v>
      </c>
      <c r="M55" s="75"/>
      <c r="N55" s="73"/>
      <c r="O55" s="15"/>
    </row>
    <row r="56" spans="1:15" x14ac:dyDescent="0.25">
      <c r="A56" s="16">
        <v>18687</v>
      </c>
      <c r="B56" s="49">
        <v>400</v>
      </c>
      <c r="C56" s="17"/>
      <c r="D56" s="13"/>
      <c r="E56" s="70"/>
      <c r="F56" s="14"/>
      <c r="G56" s="11"/>
      <c r="H56" s="67"/>
      <c r="I56" s="12"/>
      <c r="J56" s="61">
        <v>18813</v>
      </c>
      <c r="K56" s="71">
        <v>400</v>
      </c>
      <c r="L56" s="62"/>
      <c r="M56" s="75"/>
      <c r="N56" s="73"/>
      <c r="O56" s="15"/>
    </row>
    <row r="57" spans="1:15" x14ac:dyDescent="0.25">
      <c r="A57" s="16">
        <v>18688</v>
      </c>
      <c r="B57" s="49">
        <v>600</v>
      </c>
      <c r="C57" s="17" t="s">
        <v>48</v>
      </c>
      <c r="D57" s="13"/>
      <c r="E57" s="70"/>
      <c r="F57" s="14"/>
      <c r="G57" s="11"/>
      <c r="H57" s="67"/>
      <c r="I57" s="12"/>
      <c r="J57" s="61">
        <v>18814</v>
      </c>
      <c r="K57" s="71">
        <v>400</v>
      </c>
      <c r="L57" s="62" t="s">
        <v>208</v>
      </c>
      <c r="M57" s="75"/>
      <c r="N57" s="73"/>
      <c r="O57" s="15"/>
    </row>
    <row r="58" spans="1:15" x14ac:dyDescent="0.25">
      <c r="A58" s="16"/>
      <c r="B58" s="49"/>
      <c r="C58" s="17" t="s">
        <v>16</v>
      </c>
      <c r="D58" s="13"/>
      <c r="E58" s="70"/>
      <c r="F58" s="14"/>
      <c r="G58" s="11"/>
      <c r="H58" s="67"/>
      <c r="I58" s="12"/>
      <c r="J58" s="61">
        <v>18815</v>
      </c>
      <c r="K58" s="71">
        <v>1600</v>
      </c>
      <c r="L58" s="62" t="s">
        <v>173</v>
      </c>
      <c r="M58" s="75"/>
      <c r="N58" s="73"/>
      <c r="O58" s="15"/>
    </row>
    <row r="59" spans="1:15" x14ac:dyDescent="0.25">
      <c r="A59" s="16">
        <v>18689</v>
      </c>
      <c r="B59" s="49">
        <v>400</v>
      </c>
      <c r="C59" s="17"/>
      <c r="D59" s="13"/>
      <c r="E59" s="70"/>
      <c r="F59" s="14"/>
      <c r="G59" s="11"/>
      <c r="H59" s="67"/>
      <c r="I59" s="12"/>
      <c r="J59" s="61"/>
      <c r="K59" s="71"/>
      <c r="L59" s="62" t="s">
        <v>225</v>
      </c>
      <c r="M59" s="75"/>
      <c r="N59" s="73"/>
      <c r="O59" s="15"/>
    </row>
    <row r="60" spans="1:15" x14ac:dyDescent="0.25">
      <c r="A60" s="16">
        <v>18690</v>
      </c>
      <c r="B60" s="49">
        <v>400</v>
      </c>
      <c r="C60" s="17" t="s">
        <v>132</v>
      </c>
      <c r="D60" s="13"/>
      <c r="E60" s="70"/>
      <c r="F60" s="14"/>
      <c r="G60" s="11"/>
      <c r="H60" s="67"/>
      <c r="I60" s="12"/>
      <c r="J60" s="61"/>
      <c r="K60" s="71"/>
      <c r="L60" s="62" t="s">
        <v>14</v>
      </c>
      <c r="M60" s="75"/>
      <c r="N60" s="73"/>
      <c r="O60" s="15"/>
    </row>
    <row r="61" spans="1:15" x14ac:dyDescent="0.25">
      <c r="A61" s="16">
        <v>18691</v>
      </c>
      <c r="B61" s="49">
        <v>400</v>
      </c>
      <c r="C61" s="17"/>
      <c r="D61" s="13"/>
      <c r="E61" s="70"/>
      <c r="F61" s="14"/>
      <c r="G61" s="11"/>
      <c r="H61" s="67"/>
      <c r="I61" s="12"/>
      <c r="J61" s="61">
        <v>18816</v>
      </c>
      <c r="K61" s="71">
        <v>800</v>
      </c>
      <c r="L61" s="62" t="s">
        <v>48</v>
      </c>
      <c r="M61" s="75"/>
      <c r="N61" s="73"/>
      <c r="O61" s="15"/>
    </row>
    <row r="62" spans="1:15" x14ac:dyDescent="0.25">
      <c r="A62" s="16">
        <v>18692</v>
      </c>
      <c r="B62" s="49">
        <v>800</v>
      </c>
      <c r="C62" s="17" t="s">
        <v>29</v>
      </c>
      <c r="D62" s="13"/>
      <c r="E62" s="70"/>
      <c r="F62" s="14"/>
      <c r="G62" s="11"/>
      <c r="H62" s="67"/>
      <c r="I62" s="12"/>
      <c r="J62" s="61"/>
      <c r="K62" s="71"/>
      <c r="L62" s="62" t="s">
        <v>15</v>
      </c>
      <c r="M62" s="75"/>
      <c r="N62" s="73"/>
      <c r="O62" s="15"/>
    </row>
    <row r="63" spans="1:15" x14ac:dyDescent="0.25">
      <c r="A63" s="16"/>
      <c r="B63" s="49"/>
      <c r="C63" s="17" t="s">
        <v>15</v>
      </c>
      <c r="D63" s="13"/>
      <c r="E63" s="70"/>
      <c r="F63" s="14"/>
      <c r="G63" s="11"/>
      <c r="H63" s="67"/>
      <c r="I63" s="12"/>
      <c r="J63" s="61">
        <v>18817</v>
      </c>
      <c r="K63" s="71">
        <v>200</v>
      </c>
      <c r="L63" s="62" t="s">
        <v>226</v>
      </c>
      <c r="M63" s="75"/>
      <c r="N63" s="73"/>
      <c r="O63" s="15"/>
    </row>
    <row r="64" spans="1:15" x14ac:dyDescent="0.25">
      <c r="A64" s="16">
        <v>18693</v>
      </c>
      <c r="B64" s="49">
        <v>50</v>
      </c>
      <c r="C64" s="17" t="s">
        <v>20</v>
      </c>
      <c r="D64" s="13"/>
      <c r="E64" s="70"/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18694</v>
      </c>
      <c r="B65" s="49">
        <v>400</v>
      </c>
      <c r="C65" s="17" t="s">
        <v>197</v>
      </c>
      <c r="D65" s="13"/>
      <c r="E65" s="70"/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89" t="s">
        <v>14</v>
      </c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18695</v>
      </c>
      <c r="B67" s="49">
        <v>500</v>
      </c>
      <c r="C67" s="17" t="s">
        <v>152</v>
      </c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19</v>
      </c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18696</v>
      </c>
      <c r="B69" s="49">
        <v>700</v>
      </c>
      <c r="C69" s="17" t="s">
        <v>197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 t="s">
        <v>198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18697</v>
      </c>
      <c r="B71" s="49">
        <v>900</v>
      </c>
      <c r="C71" s="17" t="s">
        <v>187</v>
      </c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 t="s">
        <v>16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18698</v>
      </c>
      <c r="B73" s="49">
        <v>1200</v>
      </c>
      <c r="C73" s="17" t="s">
        <v>56</v>
      </c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 t="s">
        <v>15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 t="s">
        <v>199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18699</v>
      </c>
      <c r="B76" s="49">
        <v>2000</v>
      </c>
      <c r="C76" s="17" t="s">
        <v>200</v>
      </c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 t="s">
        <v>201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18700</v>
      </c>
      <c r="B78" s="49">
        <v>200</v>
      </c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18701</v>
      </c>
      <c r="B79" s="49">
        <v>400</v>
      </c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18702</v>
      </c>
      <c r="B80" s="49">
        <v>400</v>
      </c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18703</v>
      </c>
      <c r="B81" s="49">
        <v>400</v>
      </c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18704</v>
      </c>
      <c r="B82" s="49">
        <v>400</v>
      </c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18705</v>
      </c>
      <c r="B83" s="49">
        <v>350</v>
      </c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18706</v>
      </c>
      <c r="B84" s="49">
        <v>800</v>
      </c>
      <c r="C84" s="17" t="s">
        <v>202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 t="s">
        <v>203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18707</v>
      </c>
      <c r="B86" s="49">
        <v>400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18708</v>
      </c>
      <c r="B87" s="49">
        <v>400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18709</v>
      </c>
      <c r="B88" s="49">
        <v>600</v>
      </c>
      <c r="C88" s="17" t="s">
        <v>48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 t="s">
        <v>16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18710</v>
      </c>
      <c r="B90" s="49">
        <v>200</v>
      </c>
      <c r="C90" s="17" t="s">
        <v>132</v>
      </c>
      <c r="D90" s="26"/>
      <c r="E90" s="74"/>
      <c r="F90" s="58"/>
      <c r="G90" s="11"/>
      <c r="H90" s="67"/>
      <c r="I90" s="12"/>
      <c r="J90" s="26"/>
      <c r="K90" s="58"/>
      <c r="L90" s="58"/>
      <c r="M90" s="58"/>
      <c r="N90" s="58"/>
      <c r="O90" s="58"/>
    </row>
    <row r="91" spans="1:15" x14ac:dyDescent="0.25">
      <c r="A91" s="16">
        <v>18711</v>
      </c>
      <c r="B91" s="49">
        <v>400</v>
      </c>
      <c r="C91" s="17"/>
      <c r="D91" s="26"/>
      <c r="E91" s="74"/>
      <c r="F91" s="58"/>
      <c r="G91" s="11"/>
      <c r="H91" s="67"/>
      <c r="I91" s="58"/>
      <c r="J91" s="26"/>
      <c r="K91" s="58"/>
      <c r="L91" s="58"/>
      <c r="M91" s="58"/>
      <c r="N91" s="58"/>
      <c r="O91" s="58"/>
    </row>
    <row r="92" spans="1:15" x14ac:dyDescent="0.25">
      <c r="A92" s="16">
        <v>18712</v>
      </c>
      <c r="B92" s="49">
        <v>200</v>
      </c>
      <c r="C92" s="17" t="s">
        <v>97</v>
      </c>
      <c r="D92" s="26"/>
      <c r="E92" s="74"/>
      <c r="F92" s="58"/>
      <c r="G92" s="26"/>
      <c r="H92" s="58"/>
      <c r="I92" s="58"/>
      <c r="J92" s="26"/>
      <c r="K92" s="58"/>
      <c r="L92" s="58"/>
      <c r="M92" s="58"/>
      <c r="N92" s="58"/>
      <c r="O92" s="58"/>
    </row>
    <row r="93" spans="1:15" x14ac:dyDescent="0.25">
      <c r="A93" s="16">
        <v>18713</v>
      </c>
      <c r="B93" s="49">
        <v>300</v>
      </c>
      <c r="C93" s="17"/>
      <c r="D93" s="26"/>
      <c r="E93" s="74"/>
      <c r="F93" s="58"/>
      <c r="G93" s="26"/>
      <c r="H93" s="58"/>
      <c r="I93" s="58"/>
      <c r="J93" s="26"/>
      <c r="K93" s="58"/>
      <c r="L93" s="58"/>
      <c r="M93" s="58"/>
      <c r="N93" s="58"/>
      <c r="O93" s="58"/>
    </row>
    <row r="94" spans="1:15" x14ac:dyDescent="0.25">
      <c r="A94" s="16">
        <v>18714</v>
      </c>
      <c r="B94" s="49">
        <v>400</v>
      </c>
      <c r="C94" s="17" t="s">
        <v>105</v>
      </c>
      <c r="D94" s="26"/>
      <c r="E94" s="74"/>
      <c r="F94" s="58"/>
      <c r="G94" s="26"/>
      <c r="H94" s="58"/>
      <c r="I94" s="58"/>
      <c r="J94" s="26"/>
      <c r="K94" s="58"/>
      <c r="L94" s="58"/>
      <c r="M94" s="58"/>
      <c r="N94" s="58"/>
      <c r="O94" s="58"/>
    </row>
    <row r="95" spans="1:15" x14ac:dyDescent="0.25">
      <c r="A95" s="16">
        <v>18715</v>
      </c>
      <c r="B95" s="49">
        <v>400</v>
      </c>
      <c r="C95" s="17"/>
      <c r="D95" s="26"/>
      <c r="E95" s="74"/>
      <c r="F95" s="58"/>
      <c r="G95" s="26"/>
      <c r="H95" s="58"/>
      <c r="I95" s="58"/>
      <c r="J95" s="26"/>
      <c r="K95" s="58"/>
      <c r="L95" s="58"/>
      <c r="M95" s="58"/>
      <c r="N95" s="58"/>
      <c r="O95" s="58"/>
    </row>
    <row r="96" spans="1:15" x14ac:dyDescent="0.25">
      <c r="A96" s="16">
        <v>18716</v>
      </c>
      <c r="B96" s="49">
        <v>800</v>
      </c>
      <c r="C96" s="17" t="s">
        <v>197</v>
      </c>
      <c r="D96" s="26"/>
      <c r="E96" s="74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16"/>
      <c r="B97" s="49"/>
      <c r="C97" s="17" t="s">
        <v>15</v>
      </c>
      <c r="D97" s="26"/>
      <c r="E97" s="74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16"/>
      <c r="B98" s="49"/>
      <c r="C98" s="17"/>
      <c r="D98" s="26"/>
      <c r="E98" s="74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74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74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74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74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74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74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74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26"/>
      <c r="C106" s="58"/>
      <c r="D106" s="26"/>
      <c r="E106" s="74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26"/>
      <c r="C107" s="58"/>
      <c r="D107" s="26"/>
      <c r="E107" s="74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26"/>
      <c r="C108" s="58"/>
      <c r="D108" s="26"/>
      <c r="E108" s="74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26"/>
      <c r="C109" s="58"/>
      <c r="D109" s="26"/>
      <c r="E109" s="74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2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2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8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8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8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8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8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8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8" x14ac:dyDescent="0.25">
      <c r="D535" s="26"/>
      <c r="E535" s="58"/>
      <c r="F535" s="58"/>
      <c r="G535" s="26"/>
      <c r="H535" s="58"/>
      <c r="I535" s="58"/>
    </row>
    <row r="536" spans="1:18" x14ac:dyDescent="0.25">
      <c r="G536" s="26"/>
      <c r="H536" s="58"/>
      <c r="R536" t="s">
        <v>21</v>
      </c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35"/>
  <sheetViews>
    <sheetView topLeftCell="A5" zoomScale="98" zoomScaleNormal="98" workbookViewId="0">
      <pane ySplit="3" topLeftCell="A30" activePane="bottomLeft" state="frozen"/>
      <selection activeCell="A5" sqref="A5"/>
      <selection pane="bottomLeft" activeCell="K45" sqref="K45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37" t="s">
        <v>10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9" t="s">
        <v>0</v>
      </c>
      <c r="B5" s="139"/>
      <c r="C5" s="139"/>
      <c r="D5" s="140" t="s">
        <v>4</v>
      </c>
      <c r="E5" s="140"/>
      <c r="F5" s="140"/>
      <c r="G5" s="141" t="s">
        <v>5</v>
      </c>
      <c r="H5" s="141"/>
      <c r="I5" s="141"/>
      <c r="J5" s="142" t="s">
        <v>6</v>
      </c>
      <c r="K5" s="142"/>
      <c r="L5" s="142"/>
      <c r="M5" s="143" t="s">
        <v>12</v>
      </c>
      <c r="N5" s="143"/>
      <c r="O5" s="143"/>
      <c r="Q5" s="133" t="s">
        <v>13</v>
      </c>
      <c r="R5" s="133"/>
    </row>
    <row r="6" spans="1:18" x14ac:dyDescent="0.25">
      <c r="A6" s="8">
        <f>SUBTOTAL(3,A8:A121)</f>
        <v>71</v>
      </c>
      <c r="B6" s="8">
        <f>SUBTOTAL(9,B8:B121)</f>
        <v>33440</v>
      </c>
      <c r="C6" s="35">
        <v>43590</v>
      </c>
      <c r="D6" s="8">
        <f>SUBTOTAL(3,D8:D119)</f>
        <v>62</v>
      </c>
      <c r="E6" s="1">
        <f>SUBTOTAL(9,E8:E119)</f>
        <v>35630</v>
      </c>
      <c r="F6" s="38">
        <v>43597</v>
      </c>
      <c r="G6" s="8">
        <f>SUBTOTAL(3,G8:G120)</f>
        <v>41</v>
      </c>
      <c r="H6" s="1">
        <f>SUBTOTAL(9,H8:H120)</f>
        <v>28200</v>
      </c>
      <c r="I6" s="39">
        <v>43604</v>
      </c>
      <c r="J6" s="8">
        <f>SUBTOTAL(3,J8:J110)</f>
        <v>30</v>
      </c>
      <c r="K6" s="1">
        <f>SUBTOTAL(9,K8:K110)</f>
        <v>12400</v>
      </c>
      <c r="L6" s="63">
        <v>43611</v>
      </c>
      <c r="M6" s="8">
        <f>SUBTOTAL(3,M8:M110)</f>
        <v>0</v>
      </c>
      <c r="N6" s="1">
        <f>SUBTOTAL(9,N8:N110)</f>
        <v>0</v>
      </c>
      <c r="O6" s="85"/>
      <c r="Q6" s="30">
        <f>+A6+D6+G6+J6+M6</f>
        <v>204</v>
      </c>
      <c r="R6" s="29">
        <f>+B6+E6+H6+K6+N6</f>
        <v>109670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6" t="s">
        <v>1</v>
      </c>
      <c r="N7" s="96" t="s">
        <v>3</v>
      </c>
      <c r="O7" s="96" t="s">
        <v>2</v>
      </c>
      <c r="Q7" s="28" t="s">
        <v>9</v>
      </c>
      <c r="R7" s="28" t="s">
        <v>3</v>
      </c>
    </row>
    <row r="8" spans="1:18" x14ac:dyDescent="0.25">
      <c r="A8" s="16">
        <v>18818</v>
      </c>
      <c r="B8" s="49">
        <v>500</v>
      </c>
      <c r="C8" s="17" t="s">
        <v>227</v>
      </c>
      <c r="D8" s="13">
        <v>18889</v>
      </c>
      <c r="E8" s="70">
        <v>400</v>
      </c>
      <c r="F8" s="14" t="s">
        <v>252</v>
      </c>
      <c r="G8" s="11">
        <v>18951</v>
      </c>
      <c r="H8" s="67">
        <v>200</v>
      </c>
      <c r="I8" s="12" t="s">
        <v>285</v>
      </c>
      <c r="J8" s="61">
        <v>18992</v>
      </c>
      <c r="K8" s="71">
        <v>400</v>
      </c>
      <c r="L8" s="62" t="s">
        <v>241</v>
      </c>
      <c r="M8" s="75"/>
      <c r="N8" s="73"/>
      <c r="O8" s="15"/>
      <c r="Q8" s="32"/>
      <c r="R8" s="32"/>
    </row>
    <row r="9" spans="1:18" x14ac:dyDescent="0.25">
      <c r="A9" s="16">
        <v>18819</v>
      </c>
      <c r="B9" s="49">
        <v>800</v>
      </c>
      <c r="C9" s="17" t="s">
        <v>228</v>
      </c>
      <c r="D9" s="13">
        <v>18890</v>
      </c>
      <c r="E9" s="70">
        <v>400</v>
      </c>
      <c r="F9" s="14"/>
      <c r="G9" s="11">
        <v>18952</v>
      </c>
      <c r="H9" s="67">
        <v>1200</v>
      </c>
      <c r="I9" s="12" t="s">
        <v>281</v>
      </c>
      <c r="J9" s="61">
        <v>18993</v>
      </c>
      <c r="K9" s="71">
        <v>200</v>
      </c>
      <c r="L9" s="62" t="s">
        <v>34</v>
      </c>
      <c r="M9" s="75"/>
      <c r="N9" s="73"/>
      <c r="O9" s="15"/>
    </row>
    <row r="10" spans="1:18" x14ac:dyDescent="0.25">
      <c r="A10" s="16"/>
      <c r="B10" s="49"/>
      <c r="C10" s="17" t="s">
        <v>15</v>
      </c>
      <c r="D10" s="13">
        <v>18891</v>
      </c>
      <c r="E10" s="70">
        <v>400</v>
      </c>
      <c r="F10" s="14"/>
      <c r="G10" s="11"/>
      <c r="H10" s="67"/>
      <c r="I10" s="12" t="s">
        <v>15</v>
      </c>
      <c r="J10" s="61">
        <v>18994</v>
      </c>
      <c r="K10" s="71">
        <v>400</v>
      </c>
      <c r="L10" s="62"/>
      <c r="M10" s="75"/>
      <c r="N10" s="73"/>
      <c r="O10" s="15"/>
    </row>
    <row r="11" spans="1:18" x14ac:dyDescent="0.25">
      <c r="A11" s="16">
        <v>18820</v>
      </c>
      <c r="B11" s="49">
        <v>800</v>
      </c>
      <c r="C11" s="17" t="s">
        <v>229</v>
      </c>
      <c r="D11" s="13">
        <v>18892</v>
      </c>
      <c r="E11" s="70">
        <v>1000</v>
      </c>
      <c r="F11" s="14" t="s">
        <v>253</v>
      </c>
      <c r="G11" s="11">
        <v>18953</v>
      </c>
      <c r="H11" s="67">
        <v>200</v>
      </c>
      <c r="I11" s="12"/>
      <c r="J11" s="61">
        <v>18995</v>
      </c>
      <c r="K11" s="71">
        <v>300</v>
      </c>
      <c r="L11" s="62" t="s">
        <v>302</v>
      </c>
      <c r="M11" s="75"/>
      <c r="N11" s="73"/>
      <c r="O11" s="15"/>
    </row>
    <row r="12" spans="1:18" x14ac:dyDescent="0.25">
      <c r="A12" s="16"/>
      <c r="B12" s="49"/>
      <c r="C12" s="17" t="s">
        <v>15</v>
      </c>
      <c r="D12" s="13"/>
      <c r="E12" s="70"/>
      <c r="F12" s="14" t="s">
        <v>14</v>
      </c>
      <c r="G12" s="11">
        <v>18954</v>
      </c>
      <c r="H12" s="67">
        <v>200</v>
      </c>
      <c r="I12" s="12"/>
      <c r="J12" s="61">
        <v>18996</v>
      </c>
      <c r="K12" s="71">
        <v>400</v>
      </c>
      <c r="L12" s="62" t="s">
        <v>208</v>
      </c>
      <c r="M12" s="75"/>
      <c r="N12" s="73"/>
      <c r="O12" s="15"/>
    </row>
    <row r="13" spans="1:18" x14ac:dyDescent="0.25">
      <c r="A13" s="16">
        <v>18821</v>
      </c>
      <c r="B13" s="49">
        <v>600</v>
      </c>
      <c r="C13" s="17" t="s">
        <v>230</v>
      </c>
      <c r="D13" s="13">
        <v>18893</v>
      </c>
      <c r="E13" s="70">
        <v>500</v>
      </c>
      <c r="F13" s="14" t="s">
        <v>254</v>
      </c>
      <c r="G13" s="11">
        <v>18955</v>
      </c>
      <c r="H13" s="67">
        <v>1500</v>
      </c>
      <c r="I13" s="12" t="s">
        <v>286</v>
      </c>
      <c r="J13" s="61">
        <v>18997</v>
      </c>
      <c r="K13" s="71">
        <v>450</v>
      </c>
      <c r="L13" s="62" t="s">
        <v>303</v>
      </c>
      <c r="M13" s="75"/>
      <c r="N13" s="73"/>
      <c r="O13" s="15"/>
    </row>
    <row r="14" spans="1:18" x14ac:dyDescent="0.25">
      <c r="A14" s="16"/>
      <c r="B14" s="49"/>
      <c r="C14" s="17" t="s">
        <v>14</v>
      </c>
      <c r="D14" s="13"/>
      <c r="E14" s="70"/>
      <c r="F14" s="14" t="s">
        <v>255</v>
      </c>
      <c r="G14" s="11"/>
      <c r="H14" s="67"/>
      <c r="I14" s="12" t="s">
        <v>16</v>
      </c>
      <c r="J14" s="61">
        <v>18998</v>
      </c>
      <c r="K14" s="71">
        <v>100</v>
      </c>
      <c r="L14" s="62" t="s">
        <v>304</v>
      </c>
      <c r="M14" s="75"/>
      <c r="N14" s="73"/>
      <c r="O14" s="15"/>
    </row>
    <row r="15" spans="1:18" x14ac:dyDescent="0.25">
      <c r="A15" s="16">
        <v>18822</v>
      </c>
      <c r="B15" s="49">
        <v>400</v>
      </c>
      <c r="C15" s="17" t="s">
        <v>231</v>
      </c>
      <c r="D15" s="13">
        <v>18894</v>
      </c>
      <c r="E15" s="70">
        <v>600</v>
      </c>
      <c r="F15" s="14" t="s">
        <v>230</v>
      </c>
      <c r="G15" s="11">
        <v>18956</v>
      </c>
      <c r="H15" s="67">
        <v>50</v>
      </c>
      <c r="I15" s="12" t="s">
        <v>75</v>
      </c>
      <c r="J15" s="61">
        <v>18999</v>
      </c>
      <c r="K15" s="71">
        <v>1400</v>
      </c>
      <c r="L15" s="62" t="s">
        <v>265</v>
      </c>
      <c r="M15" s="75"/>
      <c r="N15" s="73"/>
      <c r="O15" s="97"/>
    </row>
    <row r="16" spans="1:18" x14ac:dyDescent="0.25">
      <c r="A16" s="16"/>
      <c r="B16" s="49"/>
      <c r="C16" s="17" t="s">
        <v>14</v>
      </c>
      <c r="D16" s="13"/>
      <c r="E16" s="70"/>
      <c r="F16" s="14" t="s">
        <v>14</v>
      </c>
      <c r="G16" s="11">
        <v>18957</v>
      </c>
      <c r="H16" s="67">
        <v>100</v>
      </c>
      <c r="I16" s="12" t="s">
        <v>287</v>
      </c>
      <c r="J16" s="61"/>
      <c r="K16" s="71"/>
      <c r="L16" s="62" t="s">
        <v>305</v>
      </c>
      <c r="M16" s="75"/>
      <c r="N16" s="73"/>
      <c r="O16" s="15"/>
    </row>
    <row r="17" spans="1:15" x14ac:dyDescent="0.25">
      <c r="A17" s="16">
        <v>18823</v>
      </c>
      <c r="B17" s="49">
        <v>400</v>
      </c>
      <c r="C17" s="17" t="s">
        <v>228</v>
      </c>
      <c r="D17" s="13">
        <v>18895</v>
      </c>
      <c r="E17" s="70">
        <v>600</v>
      </c>
      <c r="F17" s="33" t="s">
        <v>240</v>
      </c>
      <c r="G17" s="11"/>
      <c r="H17" s="67"/>
      <c r="I17" s="12" t="s">
        <v>268</v>
      </c>
      <c r="J17" s="61"/>
      <c r="K17" s="71"/>
      <c r="L17" s="92">
        <v>43617</v>
      </c>
      <c r="M17" s="75"/>
      <c r="N17" s="73"/>
      <c r="O17" s="15"/>
    </row>
    <row r="18" spans="1:15" x14ac:dyDescent="0.25">
      <c r="A18" s="16"/>
      <c r="B18" s="49"/>
      <c r="C18" s="17" t="s">
        <v>14</v>
      </c>
      <c r="D18" s="13">
        <v>18896</v>
      </c>
      <c r="E18" s="70">
        <v>300</v>
      </c>
      <c r="F18" s="14" t="s">
        <v>240</v>
      </c>
      <c r="G18" s="11">
        <v>18958</v>
      </c>
      <c r="H18" s="67">
        <v>400</v>
      </c>
      <c r="I18" s="98" t="s">
        <v>228</v>
      </c>
      <c r="J18" s="61">
        <v>19000</v>
      </c>
      <c r="K18" s="71">
        <v>200</v>
      </c>
      <c r="L18" s="62" t="s">
        <v>34</v>
      </c>
      <c r="M18" s="75"/>
      <c r="N18" s="73"/>
      <c r="O18" s="15"/>
    </row>
    <row r="19" spans="1:15" x14ac:dyDescent="0.25">
      <c r="A19" s="16">
        <v>18824</v>
      </c>
      <c r="B19" s="49"/>
      <c r="C19" s="17" t="s">
        <v>59</v>
      </c>
      <c r="D19" s="13">
        <v>18897</v>
      </c>
      <c r="E19" s="70">
        <v>450</v>
      </c>
      <c r="F19" s="14" t="s">
        <v>256</v>
      </c>
      <c r="G19" s="11"/>
      <c r="H19" s="67"/>
      <c r="I19" s="12" t="s">
        <v>14</v>
      </c>
      <c r="J19" s="61">
        <v>19001</v>
      </c>
      <c r="K19" s="71">
        <v>300</v>
      </c>
      <c r="L19" s="62" t="s">
        <v>306</v>
      </c>
      <c r="M19" s="75"/>
      <c r="N19" s="73"/>
      <c r="O19" s="15"/>
    </row>
    <row r="20" spans="1:15" x14ac:dyDescent="0.25">
      <c r="A20" s="16">
        <v>18825</v>
      </c>
      <c r="B20" s="49">
        <v>400</v>
      </c>
      <c r="C20" s="17" t="s">
        <v>115</v>
      </c>
      <c r="D20" s="13"/>
      <c r="E20" s="70"/>
      <c r="F20" s="14" t="s">
        <v>257</v>
      </c>
      <c r="G20" s="11">
        <v>18959</v>
      </c>
      <c r="H20" s="67">
        <v>200</v>
      </c>
      <c r="I20" s="12" t="s">
        <v>241</v>
      </c>
      <c r="J20" s="61">
        <v>19002</v>
      </c>
      <c r="K20" s="71">
        <v>300</v>
      </c>
      <c r="L20" s="62" t="s">
        <v>302</v>
      </c>
      <c r="M20" s="75"/>
      <c r="N20" s="73"/>
      <c r="O20" s="15"/>
    </row>
    <row r="21" spans="1:15" x14ac:dyDescent="0.25">
      <c r="A21" s="16">
        <v>18826</v>
      </c>
      <c r="B21" s="49">
        <v>900</v>
      </c>
      <c r="C21" s="17" t="s">
        <v>232</v>
      </c>
      <c r="D21" s="13">
        <v>18898</v>
      </c>
      <c r="E21" s="70">
        <v>1800</v>
      </c>
      <c r="F21" s="14" t="s">
        <v>258</v>
      </c>
      <c r="G21" s="11">
        <v>18960</v>
      </c>
      <c r="H21" s="67">
        <v>800</v>
      </c>
      <c r="I21" s="12" t="s">
        <v>288</v>
      </c>
      <c r="J21" s="61">
        <v>19003</v>
      </c>
      <c r="K21" s="71">
        <v>1200</v>
      </c>
      <c r="L21" s="62" t="s">
        <v>251</v>
      </c>
      <c r="M21" s="75"/>
      <c r="N21" s="73"/>
      <c r="O21" s="15"/>
    </row>
    <row r="22" spans="1:15" x14ac:dyDescent="0.25">
      <c r="A22" s="16"/>
      <c r="B22" s="49"/>
      <c r="C22" s="17" t="s">
        <v>233</v>
      </c>
      <c r="D22" s="13"/>
      <c r="E22" s="70"/>
      <c r="F22" s="14" t="s">
        <v>259</v>
      </c>
      <c r="G22" s="11"/>
      <c r="H22" s="67"/>
      <c r="I22" s="12" t="s">
        <v>289</v>
      </c>
      <c r="J22" s="61"/>
      <c r="K22" s="71"/>
      <c r="L22" s="62" t="s">
        <v>15</v>
      </c>
      <c r="M22" s="75"/>
      <c r="N22" s="73"/>
      <c r="O22" s="15"/>
    </row>
    <row r="23" spans="1:15" x14ac:dyDescent="0.25">
      <c r="A23" s="16"/>
      <c r="B23" s="49"/>
      <c r="C23" s="17" t="s">
        <v>234</v>
      </c>
      <c r="D23" s="13">
        <v>18899</v>
      </c>
      <c r="E23" s="70">
        <v>400</v>
      </c>
      <c r="F23" s="14" t="s">
        <v>260</v>
      </c>
      <c r="G23" s="11">
        <v>18961</v>
      </c>
      <c r="H23" s="67">
        <v>400</v>
      </c>
      <c r="I23" s="12" t="s">
        <v>285</v>
      </c>
      <c r="J23" s="61">
        <v>19004</v>
      </c>
      <c r="K23" s="71"/>
      <c r="L23" s="62" t="s">
        <v>183</v>
      </c>
      <c r="M23" s="75"/>
      <c r="N23" s="73"/>
      <c r="O23" s="15"/>
    </row>
    <row r="24" spans="1:15" x14ac:dyDescent="0.25">
      <c r="A24" s="16"/>
      <c r="B24" s="49"/>
      <c r="C24" s="17" t="s">
        <v>57</v>
      </c>
      <c r="D24" s="13">
        <v>18900</v>
      </c>
      <c r="E24" s="70">
        <v>1900</v>
      </c>
      <c r="F24" s="14" t="s">
        <v>261</v>
      </c>
      <c r="G24" s="11">
        <v>18962</v>
      </c>
      <c r="H24" s="67">
        <v>800</v>
      </c>
      <c r="I24" s="12" t="s">
        <v>229</v>
      </c>
      <c r="J24" s="61">
        <v>19005</v>
      </c>
      <c r="K24" s="71">
        <v>600</v>
      </c>
      <c r="L24" s="62" t="s">
        <v>229</v>
      </c>
      <c r="M24" s="75"/>
      <c r="N24" s="73"/>
      <c r="O24" s="15"/>
    </row>
    <row r="25" spans="1:15" x14ac:dyDescent="0.25">
      <c r="A25" s="16">
        <v>18827</v>
      </c>
      <c r="B25" s="49">
        <v>250</v>
      </c>
      <c r="C25" s="17" t="s">
        <v>235</v>
      </c>
      <c r="D25" s="13"/>
      <c r="E25" s="70"/>
      <c r="F25" s="14" t="s">
        <v>262</v>
      </c>
      <c r="G25" s="11"/>
      <c r="H25" s="67"/>
      <c r="I25" s="12" t="s">
        <v>15</v>
      </c>
      <c r="J25" s="61">
        <v>19006</v>
      </c>
      <c r="K25" s="71">
        <v>200</v>
      </c>
      <c r="L25" s="62" t="s">
        <v>307</v>
      </c>
      <c r="M25" s="75"/>
      <c r="N25" s="73"/>
      <c r="O25" s="15"/>
    </row>
    <row r="26" spans="1:15" x14ac:dyDescent="0.25">
      <c r="A26" s="16">
        <v>18828</v>
      </c>
      <c r="B26" s="49">
        <v>800</v>
      </c>
      <c r="C26" s="17" t="s">
        <v>229</v>
      </c>
      <c r="D26" s="13"/>
      <c r="E26" s="70"/>
      <c r="F26" s="14" t="s">
        <v>263</v>
      </c>
      <c r="G26" s="11">
        <v>18963</v>
      </c>
      <c r="H26" s="67"/>
      <c r="I26" s="12" t="s">
        <v>183</v>
      </c>
      <c r="J26" s="61">
        <v>19007</v>
      </c>
      <c r="K26" s="71">
        <v>400</v>
      </c>
      <c r="L26" s="62" t="s">
        <v>241</v>
      </c>
      <c r="M26" s="75"/>
      <c r="N26" s="73"/>
      <c r="O26" s="15"/>
    </row>
    <row r="27" spans="1:15" x14ac:dyDescent="0.25">
      <c r="A27" s="16"/>
      <c r="B27" s="49"/>
      <c r="C27" s="17" t="s">
        <v>15</v>
      </c>
      <c r="D27" s="13"/>
      <c r="E27" s="70"/>
      <c r="F27" s="14" t="s">
        <v>264</v>
      </c>
      <c r="G27" s="11">
        <v>18964</v>
      </c>
      <c r="H27" s="67">
        <v>8000</v>
      </c>
      <c r="I27" s="12" t="s">
        <v>290</v>
      </c>
      <c r="J27" s="61">
        <v>19008</v>
      </c>
      <c r="K27" s="71">
        <v>200</v>
      </c>
      <c r="L27" s="62" t="s">
        <v>229</v>
      </c>
      <c r="M27" s="75"/>
      <c r="N27" s="73"/>
      <c r="O27" s="15"/>
    </row>
    <row r="28" spans="1:15" x14ac:dyDescent="0.25">
      <c r="A28" s="16">
        <v>18829</v>
      </c>
      <c r="B28" s="49">
        <v>1200</v>
      </c>
      <c r="C28" s="17" t="s">
        <v>236</v>
      </c>
      <c r="D28" s="13">
        <v>18901</v>
      </c>
      <c r="E28" s="70">
        <v>2100</v>
      </c>
      <c r="F28" s="14" t="s">
        <v>265</v>
      </c>
      <c r="G28" s="11"/>
      <c r="H28" s="67"/>
      <c r="I28" s="12" t="s">
        <v>291</v>
      </c>
      <c r="J28" s="61"/>
      <c r="K28" s="71"/>
      <c r="L28" s="62" t="s">
        <v>66</v>
      </c>
      <c r="M28" s="75"/>
      <c r="N28" s="73"/>
      <c r="O28" s="15"/>
    </row>
    <row r="29" spans="1:15" x14ac:dyDescent="0.25">
      <c r="A29" s="16"/>
      <c r="B29" s="49"/>
      <c r="C29" s="17" t="s">
        <v>237</v>
      </c>
      <c r="D29" s="13"/>
      <c r="E29" s="70"/>
      <c r="F29" s="14" t="s">
        <v>266</v>
      </c>
      <c r="G29" s="11"/>
      <c r="H29" s="67"/>
      <c r="I29" s="12" t="s">
        <v>292</v>
      </c>
      <c r="J29" s="61">
        <v>19009</v>
      </c>
      <c r="K29" s="71">
        <v>200</v>
      </c>
      <c r="L29" s="62" t="s">
        <v>229</v>
      </c>
      <c r="M29" s="75"/>
      <c r="N29" s="73"/>
      <c r="O29" s="15"/>
    </row>
    <row r="30" spans="1:15" x14ac:dyDescent="0.25">
      <c r="A30" s="16">
        <v>18830</v>
      </c>
      <c r="B30" s="49">
        <v>300</v>
      </c>
      <c r="C30" s="17" t="s">
        <v>238</v>
      </c>
      <c r="D30" s="13"/>
      <c r="E30" s="70"/>
      <c r="F30" s="14" t="s">
        <v>267</v>
      </c>
      <c r="G30" s="11"/>
      <c r="H30" s="67"/>
      <c r="I30" s="12" t="s">
        <v>293</v>
      </c>
      <c r="J30" s="61"/>
      <c r="K30" s="71"/>
      <c r="L30" s="62" t="s">
        <v>66</v>
      </c>
      <c r="M30" s="75"/>
      <c r="N30" s="73"/>
      <c r="O30" s="15"/>
    </row>
    <row r="31" spans="1:15" x14ac:dyDescent="0.25">
      <c r="A31" s="16"/>
      <c r="B31" s="49"/>
      <c r="C31" s="17" t="s">
        <v>57</v>
      </c>
      <c r="D31" s="13"/>
      <c r="E31" s="70"/>
      <c r="F31" s="14" t="s">
        <v>268</v>
      </c>
      <c r="G31" s="11"/>
      <c r="H31" s="67"/>
      <c r="I31" s="12" t="s">
        <v>294</v>
      </c>
      <c r="J31" s="61">
        <v>19010</v>
      </c>
      <c r="K31" s="71">
        <v>200</v>
      </c>
      <c r="L31" s="62" t="s">
        <v>34</v>
      </c>
      <c r="M31" s="75"/>
      <c r="N31" s="73"/>
      <c r="O31" s="15"/>
    </row>
    <row r="32" spans="1:15" x14ac:dyDescent="0.25">
      <c r="A32" s="16">
        <v>18831</v>
      </c>
      <c r="B32" s="49">
        <v>100</v>
      </c>
      <c r="C32" s="17"/>
      <c r="D32" s="13">
        <v>18902</v>
      </c>
      <c r="E32" s="70">
        <v>1600</v>
      </c>
      <c r="F32" s="14" t="s">
        <v>269</v>
      </c>
      <c r="G32" s="11">
        <v>18965</v>
      </c>
      <c r="H32" s="67">
        <v>2400</v>
      </c>
      <c r="I32" s="12" t="s">
        <v>295</v>
      </c>
      <c r="J32" s="61">
        <v>19011</v>
      </c>
      <c r="K32" s="71">
        <v>650</v>
      </c>
      <c r="L32" s="62" t="s">
        <v>308</v>
      </c>
      <c r="M32" s="75"/>
      <c r="N32" s="73"/>
      <c r="O32" s="15"/>
    </row>
    <row r="33" spans="1:15" x14ac:dyDescent="0.25">
      <c r="A33" s="16">
        <v>18832</v>
      </c>
      <c r="B33" s="49">
        <v>200</v>
      </c>
      <c r="C33" s="17" t="s">
        <v>115</v>
      </c>
      <c r="D33" s="13"/>
      <c r="E33" s="70"/>
      <c r="F33" s="14" t="s">
        <v>270</v>
      </c>
      <c r="G33" s="11"/>
      <c r="H33" s="67"/>
      <c r="I33" s="12" t="s">
        <v>15</v>
      </c>
      <c r="J33" s="61"/>
      <c r="K33" s="71"/>
      <c r="L33" s="62" t="s">
        <v>309</v>
      </c>
      <c r="M33" s="75"/>
      <c r="N33" s="73"/>
      <c r="O33" s="15"/>
    </row>
    <row r="34" spans="1:15" x14ac:dyDescent="0.25">
      <c r="A34" s="16">
        <v>18833</v>
      </c>
      <c r="B34" s="49">
        <v>500</v>
      </c>
      <c r="C34" s="17" t="s">
        <v>239</v>
      </c>
      <c r="D34" s="13">
        <v>18903</v>
      </c>
      <c r="E34" s="70">
        <v>400</v>
      </c>
      <c r="F34" s="14"/>
      <c r="G34" s="11">
        <v>18966</v>
      </c>
      <c r="H34" s="67">
        <v>200</v>
      </c>
      <c r="I34" s="12" t="s">
        <v>296</v>
      </c>
      <c r="J34" s="61">
        <v>19012</v>
      </c>
      <c r="K34" s="71">
        <v>400</v>
      </c>
      <c r="L34" s="62" t="s">
        <v>306</v>
      </c>
      <c r="M34" s="75"/>
      <c r="N34" s="73"/>
      <c r="O34" s="15"/>
    </row>
    <row r="35" spans="1:15" x14ac:dyDescent="0.25">
      <c r="A35" s="16"/>
      <c r="B35" s="49"/>
      <c r="C35" s="17" t="s">
        <v>19</v>
      </c>
      <c r="D35" s="13">
        <v>18904</v>
      </c>
      <c r="E35" s="70">
        <v>600</v>
      </c>
      <c r="F35" s="14" t="s">
        <v>271</v>
      </c>
      <c r="G35" s="11">
        <v>18967</v>
      </c>
      <c r="H35" s="67">
        <v>350</v>
      </c>
      <c r="I35" s="12"/>
      <c r="J35" s="61">
        <v>19013</v>
      </c>
      <c r="K35" s="71">
        <v>400</v>
      </c>
      <c r="L35" s="62" t="s">
        <v>241</v>
      </c>
      <c r="M35" s="75"/>
      <c r="N35" s="73"/>
      <c r="O35" s="15"/>
    </row>
    <row r="36" spans="1:15" x14ac:dyDescent="0.25">
      <c r="A36" s="16">
        <v>18834</v>
      </c>
      <c r="B36" s="49">
        <v>800</v>
      </c>
      <c r="C36" s="17" t="s">
        <v>229</v>
      </c>
      <c r="D36" s="13"/>
      <c r="E36" s="70"/>
      <c r="F36" s="14" t="s">
        <v>14</v>
      </c>
      <c r="G36" s="11">
        <v>18968</v>
      </c>
      <c r="H36" s="67">
        <v>400</v>
      </c>
      <c r="I36" s="12"/>
      <c r="J36" s="61">
        <v>19014</v>
      </c>
      <c r="K36" s="71">
        <v>300</v>
      </c>
      <c r="L36" s="62"/>
      <c r="M36" s="75"/>
      <c r="N36" s="73"/>
      <c r="O36" s="15"/>
    </row>
    <row r="37" spans="1:15" x14ac:dyDescent="0.25">
      <c r="A37" s="16"/>
      <c r="B37" s="49"/>
      <c r="C37" s="17" t="s">
        <v>15</v>
      </c>
      <c r="D37" s="13">
        <v>18905</v>
      </c>
      <c r="E37" s="70">
        <v>600</v>
      </c>
      <c r="F37" s="14" t="s">
        <v>272</v>
      </c>
      <c r="G37" s="11">
        <v>18969</v>
      </c>
      <c r="H37" s="67">
        <v>400</v>
      </c>
      <c r="I37" s="12"/>
      <c r="J37" s="61">
        <v>19015</v>
      </c>
      <c r="K37" s="71">
        <v>400</v>
      </c>
      <c r="L37" s="62"/>
      <c r="M37" s="75"/>
      <c r="N37" s="73"/>
      <c r="O37" s="15"/>
    </row>
    <row r="38" spans="1:15" x14ac:dyDescent="0.25">
      <c r="A38" s="16">
        <v>18835</v>
      </c>
      <c r="B38" s="49">
        <v>800</v>
      </c>
      <c r="C38" s="17" t="s">
        <v>239</v>
      </c>
      <c r="D38" s="13"/>
      <c r="E38" s="70"/>
      <c r="F38" s="14" t="s">
        <v>14</v>
      </c>
      <c r="G38" s="11">
        <v>18970</v>
      </c>
      <c r="H38" s="67">
        <v>400</v>
      </c>
      <c r="I38" s="12"/>
      <c r="J38" s="61">
        <v>19016</v>
      </c>
      <c r="K38" s="71">
        <v>400</v>
      </c>
      <c r="L38" s="62"/>
      <c r="M38" s="75"/>
      <c r="N38" s="73"/>
      <c r="O38" s="15"/>
    </row>
    <row r="39" spans="1:15" x14ac:dyDescent="0.25">
      <c r="A39" s="16"/>
      <c r="B39" s="49"/>
      <c r="C39" s="17" t="s">
        <v>15</v>
      </c>
      <c r="D39" s="13">
        <v>18906</v>
      </c>
      <c r="E39" s="70">
        <v>800</v>
      </c>
      <c r="F39" s="14" t="s">
        <v>273</v>
      </c>
      <c r="G39" s="11">
        <v>18971</v>
      </c>
      <c r="H39" s="67">
        <v>200</v>
      </c>
      <c r="I39" s="12" t="s">
        <v>297</v>
      </c>
      <c r="J39" s="61">
        <v>19017</v>
      </c>
      <c r="K39" s="71">
        <v>400</v>
      </c>
      <c r="L39" s="62"/>
      <c r="M39" s="75"/>
      <c r="N39" s="73"/>
      <c r="O39" s="15"/>
    </row>
    <row r="40" spans="1:15" x14ac:dyDescent="0.25">
      <c r="A40" s="16">
        <v>18836</v>
      </c>
      <c r="B40" s="49">
        <v>200</v>
      </c>
      <c r="C40" s="17" t="s">
        <v>240</v>
      </c>
      <c r="D40" s="13"/>
      <c r="E40" s="70"/>
      <c r="F40" s="14" t="s">
        <v>15</v>
      </c>
      <c r="G40" s="11">
        <v>18972</v>
      </c>
      <c r="H40" s="67">
        <v>1000</v>
      </c>
      <c r="I40" s="12" t="s">
        <v>298</v>
      </c>
      <c r="J40" s="61">
        <v>19018</v>
      </c>
      <c r="K40" s="71">
        <v>400</v>
      </c>
      <c r="L40" s="62"/>
      <c r="M40" s="75"/>
      <c r="N40" s="73"/>
      <c r="O40" s="15"/>
    </row>
    <row r="41" spans="1:15" x14ac:dyDescent="0.25">
      <c r="A41" s="16">
        <v>18837</v>
      </c>
      <c r="B41" s="49">
        <v>400</v>
      </c>
      <c r="C41" s="17" t="s">
        <v>240</v>
      </c>
      <c r="D41" s="13">
        <v>18907</v>
      </c>
      <c r="E41" s="70">
        <v>900</v>
      </c>
      <c r="F41" s="14" t="s">
        <v>251</v>
      </c>
      <c r="G41" s="11"/>
      <c r="H41" s="67"/>
      <c r="I41" s="12" t="s">
        <v>14</v>
      </c>
      <c r="J41" s="61">
        <v>19019</v>
      </c>
      <c r="K41" s="71">
        <v>800</v>
      </c>
      <c r="L41" s="62" t="s">
        <v>310</v>
      </c>
      <c r="M41" s="75"/>
      <c r="N41" s="73"/>
      <c r="O41" s="15"/>
    </row>
    <row r="42" spans="1:15" x14ac:dyDescent="0.25">
      <c r="A42" s="16">
        <v>18838</v>
      </c>
      <c r="B42" s="49">
        <v>300</v>
      </c>
      <c r="C42" s="17"/>
      <c r="D42" s="13"/>
      <c r="E42" s="70"/>
      <c r="F42" s="14" t="s">
        <v>16</v>
      </c>
      <c r="G42" s="11">
        <v>18973</v>
      </c>
      <c r="H42" s="67">
        <v>400</v>
      </c>
      <c r="I42" s="12" t="s">
        <v>240</v>
      </c>
      <c r="J42" s="61"/>
      <c r="K42" s="71"/>
      <c r="L42" s="62" t="s">
        <v>15</v>
      </c>
      <c r="M42" s="75"/>
      <c r="N42" s="73"/>
      <c r="O42" s="15"/>
    </row>
    <row r="43" spans="1:15" x14ac:dyDescent="0.25">
      <c r="A43" s="16">
        <v>18839</v>
      </c>
      <c r="B43" s="49">
        <v>400</v>
      </c>
      <c r="C43" s="17"/>
      <c r="D43" s="13">
        <v>18908</v>
      </c>
      <c r="E43" s="70">
        <v>400</v>
      </c>
      <c r="F43" s="14"/>
      <c r="G43" s="11">
        <v>18974</v>
      </c>
      <c r="H43" s="67">
        <v>400</v>
      </c>
      <c r="I43" s="12"/>
      <c r="J43" s="61">
        <v>19020</v>
      </c>
      <c r="K43" s="71">
        <v>400</v>
      </c>
      <c r="L43" s="62"/>
      <c r="M43" s="75"/>
      <c r="N43" s="73"/>
      <c r="O43" s="15"/>
    </row>
    <row r="44" spans="1:15" x14ac:dyDescent="0.25">
      <c r="A44" s="16">
        <v>18840</v>
      </c>
      <c r="B44" s="49">
        <v>400</v>
      </c>
      <c r="C44" s="17"/>
      <c r="D44" s="13">
        <v>18909</v>
      </c>
      <c r="E44" s="70">
        <v>400</v>
      </c>
      <c r="F44" s="14"/>
      <c r="G44" s="11">
        <v>18975</v>
      </c>
      <c r="H44" s="67">
        <v>400</v>
      </c>
      <c r="I44" s="12" t="s">
        <v>240</v>
      </c>
      <c r="J44" s="61">
        <v>19021</v>
      </c>
      <c r="K44" s="71">
        <v>400</v>
      </c>
      <c r="L44" s="62" t="s">
        <v>302</v>
      </c>
      <c r="M44" s="75"/>
      <c r="N44" s="73"/>
      <c r="O44" s="15"/>
    </row>
    <row r="45" spans="1:15" x14ac:dyDescent="0.25">
      <c r="A45" s="16">
        <v>18841</v>
      </c>
      <c r="B45" s="49">
        <v>400</v>
      </c>
      <c r="C45" s="17" t="s">
        <v>241</v>
      </c>
      <c r="D45" s="13">
        <v>18910</v>
      </c>
      <c r="E45" s="70">
        <v>600</v>
      </c>
      <c r="F45" s="14" t="s">
        <v>229</v>
      </c>
      <c r="G45" s="11">
        <v>18976</v>
      </c>
      <c r="H45" s="67">
        <v>800</v>
      </c>
      <c r="I45" s="12" t="s">
        <v>229</v>
      </c>
      <c r="J45" s="61"/>
      <c r="K45" s="71"/>
      <c r="L45" s="62"/>
      <c r="M45" s="75"/>
      <c r="N45" s="73"/>
      <c r="O45" s="15"/>
    </row>
    <row r="46" spans="1:15" x14ac:dyDescent="0.25">
      <c r="A46" s="16">
        <v>18842</v>
      </c>
      <c r="B46" s="49">
        <v>400</v>
      </c>
      <c r="C46" s="17"/>
      <c r="D46" s="13"/>
      <c r="E46" s="70"/>
      <c r="F46" s="14" t="s">
        <v>16</v>
      </c>
      <c r="G46" s="11"/>
      <c r="H46" s="67"/>
      <c r="I46" s="98" t="s">
        <v>15</v>
      </c>
      <c r="J46" s="61"/>
      <c r="K46" s="71"/>
      <c r="L46" s="62"/>
      <c r="M46" s="75"/>
      <c r="N46" s="73"/>
      <c r="O46" s="15"/>
    </row>
    <row r="47" spans="1:15" x14ac:dyDescent="0.25">
      <c r="A47" s="16">
        <v>18843</v>
      </c>
      <c r="B47" s="49">
        <v>400</v>
      </c>
      <c r="C47" s="17"/>
      <c r="D47" s="13">
        <v>18911</v>
      </c>
      <c r="E47" s="70">
        <v>700</v>
      </c>
      <c r="F47" s="14" t="s">
        <v>228</v>
      </c>
      <c r="G47" s="11">
        <v>18977</v>
      </c>
      <c r="H47" s="67">
        <v>600</v>
      </c>
      <c r="I47" s="12" t="s">
        <v>299</v>
      </c>
      <c r="J47" s="61"/>
      <c r="K47" s="71"/>
      <c r="L47" s="62"/>
      <c r="M47" s="75"/>
      <c r="N47" s="73"/>
      <c r="O47" s="15"/>
    </row>
    <row r="48" spans="1:15" x14ac:dyDescent="0.25">
      <c r="A48" s="16">
        <v>18844</v>
      </c>
      <c r="B48" s="49">
        <v>200</v>
      </c>
      <c r="C48" s="17"/>
      <c r="D48" s="13"/>
      <c r="E48" s="70"/>
      <c r="F48" s="14" t="s">
        <v>18</v>
      </c>
      <c r="G48" s="11"/>
      <c r="H48" s="67"/>
      <c r="I48" s="12" t="s">
        <v>300</v>
      </c>
      <c r="J48" s="61"/>
      <c r="K48" s="71"/>
      <c r="L48" s="62"/>
      <c r="M48" s="75"/>
      <c r="N48" s="73"/>
      <c r="O48" s="15"/>
    </row>
    <row r="49" spans="1:15" x14ac:dyDescent="0.25">
      <c r="A49" s="16">
        <v>18845</v>
      </c>
      <c r="B49" s="49">
        <v>400</v>
      </c>
      <c r="C49" s="17"/>
      <c r="D49" s="13">
        <v>18912</v>
      </c>
      <c r="E49" s="70">
        <v>1200</v>
      </c>
      <c r="F49" s="14"/>
      <c r="G49" s="11">
        <v>18978</v>
      </c>
      <c r="H49" s="67">
        <v>400</v>
      </c>
      <c r="I49" s="12"/>
      <c r="J49" s="61"/>
      <c r="K49" s="71"/>
      <c r="L49" s="62"/>
      <c r="M49" s="75"/>
      <c r="N49" s="73"/>
      <c r="O49" s="15"/>
    </row>
    <row r="50" spans="1:15" x14ac:dyDescent="0.25">
      <c r="A50" s="16">
        <v>18846</v>
      </c>
      <c r="B50" s="49">
        <v>400</v>
      </c>
      <c r="C50" s="17"/>
      <c r="D50" s="13">
        <v>18913</v>
      </c>
      <c r="E50" s="70">
        <v>400</v>
      </c>
      <c r="F50" s="14"/>
      <c r="G50" s="11">
        <v>18979</v>
      </c>
      <c r="H50" s="67">
        <v>400</v>
      </c>
      <c r="I50" s="12" t="s">
        <v>240</v>
      </c>
      <c r="J50" s="61"/>
      <c r="K50" s="71"/>
      <c r="L50" s="62"/>
      <c r="M50" s="75"/>
      <c r="N50" s="73"/>
      <c r="O50" s="15"/>
    </row>
    <row r="51" spans="1:15" x14ac:dyDescent="0.25">
      <c r="A51" s="16">
        <v>18847</v>
      </c>
      <c r="B51" s="49">
        <v>2400</v>
      </c>
      <c r="C51" s="17" t="s">
        <v>242</v>
      </c>
      <c r="D51" s="13">
        <v>18914</v>
      </c>
      <c r="E51" s="70">
        <v>1600</v>
      </c>
      <c r="F51" s="14" t="s">
        <v>274</v>
      </c>
      <c r="G51" s="11">
        <v>18980</v>
      </c>
      <c r="H51" s="67">
        <v>400</v>
      </c>
      <c r="I51" s="12" t="s">
        <v>229</v>
      </c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 t="s">
        <v>15</v>
      </c>
      <c r="D52" s="13"/>
      <c r="E52" s="70"/>
      <c r="F52" s="14" t="s">
        <v>15</v>
      </c>
      <c r="G52" s="11"/>
      <c r="H52" s="67"/>
      <c r="I52" s="12" t="s">
        <v>14</v>
      </c>
      <c r="J52" s="61"/>
      <c r="K52" s="71"/>
      <c r="L52" s="62"/>
      <c r="M52" s="75"/>
      <c r="N52" s="73"/>
      <c r="O52" s="15"/>
    </row>
    <row r="53" spans="1:15" x14ac:dyDescent="0.25">
      <c r="A53" s="16">
        <v>18848</v>
      </c>
      <c r="B53" s="49">
        <v>300</v>
      </c>
      <c r="C53" s="17" t="s">
        <v>240</v>
      </c>
      <c r="D53" s="13">
        <v>18915</v>
      </c>
      <c r="E53" s="70">
        <v>30</v>
      </c>
      <c r="F53" s="14" t="s">
        <v>275</v>
      </c>
      <c r="G53" s="11">
        <v>18981</v>
      </c>
      <c r="H53" s="67">
        <v>200</v>
      </c>
      <c r="I53" s="12" t="s">
        <v>301</v>
      </c>
      <c r="J53" s="61"/>
      <c r="K53" s="71"/>
      <c r="L53" s="62"/>
      <c r="M53" s="75"/>
      <c r="N53" s="73"/>
      <c r="O53" s="15"/>
    </row>
    <row r="54" spans="1:15" x14ac:dyDescent="0.25">
      <c r="A54" s="16">
        <v>18849</v>
      </c>
      <c r="B54" s="49">
        <v>300</v>
      </c>
      <c r="C54" s="17"/>
      <c r="D54" s="13">
        <v>18916</v>
      </c>
      <c r="E54" s="70">
        <v>400</v>
      </c>
      <c r="F54" s="14"/>
      <c r="G54" s="11">
        <v>18982</v>
      </c>
      <c r="H54" s="67">
        <v>200</v>
      </c>
      <c r="I54" s="12" t="s">
        <v>302</v>
      </c>
      <c r="J54" s="61"/>
      <c r="K54" s="71"/>
      <c r="L54" s="62"/>
      <c r="M54" s="75"/>
      <c r="N54" s="73"/>
      <c r="O54" s="15"/>
    </row>
    <row r="55" spans="1:15" x14ac:dyDescent="0.25">
      <c r="A55" s="16">
        <v>18850</v>
      </c>
      <c r="B55" s="49">
        <v>550</v>
      </c>
      <c r="C55" s="17" t="s">
        <v>243</v>
      </c>
      <c r="D55" s="13">
        <v>18917</v>
      </c>
      <c r="E55" s="70">
        <v>400</v>
      </c>
      <c r="F55" s="14"/>
      <c r="G55" s="11">
        <v>18983</v>
      </c>
      <c r="H55" s="67">
        <v>800</v>
      </c>
      <c r="I55" s="12" t="s">
        <v>229</v>
      </c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 t="s">
        <v>244</v>
      </c>
      <c r="D56" s="13">
        <v>18918</v>
      </c>
      <c r="E56" s="70">
        <v>800</v>
      </c>
      <c r="F56" s="14" t="s">
        <v>229</v>
      </c>
      <c r="G56" s="11"/>
      <c r="H56" s="67"/>
      <c r="I56" s="12" t="s">
        <v>15</v>
      </c>
      <c r="J56" s="61"/>
      <c r="K56" s="71"/>
      <c r="L56" s="62"/>
      <c r="M56" s="75"/>
      <c r="N56" s="73"/>
      <c r="O56" s="15"/>
    </row>
    <row r="57" spans="1:15" x14ac:dyDescent="0.25">
      <c r="A57" s="16">
        <v>18851</v>
      </c>
      <c r="B57" s="49">
        <v>200</v>
      </c>
      <c r="C57" s="17" t="s">
        <v>34</v>
      </c>
      <c r="D57" s="13"/>
      <c r="E57" s="70"/>
      <c r="F57" s="14" t="s">
        <v>15</v>
      </c>
      <c r="G57" s="11">
        <v>18984</v>
      </c>
      <c r="H57" s="67">
        <v>200</v>
      </c>
      <c r="I57" s="12" t="s">
        <v>34</v>
      </c>
      <c r="J57" s="61"/>
      <c r="K57" s="71"/>
      <c r="L57" s="62"/>
      <c r="M57" s="75"/>
      <c r="N57" s="73"/>
      <c r="O57" s="15"/>
    </row>
    <row r="58" spans="1:15" x14ac:dyDescent="0.25">
      <c r="A58" s="16">
        <v>18852</v>
      </c>
      <c r="B58" s="49">
        <v>400</v>
      </c>
      <c r="C58" s="17"/>
      <c r="D58" s="13">
        <v>18919</v>
      </c>
      <c r="E58" s="70">
        <v>400</v>
      </c>
      <c r="F58" s="14"/>
      <c r="G58" s="11">
        <v>18985</v>
      </c>
      <c r="H58" s="67">
        <v>1200</v>
      </c>
      <c r="I58" s="12" t="s">
        <v>281</v>
      </c>
      <c r="J58" s="61"/>
      <c r="K58" s="71"/>
      <c r="L58" s="62"/>
      <c r="M58" s="75"/>
      <c r="N58" s="73"/>
      <c r="O58" s="15"/>
    </row>
    <row r="59" spans="1:15" x14ac:dyDescent="0.25">
      <c r="A59" s="16">
        <v>18853</v>
      </c>
      <c r="B59" s="49">
        <v>350</v>
      </c>
      <c r="C59" s="17" t="s">
        <v>245</v>
      </c>
      <c r="D59" s="13">
        <v>18920</v>
      </c>
      <c r="E59" s="70">
        <v>50</v>
      </c>
      <c r="F59" s="14" t="s">
        <v>276</v>
      </c>
      <c r="G59" s="11"/>
      <c r="H59" s="67"/>
      <c r="I59" s="12" t="s">
        <v>15</v>
      </c>
      <c r="J59" s="61"/>
      <c r="K59" s="71"/>
      <c r="L59" s="62"/>
      <c r="M59" s="75"/>
      <c r="N59" s="73"/>
      <c r="O59" s="15"/>
    </row>
    <row r="60" spans="1:15" x14ac:dyDescent="0.25">
      <c r="A60" s="16">
        <v>18854</v>
      </c>
      <c r="B60" s="49">
        <v>600</v>
      </c>
      <c r="C60" s="17" t="s">
        <v>228</v>
      </c>
      <c r="D60" s="13">
        <v>18921</v>
      </c>
      <c r="E60" s="70">
        <v>400</v>
      </c>
      <c r="F60" s="14" t="s">
        <v>240</v>
      </c>
      <c r="G60" s="11">
        <v>18986</v>
      </c>
      <c r="H60" s="67">
        <v>400</v>
      </c>
      <c r="I60" s="12" t="s">
        <v>240</v>
      </c>
      <c r="J60" s="61"/>
      <c r="K60" s="71"/>
      <c r="L60" s="62"/>
      <c r="M60" s="75"/>
      <c r="N60" s="73"/>
      <c r="O60" s="15"/>
    </row>
    <row r="61" spans="1:15" x14ac:dyDescent="0.25">
      <c r="A61" s="16"/>
      <c r="B61" s="49"/>
      <c r="C61" s="17" t="s">
        <v>16</v>
      </c>
      <c r="D61" s="13">
        <v>18922</v>
      </c>
      <c r="E61" s="70">
        <v>200</v>
      </c>
      <c r="F61" s="14"/>
      <c r="G61" s="11">
        <v>18987</v>
      </c>
      <c r="H61" s="67">
        <v>400</v>
      </c>
      <c r="I61" s="12" t="s">
        <v>241</v>
      </c>
      <c r="J61" s="61"/>
      <c r="K61" s="71"/>
      <c r="L61" s="62"/>
      <c r="M61" s="75"/>
      <c r="N61" s="73"/>
      <c r="O61" s="15"/>
    </row>
    <row r="62" spans="1:15" x14ac:dyDescent="0.25">
      <c r="A62" s="16">
        <v>18855</v>
      </c>
      <c r="B62" s="49">
        <v>400</v>
      </c>
      <c r="C62" s="17"/>
      <c r="D62" s="13">
        <v>18923</v>
      </c>
      <c r="E62" s="70">
        <v>250</v>
      </c>
      <c r="F62" s="14"/>
      <c r="G62" s="11">
        <v>18988</v>
      </c>
      <c r="H62" s="67">
        <v>400</v>
      </c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18856</v>
      </c>
      <c r="B63" s="49">
        <v>400</v>
      </c>
      <c r="C63" s="17" t="s">
        <v>246</v>
      </c>
      <c r="D63" s="13">
        <v>18924</v>
      </c>
      <c r="E63" s="70">
        <v>500</v>
      </c>
      <c r="F63" s="14"/>
      <c r="G63" s="11">
        <v>18989</v>
      </c>
      <c r="H63" s="67">
        <v>400</v>
      </c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18857</v>
      </c>
      <c r="B64" s="49">
        <v>350</v>
      </c>
      <c r="C64" s="17"/>
      <c r="D64" s="13">
        <v>18925</v>
      </c>
      <c r="E64" s="70">
        <v>400</v>
      </c>
      <c r="F64" s="14" t="s">
        <v>241</v>
      </c>
      <c r="G64" s="11">
        <v>18990</v>
      </c>
      <c r="H64" s="67">
        <v>400</v>
      </c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18858</v>
      </c>
      <c r="B65" s="49">
        <v>1000</v>
      </c>
      <c r="C65" s="17" t="s">
        <v>247</v>
      </c>
      <c r="D65" s="13">
        <v>18926</v>
      </c>
      <c r="E65" s="70">
        <v>400</v>
      </c>
      <c r="F65" s="14" t="s">
        <v>277</v>
      </c>
      <c r="G65" s="11">
        <v>18991</v>
      </c>
      <c r="H65" s="67">
        <v>400</v>
      </c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 t="s">
        <v>14</v>
      </c>
      <c r="D66" s="13">
        <v>18927</v>
      </c>
      <c r="E66" s="70">
        <v>150</v>
      </c>
      <c r="F66" s="14" t="s">
        <v>278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18859</v>
      </c>
      <c r="B67" s="49">
        <v>400</v>
      </c>
      <c r="C67" s="17" t="s">
        <v>229</v>
      </c>
      <c r="D67" s="13">
        <v>18928</v>
      </c>
      <c r="E67" s="70">
        <v>800</v>
      </c>
      <c r="F67" s="14" t="s">
        <v>279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14</v>
      </c>
      <c r="D68" s="13"/>
      <c r="E68" s="70"/>
      <c r="F68" s="14" t="s">
        <v>280</v>
      </c>
      <c r="G68" s="11"/>
      <c r="H68" s="67"/>
      <c r="I68" s="111"/>
      <c r="J68" s="61"/>
      <c r="K68" s="71"/>
      <c r="L68" s="62"/>
      <c r="M68" s="75"/>
      <c r="N68" s="73"/>
      <c r="O68" s="15"/>
    </row>
    <row r="69" spans="1:15" x14ac:dyDescent="0.25">
      <c r="A69" s="16">
        <v>18860</v>
      </c>
      <c r="B69" s="49">
        <v>300</v>
      </c>
      <c r="C69" s="17"/>
      <c r="D69" s="13">
        <v>18929</v>
      </c>
      <c r="E69" s="70">
        <v>200</v>
      </c>
      <c r="F69" s="14" t="s">
        <v>34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18861</v>
      </c>
      <c r="B70" s="49">
        <v>400</v>
      </c>
      <c r="C70" s="17" t="s">
        <v>241</v>
      </c>
      <c r="D70" s="13">
        <v>18930</v>
      </c>
      <c r="E70" s="70">
        <v>250</v>
      </c>
      <c r="F70" s="14" t="s">
        <v>240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18862</v>
      </c>
      <c r="B71" s="49">
        <v>200</v>
      </c>
      <c r="C71" s="17"/>
      <c r="D71" s="13">
        <v>18931</v>
      </c>
      <c r="E71" s="70">
        <v>250</v>
      </c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18863</v>
      </c>
      <c r="B72" s="49">
        <v>400</v>
      </c>
      <c r="C72" s="17" t="s">
        <v>248</v>
      </c>
      <c r="D72" s="13">
        <v>18932</v>
      </c>
      <c r="E72" s="70">
        <v>350</v>
      </c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 t="s">
        <v>14</v>
      </c>
      <c r="D73" s="13">
        <v>18933</v>
      </c>
      <c r="E73" s="70">
        <v>600</v>
      </c>
      <c r="F73" s="14" t="s">
        <v>229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18864</v>
      </c>
      <c r="B74" s="49">
        <v>400</v>
      </c>
      <c r="C74" s="17" t="s">
        <v>228</v>
      </c>
      <c r="D74" s="13"/>
      <c r="E74" s="70"/>
      <c r="F74" s="14" t="s">
        <v>16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 t="s">
        <v>14</v>
      </c>
      <c r="D75" s="13">
        <v>18934</v>
      </c>
      <c r="E75" s="70">
        <v>400</v>
      </c>
      <c r="F75" s="14" t="s">
        <v>240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18865</v>
      </c>
      <c r="B76" s="49">
        <v>400</v>
      </c>
      <c r="C76" s="17" t="s">
        <v>240</v>
      </c>
      <c r="D76" s="13">
        <v>18935</v>
      </c>
      <c r="E76" s="70">
        <v>200</v>
      </c>
      <c r="F76" s="14" t="s">
        <v>34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18866</v>
      </c>
      <c r="B77" s="49">
        <v>300</v>
      </c>
      <c r="C77" s="17"/>
      <c r="D77" s="13">
        <v>18936</v>
      </c>
      <c r="E77" s="70">
        <v>400</v>
      </c>
      <c r="F77" s="14" t="s">
        <v>229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18867</v>
      </c>
      <c r="B78" s="49">
        <v>400</v>
      </c>
      <c r="C78" s="17"/>
      <c r="D78" s="13"/>
      <c r="E78" s="70"/>
      <c r="F78" s="14" t="s">
        <v>14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18868</v>
      </c>
      <c r="B79" s="49">
        <v>400</v>
      </c>
      <c r="C79" s="17"/>
      <c r="D79" s="13">
        <v>18937</v>
      </c>
      <c r="E79" s="70">
        <v>400</v>
      </c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18869</v>
      </c>
      <c r="B80" s="49">
        <v>50</v>
      </c>
      <c r="C80" s="17" t="s">
        <v>75</v>
      </c>
      <c r="D80" s="13">
        <v>18938</v>
      </c>
      <c r="E80" s="70">
        <v>1200</v>
      </c>
      <c r="F80" s="14" t="s">
        <v>272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18870</v>
      </c>
      <c r="B81" s="49">
        <v>150</v>
      </c>
      <c r="C81" s="17"/>
      <c r="D81" s="13"/>
      <c r="E81" s="70"/>
      <c r="F81" s="14" t="s">
        <v>15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18871</v>
      </c>
      <c r="B82" s="49">
        <v>800</v>
      </c>
      <c r="C82" s="17" t="s">
        <v>229</v>
      </c>
      <c r="D82" s="13">
        <v>18939</v>
      </c>
      <c r="E82" s="70">
        <v>400</v>
      </c>
      <c r="F82" s="14" t="s">
        <v>240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 t="s">
        <v>15</v>
      </c>
      <c r="D83" s="13">
        <v>18940</v>
      </c>
      <c r="E83" s="70">
        <v>600</v>
      </c>
      <c r="F83" s="14" t="s">
        <v>251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18872</v>
      </c>
      <c r="B84" s="49">
        <v>700</v>
      </c>
      <c r="C84" s="17" t="s">
        <v>229</v>
      </c>
      <c r="D84" s="13"/>
      <c r="E84" s="70"/>
      <c r="F84" s="14" t="s">
        <v>282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 t="s">
        <v>18</v>
      </c>
      <c r="D85" s="13">
        <v>18941</v>
      </c>
      <c r="E85" s="70">
        <v>600</v>
      </c>
      <c r="F85" s="14" t="s">
        <v>273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18873</v>
      </c>
      <c r="B86" s="49">
        <v>400</v>
      </c>
      <c r="C86" s="17"/>
      <c r="D86" s="13"/>
      <c r="E86" s="70"/>
      <c r="F86" s="14" t="s">
        <v>16</v>
      </c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18874</v>
      </c>
      <c r="B87" s="49">
        <v>240</v>
      </c>
      <c r="C87" s="17" t="s">
        <v>249</v>
      </c>
      <c r="D87" s="13">
        <v>18942</v>
      </c>
      <c r="E87" s="70">
        <v>300</v>
      </c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18875</v>
      </c>
      <c r="B88" s="49">
        <v>400</v>
      </c>
      <c r="C88" s="17"/>
      <c r="D88" s="13">
        <v>18943</v>
      </c>
      <c r="E88" s="70">
        <v>300</v>
      </c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18876</v>
      </c>
      <c r="B89" s="49">
        <v>200</v>
      </c>
      <c r="C89" s="17" t="s">
        <v>250</v>
      </c>
      <c r="D89" s="13">
        <v>18944</v>
      </c>
      <c r="E89" s="70">
        <v>400</v>
      </c>
      <c r="F89" s="14" t="s">
        <v>283</v>
      </c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18877</v>
      </c>
      <c r="B90" s="49">
        <v>300</v>
      </c>
      <c r="C90" s="17"/>
      <c r="D90" s="13">
        <v>18945</v>
      </c>
      <c r="E90" s="70">
        <v>300</v>
      </c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18878</v>
      </c>
      <c r="B91" s="49">
        <v>400</v>
      </c>
      <c r="C91" s="17" t="s">
        <v>240</v>
      </c>
      <c r="D91" s="13">
        <v>18946</v>
      </c>
      <c r="E91" s="70">
        <v>400</v>
      </c>
      <c r="F91" s="14" t="s">
        <v>229</v>
      </c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18879</v>
      </c>
      <c r="B92" s="49">
        <v>400</v>
      </c>
      <c r="C92" s="17"/>
      <c r="D92" s="13"/>
      <c r="E92" s="70"/>
      <c r="F92" s="14" t="s">
        <v>14</v>
      </c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>
        <v>18880</v>
      </c>
      <c r="B93" s="49">
        <v>200</v>
      </c>
      <c r="C93" s="17" t="s">
        <v>240</v>
      </c>
      <c r="D93" s="13">
        <v>18947</v>
      </c>
      <c r="E93" s="70">
        <v>600</v>
      </c>
      <c r="F93" s="14" t="s">
        <v>229</v>
      </c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18881</v>
      </c>
      <c r="B94" s="49">
        <v>1200</v>
      </c>
      <c r="C94" s="17" t="s">
        <v>251</v>
      </c>
      <c r="D94" s="13"/>
      <c r="E94" s="70"/>
      <c r="F94" s="14" t="s">
        <v>16</v>
      </c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 t="s">
        <v>15</v>
      </c>
      <c r="D95" s="13">
        <v>18948</v>
      </c>
      <c r="E95" s="70">
        <v>400</v>
      </c>
      <c r="F95" s="14" t="s">
        <v>241</v>
      </c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18882</v>
      </c>
      <c r="B96" s="49">
        <v>200</v>
      </c>
      <c r="C96" s="17"/>
      <c r="D96" s="13">
        <v>18949</v>
      </c>
      <c r="E96" s="70">
        <v>450</v>
      </c>
      <c r="F96" s="14" t="s">
        <v>284</v>
      </c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>
        <v>18883</v>
      </c>
      <c r="B97" s="49">
        <v>400</v>
      </c>
      <c r="C97" s="17"/>
      <c r="D97" s="13">
        <v>18950</v>
      </c>
      <c r="E97" s="70">
        <v>400</v>
      </c>
      <c r="F97" s="14" t="s">
        <v>240</v>
      </c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>
        <v>18884</v>
      </c>
      <c r="B98" s="49">
        <v>800</v>
      </c>
      <c r="C98" s="17" t="s">
        <v>239</v>
      </c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 t="s">
        <v>15</v>
      </c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>
        <v>18885</v>
      </c>
      <c r="B100" s="49">
        <v>400</v>
      </c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>
        <v>18886</v>
      </c>
      <c r="B101" s="49">
        <v>600</v>
      </c>
      <c r="C101" s="17" t="s">
        <v>251</v>
      </c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 t="s">
        <v>14</v>
      </c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>
        <v>18887</v>
      </c>
      <c r="B103" s="49">
        <v>300</v>
      </c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>
        <v>18888</v>
      </c>
      <c r="B104" s="49">
        <v>800</v>
      </c>
      <c r="C104" s="17" t="s">
        <v>228</v>
      </c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 t="s">
        <v>15</v>
      </c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64"/>
      <c r="B111" s="64"/>
      <c r="C111" s="65"/>
      <c r="D111" s="64"/>
      <c r="E111" s="65"/>
      <c r="F111" s="65"/>
      <c r="G111" s="64"/>
      <c r="H111" s="65"/>
      <c r="I111" s="65"/>
      <c r="J111" s="64"/>
      <c r="K111" s="65"/>
      <c r="L111" s="65"/>
      <c r="M111" s="64"/>
      <c r="N111" s="65"/>
      <c r="O111" s="65"/>
    </row>
    <row r="112" spans="1:15" x14ac:dyDescent="0.25">
      <c r="A112" s="64"/>
      <c r="B112" s="64"/>
      <c r="C112" s="65"/>
      <c r="D112" s="64"/>
      <c r="E112" s="65"/>
      <c r="F112" s="65"/>
      <c r="G112" s="64"/>
      <c r="H112" s="65"/>
      <c r="I112" s="65"/>
      <c r="J112" s="64"/>
      <c r="K112" s="65"/>
      <c r="L112" s="65"/>
      <c r="M112" s="64"/>
      <c r="N112" s="65"/>
      <c r="O112" s="65"/>
    </row>
    <row r="113" spans="1:15" x14ac:dyDescent="0.25">
      <c r="A113" s="64"/>
      <c r="B113" s="64"/>
      <c r="C113" s="65"/>
      <c r="D113" s="64"/>
      <c r="E113" s="65"/>
      <c r="F113" s="65"/>
      <c r="G113" s="64"/>
      <c r="H113" s="65"/>
      <c r="I113" s="65"/>
      <c r="J113" s="64"/>
      <c r="K113" s="65"/>
      <c r="L113" s="65"/>
      <c r="M113" s="64"/>
      <c r="N113" s="65"/>
      <c r="O113" s="65"/>
    </row>
    <row r="114" spans="1:15" x14ac:dyDescent="0.25">
      <c r="A114" s="64"/>
      <c r="B114" s="64"/>
      <c r="C114" s="65"/>
      <c r="D114" s="64"/>
      <c r="E114" s="65"/>
      <c r="F114" s="65"/>
      <c r="G114" s="64"/>
      <c r="H114" s="65"/>
      <c r="I114" s="65"/>
      <c r="J114" s="64"/>
      <c r="K114" s="65"/>
      <c r="L114" s="65"/>
      <c r="M114" s="64"/>
      <c r="N114" s="65"/>
      <c r="O114" s="65"/>
    </row>
    <row r="115" spans="1:15" x14ac:dyDescent="0.25">
      <c r="A115" s="64"/>
      <c r="B115" s="64"/>
      <c r="C115" s="65"/>
      <c r="D115" s="64"/>
      <c r="E115" s="65"/>
      <c r="F115" s="65"/>
      <c r="G115" s="64"/>
      <c r="H115" s="65"/>
      <c r="I115" s="65"/>
      <c r="J115" s="64"/>
      <c r="K115" s="65"/>
      <c r="L115" s="65"/>
      <c r="M115" s="64"/>
      <c r="N115" s="65"/>
      <c r="O115" s="65"/>
    </row>
    <row r="116" spans="1:15" x14ac:dyDescent="0.25">
      <c r="A116" s="64"/>
      <c r="B116" s="64"/>
      <c r="C116" s="65"/>
      <c r="D116" s="64"/>
      <c r="E116" s="65"/>
      <c r="F116" s="65"/>
      <c r="G116" s="64"/>
      <c r="H116" s="65"/>
      <c r="I116" s="65"/>
      <c r="J116" s="64"/>
      <c r="K116" s="65"/>
      <c r="L116" s="65"/>
      <c r="M116" s="64"/>
      <c r="N116" s="65"/>
      <c r="O116" s="65"/>
    </row>
    <row r="117" spans="1:15" x14ac:dyDescent="0.25">
      <c r="A117" s="64"/>
      <c r="B117" s="64"/>
      <c r="C117" s="65"/>
      <c r="D117" s="64"/>
      <c r="E117" s="65"/>
      <c r="F117" s="65"/>
      <c r="G117" s="64"/>
      <c r="H117" s="65"/>
      <c r="I117" s="65"/>
      <c r="J117" s="64"/>
      <c r="K117" s="65"/>
      <c r="L117" s="65"/>
      <c r="M117" s="64"/>
      <c r="N117" s="65"/>
      <c r="O117" s="65"/>
    </row>
    <row r="118" spans="1:15" x14ac:dyDescent="0.25">
      <c r="A118" s="64"/>
      <c r="B118" s="64"/>
      <c r="C118" s="65"/>
      <c r="D118" s="64"/>
      <c r="E118" s="65"/>
      <c r="F118" s="65"/>
      <c r="G118" s="64"/>
      <c r="H118" s="65"/>
      <c r="I118" s="65"/>
      <c r="J118" s="64"/>
      <c r="K118" s="65"/>
      <c r="L118" s="65"/>
      <c r="M118" s="64"/>
      <c r="N118" s="65"/>
      <c r="O118" s="65"/>
    </row>
    <row r="119" spans="1:15" x14ac:dyDescent="0.25">
      <c r="A119" s="64"/>
      <c r="B119" s="64"/>
      <c r="C119" s="65"/>
      <c r="D119" s="64"/>
      <c r="E119" s="65"/>
      <c r="F119" s="65"/>
      <c r="G119" s="64"/>
      <c r="H119" s="65"/>
      <c r="I119" s="65"/>
      <c r="J119" s="64"/>
      <c r="K119" s="65"/>
      <c r="L119" s="65"/>
      <c r="M119" s="64"/>
      <c r="N119" s="65"/>
      <c r="O119" s="65"/>
    </row>
    <row r="120" spans="1:15" x14ac:dyDescent="0.25">
      <c r="A120" s="64"/>
      <c r="B120" s="64"/>
      <c r="C120" s="65"/>
      <c r="D120" s="64"/>
      <c r="E120" s="65"/>
      <c r="F120" s="65"/>
      <c r="G120" s="64"/>
      <c r="H120" s="65"/>
      <c r="I120" s="65"/>
      <c r="J120" s="64"/>
      <c r="K120" s="65"/>
      <c r="L120" s="65"/>
      <c r="M120" s="64"/>
      <c r="N120" s="65"/>
      <c r="O120" s="6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33"/>
  <sheetViews>
    <sheetView topLeftCell="I1" zoomScaleNormal="100" workbookViewId="0">
      <pane ySplit="4" topLeftCell="A68" activePane="bottomLeft" state="frozen"/>
      <selection pane="bottomLeft" activeCell="J2" sqref="J2:L2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.855468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x14ac:dyDescent="0.25">
      <c r="A2" s="129" t="s">
        <v>0</v>
      </c>
      <c r="B2" s="129"/>
      <c r="C2" s="129"/>
      <c r="D2" s="130" t="s">
        <v>4</v>
      </c>
      <c r="E2" s="130"/>
      <c r="F2" s="130"/>
      <c r="G2" s="131" t="s">
        <v>5</v>
      </c>
      <c r="H2" s="131"/>
      <c r="I2" s="131"/>
      <c r="J2" s="136" t="s">
        <v>6</v>
      </c>
      <c r="K2" s="136"/>
      <c r="L2" s="136"/>
      <c r="M2" s="124" t="s">
        <v>12</v>
      </c>
      <c r="N2" s="124"/>
      <c r="O2" s="124"/>
      <c r="Q2" s="133" t="s">
        <v>13</v>
      </c>
      <c r="R2" s="133"/>
    </row>
    <row r="3" spans="1:18" x14ac:dyDescent="0.25">
      <c r="A3" s="8">
        <f>SUBTOTAL(3,A5:A118)</f>
        <v>40</v>
      </c>
      <c r="B3" s="8">
        <f>SUBTOTAL(9,B5:B118)</f>
        <v>18250</v>
      </c>
      <c r="C3" s="35">
        <v>43618</v>
      </c>
      <c r="D3" s="8">
        <f>SUBTOTAL(3,D5:D117)</f>
        <v>61</v>
      </c>
      <c r="E3" s="1">
        <f>SUBTOTAL(9,E5:E155)</f>
        <v>29190</v>
      </c>
      <c r="F3" s="38">
        <v>43625</v>
      </c>
      <c r="G3" s="8">
        <f>SUBTOTAL(3,G5:G118)</f>
        <v>39</v>
      </c>
      <c r="H3" s="1">
        <f>SUBTOTAL(9,H5:H159)</f>
        <v>24050</v>
      </c>
      <c r="I3" s="39">
        <v>43632</v>
      </c>
      <c r="J3" s="8">
        <f>SUBTOTAL(3,J5:J107)</f>
        <v>26</v>
      </c>
      <c r="K3" s="1">
        <f>SUBTOTAL(9,K5:K107)</f>
        <v>16500</v>
      </c>
      <c r="L3" s="63">
        <v>43639</v>
      </c>
      <c r="M3" s="1">
        <f>SUBTOTAL(3,M5:M117)</f>
        <v>55</v>
      </c>
      <c r="N3" s="1">
        <f>SUBTOTAL(9,N5:N117)</f>
        <v>28250</v>
      </c>
      <c r="O3" s="85">
        <v>43646</v>
      </c>
      <c r="Q3" s="30">
        <f>+A3+D3+G3+J3+M3</f>
        <v>221</v>
      </c>
      <c r="R3" s="29">
        <f>+B3+E3+H3+K3+N3</f>
        <v>116240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19027</v>
      </c>
      <c r="B5" s="49">
        <v>400</v>
      </c>
      <c r="C5" s="17"/>
      <c r="D5" s="13">
        <v>19067</v>
      </c>
      <c r="E5" s="70">
        <v>300</v>
      </c>
      <c r="F5" s="14" t="s">
        <v>228</v>
      </c>
      <c r="G5" s="11">
        <v>19128</v>
      </c>
      <c r="H5" s="67">
        <v>2000</v>
      </c>
      <c r="I5" s="12" t="s">
        <v>333</v>
      </c>
      <c r="J5" s="61">
        <v>19167</v>
      </c>
      <c r="K5" s="71">
        <v>300</v>
      </c>
      <c r="L5" s="62"/>
      <c r="M5" s="75">
        <v>19193</v>
      </c>
      <c r="N5" s="73"/>
      <c r="O5" s="15" t="s">
        <v>59</v>
      </c>
      <c r="Q5" s="32"/>
      <c r="R5" s="32"/>
    </row>
    <row r="6" spans="1:18" x14ac:dyDescent="0.25">
      <c r="A6" s="16">
        <v>19028</v>
      </c>
      <c r="B6" s="49">
        <v>400</v>
      </c>
      <c r="C6" s="17" t="s">
        <v>306</v>
      </c>
      <c r="D6" s="13"/>
      <c r="E6" s="70"/>
      <c r="F6" s="14" t="s">
        <v>57</v>
      </c>
      <c r="G6" s="11"/>
      <c r="H6" s="67"/>
      <c r="I6" s="12" t="s">
        <v>334</v>
      </c>
      <c r="J6" s="61">
        <v>19168</v>
      </c>
      <c r="K6" s="71">
        <v>1750</v>
      </c>
      <c r="L6" s="62" t="s">
        <v>343</v>
      </c>
      <c r="M6" s="75">
        <v>19194</v>
      </c>
      <c r="N6" s="73">
        <v>400</v>
      </c>
      <c r="O6" s="15" t="s">
        <v>361</v>
      </c>
    </row>
    <row r="7" spans="1:18" x14ac:dyDescent="0.25">
      <c r="A7" s="16">
        <v>19029</v>
      </c>
      <c r="B7" s="49">
        <v>400</v>
      </c>
      <c r="C7" s="112"/>
      <c r="D7" s="13">
        <v>19068</v>
      </c>
      <c r="E7" s="70">
        <v>300</v>
      </c>
      <c r="F7" s="14" t="s">
        <v>316</v>
      </c>
      <c r="G7" s="11">
        <v>19129</v>
      </c>
      <c r="H7" s="67">
        <v>200</v>
      </c>
      <c r="I7" s="12"/>
      <c r="J7" s="61"/>
      <c r="K7" s="71"/>
      <c r="L7" s="62" t="s">
        <v>344</v>
      </c>
      <c r="M7" s="75"/>
      <c r="N7" s="73"/>
      <c r="O7" s="15" t="s">
        <v>41</v>
      </c>
    </row>
    <row r="8" spans="1:18" x14ac:dyDescent="0.25">
      <c r="A8" s="16">
        <v>19030</v>
      </c>
      <c r="B8" s="49">
        <v>500</v>
      </c>
      <c r="C8" s="17"/>
      <c r="D8" s="13">
        <v>19069</v>
      </c>
      <c r="E8" s="70">
        <v>800</v>
      </c>
      <c r="F8" s="14" t="s">
        <v>229</v>
      </c>
      <c r="G8" s="11">
        <v>19130</v>
      </c>
      <c r="H8" s="67">
        <v>250</v>
      </c>
      <c r="I8" s="12" t="s">
        <v>335</v>
      </c>
      <c r="J8" s="61">
        <v>19169</v>
      </c>
      <c r="K8" s="71">
        <v>200</v>
      </c>
      <c r="L8" s="62" t="s">
        <v>345</v>
      </c>
      <c r="M8" s="75">
        <v>19195</v>
      </c>
      <c r="N8" s="73">
        <v>400</v>
      </c>
      <c r="O8" s="15" t="s">
        <v>229</v>
      </c>
    </row>
    <row r="9" spans="1:18" x14ac:dyDescent="0.25">
      <c r="A9" s="16">
        <v>19031</v>
      </c>
      <c r="B9" s="49">
        <v>400</v>
      </c>
      <c r="C9" s="17"/>
      <c r="D9" s="13"/>
      <c r="E9" s="70"/>
      <c r="F9" s="14" t="s">
        <v>15</v>
      </c>
      <c r="G9" s="11">
        <v>19131</v>
      </c>
      <c r="H9" s="67">
        <v>200</v>
      </c>
      <c r="I9" s="12" t="s">
        <v>336</v>
      </c>
      <c r="J9" s="61">
        <v>19170</v>
      </c>
      <c r="K9" s="71"/>
      <c r="L9" s="62" t="s">
        <v>183</v>
      </c>
      <c r="M9" s="75"/>
      <c r="N9" s="73"/>
      <c r="O9" s="15" t="s">
        <v>41</v>
      </c>
    </row>
    <row r="10" spans="1:18" x14ac:dyDescent="0.25">
      <c r="A10" s="16">
        <v>19032</v>
      </c>
      <c r="B10" s="49">
        <v>600</v>
      </c>
      <c r="C10" s="17" t="s">
        <v>273</v>
      </c>
      <c r="D10" s="13">
        <v>19070</v>
      </c>
      <c r="E10" s="70">
        <v>400</v>
      </c>
      <c r="F10" s="14"/>
      <c r="G10" s="11">
        <v>19132</v>
      </c>
      <c r="H10" s="67">
        <v>800</v>
      </c>
      <c r="I10" s="12" t="s">
        <v>337</v>
      </c>
      <c r="J10" s="61">
        <v>19171</v>
      </c>
      <c r="K10" s="71">
        <v>1200</v>
      </c>
      <c r="L10" s="62" t="s">
        <v>346</v>
      </c>
      <c r="M10" s="75">
        <v>19196</v>
      </c>
      <c r="N10" s="73">
        <v>600</v>
      </c>
      <c r="O10" s="15" t="s">
        <v>362</v>
      </c>
    </row>
    <row r="11" spans="1:18" x14ac:dyDescent="0.25">
      <c r="A11" s="16"/>
      <c r="B11" s="49"/>
      <c r="C11" s="17" t="s">
        <v>16</v>
      </c>
      <c r="D11" s="13">
        <v>19071</v>
      </c>
      <c r="E11" s="70">
        <v>250</v>
      </c>
      <c r="F11" s="14" t="s">
        <v>317</v>
      </c>
      <c r="G11" s="11"/>
      <c r="H11" s="67"/>
      <c r="I11" s="12" t="s">
        <v>15</v>
      </c>
      <c r="J11" s="61"/>
      <c r="K11" s="71"/>
      <c r="L11" s="62" t="s">
        <v>347</v>
      </c>
      <c r="M11" s="75"/>
      <c r="N11" s="73"/>
      <c r="O11" s="31" t="s">
        <v>16</v>
      </c>
    </row>
    <row r="12" spans="1:18" x14ac:dyDescent="0.25">
      <c r="A12" s="16">
        <v>19033</v>
      </c>
      <c r="B12" s="49">
        <v>400</v>
      </c>
      <c r="C12" s="17" t="s">
        <v>306</v>
      </c>
      <c r="D12" s="13">
        <v>19072</v>
      </c>
      <c r="E12" s="70">
        <v>100</v>
      </c>
      <c r="F12" s="14"/>
      <c r="G12" s="11">
        <v>19133</v>
      </c>
      <c r="H12" s="67">
        <v>800</v>
      </c>
      <c r="I12" s="12" t="s">
        <v>228</v>
      </c>
      <c r="J12" s="61"/>
      <c r="K12" s="71"/>
      <c r="L12" s="62" t="s">
        <v>348</v>
      </c>
      <c r="M12" s="75">
        <v>19197</v>
      </c>
      <c r="N12" s="73">
        <v>400</v>
      </c>
      <c r="O12" s="15" t="s">
        <v>363</v>
      </c>
    </row>
    <row r="13" spans="1:18" x14ac:dyDescent="0.25">
      <c r="A13" s="16">
        <v>19034</v>
      </c>
      <c r="B13" s="49">
        <v>400</v>
      </c>
      <c r="C13" s="17" t="s">
        <v>306</v>
      </c>
      <c r="D13" s="13">
        <v>19073</v>
      </c>
      <c r="E13" s="70">
        <v>600</v>
      </c>
      <c r="F13" s="14" t="s">
        <v>273</v>
      </c>
      <c r="G13" s="11"/>
      <c r="H13" s="67"/>
      <c r="I13" s="12" t="s">
        <v>15</v>
      </c>
      <c r="J13" s="61">
        <v>19172</v>
      </c>
      <c r="K13" s="71">
        <v>150</v>
      </c>
      <c r="L13" s="62" t="s">
        <v>34</v>
      </c>
      <c r="M13" s="75"/>
      <c r="N13" s="73"/>
      <c r="O13" s="15" t="s">
        <v>364</v>
      </c>
    </row>
    <row r="14" spans="1:18" x14ac:dyDescent="0.25">
      <c r="A14" s="16">
        <v>19035</v>
      </c>
      <c r="B14" s="49">
        <v>200</v>
      </c>
      <c r="C14" s="17" t="s">
        <v>311</v>
      </c>
      <c r="D14" s="13"/>
      <c r="E14" s="70"/>
      <c r="F14" s="14" t="s">
        <v>16</v>
      </c>
      <c r="G14" s="11">
        <v>19134</v>
      </c>
      <c r="H14" s="67">
        <v>400</v>
      </c>
      <c r="I14" s="12" t="s">
        <v>52</v>
      </c>
      <c r="J14" s="61">
        <v>19173</v>
      </c>
      <c r="K14" s="71">
        <v>600</v>
      </c>
      <c r="L14" s="62" t="s">
        <v>349</v>
      </c>
      <c r="M14" s="75">
        <v>19198</v>
      </c>
      <c r="N14" s="73">
        <v>600</v>
      </c>
      <c r="O14" s="15" t="s">
        <v>314</v>
      </c>
    </row>
    <row r="15" spans="1:18" x14ac:dyDescent="0.25">
      <c r="A15" s="16">
        <v>19036</v>
      </c>
      <c r="B15" s="49">
        <v>350</v>
      </c>
      <c r="C15" s="17"/>
      <c r="D15" s="13">
        <v>19074</v>
      </c>
      <c r="E15" s="70">
        <v>350</v>
      </c>
      <c r="F15" s="33"/>
      <c r="G15" s="11">
        <v>19135</v>
      </c>
      <c r="H15" s="67">
        <v>400</v>
      </c>
      <c r="I15" s="12"/>
      <c r="J15" s="61"/>
      <c r="K15" s="71"/>
      <c r="L15" s="93">
        <v>1230</v>
      </c>
      <c r="M15" s="75"/>
      <c r="N15" s="73"/>
      <c r="O15" s="15" t="s">
        <v>41</v>
      </c>
    </row>
    <row r="16" spans="1:18" x14ac:dyDescent="0.25">
      <c r="A16" s="16">
        <v>19037</v>
      </c>
      <c r="B16" s="49">
        <v>400</v>
      </c>
      <c r="C16" s="17"/>
      <c r="D16" s="13">
        <v>19075</v>
      </c>
      <c r="E16" s="70">
        <v>300</v>
      </c>
      <c r="F16" s="14" t="s">
        <v>318</v>
      </c>
      <c r="G16" s="11">
        <v>19136</v>
      </c>
      <c r="H16" s="67">
        <v>300</v>
      </c>
      <c r="I16" s="12" t="s">
        <v>306</v>
      </c>
      <c r="J16" s="61">
        <v>19174</v>
      </c>
      <c r="K16" s="71">
        <v>600</v>
      </c>
      <c r="L16" s="62" t="s">
        <v>58</v>
      </c>
      <c r="M16" s="75">
        <v>19199</v>
      </c>
      <c r="N16" s="73">
        <v>800</v>
      </c>
      <c r="O16" s="15" t="s">
        <v>229</v>
      </c>
    </row>
    <row r="17" spans="1:15" x14ac:dyDescent="0.25">
      <c r="A17" s="16">
        <v>19038</v>
      </c>
      <c r="B17" s="49">
        <v>900</v>
      </c>
      <c r="C17" s="17" t="s">
        <v>312</v>
      </c>
      <c r="D17" s="13"/>
      <c r="E17" s="70"/>
      <c r="F17" s="14" t="s">
        <v>57</v>
      </c>
      <c r="G17" s="11">
        <v>19137</v>
      </c>
      <c r="H17" s="67">
        <v>4400</v>
      </c>
      <c r="I17" s="12" t="s">
        <v>338</v>
      </c>
      <c r="J17" s="61"/>
      <c r="K17" s="71"/>
      <c r="L17" s="62" t="s">
        <v>350</v>
      </c>
      <c r="M17" s="75"/>
      <c r="N17" s="73"/>
      <c r="O17" s="15" t="s">
        <v>15</v>
      </c>
    </row>
    <row r="18" spans="1:15" x14ac:dyDescent="0.25">
      <c r="A18" s="16"/>
      <c r="B18" s="49"/>
      <c r="C18" s="17" t="s">
        <v>313</v>
      </c>
      <c r="D18" s="13">
        <v>19076</v>
      </c>
      <c r="E18" s="70">
        <v>200</v>
      </c>
      <c r="F18" s="14" t="s">
        <v>319</v>
      </c>
      <c r="G18" s="11"/>
      <c r="H18" s="67"/>
      <c r="I18" s="12" t="s">
        <v>15</v>
      </c>
      <c r="J18" s="61">
        <v>19175</v>
      </c>
      <c r="K18" s="71">
        <v>300</v>
      </c>
      <c r="L18" s="62" t="s">
        <v>351</v>
      </c>
      <c r="M18" s="75">
        <v>19200</v>
      </c>
      <c r="N18" s="73">
        <v>800</v>
      </c>
      <c r="O18" s="15" t="s">
        <v>365</v>
      </c>
    </row>
    <row r="19" spans="1:15" x14ac:dyDescent="0.25">
      <c r="A19" s="16">
        <v>19039</v>
      </c>
      <c r="B19" s="49">
        <v>400</v>
      </c>
      <c r="C19" s="17"/>
      <c r="D19" s="13">
        <v>19077</v>
      </c>
      <c r="E19" s="70">
        <v>200</v>
      </c>
      <c r="F19" s="14"/>
      <c r="G19" s="11"/>
      <c r="H19" s="67"/>
      <c r="I19" s="12" t="s">
        <v>42</v>
      </c>
      <c r="J19" s="61"/>
      <c r="K19" s="71"/>
      <c r="L19" s="62" t="s">
        <v>352</v>
      </c>
      <c r="M19" s="75"/>
      <c r="N19" s="73"/>
      <c r="O19" s="15" t="s">
        <v>15</v>
      </c>
    </row>
    <row r="20" spans="1:15" x14ac:dyDescent="0.25">
      <c r="A20" s="16">
        <v>19040</v>
      </c>
      <c r="B20" s="49">
        <v>600</v>
      </c>
      <c r="C20" s="17" t="s">
        <v>314</v>
      </c>
      <c r="D20" s="13">
        <v>19078</v>
      </c>
      <c r="E20" s="70">
        <v>50</v>
      </c>
      <c r="F20" s="14" t="s">
        <v>75</v>
      </c>
      <c r="G20" s="11">
        <v>19138</v>
      </c>
      <c r="H20" s="67">
        <v>800</v>
      </c>
      <c r="I20" s="12" t="s">
        <v>229</v>
      </c>
      <c r="J20" s="61"/>
      <c r="K20" s="71"/>
      <c r="L20" s="62" t="s">
        <v>99</v>
      </c>
      <c r="M20" s="75">
        <v>19201</v>
      </c>
      <c r="N20" s="73">
        <v>400</v>
      </c>
      <c r="O20" s="15" t="s">
        <v>316</v>
      </c>
    </row>
    <row r="21" spans="1:15" x14ac:dyDescent="0.25">
      <c r="A21" s="16"/>
      <c r="B21" s="49"/>
      <c r="C21" s="17" t="s">
        <v>14</v>
      </c>
      <c r="D21" s="13">
        <v>19079</v>
      </c>
      <c r="E21" s="70">
        <v>600</v>
      </c>
      <c r="F21" s="14" t="s">
        <v>306</v>
      </c>
      <c r="G21" s="11"/>
      <c r="H21" s="67"/>
      <c r="I21" s="12" t="s">
        <v>339</v>
      </c>
      <c r="J21" s="61">
        <v>19176</v>
      </c>
      <c r="K21" s="71">
        <v>400</v>
      </c>
      <c r="L21" s="62"/>
      <c r="M21" s="75">
        <v>19202</v>
      </c>
      <c r="N21" s="73">
        <v>400</v>
      </c>
      <c r="O21" s="15"/>
    </row>
    <row r="22" spans="1:15" x14ac:dyDescent="0.25">
      <c r="A22" s="16">
        <v>19041</v>
      </c>
      <c r="B22" s="49">
        <v>400</v>
      </c>
      <c r="C22" s="17"/>
      <c r="D22" s="13">
        <v>19080</v>
      </c>
      <c r="E22" s="70">
        <v>400</v>
      </c>
      <c r="F22" s="14" t="s">
        <v>44</v>
      </c>
      <c r="G22" s="11">
        <v>19139</v>
      </c>
      <c r="H22" s="67">
        <v>400</v>
      </c>
      <c r="I22" s="12"/>
      <c r="J22" s="61">
        <v>19177</v>
      </c>
      <c r="K22" s="71">
        <v>400</v>
      </c>
      <c r="L22" s="62"/>
      <c r="M22" s="75">
        <v>19203</v>
      </c>
      <c r="N22" s="73">
        <v>750</v>
      </c>
      <c r="O22" s="15" t="s">
        <v>354</v>
      </c>
    </row>
    <row r="23" spans="1:15" x14ac:dyDescent="0.25">
      <c r="A23" s="16">
        <v>19042</v>
      </c>
      <c r="B23" s="49">
        <v>800</v>
      </c>
      <c r="C23" s="17" t="s">
        <v>229</v>
      </c>
      <c r="D23" s="13">
        <v>19081</v>
      </c>
      <c r="E23" s="70">
        <v>400</v>
      </c>
      <c r="F23" s="14"/>
      <c r="G23" s="11">
        <v>19140</v>
      </c>
      <c r="H23" s="67">
        <v>400</v>
      </c>
      <c r="I23" s="12"/>
      <c r="J23" s="61">
        <v>19178</v>
      </c>
      <c r="K23" s="71">
        <v>1000</v>
      </c>
      <c r="L23" s="62" t="s">
        <v>229</v>
      </c>
      <c r="M23" s="75"/>
      <c r="N23" s="73"/>
      <c r="O23" s="15" t="s">
        <v>19</v>
      </c>
    </row>
    <row r="24" spans="1:15" x14ac:dyDescent="0.25">
      <c r="A24" s="16"/>
      <c r="B24" s="49"/>
      <c r="C24" s="17" t="s">
        <v>15</v>
      </c>
      <c r="D24" s="13">
        <v>19082</v>
      </c>
      <c r="E24" s="70">
        <v>200</v>
      </c>
      <c r="F24" s="14" t="s">
        <v>320</v>
      </c>
      <c r="G24" s="11">
        <v>19141</v>
      </c>
      <c r="H24" s="67">
        <v>450</v>
      </c>
      <c r="I24" s="12" t="s">
        <v>342</v>
      </c>
      <c r="J24" s="61"/>
      <c r="K24" s="71"/>
      <c r="L24" s="62" t="s">
        <v>193</v>
      </c>
      <c r="M24" s="75">
        <v>19204</v>
      </c>
      <c r="N24" s="73">
        <v>400</v>
      </c>
      <c r="O24" s="31" t="s">
        <v>316</v>
      </c>
    </row>
    <row r="25" spans="1:15" x14ac:dyDescent="0.25">
      <c r="A25" s="16">
        <v>19043</v>
      </c>
      <c r="B25" s="49">
        <v>50</v>
      </c>
      <c r="C25" s="17" t="s">
        <v>75</v>
      </c>
      <c r="D25" s="13">
        <v>19083</v>
      </c>
      <c r="E25" s="70">
        <v>250</v>
      </c>
      <c r="F25" s="14"/>
      <c r="G25" s="11"/>
      <c r="H25" s="67"/>
      <c r="I25" s="12" t="s">
        <v>214</v>
      </c>
      <c r="J25" s="61">
        <v>19179</v>
      </c>
      <c r="K25" s="71">
        <v>300</v>
      </c>
      <c r="L25" s="62" t="s">
        <v>340</v>
      </c>
      <c r="M25" s="75">
        <v>19205</v>
      </c>
      <c r="N25" s="73">
        <v>800</v>
      </c>
      <c r="O25" s="15" t="s">
        <v>315</v>
      </c>
    </row>
    <row r="26" spans="1:15" x14ac:dyDescent="0.25">
      <c r="A26" s="16">
        <v>19044</v>
      </c>
      <c r="B26" s="49">
        <v>400</v>
      </c>
      <c r="C26" s="17" t="s">
        <v>306</v>
      </c>
      <c r="D26" s="13">
        <v>19084</v>
      </c>
      <c r="E26" s="70">
        <v>400</v>
      </c>
      <c r="F26" s="14" t="s">
        <v>273</v>
      </c>
      <c r="G26" s="11">
        <v>19142</v>
      </c>
      <c r="H26" s="67">
        <v>400</v>
      </c>
      <c r="I26" s="12"/>
      <c r="J26" s="61">
        <v>19180</v>
      </c>
      <c r="K26" s="71">
        <v>400</v>
      </c>
      <c r="L26" s="62"/>
      <c r="M26" s="75"/>
      <c r="N26" s="73"/>
      <c r="O26" s="15" t="s">
        <v>15</v>
      </c>
    </row>
    <row r="27" spans="1:15" x14ac:dyDescent="0.25">
      <c r="A27" s="16">
        <v>19045</v>
      </c>
      <c r="B27" s="49">
        <v>200</v>
      </c>
      <c r="C27" s="17"/>
      <c r="D27" s="13"/>
      <c r="E27" s="70"/>
      <c r="F27" s="14" t="s">
        <v>14</v>
      </c>
      <c r="G27" s="11">
        <v>19143</v>
      </c>
      <c r="H27" s="67">
        <v>600</v>
      </c>
      <c r="I27" s="12" t="s">
        <v>314</v>
      </c>
      <c r="J27" s="61">
        <v>19181</v>
      </c>
      <c r="K27" s="71">
        <v>1200</v>
      </c>
      <c r="L27" s="62" t="s">
        <v>353</v>
      </c>
      <c r="M27" s="75">
        <v>19206</v>
      </c>
      <c r="N27" s="73">
        <v>300</v>
      </c>
      <c r="O27" s="15"/>
    </row>
    <row r="28" spans="1:15" x14ac:dyDescent="0.25">
      <c r="A28" s="16">
        <v>19046</v>
      </c>
      <c r="B28" s="49">
        <v>400</v>
      </c>
      <c r="C28" s="17"/>
      <c r="D28" s="13">
        <v>19085</v>
      </c>
      <c r="E28" s="70">
        <v>400</v>
      </c>
      <c r="F28" s="14"/>
      <c r="G28" s="11"/>
      <c r="H28" s="67"/>
      <c r="I28" s="99" t="s">
        <v>14</v>
      </c>
      <c r="J28" s="61"/>
      <c r="K28" s="71"/>
      <c r="L28" s="62" t="s">
        <v>138</v>
      </c>
      <c r="M28" s="75">
        <v>19207</v>
      </c>
      <c r="N28" s="73">
        <v>250</v>
      </c>
      <c r="O28" s="15" t="s">
        <v>316</v>
      </c>
    </row>
    <row r="29" spans="1:15" x14ac:dyDescent="0.25">
      <c r="A29" s="16">
        <v>19047</v>
      </c>
      <c r="B29" s="49">
        <v>400</v>
      </c>
      <c r="C29" s="17"/>
      <c r="D29" s="13">
        <v>19086</v>
      </c>
      <c r="E29" s="70">
        <v>800</v>
      </c>
      <c r="F29" s="14" t="s">
        <v>229</v>
      </c>
      <c r="G29" s="11">
        <v>19144</v>
      </c>
      <c r="H29" s="67">
        <v>300</v>
      </c>
      <c r="I29" s="12"/>
      <c r="J29" s="61">
        <v>19182</v>
      </c>
      <c r="K29" s="71">
        <v>1200</v>
      </c>
      <c r="L29" s="62" t="s">
        <v>314</v>
      </c>
      <c r="M29" s="75">
        <v>19208</v>
      </c>
      <c r="N29" s="73">
        <v>600</v>
      </c>
      <c r="O29" s="15" t="s">
        <v>354</v>
      </c>
    </row>
    <row r="30" spans="1:15" x14ac:dyDescent="0.25">
      <c r="A30" s="16">
        <v>19048</v>
      </c>
      <c r="B30" s="49">
        <v>400</v>
      </c>
      <c r="C30" s="17"/>
      <c r="D30" s="13"/>
      <c r="E30" s="70"/>
      <c r="F30" s="14" t="s">
        <v>15</v>
      </c>
      <c r="G30" s="11">
        <v>19145</v>
      </c>
      <c r="H30" s="67">
        <v>400</v>
      </c>
      <c r="I30" s="12" t="s">
        <v>273</v>
      </c>
      <c r="J30" s="61"/>
      <c r="K30" s="71"/>
      <c r="L30" s="62" t="s">
        <v>15</v>
      </c>
      <c r="M30" s="75"/>
      <c r="N30" s="73"/>
      <c r="O30" s="15" t="s">
        <v>41</v>
      </c>
    </row>
    <row r="31" spans="1:15" x14ac:dyDescent="0.25">
      <c r="A31" s="16">
        <v>19049</v>
      </c>
      <c r="B31" s="49">
        <v>300</v>
      </c>
      <c r="C31" s="17" t="s">
        <v>306</v>
      </c>
      <c r="D31" s="13">
        <v>19087</v>
      </c>
      <c r="E31" s="70">
        <v>400</v>
      </c>
      <c r="F31" s="14" t="s">
        <v>306</v>
      </c>
      <c r="G31" s="11"/>
      <c r="H31" s="67"/>
      <c r="I31" s="12" t="s">
        <v>14</v>
      </c>
      <c r="J31" s="61">
        <v>19183</v>
      </c>
      <c r="K31" s="71">
        <v>1200</v>
      </c>
      <c r="L31" s="62" t="s">
        <v>354</v>
      </c>
      <c r="M31" s="75">
        <v>19209</v>
      </c>
      <c r="N31" s="73">
        <v>200</v>
      </c>
      <c r="O31" s="31" t="s">
        <v>316</v>
      </c>
    </row>
    <row r="32" spans="1:15" x14ac:dyDescent="0.25">
      <c r="A32" s="16">
        <v>19050</v>
      </c>
      <c r="B32" s="49">
        <v>200</v>
      </c>
      <c r="C32" s="17"/>
      <c r="D32" s="13">
        <v>19088</v>
      </c>
      <c r="E32" s="70">
        <v>140</v>
      </c>
      <c r="F32" s="14" t="s">
        <v>321</v>
      </c>
      <c r="G32" s="11">
        <v>19146</v>
      </c>
      <c r="H32" s="67">
        <v>1200</v>
      </c>
      <c r="I32" s="12" t="s">
        <v>314</v>
      </c>
      <c r="J32" s="61"/>
      <c r="K32" s="71"/>
      <c r="L32" s="62" t="s">
        <v>15</v>
      </c>
      <c r="M32" s="75">
        <v>19210</v>
      </c>
      <c r="N32" s="73">
        <v>300</v>
      </c>
      <c r="O32" s="15"/>
    </row>
    <row r="33" spans="1:15" x14ac:dyDescent="0.25">
      <c r="A33" s="16">
        <v>19051</v>
      </c>
      <c r="B33" s="49">
        <v>600</v>
      </c>
      <c r="C33" s="17" t="s">
        <v>229</v>
      </c>
      <c r="D33" s="13">
        <v>19089</v>
      </c>
      <c r="E33" s="70">
        <v>400</v>
      </c>
      <c r="F33" s="14"/>
      <c r="G33" s="11"/>
      <c r="H33" s="67"/>
      <c r="I33" s="12" t="s">
        <v>15</v>
      </c>
      <c r="J33" s="61">
        <v>19184</v>
      </c>
      <c r="K33" s="71">
        <v>700</v>
      </c>
      <c r="L33" s="62" t="s">
        <v>355</v>
      </c>
      <c r="M33" s="75">
        <v>19211</v>
      </c>
      <c r="N33" s="73">
        <v>1200</v>
      </c>
      <c r="O33" s="15" t="s">
        <v>314</v>
      </c>
    </row>
    <row r="34" spans="1:15" x14ac:dyDescent="0.25">
      <c r="A34" s="16"/>
      <c r="B34" s="49"/>
      <c r="C34" s="17" t="s">
        <v>16</v>
      </c>
      <c r="D34" s="13">
        <v>19090</v>
      </c>
      <c r="E34" s="70">
        <v>200</v>
      </c>
      <c r="F34" s="14"/>
      <c r="G34" s="11">
        <v>19147</v>
      </c>
      <c r="H34" s="67">
        <v>400</v>
      </c>
      <c r="I34" s="12" t="s">
        <v>273</v>
      </c>
      <c r="J34" s="61"/>
      <c r="K34" s="71"/>
      <c r="L34" s="62" t="s">
        <v>356</v>
      </c>
      <c r="M34" s="75"/>
      <c r="N34" s="73"/>
      <c r="O34" s="15" t="s">
        <v>15</v>
      </c>
    </row>
    <row r="35" spans="1:15" x14ac:dyDescent="0.25">
      <c r="A35" s="16">
        <v>19052</v>
      </c>
      <c r="B35" s="49">
        <v>500</v>
      </c>
      <c r="C35" s="17" t="s">
        <v>315</v>
      </c>
      <c r="D35" s="13">
        <v>19091</v>
      </c>
      <c r="E35" s="70">
        <v>300</v>
      </c>
      <c r="F35" s="14"/>
      <c r="G35" s="11"/>
      <c r="H35" s="67"/>
      <c r="I35" s="12" t="s">
        <v>14</v>
      </c>
      <c r="J35" s="61">
        <v>19185</v>
      </c>
      <c r="K35" s="71">
        <v>200</v>
      </c>
      <c r="L35" s="62" t="s">
        <v>340</v>
      </c>
      <c r="M35" s="75">
        <v>19212</v>
      </c>
      <c r="N35" s="73">
        <v>400</v>
      </c>
      <c r="O35" s="15" t="s">
        <v>316</v>
      </c>
    </row>
    <row r="36" spans="1:15" x14ac:dyDescent="0.25">
      <c r="A36" s="16"/>
      <c r="B36" s="49"/>
      <c r="C36" s="17" t="s">
        <v>19</v>
      </c>
      <c r="D36" s="13">
        <v>19092</v>
      </c>
      <c r="E36" s="70">
        <v>300</v>
      </c>
      <c r="F36" s="14"/>
      <c r="G36" s="11">
        <v>19148</v>
      </c>
      <c r="H36" s="67">
        <v>400</v>
      </c>
      <c r="I36" s="12"/>
      <c r="J36" s="61">
        <v>18186</v>
      </c>
      <c r="K36" s="71">
        <v>400</v>
      </c>
      <c r="L36" s="62"/>
      <c r="M36" s="75">
        <v>19213</v>
      </c>
      <c r="N36" s="73">
        <v>400</v>
      </c>
      <c r="O36" s="15"/>
    </row>
    <row r="37" spans="1:15" x14ac:dyDescent="0.25">
      <c r="A37" s="16">
        <v>19053</v>
      </c>
      <c r="B37" s="49">
        <v>400</v>
      </c>
      <c r="C37" s="17"/>
      <c r="D37" s="13">
        <v>19093</v>
      </c>
      <c r="E37" s="70">
        <v>900</v>
      </c>
      <c r="F37" s="14" t="s">
        <v>314</v>
      </c>
      <c r="G37" s="11">
        <v>19149</v>
      </c>
      <c r="H37" s="67">
        <v>800</v>
      </c>
      <c r="I37" s="12" t="s">
        <v>273</v>
      </c>
      <c r="J37" s="61">
        <v>19187</v>
      </c>
      <c r="K37" s="71">
        <v>300</v>
      </c>
      <c r="L37" s="62"/>
      <c r="M37" s="75">
        <v>19214</v>
      </c>
      <c r="N37" s="73">
        <v>400</v>
      </c>
      <c r="O37" s="15" t="s">
        <v>316</v>
      </c>
    </row>
    <row r="38" spans="1:15" x14ac:dyDescent="0.25">
      <c r="A38" s="16">
        <v>19054</v>
      </c>
      <c r="B38" s="49">
        <v>800</v>
      </c>
      <c r="C38" s="17" t="s">
        <v>229</v>
      </c>
      <c r="D38" s="13"/>
      <c r="E38" s="70"/>
      <c r="F38" s="14" t="s">
        <v>16</v>
      </c>
      <c r="G38" s="11"/>
      <c r="H38" s="67"/>
      <c r="I38" s="12" t="s">
        <v>15</v>
      </c>
      <c r="J38" s="61">
        <v>19188</v>
      </c>
      <c r="K38" s="71">
        <v>200</v>
      </c>
      <c r="L38" s="62"/>
      <c r="M38" s="75">
        <v>19215</v>
      </c>
      <c r="N38" s="73">
        <v>400</v>
      </c>
      <c r="O38" s="15"/>
    </row>
    <row r="39" spans="1:15" x14ac:dyDescent="0.25">
      <c r="A39" s="16"/>
      <c r="B39" s="49"/>
      <c r="C39" s="17" t="s">
        <v>15</v>
      </c>
      <c r="D39" s="13">
        <v>19094</v>
      </c>
      <c r="E39" s="70">
        <v>900</v>
      </c>
      <c r="F39" s="14" t="s">
        <v>314</v>
      </c>
      <c r="G39" s="11">
        <v>19150</v>
      </c>
      <c r="H39" s="67">
        <v>400</v>
      </c>
      <c r="I39" s="12"/>
      <c r="J39" s="61">
        <v>19189</v>
      </c>
      <c r="K39" s="71">
        <v>800</v>
      </c>
      <c r="L39" s="62" t="s">
        <v>229</v>
      </c>
      <c r="M39" s="75">
        <v>19216</v>
      </c>
      <c r="N39" s="73">
        <v>600</v>
      </c>
      <c r="O39" s="15" t="s">
        <v>314</v>
      </c>
    </row>
    <row r="40" spans="1:15" x14ac:dyDescent="0.25">
      <c r="A40" s="16">
        <v>19055</v>
      </c>
      <c r="B40" s="49">
        <v>150</v>
      </c>
      <c r="C40" s="17"/>
      <c r="D40" s="13"/>
      <c r="E40" s="70"/>
      <c r="F40" s="14" t="s">
        <v>16</v>
      </c>
      <c r="G40" s="11">
        <v>19151</v>
      </c>
      <c r="H40" s="67">
        <v>400</v>
      </c>
      <c r="I40" s="12" t="s">
        <v>273</v>
      </c>
      <c r="J40" s="61"/>
      <c r="K40" s="71"/>
      <c r="L40" s="68" t="s">
        <v>15</v>
      </c>
      <c r="M40" s="75"/>
      <c r="N40" s="73"/>
      <c r="O40" s="15" t="s">
        <v>41</v>
      </c>
    </row>
    <row r="41" spans="1:15" x14ac:dyDescent="0.25">
      <c r="A41" s="16">
        <v>19056</v>
      </c>
      <c r="B41" s="49">
        <v>800</v>
      </c>
      <c r="C41" s="17" t="s">
        <v>229</v>
      </c>
      <c r="D41" s="13">
        <v>19095</v>
      </c>
      <c r="E41" s="70">
        <v>300</v>
      </c>
      <c r="F41" s="14" t="s">
        <v>241</v>
      </c>
      <c r="G41" s="11"/>
      <c r="H41" s="67"/>
      <c r="I41" s="12" t="s">
        <v>14</v>
      </c>
      <c r="J41" s="61">
        <v>19190</v>
      </c>
      <c r="K41" s="71">
        <v>400</v>
      </c>
      <c r="L41" s="62" t="s">
        <v>357</v>
      </c>
      <c r="M41" s="75">
        <v>19217</v>
      </c>
      <c r="N41" s="73">
        <v>200</v>
      </c>
      <c r="O41" s="15" t="s">
        <v>316</v>
      </c>
    </row>
    <row r="42" spans="1:15" x14ac:dyDescent="0.25">
      <c r="A42" s="16"/>
      <c r="B42" s="49"/>
      <c r="C42" s="89" t="s">
        <v>15</v>
      </c>
      <c r="D42" s="13">
        <v>19096</v>
      </c>
      <c r="E42" s="70">
        <v>250</v>
      </c>
      <c r="F42" s="14" t="s">
        <v>322</v>
      </c>
      <c r="G42" s="11">
        <v>19152</v>
      </c>
      <c r="H42" s="67">
        <v>400</v>
      </c>
      <c r="I42" s="12" t="s">
        <v>340</v>
      </c>
      <c r="J42" s="61">
        <v>19191</v>
      </c>
      <c r="K42" s="71">
        <v>800</v>
      </c>
      <c r="L42" s="62" t="s">
        <v>358</v>
      </c>
      <c r="M42" s="75">
        <v>19218</v>
      </c>
      <c r="N42" s="73">
        <v>400</v>
      </c>
      <c r="O42" s="15"/>
    </row>
    <row r="43" spans="1:15" x14ac:dyDescent="0.25">
      <c r="A43" s="16">
        <v>19057</v>
      </c>
      <c r="B43" s="49">
        <v>800</v>
      </c>
      <c r="C43" s="17" t="s">
        <v>229</v>
      </c>
      <c r="D43" s="13">
        <v>19097</v>
      </c>
      <c r="E43" s="70">
        <v>450</v>
      </c>
      <c r="F43" s="14" t="s">
        <v>323</v>
      </c>
      <c r="G43" s="11">
        <v>19153</v>
      </c>
      <c r="H43" s="67">
        <v>700</v>
      </c>
      <c r="I43" s="12" t="s">
        <v>273</v>
      </c>
      <c r="J43" s="61"/>
      <c r="K43" s="71"/>
      <c r="L43" s="62" t="s">
        <v>15</v>
      </c>
      <c r="M43" s="75">
        <v>19219</v>
      </c>
      <c r="N43" s="73">
        <v>200</v>
      </c>
      <c r="O43" s="15" t="s">
        <v>34</v>
      </c>
    </row>
    <row r="44" spans="1:15" x14ac:dyDescent="0.25">
      <c r="A44" s="16"/>
      <c r="B44" s="49"/>
      <c r="C44" s="17" t="s">
        <v>15</v>
      </c>
      <c r="D44" s="13">
        <v>19098</v>
      </c>
      <c r="E44" s="70">
        <v>300</v>
      </c>
      <c r="F44" s="14"/>
      <c r="G44" s="11"/>
      <c r="H44" s="67"/>
      <c r="I44" s="12" t="s">
        <v>18</v>
      </c>
      <c r="J44" s="61">
        <v>19192</v>
      </c>
      <c r="K44" s="71">
        <v>1500</v>
      </c>
      <c r="L44" s="62" t="s">
        <v>359</v>
      </c>
      <c r="M44" s="75">
        <v>19220</v>
      </c>
      <c r="N44" s="73">
        <v>400</v>
      </c>
      <c r="O44" s="15" t="s">
        <v>316</v>
      </c>
    </row>
    <row r="45" spans="1:15" x14ac:dyDescent="0.25">
      <c r="A45" s="16">
        <v>19058</v>
      </c>
      <c r="B45" s="49">
        <v>400</v>
      </c>
      <c r="C45" s="17"/>
      <c r="D45" s="13">
        <v>19099</v>
      </c>
      <c r="E45" s="70">
        <v>400</v>
      </c>
      <c r="F45" s="14"/>
      <c r="G45" s="11">
        <v>19154</v>
      </c>
      <c r="H45" s="67">
        <v>300</v>
      </c>
      <c r="I45" s="12"/>
      <c r="J45" s="61"/>
      <c r="K45" s="71"/>
      <c r="L45" s="62" t="s">
        <v>360</v>
      </c>
      <c r="M45" s="75">
        <v>19221</v>
      </c>
      <c r="N45" s="73">
        <v>500</v>
      </c>
      <c r="O45" s="15" t="s">
        <v>328</v>
      </c>
    </row>
    <row r="46" spans="1:15" x14ac:dyDescent="0.25">
      <c r="A46" s="16">
        <v>19059</v>
      </c>
      <c r="B46" s="49">
        <v>200</v>
      </c>
      <c r="C46" s="17"/>
      <c r="D46" s="13">
        <v>19100</v>
      </c>
      <c r="E46" s="70">
        <v>1200</v>
      </c>
      <c r="F46" s="14" t="s">
        <v>251</v>
      </c>
      <c r="G46" s="11">
        <v>19155</v>
      </c>
      <c r="H46" s="67">
        <v>200</v>
      </c>
      <c r="I46" s="12" t="s">
        <v>341</v>
      </c>
      <c r="J46" s="61"/>
      <c r="K46" s="71"/>
      <c r="L46" s="62"/>
      <c r="M46" s="75"/>
      <c r="N46" s="73"/>
      <c r="O46" s="15" t="s">
        <v>19</v>
      </c>
    </row>
    <row r="47" spans="1:15" x14ac:dyDescent="0.25">
      <c r="A47" s="16">
        <v>19060</v>
      </c>
      <c r="B47" s="49">
        <v>800</v>
      </c>
      <c r="C47" s="17" t="s">
        <v>229</v>
      </c>
      <c r="D47" s="13"/>
      <c r="E47" s="70"/>
      <c r="F47" s="14" t="s">
        <v>15</v>
      </c>
      <c r="G47" s="11">
        <v>19156</v>
      </c>
      <c r="H47" s="67">
        <v>400</v>
      </c>
      <c r="I47" s="12"/>
      <c r="J47" s="61"/>
      <c r="K47" s="71"/>
      <c r="L47" s="62"/>
      <c r="M47" s="75">
        <v>19222</v>
      </c>
      <c r="N47" s="73">
        <v>800</v>
      </c>
      <c r="O47" s="15" t="s">
        <v>273</v>
      </c>
    </row>
    <row r="48" spans="1:15" x14ac:dyDescent="0.25">
      <c r="A48" s="16"/>
      <c r="B48" s="49"/>
      <c r="C48" s="17" t="s">
        <v>15</v>
      </c>
      <c r="D48" s="13">
        <v>19101</v>
      </c>
      <c r="E48" s="70">
        <v>800</v>
      </c>
      <c r="F48" s="14" t="s">
        <v>228</v>
      </c>
      <c r="G48" s="11">
        <v>19157</v>
      </c>
      <c r="H48" s="67">
        <v>1200</v>
      </c>
      <c r="I48" s="12" t="s">
        <v>314</v>
      </c>
      <c r="J48" s="61"/>
      <c r="K48" s="71"/>
      <c r="L48" s="62"/>
      <c r="M48" s="75"/>
      <c r="N48" s="73"/>
      <c r="O48" s="15" t="s">
        <v>15</v>
      </c>
    </row>
    <row r="49" spans="1:15" x14ac:dyDescent="0.25">
      <c r="A49" s="16">
        <v>19061</v>
      </c>
      <c r="B49" s="49">
        <v>400</v>
      </c>
      <c r="C49" s="17"/>
      <c r="D49" s="13"/>
      <c r="E49" s="70"/>
      <c r="F49" s="14" t="s">
        <v>15</v>
      </c>
      <c r="G49" s="11"/>
      <c r="H49" s="67"/>
      <c r="I49" s="12" t="s">
        <v>15</v>
      </c>
      <c r="J49" s="61"/>
      <c r="K49" s="71"/>
      <c r="L49" s="62"/>
      <c r="M49" s="75">
        <v>19223</v>
      </c>
      <c r="N49" s="73">
        <v>600</v>
      </c>
      <c r="O49" s="15" t="s">
        <v>353</v>
      </c>
    </row>
    <row r="50" spans="1:15" x14ac:dyDescent="0.25">
      <c r="A50" s="16">
        <v>19062</v>
      </c>
      <c r="B50" s="49">
        <v>400</v>
      </c>
      <c r="C50" s="17" t="s">
        <v>306</v>
      </c>
      <c r="D50" s="13">
        <v>19102</v>
      </c>
      <c r="E50" s="70">
        <v>400</v>
      </c>
      <c r="F50" s="14"/>
      <c r="G50" s="11">
        <v>19158</v>
      </c>
      <c r="H50" s="67">
        <v>400</v>
      </c>
      <c r="I50" s="12"/>
      <c r="J50" s="61"/>
      <c r="K50" s="71"/>
      <c r="L50" s="62"/>
      <c r="M50" s="75"/>
      <c r="N50" s="73"/>
      <c r="O50" s="15" t="s">
        <v>41</v>
      </c>
    </row>
    <row r="51" spans="1:15" x14ac:dyDescent="0.25">
      <c r="A51" s="16">
        <v>19063</v>
      </c>
      <c r="B51" s="49">
        <v>400</v>
      </c>
      <c r="C51" s="17"/>
      <c r="D51" s="13">
        <v>19103</v>
      </c>
      <c r="E51" s="70">
        <v>600</v>
      </c>
      <c r="F51" s="14" t="s">
        <v>324</v>
      </c>
      <c r="G51" s="11">
        <v>19159</v>
      </c>
      <c r="H51" s="67">
        <v>400</v>
      </c>
      <c r="I51" s="12"/>
      <c r="J51" s="61"/>
      <c r="K51" s="71"/>
      <c r="L51" s="62"/>
      <c r="M51" s="75">
        <v>19224</v>
      </c>
      <c r="N51" s="73">
        <v>1200</v>
      </c>
      <c r="O51" s="15" t="s">
        <v>314</v>
      </c>
    </row>
    <row r="52" spans="1:15" x14ac:dyDescent="0.25">
      <c r="A52" s="16">
        <v>19064</v>
      </c>
      <c r="B52" s="49">
        <v>800</v>
      </c>
      <c r="C52" s="17" t="s">
        <v>273</v>
      </c>
      <c r="D52" s="13">
        <v>19104</v>
      </c>
      <c r="E52" s="70">
        <v>400</v>
      </c>
      <c r="F52" s="14"/>
      <c r="G52" s="11">
        <v>19160</v>
      </c>
      <c r="H52" s="67">
        <v>800</v>
      </c>
      <c r="I52" s="12" t="s">
        <v>328</v>
      </c>
      <c r="J52" s="61"/>
      <c r="K52" s="71"/>
      <c r="L52" s="62"/>
      <c r="M52" s="75"/>
      <c r="N52" s="73"/>
      <c r="O52" s="15" t="s">
        <v>15</v>
      </c>
    </row>
    <row r="53" spans="1:15" x14ac:dyDescent="0.25">
      <c r="A53" s="16"/>
      <c r="B53" s="49"/>
      <c r="C53" s="17" t="s">
        <v>15</v>
      </c>
      <c r="D53" s="13">
        <v>19105</v>
      </c>
      <c r="E53" s="70">
        <v>350</v>
      </c>
      <c r="F53" s="14"/>
      <c r="G53" s="11"/>
      <c r="H53" s="67"/>
      <c r="I53" s="12" t="s">
        <v>15</v>
      </c>
      <c r="J53" s="61"/>
      <c r="K53" s="71"/>
      <c r="L53" s="62"/>
      <c r="M53" s="75">
        <v>19225</v>
      </c>
      <c r="N53" s="73">
        <v>400</v>
      </c>
      <c r="O53" s="15" t="s">
        <v>316</v>
      </c>
    </row>
    <row r="54" spans="1:15" x14ac:dyDescent="0.25">
      <c r="A54" s="16">
        <v>19065</v>
      </c>
      <c r="B54" s="49">
        <v>400</v>
      </c>
      <c r="C54" s="17"/>
      <c r="D54" s="13">
        <v>19106</v>
      </c>
      <c r="E54" s="70">
        <v>1200</v>
      </c>
      <c r="F54" s="14" t="s">
        <v>314</v>
      </c>
      <c r="G54" s="11">
        <v>19161</v>
      </c>
      <c r="H54" s="67">
        <v>200</v>
      </c>
      <c r="I54" s="12"/>
      <c r="J54" s="61"/>
      <c r="K54" s="71"/>
      <c r="L54" s="62"/>
      <c r="M54" s="75">
        <v>19226</v>
      </c>
      <c r="N54" s="73">
        <v>300</v>
      </c>
      <c r="O54" s="15" t="s">
        <v>316</v>
      </c>
    </row>
    <row r="55" spans="1:15" x14ac:dyDescent="0.25">
      <c r="A55" s="16">
        <v>19066</v>
      </c>
      <c r="B55" s="49">
        <v>500</v>
      </c>
      <c r="C55" s="17" t="s">
        <v>315</v>
      </c>
      <c r="D55" s="13"/>
      <c r="E55" s="70"/>
      <c r="F55" s="14" t="s">
        <v>15</v>
      </c>
      <c r="G55" s="11">
        <v>19162</v>
      </c>
      <c r="H55" s="67">
        <v>800</v>
      </c>
      <c r="I55" s="12" t="s">
        <v>328</v>
      </c>
      <c r="J55" s="116"/>
      <c r="K55" s="71"/>
      <c r="L55" s="62"/>
      <c r="M55" s="75">
        <v>19227</v>
      </c>
      <c r="N55" s="73">
        <v>400</v>
      </c>
      <c r="O55" s="15" t="s">
        <v>316</v>
      </c>
    </row>
    <row r="56" spans="1:15" x14ac:dyDescent="0.25">
      <c r="A56" s="16"/>
      <c r="B56" s="49"/>
      <c r="C56" s="17" t="s">
        <v>19</v>
      </c>
      <c r="D56" s="13">
        <v>19107</v>
      </c>
      <c r="E56" s="70">
        <v>200</v>
      </c>
      <c r="F56" s="14" t="s">
        <v>240</v>
      </c>
      <c r="G56" s="11"/>
      <c r="H56" s="67"/>
      <c r="I56" s="12" t="s">
        <v>15</v>
      </c>
      <c r="J56" s="61"/>
      <c r="K56" s="71"/>
      <c r="L56" s="62"/>
      <c r="M56" s="75">
        <v>19228</v>
      </c>
      <c r="N56" s="73">
        <v>800</v>
      </c>
      <c r="O56" s="15" t="s">
        <v>229</v>
      </c>
    </row>
    <row r="57" spans="1:15" x14ac:dyDescent="0.25">
      <c r="A57" s="16"/>
      <c r="B57" s="49"/>
      <c r="C57" s="17"/>
      <c r="D57" s="13">
        <v>19108</v>
      </c>
      <c r="E57" s="70">
        <v>200</v>
      </c>
      <c r="F57" s="14" t="s">
        <v>306</v>
      </c>
      <c r="G57" s="11">
        <v>19163</v>
      </c>
      <c r="H57" s="67">
        <v>400</v>
      </c>
      <c r="I57" s="12"/>
      <c r="J57" s="61"/>
      <c r="K57" s="71"/>
      <c r="L57" s="62"/>
      <c r="M57" s="75"/>
      <c r="N57" s="73"/>
      <c r="O57" s="15" t="s">
        <v>15</v>
      </c>
    </row>
    <row r="58" spans="1:15" x14ac:dyDescent="0.25">
      <c r="A58" s="16"/>
      <c r="B58" s="49"/>
      <c r="C58" s="17"/>
      <c r="D58" s="13">
        <v>19109</v>
      </c>
      <c r="E58" s="70">
        <v>600</v>
      </c>
      <c r="F58" s="14" t="s">
        <v>251</v>
      </c>
      <c r="G58" s="11">
        <v>19164</v>
      </c>
      <c r="H58" s="67">
        <v>50</v>
      </c>
      <c r="I58" s="12" t="s">
        <v>20</v>
      </c>
      <c r="J58" s="61"/>
      <c r="K58" s="71"/>
      <c r="L58" s="62"/>
      <c r="M58" s="75">
        <v>19229</v>
      </c>
      <c r="N58" s="73">
        <v>400</v>
      </c>
      <c r="O58" s="15"/>
    </row>
    <row r="59" spans="1:15" x14ac:dyDescent="0.25">
      <c r="A59" s="16"/>
      <c r="B59" s="49"/>
      <c r="C59" s="17"/>
      <c r="D59" s="13"/>
      <c r="E59" s="70"/>
      <c r="F59" s="14" t="s">
        <v>14</v>
      </c>
      <c r="G59" s="11">
        <v>19165</v>
      </c>
      <c r="H59" s="67">
        <v>300</v>
      </c>
      <c r="I59" s="12"/>
      <c r="J59" s="61"/>
      <c r="K59" s="71"/>
      <c r="L59" s="62"/>
      <c r="M59" s="75">
        <v>19230</v>
      </c>
      <c r="N59" s="73">
        <v>400</v>
      </c>
      <c r="O59" s="15"/>
    </row>
    <row r="60" spans="1:15" x14ac:dyDescent="0.25">
      <c r="A60" s="16"/>
      <c r="B60" s="49"/>
      <c r="C60" s="17"/>
      <c r="D60" s="13">
        <v>19110</v>
      </c>
      <c r="E60" s="70">
        <v>600</v>
      </c>
      <c r="F60" s="14" t="s">
        <v>325</v>
      </c>
      <c r="G60" s="11">
        <v>19166</v>
      </c>
      <c r="H60" s="67">
        <v>400</v>
      </c>
      <c r="I60" s="12" t="s">
        <v>240</v>
      </c>
      <c r="J60" s="61"/>
      <c r="K60" s="71"/>
      <c r="L60" s="62"/>
      <c r="M60" s="75">
        <v>19231</v>
      </c>
      <c r="N60" s="73">
        <v>400</v>
      </c>
      <c r="O60" s="15" t="s">
        <v>316</v>
      </c>
    </row>
    <row r="61" spans="1:15" x14ac:dyDescent="0.25">
      <c r="A61" s="16"/>
      <c r="B61" s="49"/>
      <c r="C61" s="17"/>
      <c r="D61" s="13">
        <v>19111</v>
      </c>
      <c r="E61" s="70">
        <v>400</v>
      </c>
      <c r="F61" s="14" t="s">
        <v>228</v>
      </c>
      <c r="G61" s="11"/>
      <c r="H61" s="67"/>
      <c r="I61" s="12"/>
      <c r="J61" s="61"/>
      <c r="K61" s="71"/>
      <c r="L61" s="62"/>
      <c r="M61" s="75">
        <v>19232</v>
      </c>
      <c r="N61" s="73">
        <v>600</v>
      </c>
      <c r="O61" s="15" t="s">
        <v>251</v>
      </c>
    </row>
    <row r="62" spans="1:15" x14ac:dyDescent="0.25">
      <c r="A62" s="16"/>
      <c r="B62" s="49"/>
      <c r="C62" s="17"/>
      <c r="D62" s="13"/>
      <c r="E62" s="70"/>
      <c r="F62" s="14" t="s">
        <v>14</v>
      </c>
      <c r="G62" s="11"/>
      <c r="H62" s="67"/>
      <c r="I62" s="12"/>
      <c r="J62" s="61"/>
      <c r="K62" s="71"/>
      <c r="L62" s="62"/>
      <c r="M62" s="75"/>
      <c r="N62" s="73"/>
      <c r="O62" s="15" t="s">
        <v>41</v>
      </c>
    </row>
    <row r="63" spans="1:15" x14ac:dyDescent="0.25">
      <c r="A63" s="16"/>
      <c r="B63" s="49"/>
      <c r="C63" s="17"/>
      <c r="D63" s="13">
        <v>19112</v>
      </c>
      <c r="E63" s="70">
        <v>400</v>
      </c>
      <c r="F63" s="14"/>
      <c r="G63" s="11"/>
      <c r="H63" s="67"/>
      <c r="I63" s="12"/>
      <c r="J63" s="61"/>
      <c r="K63" s="71"/>
      <c r="L63" s="62"/>
      <c r="M63" s="75">
        <v>19233</v>
      </c>
      <c r="N63" s="73">
        <v>500</v>
      </c>
      <c r="O63" s="15" t="s">
        <v>273</v>
      </c>
    </row>
    <row r="64" spans="1:15" x14ac:dyDescent="0.25">
      <c r="A64" s="16"/>
      <c r="B64" s="49"/>
      <c r="C64" s="17"/>
      <c r="D64" s="13">
        <v>19113</v>
      </c>
      <c r="E64" s="70">
        <v>900</v>
      </c>
      <c r="F64" s="14" t="s">
        <v>314</v>
      </c>
      <c r="G64" s="11"/>
      <c r="H64" s="67"/>
      <c r="I64" s="12"/>
      <c r="J64" s="61"/>
      <c r="K64" s="71"/>
      <c r="L64" s="62"/>
      <c r="M64" s="75">
        <v>19234</v>
      </c>
      <c r="N64" s="73">
        <v>400</v>
      </c>
      <c r="O64" s="15"/>
    </row>
    <row r="65" spans="1:15" x14ac:dyDescent="0.25">
      <c r="A65" s="16"/>
      <c r="B65" s="49"/>
      <c r="C65" s="17"/>
      <c r="D65" s="13"/>
      <c r="E65" s="70"/>
      <c r="F65" s="14" t="s">
        <v>16</v>
      </c>
      <c r="G65" s="11"/>
      <c r="H65" s="67"/>
      <c r="I65" s="12"/>
      <c r="J65" s="61"/>
      <c r="K65" s="71"/>
      <c r="L65" s="62"/>
      <c r="M65" s="75">
        <v>19235</v>
      </c>
      <c r="N65" s="73">
        <v>400</v>
      </c>
      <c r="O65" s="15" t="s">
        <v>306</v>
      </c>
    </row>
    <row r="66" spans="1:15" x14ac:dyDescent="0.25">
      <c r="A66" s="16"/>
      <c r="B66" s="49"/>
      <c r="C66" s="17"/>
      <c r="D66" s="13">
        <v>19114</v>
      </c>
      <c r="E66" s="70">
        <v>400</v>
      </c>
      <c r="F66" s="14" t="s">
        <v>326</v>
      </c>
      <c r="G66" s="11"/>
      <c r="H66" s="67"/>
      <c r="I66" s="12"/>
      <c r="J66" s="61"/>
      <c r="K66" s="71"/>
      <c r="L66" s="62"/>
      <c r="M66" s="75">
        <v>19236</v>
      </c>
      <c r="N66" s="73">
        <v>200</v>
      </c>
      <c r="O66" s="15" t="s">
        <v>316</v>
      </c>
    </row>
    <row r="67" spans="1:15" x14ac:dyDescent="0.25">
      <c r="A67" s="16"/>
      <c r="B67" s="49"/>
      <c r="C67" s="17"/>
      <c r="D67" s="13">
        <v>19115</v>
      </c>
      <c r="E67" s="70">
        <v>800</v>
      </c>
      <c r="F67" s="14" t="s">
        <v>229</v>
      </c>
      <c r="G67" s="11"/>
      <c r="H67" s="67"/>
      <c r="I67" s="12"/>
      <c r="J67" s="61"/>
      <c r="K67" s="71"/>
      <c r="L67" s="62"/>
      <c r="M67" s="75">
        <v>19237</v>
      </c>
      <c r="N67" s="73">
        <v>1200</v>
      </c>
      <c r="O67" s="15" t="s">
        <v>314</v>
      </c>
    </row>
    <row r="68" spans="1:15" x14ac:dyDescent="0.25">
      <c r="A68" s="16"/>
      <c r="B68" s="49"/>
      <c r="C68" s="17"/>
      <c r="D68" s="13"/>
      <c r="E68" s="70"/>
      <c r="F68" s="14" t="s">
        <v>15</v>
      </c>
      <c r="G68" s="11"/>
      <c r="H68" s="67"/>
      <c r="I68" s="12"/>
      <c r="J68" s="61"/>
      <c r="K68" s="71"/>
      <c r="L68" s="62"/>
      <c r="M68" s="75"/>
      <c r="N68" s="73"/>
      <c r="O68" s="15" t="s">
        <v>15</v>
      </c>
    </row>
    <row r="69" spans="1:15" x14ac:dyDescent="0.25">
      <c r="A69" s="16"/>
      <c r="B69" s="49"/>
      <c r="C69" s="17"/>
      <c r="D69" s="13">
        <v>19116</v>
      </c>
      <c r="E69" s="70">
        <v>400</v>
      </c>
      <c r="F69" s="14"/>
      <c r="G69" s="11"/>
      <c r="H69" s="67"/>
      <c r="I69" s="12"/>
      <c r="J69" s="61"/>
      <c r="K69" s="71"/>
      <c r="L69" s="62"/>
      <c r="M69" s="75">
        <v>19238</v>
      </c>
      <c r="N69" s="73">
        <v>400</v>
      </c>
      <c r="O69" s="15" t="s">
        <v>316</v>
      </c>
    </row>
    <row r="70" spans="1:15" x14ac:dyDescent="0.25">
      <c r="A70" s="16"/>
      <c r="B70" s="49"/>
      <c r="C70" s="17"/>
      <c r="D70" s="13">
        <v>19117</v>
      </c>
      <c r="E70" s="70">
        <v>800</v>
      </c>
      <c r="F70" s="14" t="s">
        <v>229</v>
      </c>
      <c r="G70" s="11"/>
      <c r="H70" s="67"/>
      <c r="I70" s="12"/>
      <c r="J70" s="61"/>
      <c r="K70" s="71"/>
      <c r="L70" s="62"/>
      <c r="M70" s="75">
        <v>19239</v>
      </c>
      <c r="N70" s="73">
        <v>400</v>
      </c>
      <c r="O70" s="15" t="s">
        <v>316</v>
      </c>
    </row>
    <row r="71" spans="1:15" x14ac:dyDescent="0.25">
      <c r="A71" s="16"/>
      <c r="B71" s="49"/>
      <c r="C71" s="17"/>
      <c r="D71" s="13"/>
      <c r="E71" s="70"/>
      <c r="F71" s="14" t="s">
        <v>15</v>
      </c>
      <c r="G71" s="11"/>
      <c r="H71" s="67"/>
      <c r="I71" s="12"/>
      <c r="J71" s="61"/>
      <c r="K71" s="71"/>
      <c r="L71" s="62"/>
      <c r="M71" s="75">
        <v>19240</v>
      </c>
      <c r="N71" s="73">
        <v>500</v>
      </c>
      <c r="O71" s="15" t="s">
        <v>366</v>
      </c>
    </row>
    <row r="72" spans="1:15" x14ac:dyDescent="0.25">
      <c r="A72" s="16"/>
      <c r="B72" s="49"/>
      <c r="C72" s="17"/>
      <c r="D72" s="13">
        <v>19118</v>
      </c>
      <c r="E72" s="70">
        <v>600</v>
      </c>
      <c r="F72" s="14" t="s">
        <v>314</v>
      </c>
      <c r="G72" s="11"/>
      <c r="H72" s="67"/>
      <c r="I72" s="12"/>
      <c r="J72" s="61"/>
      <c r="K72" s="71"/>
      <c r="L72" s="62"/>
      <c r="M72" s="75"/>
      <c r="N72" s="73"/>
      <c r="O72" s="15" t="s">
        <v>367</v>
      </c>
    </row>
    <row r="73" spans="1:15" x14ac:dyDescent="0.25">
      <c r="A73" s="16"/>
      <c r="B73" s="49"/>
      <c r="C73" s="17"/>
      <c r="D73" s="13"/>
      <c r="E73" s="70"/>
      <c r="F73" s="14" t="s">
        <v>14</v>
      </c>
      <c r="G73" s="11"/>
      <c r="H73" s="67"/>
      <c r="I73" s="12"/>
      <c r="J73" s="61"/>
      <c r="K73" s="71"/>
      <c r="L73" s="62"/>
      <c r="M73" s="75">
        <v>19241</v>
      </c>
      <c r="N73" s="73">
        <v>300</v>
      </c>
      <c r="O73" s="15"/>
    </row>
    <row r="74" spans="1:15" x14ac:dyDescent="0.25">
      <c r="A74" s="16"/>
      <c r="B74" s="49"/>
      <c r="C74" s="17"/>
      <c r="D74" s="13">
        <v>19119</v>
      </c>
      <c r="E74" s="70">
        <v>800</v>
      </c>
      <c r="F74" s="14" t="s">
        <v>327</v>
      </c>
      <c r="G74" s="11"/>
      <c r="H74" s="67"/>
      <c r="I74" s="12"/>
      <c r="J74" s="61"/>
      <c r="K74" s="71"/>
      <c r="L74" s="62"/>
      <c r="M74" s="75">
        <v>19242</v>
      </c>
      <c r="N74" s="73">
        <v>2000</v>
      </c>
      <c r="O74" s="15" t="s">
        <v>368</v>
      </c>
    </row>
    <row r="75" spans="1:15" x14ac:dyDescent="0.25">
      <c r="A75" s="16"/>
      <c r="B75" s="49"/>
      <c r="C75" s="17"/>
      <c r="D75" s="13"/>
      <c r="E75" s="70"/>
      <c r="F75" s="14" t="s">
        <v>15</v>
      </c>
      <c r="G75" s="11"/>
      <c r="H75" s="67"/>
      <c r="I75" s="12"/>
      <c r="J75" s="61"/>
      <c r="K75" s="71"/>
      <c r="L75" s="62"/>
      <c r="M75" s="75"/>
      <c r="N75" s="73"/>
      <c r="O75" s="15" t="s">
        <v>369</v>
      </c>
    </row>
    <row r="76" spans="1:15" x14ac:dyDescent="0.25">
      <c r="A76" s="16"/>
      <c r="B76" s="49"/>
      <c r="C76" s="17"/>
      <c r="D76" s="13">
        <v>19120</v>
      </c>
      <c r="E76" s="70">
        <v>1200</v>
      </c>
      <c r="F76" s="14" t="s">
        <v>251</v>
      </c>
      <c r="G76" s="11"/>
      <c r="H76" s="67"/>
      <c r="I76" s="12"/>
      <c r="J76" s="61"/>
      <c r="K76" s="71"/>
      <c r="L76" s="62"/>
      <c r="M76" s="75">
        <v>19243</v>
      </c>
      <c r="N76" s="73">
        <v>250</v>
      </c>
      <c r="O76" s="15" t="s">
        <v>370</v>
      </c>
    </row>
    <row r="77" spans="1:15" x14ac:dyDescent="0.25">
      <c r="A77" s="16"/>
      <c r="B77" s="49"/>
      <c r="C77" s="17"/>
      <c r="D77" s="13"/>
      <c r="E77" s="70"/>
      <c r="F77" s="14" t="s">
        <v>15</v>
      </c>
      <c r="G77" s="11"/>
      <c r="H77" s="67"/>
      <c r="I77" s="12"/>
      <c r="J77" s="61"/>
      <c r="K77" s="71"/>
      <c r="L77" s="62"/>
      <c r="M77" s="75">
        <v>19244</v>
      </c>
      <c r="N77" s="73">
        <v>600</v>
      </c>
      <c r="O77" s="15" t="s">
        <v>314</v>
      </c>
    </row>
    <row r="78" spans="1:15" x14ac:dyDescent="0.25">
      <c r="A78" s="16"/>
      <c r="B78" s="49"/>
      <c r="C78" s="17"/>
      <c r="D78" s="13">
        <v>19121</v>
      </c>
      <c r="E78" s="70">
        <v>400</v>
      </c>
      <c r="F78" s="14"/>
      <c r="G78" s="11"/>
      <c r="H78" s="67"/>
      <c r="I78" s="12"/>
      <c r="J78" s="61"/>
      <c r="K78" s="71"/>
      <c r="L78" s="62"/>
      <c r="M78" s="75"/>
      <c r="N78" s="73"/>
      <c r="O78" s="15" t="s">
        <v>41</v>
      </c>
    </row>
    <row r="79" spans="1:15" x14ac:dyDescent="0.25">
      <c r="A79" s="16"/>
      <c r="B79" s="49"/>
      <c r="C79" s="17"/>
      <c r="D79" s="13">
        <v>19122</v>
      </c>
      <c r="E79" s="70">
        <v>400</v>
      </c>
      <c r="F79" s="14" t="s">
        <v>328</v>
      </c>
      <c r="G79" s="11"/>
      <c r="H79" s="67"/>
      <c r="I79" s="12"/>
      <c r="J79" s="61"/>
      <c r="K79" s="71"/>
      <c r="L79" s="62"/>
      <c r="M79" s="75">
        <v>19245</v>
      </c>
      <c r="N79" s="73">
        <v>300</v>
      </c>
      <c r="O79" s="15"/>
    </row>
    <row r="80" spans="1:15" x14ac:dyDescent="0.25">
      <c r="A80" s="16"/>
      <c r="B80" s="49"/>
      <c r="C80" s="17"/>
      <c r="D80" s="13"/>
      <c r="E80" s="70"/>
      <c r="F80" s="14" t="s">
        <v>14</v>
      </c>
      <c r="G80" s="11"/>
      <c r="H80" s="67"/>
      <c r="I80" s="12"/>
      <c r="J80" s="61"/>
      <c r="K80" s="71"/>
      <c r="L80" s="62"/>
      <c r="M80" s="75">
        <v>19246</v>
      </c>
      <c r="N80" s="73">
        <v>800</v>
      </c>
      <c r="O80" s="15" t="s">
        <v>273</v>
      </c>
    </row>
    <row r="81" spans="1:16" x14ac:dyDescent="0.25">
      <c r="A81" s="16"/>
      <c r="B81" s="49"/>
      <c r="C81" s="17"/>
      <c r="D81" s="13">
        <v>19123</v>
      </c>
      <c r="E81" s="70">
        <v>1200</v>
      </c>
      <c r="F81" s="14" t="s">
        <v>329</v>
      </c>
      <c r="G81" s="11"/>
      <c r="H81" s="67"/>
      <c r="I81" s="12"/>
      <c r="J81" s="61"/>
      <c r="K81" s="71"/>
      <c r="L81" s="62"/>
      <c r="M81" s="75"/>
      <c r="N81" s="73"/>
      <c r="O81" s="15" t="s">
        <v>15</v>
      </c>
    </row>
    <row r="82" spans="1:16" x14ac:dyDescent="0.25">
      <c r="A82" s="16"/>
      <c r="B82" s="49"/>
      <c r="C82" s="17"/>
      <c r="D82" s="13"/>
      <c r="E82" s="70"/>
      <c r="F82" s="14" t="s">
        <v>330</v>
      </c>
      <c r="G82" s="11"/>
      <c r="H82" s="67"/>
      <c r="I82" s="12"/>
      <c r="J82" s="61"/>
      <c r="K82" s="71"/>
      <c r="L82" s="62"/>
      <c r="M82" s="75">
        <v>19247</v>
      </c>
      <c r="N82" s="73">
        <v>200</v>
      </c>
      <c r="O82" s="15"/>
    </row>
    <row r="83" spans="1:16" x14ac:dyDescent="0.25">
      <c r="A83" s="16"/>
      <c r="B83" s="49"/>
      <c r="C83" s="17"/>
      <c r="D83" s="13"/>
      <c r="E83" s="70"/>
      <c r="F83" s="14" t="s">
        <v>331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6" x14ac:dyDescent="0.25">
      <c r="A84" s="16"/>
      <c r="B84" s="49"/>
      <c r="C84" s="17"/>
      <c r="D84" s="13">
        <v>19124</v>
      </c>
      <c r="E84" s="70">
        <v>400</v>
      </c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6" x14ac:dyDescent="0.25">
      <c r="A85" s="16"/>
      <c r="B85" s="49"/>
      <c r="C85" s="17"/>
      <c r="D85" s="13">
        <v>19125</v>
      </c>
      <c r="E85" s="70">
        <v>600</v>
      </c>
      <c r="F85" s="14" t="s">
        <v>251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6" x14ac:dyDescent="0.25">
      <c r="A86" s="16"/>
      <c r="B86" s="49"/>
      <c r="C86" s="17"/>
      <c r="D86" s="13"/>
      <c r="E86" s="70"/>
      <c r="F86" s="14" t="s">
        <v>14</v>
      </c>
      <c r="G86" s="11"/>
      <c r="H86" s="67"/>
      <c r="I86" s="12"/>
      <c r="J86" s="61"/>
      <c r="K86" s="71"/>
      <c r="L86" s="62"/>
      <c r="M86" s="75"/>
      <c r="N86" s="73"/>
      <c r="O86" s="15"/>
    </row>
    <row r="87" spans="1:16" x14ac:dyDescent="0.25">
      <c r="A87" s="16"/>
      <c r="B87" s="49"/>
      <c r="C87" s="17"/>
      <c r="D87" s="13">
        <v>19126</v>
      </c>
      <c r="E87" s="70">
        <v>200</v>
      </c>
      <c r="F87" s="14" t="s">
        <v>332</v>
      </c>
      <c r="G87" s="11"/>
      <c r="H87" s="67"/>
      <c r="I87" s="12"/>
      <c r="J87" s="61"/>
      <c r="K87" s="71"/>
      <c r="L87" s="62"/>
      <c r="M87" s="75"/>
      <c r="N87" s="73"/>
      <c r="O87" s="15"/>
    </row>
    <row r="88" spans="1:16" x14ac:dyDescent="0.25">
      <c r="A88" s="16"/>
      <c r="B88" s="49"/>
      <c r="C88" s="17"/>
      <c r="D88" s="13">
        <v>19127</v>
      </c>
      <c r="E88" s="70">
        <v>200</v>
      </c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6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6" x14ac:dyDescent="0.25">
      <c r="A90" s="26"/>
      <c r="B90" s="66"/>
      <c r="C90" s="58"/>
      <c r="D90" s="26"/>
      <c r="E90" s="74"/>
      <c r="F90" s="58"/>
      <c r="G90" s="11"/>
      <c r="H90" s="67"/>
      <c r="I90" s="12"/>
      <c r="J90" s="26"/>
      <c r="K90" s="74"/>
      <c r="L90" s="58"/>
      <c r="M90" s="58"/>
      <c r="N90" s="74"/>
      <c r="O90" s="58"/>
      <c r="P90" s="58"/>
    </row>
    <row r="91" spans="1:16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58"/>
      <c r="N91" s="74"/>
      <c r="O91" s="58"/>
      <c r="P91" s="58"/>
    </row>
    <row r="92" spans="1:16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58"/>
      <c r="N92" s="74"/>
      <c r="O92" s="58"/>
      <c r="P92" s="58"/>
    </row>
    <row r="93" spans="1:16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58"/>
      <c r="N93" s="74"/>
      <c r="O93" s="58"/>
      <c r="P93" s="58"/>
    </row>
    <row r="94" spans="1:16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58"/>
      <c r="N94" s="74"/>
      <c r="O94" s="58"/>
      <c r="P94" s="58"/>
    </row>
    <row r="95" spans="1:16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58"/>
      <c r="N95" s="74"/>
      <c r="O95" s="58"/>
      <c r="P95" s="58"/>
    </row>
    <row r="96" spans="1:16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58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58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58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58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58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58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58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58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58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58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58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58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58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58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58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74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74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74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74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74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74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G533" s="26"/>
      <c r="H533" s="58"/>
      <c r="I533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36"/>
  <sheetViews>
    <sheetView topLeftCell="A5" workbookViewId="0">
      <pane ySplit="3" topLeftCell="A35" activePane="bottomLeft" state="frozen"/>
      <selection activeCell="A5" sqref="A5"/>
      <selection pane="bottomLeft" activeCell="D35" sqref="D35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6" t="s">
        <v>6</v>
      </c>
      <c r="K5" s="136"/>
      <c r="L5" s="136"/>
      <c r="M5" s="124" t="s">
        <v>12</v>
      </c>
      <c r="N5" s="124"/>
      <c r="O5" s="124"/>
      <c r="Q5" s="133" t="s">
        <v>13</v>
      </c>
      <c r="R5" s="133"/>
    </row>
    <row r="6" spans="1:18" x14ac:dyDescent="0.25">
      <c r="A6" s="8">
        <f>SUBTOTAL(3,A8:A121)</f>
        <v>48</v>
      </c>
      <c r="B6" s="8">
        <f>SUBTOTAL(9,B8:B135)</f>
        <v>22550</v>
      </c>
      <c r="C6" s="35">
        <v>43653</v>
      </c>
      <c r="D6" s="8">
        <f>SUBTOTAL(3,D8:D120)</f>
        <v>51</v>
      </c>
      <c r="E6" s="1">
        <f>SUBTOTAL(9,E8:E120)</f>
        <v>41540</v>
      </c>
      <c r="F6" s="38">
        <v>43660</v>
      </c>
      <c r="G6" s="8">
        <f>SUBTOTAL(3,G8:G121)</f>
        <v>33</v>
      </c>
      <c r="H6" s="1">
        <f>SUBTOTAL(9,H8:H121)</f>
        <v>19300</v>
      </c>
      <c r="I6" s="39">
        <v>43667</v>
      </c>
      <c r="J6" s="8">
        <f>SUBTOTAL(3,J8:J110)</f>
        <v>24</v>
      </c>
      <c r="K6" s="1">
        <f>SUBTOTAL(9,K8:K110)</f>
        <v>15000</v>
      </c>
      <c r="L6" s="63">
        <v>43674</v>
      </c>
      <c r="M6" s="1">
        <f>SUBTOTAL(3,M8:M120)</f>
        <v>0</v>
      </c>
      <c r="N6" s="1">
        <f>SUBTOTAL(9,N8:N120)</f>
        <v>0</v>
      </c>
      <c r="O6" s="85">
        <v>43310</v>
      </c>
      <c r="P6" s="15"/>
      <c r="Q6" s="30">
        <f>+A6+D6+G6+J6+M6</f>
        <v>156</v>
      </c>
      <c r="R6" s="29">
        <f>+B6+E6+H6+K6+N6</f>
        <v>98390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19248</v>
      </c>
      <c r="B8" s="49">
        <v>400</v>
      </c>
      <c r="C8" s="17" t="s">
        <v>273</v>
      </c>
      <c r="D8" s="13">
        <v>19296</v>
      </c>
      <c r="E8" s="70">
        <v>1200</v>
      </c>
      <c r="F8" s="14" t="s">
        <v>314</v>
      </c>
      <c r="G8" s="11">
        <v>19347</v>
      </c>
      <c r="H8" s="67">
        <v>400</v>
      </c>
      <c r="I8" s="12"/>
      <c r="J8" s="61">
        <v>19380</v>
      </c>
      <c r="K8" s="71">
        <v>200</v>
      </c>
      <c r="L8" s="62"/>
      <c r="M8" s="75"/>
      <c r="N8" s="73"/>
      <c r="O8" s="15"/>
      <c r="Q8" s="32"/>
      <c r="R8" s="32"/>
    </row>
    <row r="9" spans="1:18" x14ac:dyDescent="0.25">
      <c r="A9" s="16"/>
      <c r="B9" s="49"/>
      <c r="C9" s="17" t="s">
        <v>14</v>
      </c>
      <c r="D9" s="13"/>
      <c r="E9" s="70"/>
      <c r="F9" s="14" t="s">
        <v>15</v>
      </c>
      <c r="G9" s="11">
        <v>19348</v>
      </c>
      <c r="H9" s="67">
        <v>50</v>
      </c>
      <c r="I9" s="12" t="s">
        <v>20</v>
      </c>
      <c r="J9" s="61">
        <v>19381</v>
      </c>
      <c r="K9" s="71">
        <v>350</v>
      </c>
      <c r="L9" s="62"/>
      <c r="M9" s="75"/>
      <c r="N9" s="73"/>
      <c r="O9" s="15"/>
    </row>
    <row r="10" spans="1:18" x14ac:dyDescent="0.25">
      <c r="A10" s="16">
        <v>19249</v>
      </c>
      <c r="B10" s="49">
        <v>100</v>
      </c>
      <c r="C10" s="17" t="s">
        <v>217</v>
      </c>
      <c r="D10" s="13">
        <v>19297</v>
      </c>
      <c r="E10" s="70">
        <v>800</v>
      </c>
      <c r="F10" s="113" t="s">
        <v>328</v>
      </c>
      <c r="G10" s="11">
        <v>19349</v>
      </c>
      <c r="H10" s="67">
        <v>200</v>
      </c>
      <c r="I10" s="12"/>
      <c r="J10" s="61">
        <v>19382</v>
      </c>
      <c r="K10" s="71">
        <v>1000</v>
      </c>
      <c r="L10" s="62" t="s">
        <v>413</v>
      </c>
      <c r="M10" s="75"/>
      <c r="N10" s="73"/>
      <c r="O10" s="15"/>
    </row>
    <row r="11" spans="1:18" x14ac:dyDescent="0.25">
      <c r="A11" s="16">
        <v>19250</v>
      </c>
      <c r="B11" s="49">
        <v>1200</v>
      </c>
      <c r="C11" s="17" t="s">
        <v>191</v>
      </c>
      <c r="D11" s="13"/>
      <c r="E11" s="70"/>
      <c r="F11" s="14" t="s">
        <v>15</v>
      </c>
      <c r="G11" s="11">
        <v>19350</v>
      </c>
      <c r="H11" s="67">
        <v>600</v>
      </c>
      <c r="I11" s="12" t="s">
        <v>397</v>
      </c>
      <c r="J11" s="61"/>
      <c r="K11" s="71"/>
      <c r="L11" s="62" t="s">
        <v>414</v>
      </c>
      <c r="M11" s="75"/>
      <c r="N11" s="73"/>
      <c r="O11" s="15"/>
    </row>
    <row r="12" spans="1:18" x14ac:dyDescent="0.25">
      <c r="A12" s="16"/>
      <c r="B12" s="49"/>
      <c r="C12" s="17" t="s">
        <v>15</v>
      </c>
      <c r="D12" s="13">
        <v>19298</v>
      </c>
      <c r="E12" s="70">
        <v>400</v>
      </c>
      <c r="F12" s="113" t="s">
        <v>208</v>
      </c>
      <c r="G12" s="11"/>
      <c r="H12" s="67"/>
      <c r="I12" s="12" t="s">
        <v>16</v>
      </c>
      <c r="J12" s="61">
        <v>19383</v>
      </c>
      <c r="K12" s="71">
        <v>400</v>
      </c>
      <c r="L12" s="62" t="s">
        <v>415</v>
      </c>
      <c r="M12" s="75"/>
      <c r="N12" s="73"/>
      <c r="O12" s="15"/>
    </row>
    <row r="13" spans="1:18" x14ac:dyDescent="0.25">
      <c r="A13" s="16">
        <v>19251</v>
      </c>
      <c r="B13" s="49">
        <v>600</v>
      </c>
      <c r="C13" s="17" t="s">
        <v>371</v>
      </c>
      <c r="D13" s="13">
        <v>19299</v>
      </c>
      <c r="E13" s="70">
        <v>900</v>
      </c>
      <c r="F13" s="14" t="s">
        <v>384</v>
      </c>
      <c r="G13" s="11">
        <v>19351</v>
      </c>
      <c r="H13" s="67">
        <v>400</v>
      </c>
      <c r="I13" s="12" t="s">
        <v>240</v>
      </c>
      <c r="J13" s="61"/>
      <c r="K13" s="71"/>
      <c r="L13" s="62" t="s">
        <v>14</v>
      </c>
      <c r="M13" s="75"/>
      <c r="N13" s="73"/>
      <c r="O13" s="15"/>
    </row>
    <row r="14" spans="1:18" x14ac:dyDescent="0.25">
      <c r="A14" s="16"/>
      <c r="B14" s="49"/>
      <c r="C14" s="17" t="s">
        <v>14</v>
      </c>
      <c r="D14" s="13"/>
      <c r="E14" s="70"/>
      <c r="F14" s="14" t="s">
        <v>16</v>
      </c>
      <c r="G14" s="11">
        <v>19352</v>
      </c>
      <c r="H14" s="67">
        <v>950</v>
      </c>
      <c r="I14" s="12" t="s">
        <v>398</v>
      </c>
      <c r="J14" s="61">
        <v>19384</v>
      </c>
      <c r="K14" s="71">
        <v>400</v>
      </c>
      <c r="L14" s="62"/>
      <c r="M14" s="75"/>
      <c r="N14" s="73"/>
      <c r="O14" s="31"/>
    </row>
    <row r="15" spans="1:18" x14ac:dyDescent="0.25">
      <c r="A15" s="16">
        <v>19252</v>
      </c>
      <c r="B15" s="49">
        <v>50</v>
      </c>
      <c r="C15" s="17" t="s">
        <v>75</v>
      </c>
      <c r="D15" s="13">
        <v>19300</v>
      </c>
      <c r="E15" s="70">
        <v>800</v>
      </c>
      <c r="F15" s="14" t="s">
        <v>328</v>
      </c>
      <c r="G15" s="11"/>
      <c r="H15" s="67"/>
      <c r="I15" s="12" t="s">
        <v>399</v>
      </c>
      <c r="J15" s="61">
        <v>19385</v>
      </c>
      <c r="K15" s="71">
        <v>400</v>
      </c>
      <c r="L15" s="62" t="s">
        <v>302</v>
      </c>
      <c r="M15" s="75"/>
      <c r="N15" s="73"/>
      <c r="O15" s="15"/>
    </row>
    <row r="16" spans="1:18" x14ac:dyDescent="0.25">
      <c r="A16" s="16">
        <v>19253</v>
      </c>
      <c r="B16" s="49">
        <v>600</v>
      </c>
      <c r="C16" s="17" t="s">
        <v>372</v>
      </c>
      <c r="D16" s="13"/>
      <c r="E16" s="70"/>
      <c r="F16" s="14" t="s">
        <v>15</v>
      </c>
      <c r="G16" s="11">
        <v>19353</v>
      </c>
      <c r="H16" s="67">
        <v>800</v>
      </c>
      <c r="I16" s="12" t="s">
        <v>400</v>
      </c>
      <c r="J16" s="61">
        <v>19386</v>
      </c>
      <c r="K16" s="71">
        <v>400</v>
      </c>
      <c r="L16" s="62" t="s">
        <v>390</v>
      </c>
      <c r="M16" s="75"/>
      <c r="N16" s="73"/>
      <c r="O16" s="15"/>
    </row>
    <row r="17" spans="1:15" x14ac:dyDescent="0.25">
      <c r="A17" s="16">
        <v>19254</v>
      </c>
      <c r="B17" s="49">
        <v>400</v>
      </c>
      <c r="C17" s="17" t="s">
        <v>162</v>
      </c>
      <c r="D17" s="13">
        <v>19301</v>
      </c>
      <c r="E17" s="70">
        <v>1500</v>
      </c>
      <c r="F17" s="14" t="s">
        <v>385</v>
      </c>
      <c r="G17" s="11"/>
      <c r="H17" s="67"/>
      <c r="I17" s="12" t="s">
        <v>14</v>
      </c>
      <c r="J17" s="61">
        <v>19387</v>
      </c>
      <c r="K17" s="71">
        <v>500</v>
      </c>
      <c r="L17" s="62" t="s">
        <v>415</v>
      </c>
      <c r="M17" s="75"/>
      <c r="N17" s="73"/>
      <c r="O17" s="15"/>
    </row>
    <row r="18" spans="1:15" x14ac:dyDescent="0.25">
      <c r="A18" s="16">
        <v>19255</v>
      </c>
      <c r="B18" s="49">
        <v>100</v>
      </c>
      <c r="C18" s="17"/>
      <c r="D18" s="13"/>
      <c r="E18" s="70"/>
      <c r="F18" s="33" t="s">
        <v>386</v>
      </c>
      <c r="G18" s="11">
        <v>19354</v>
      </c>
      <c r="H18" s="67">
        <v>300</v>
      </c>
      <c r="I18" s="12" t="s">
        <v>401</v>
      </c>
      <c r="J18" s="61"/>
      <c r="K18" s="71"/>
      <c r="L18" s="68" t="s">
        <v>19</v>
      </c>
      <c r="M18" s="75"/>
      <c r="N18" s="73"/>
      <c r="O18" s="15"/>
    </row>
    <row r="19" spans="1:15" x14ac:dyDescent="0.25">
      <c r="A19" s="16">
        <v>19256</v>
      </c>
      <c r="B19" s="49">
        <v>400</v>
      </c>
      <c r="C19" s="17" t="s">
        <v>373</v>
      </c>
      <c r="D19" s="13">
        <v>19302</v>
      </c>
      <c r="E19" s="70">
        <v>400</v>
      </c>
      <c r="F19" s="14"/>
      <c r="G19" s="11">
        <v>19355</v>
      </c>
      <c r="H19" s="67">
        <v>200</v>
      </c>
      <c r="I19" s="12"/>
      <c r="J19" s="61">
        <v>19388</v>
      </c>
      <c r="K19" s="71">
        <v>800</v>
      </c>
      <c r="L19" s="62" t="s">
        <v>415</v>
      </c>
      <c r="M19" s="75"/>
      <c r="N19" s="73"/>
      <c r="O19" s="15"/>
    </row>
    <row r="20" spans="1:15" x14ac:dyDescent="0.25">
      <c r="A20" s="16">
        <v>19257</v>
      </c>
      <c r="B20" s="49">
        <v>200</v>
      </c>
      <c r="C20" s="17" t="s">
        <v>374</v>
      </c>
      <c r="D20" s="13">
        <v>19303</v>
      </c>
      <c r="E20" s="70">
        <v>1200</v>
      </c>
      <c r="F20" s="14" t="s">
        <v>354</v>
      </c>
      <c r="G20" s="11">
        <v>19356</v>
      </c>
      <c r="H20" s="67">
        <v>1000</v>
      </c>
      <c r="I20" s="12" t="s">
        <v>402</v>
      </c>
      <c r="J20" s="61"/>
      <c r="K20" s="71"/>
      <c r="L20" s="62" t="s">
        <v>15</v>
      </c>
      <c r="M20" s="75"/>
      <c r="N20" s="73"/>
      <c r="O20" s="15"/>
    </row>
    <row r="21" spans="1:15" x14ac:dyDescent="0.25">
      <c r="A21" s="16"/>
      <c r="B21" s="49"/>
      <c r="C21" s="17" t="s">
        <v>375</v>
      </c>
      <c r="D21" s="13"/>
      <c r="E21" s="70"/>
      <c r="F21" s="14" t="s">
        <v>15</v>
      </c>
      <c r="G21" s="11"/>
      <c r="H21" s="67"/>
      <c r="I21" s="12" t="s">
        <v>403</v>
      </c>
      <c r="J21" s="61">
        <v>19389</v>
      </c>
      <c r="K21" s="71">
        <v>200</v>
      </c>
      <c r="L21" s="62"/>
      <c r="M21" s="75"/>
      <c r="N21" s="73"/>
      <c r="O21" s="31"/>
    </row>
    <row r="22" spans="1:15" x14ac:dyDescent="0.25">
      <c r="A22" s="16">
        <v>19258</v>
      </c>
      <c r="B22" s="49">
        <v>300</v>
      </c>
      <c r="C22" s="17" t="s">
        <v>273</v>
      </c>
      <c r="D22" s="13">
        <v>19304</v>
      </c>
      <c r="E22" s="70">
        <v>750</v>
      </c>
      <c r="F22" s="14" t="s">
        <v>354</v>
      </c>
      <c r="G22" s="11">
        <v>19357</v>
      </c>
      <c r="H22" s="67">
        <v>200</v>
      </c>
      <c r="I22" s="12"/>
      <c r="J22" s="61">
        <v>19390</v>
      </c>
      <c r="K22" s="71">
        <v>300</v>
      </c>
      <c r="L22" s="62"/>
      <c r="M22" s="75"/>
      <c r="N22" s="73"/>
      <c r="O22" s="15"/>
    </row>
    <row r="23" spans="1:15" x14ac:dyDescent="0.25">
      <c r="A23" s="16"/>
      <c r="B23" s="49"/>
      <c r="C23" s="17" t="s">
        <v>57</v>
      </c>
      <c r="D23" s="13"/>
      <c r="E23" s="70"/>
      <c r="F23" s="14" t="s">
        <v>19</v>
      </c>
      <c r="G23" s="11">
        <v>19358</v>
      </c>
      <c r="H23" s="67">
        <v>800</v>
      </c>
      <c r="I23" s="12" t="s">
        <v>328</v>
      </c>
      <c r="J23" s="61">
        <v>19391</v>
      </c>
      <c r="K23" s="71">
        <v>200</v>
      </c>
      <c r="L23" s="62" t="s">
        <v>390</v>
      </c>
      <c r="M23" s="75"/>
      <c r="N23" s="73"/>
      <c r="O23" s="15"/>
    </row>
    <row r="24" spans="1:15" x14ac:dyDescent="0.25">
      <c r="A24" s="16">
        <v>19259</v>
      </c>
      <c r="B24" s="49">
        <v>500</v>
      </c>
      <c r="C24" s="17" t="s">
        <v>373</v>
      </c>
      <c r="D24" s="13">
        <v>19305</v>
      </c>
      <c r="E24" s="70">
        <v>1200</v>
      </c>
      <c r="F24" s="14" t="s">
        <v>353</v>
      </c>
      <c r="G24" s="11"/>
      <c r="H24" s="67"/>
      <c r="I24" s="12" t="s">
        <v>15</v>
      </c>
      <c r="J24" s="61">
        <v>19392</v>
      </c>
      <c r="K24" s="71">
        <v>400</v>
      </c>
      <c r="L24" s="62"/>
      <c r="M24" s="75"/>
      <c r="N24" s="73"/>
      <c r="O24" s="15"/>
    </row>
    <row r="25" spans="1:15" x14ac:dyDescent="0.25">
      <c r="A25" s="16"/>
      <c r="B25" s="49"/>
      <c r="C25" s="17" t="s">
        <v>19</v>
      </c>
      <c r="D25" s="13"/>
      <c r="E25" s="70"/>
      <c r="F25" s="14" t="s">
        <v>15</v>
      </c>
      <c r="G25" s="11">
        <v>19359</v>
      </c>
      <c r="H25" s="67">
        <v>400</v>
      </c>
      <c r="I25" s="12" t="s">
        <v>302</v>
      </c>
      <c r="J25" s="61">
        <v>19393</v>
      </c>
      <c r="K25" s="71">
        <v>800</v>
      </c>
      <c r="L25" s="62" t="s">
        <v>407</v>
      </c>
      <c r="M25" s="75"/>
      <c r="N25" s="73"/>
      <c r="O25" s="15"/>
    </row>
    <row r="26" spans="1:15" x14ac:dyDescent="0.25">
      <c r="A26" s="16">
        <v>19260</v>
      </c>
      <c r="B26" s="49">
        <v>400</v>
      </c>
      <c r="C26" s="17"/>
      <c r="D26" s="13">
        <v>19306</v>
      </c>
      <c r="E26" s="70">
        <v>1200</v>
      </c>
      <c r="F26" s="14" t="s">
        <v>354</v>
      </c>
      <c r="G26" s="11">
        <v>19360</v>
      </c>
      <c r="H26" s="67">
        <v>2400</v>
      </c>
      <c r="I26" s="12" t="s">
        <v>404</v>
      </c>
      <c r="J26" s="61"/>
      <c r="K26" s="71"/>
      <c r="L26" s="62" t="s">
        <v>15</v>
      </c>
      <c r="M26" s="75"/>
      <c r="N26" s="73"/>
      <c r="O26" s="15"/>
    </row>
    <row r="27" spans="1:15" x14ac:dyDescent="0.25">
      <c r="A27" s="16">
        <v>19261</v>
      </c>
      <c r="B27" s="49">
        <v>400</v>
      </c>
      <c r="C27" s="17"/>
      <c r="D27" s="13"/>
      <c r="E27" s="70"/>
      <c r="F27" s="14" t="s">
        <v>15</v>
      </c>
      <c r="G27" s="11"/>
      <c r="H27" s="67"/>
      <c r="I27" s="12" t="s">
        <v>405</v>
      </c>
      <c r="J27" s="61">
        <v>19394</v>
      </c>
      <c r="K27" s="71">
        <v>400</v>
      </c>
      <c r="L27" s="62" t="s">
        <v>390</v>
      </c>
      <c r="M27" s="75"/>
      <c r="N27" s="73"/>
      <c r="O27" s="31"/>
    </row>
    <row r="28" spans="1:15" x14ac:dyDescent="0.25">
      <c r="A28" s="16">
        <v>19262</v>
      </c>
      <c r="B28" s="49">
        <v>700</v>
      </c>
      <c r="C28" s="17" t="s">
        <v>376</v>
      </c>
      <c r="D28" s="13">
        <v>19307</v>
      </c>
      <c r="E28" s="70">
        <v>400</v>
      </c>
      <c r="F28" s="14" t="s">
        <v>273</v>
      </c>
      <c r="G28" s="11">
        <v>19361</v>
      </c>
      <c r="H28" s="67">
        <v>1400</v>
      </c>
      <c r="I28" s="12" t="s">
        <v>406</v>
      </c>
      <c r="J28" s="61">
        <v>19395</v>
      </c>
      <c r="K28" s="71">
        <v>300</v>
      </c>
      <c r="L28" s="62" t="s">
        <v>390</v>
      </c>
      <c r="M28" s="75"/>
      <c r="N28" s="73"/>
      <c r="O28" s="15"/>
    </row>
    <row r="29" spans="1:15" x14ac:dyDescent="0.25">
      <c r="A29" s="16"/>
      <c r="B29" s="49"/>
      <c r="C29" s="17" t="s">
        <v>377</v>
      </c>
      <c r="D29" s="13"/>
      <c r="E29" s="70"/>
      <c r="F29" s="14" t="s">
        <v>14</v>
      </c>
      <c r="G29" s="11"/>
      <c r="H29" s="67"/>
      <c r="I29" s="12" t="s">
        <v>14</v>
      </c>
      <c r="J29" s="61">
        <v>19396</v>
      </c>
      <c r="K29" s="71">
        <v>400</v>
      </c>
      <c r="L29" s="62"/>
      <c r="M29" s="75"/>
      <c r="N29" s="73"/>
      <c r="O29" s="15"/>
    </row>
    <row r="30" spans="1:15" x14ac:dyDescent="0.25">
      <c r="A30" s="16">
        <v>19263</v>
      </c>
      <c r="B30" s="49">
        <v>300</v>
      </c>
      <c r="C30" s="17" t="s">
        <v>378</v>
      </c>
      <c r="D30" s="13">
        <v>19308</v>
      </c>
      <c r="E30" s="70">
        <v>1200</v>
      </c>
      <c r="F30" s="14" t="s">
        <v>354</v>
      </c>
      <c r="G30" s="11">
        <v>19362</v>
      </c>
      <c r="H30" s="67">
        <v>300</v>
      </c>
      <c r="I30" s="12"/>
      <c r="J30" s="61">
        <v>19397</v>
      </c>
      <c r="K30" s="71">
        <v>400</v>
      </c>
      <c r="L30" s="62"/>
      <c r="M30" s="75"/>
      <c r="N30" s="73"/>
      <c r="O30" s="15"/>
    </row>
    <row r="31" spans="1:15" x14ac:dyDescent="0.25">
      <c r="A31" s="16"/>
      <c r="B31" s="49"/>
      <c r="C31" s="17" t="s">
        <v>379</v>
      </c>
      <c r="D31" s="13"/>
      <c r="E31" s="70"/>
      <c r="F31" s="14" t="s">
        <v>15</v>
      </c>
      <c r="G31" s="11">
        <v>19363</v>
      </c>
      <c r="H31" s="67">
        <v>800</v>
      </c>
      <c r="I31" s="12" t="s">
        <v>407</v>
      </c>
      <c r="J31" s="61">
        <v>19398</v>
      </c>
      <c r="K31" s="71">
        <v>650</v>
      </c>
      <c r="L31" s="62" t="s">
        <v>415</v>
      </c>
      <c r="M31" s="75"/>
      <c r="N31" s="73"/>
      <c r="O31" s="15"/>
    </row>
    <row r="32" spans="1:15" x14ac:dyDescent="0.25">
      <c r="A32" s="16">
        <v>19264</v>
      </c>
      <c r="B32" s="49">
        <v>400</v>
      </c>
      <c r="C32" s="17"/>
      <c r="D32" s="13">
        <v>19309</v>
      </c>
      <c r="E32" s="70">
        <v>250</v>
      </c>
      <c r="F32" s="14"/>
      <c r="G32" s="11"/>
      <c r="H32" s="67"/>
      <c r="I32" s="12" t="s">
        <v>15</v>
      </c>
      <c r="J32" s="61"/>
      <c r="K32" s="71"/>
      <c r="L32" s="62" t="s">
        <v>416</v>
      </c>
      <c r="M32" s="75"/>
      <c r="N32" s="73"/>
      <c r="O32" s="15"/>
    </row>
    <row r="33" spans="1:15" x14ac:dyDescent="0.25">
      <c r="A33" s="16">
        <v>19265</v>
      </c>
      <c r="B33" s="49">
        <v>400</v>
      </c>
      <c r="C33" s="17"/>
      <c r="D33" s="13">
        <v>19310</v>
      </c>
      <c r="E33" s="70">
        <v>200</v>
      </c>
      <c r="F33" s="14" t="s">
        <v>302</v>
      </c>
      <c r="G33" s="11">
        <v>19364</v>
      </c>
      <c r="H33" s="67">
        <v>800</v>
      </c>
      <c r="I33" s="12" t="s">
        <v>397</v>
      </c>
      <c r="J33" s="61">
        <v>19399</v>
      </c>
      <c r="K33" s="71">
        <v>4400</v>
      </c>
      <c r="L33" s="62" t="s">
        <v>338</v>
      </c>
      <c r="M33" s="75"/>
      <c r="N33" s="73"/>
      <c r="O33" s="15"/>
    </row>
    <row r="34" spans="1:15" x14ac:dyDescent="0.25">
      <c r="A34" s="16">
        <v>19266</v>
      </c>
      <c r="B34" s="49">
        <v>400</v>
      </c>
      <c r="C34" s="17" t="s">
        <v>372</v>
      </c>
      <c r="D34" s="101">
        <v>19311</v>
      </c>
      <c r="E34" s="70">
        <v>1200</v>
      </c>
      <c r="F34" s="14" t="s">
        <v>314</v>
      </c>
      <c r="G34" s="11"/>
      <c r="H34" s="67"/>
      <c r="I34" s="100" t="s">
        <v>408</v>
      </c>
      <c r="J34" s="61"/>
      <c r="K34" s="71"/>
      <c r="L34" s="62" t="s">
        <v>15</v>
      </c>
      <c r="M34" s="75"/>
      <c r="N34" s="73"/>
      <c r="O34" s="31"/>
    </row>
    <row r="35" spans="1:15" x14ac:dyDescent="0.25">
      <c r="A35" s="16">
        <v>19267</v>
      </c>
      <c r="B35" s="49">
        <v>400</v>
      </c>
      <c r="C35" s="17"/>
      <c r="D35" s="13"/>
      <c r="E35" s="70"/>
      <c r="F35" s="14" t="s">
        <v>15</v>
      </c>
      <c r="G35" s="11">
        <v>19365</v>
      </c>
      <c r="H35" s="67">
        <v>400</v>
      </c>
      <c r="I35" s="12" t="s">
        <v>409</v>
      </c>
      <c r="J35" s="61">
        <v>19400</v>
      </c>
      <c r="K35" s="71">
        <v>500</v>
      </c>
      <c r="L35" s="62" t="s">
        <v>417</v>
      </c>
      <c r="M35" s="75"/>
      <c r="N35" s="73"/>
      <c r="O35" s="15"/>
    </row>
    <row r="36" spans="1:15" x14ac:dyDescent="0.25">
      <c r="A36" s="16">
        <v>19268</v>
      </c>
      <c r="B36" s="49">
        <v>600</v>
      </c>
      <c r="C36" s="17" t="s">
        <v>315</v>
      </c>
      <c r="D36" s="13">
        <v>19312</v>
      </c>
      <c r="E36" s="70">
        <v>1200</v>
      </c>
      <c r="F36" s="14" t="s">
        <v>354</v>
      </c>
      <c r="G36" s="11">
        <v>19366</v>
      </c>
      <c r="H36" s="67">
        <v>400</v>
      </c>
      <c r="I36" s="12" t="s">
        <v>390</v>
      </c>
      <c r="J36" s="61"/>
      <c r="K36" s="71"/>
      <c r="L36" s="62" t="s">
        <v>19</v>
      </c>
      <c r="M36" s="75"/>
      <c r="N36" s="73"/>
      <c r="O36" s="15"/>
    </row>
    <row r="37" spans="1:15" x14ac:dyDescent="0.25">
      <c r="A37" s="16"/>
      <c r="B37" s="49"/>
      <c r="C37" s="17" t="s">
        <v>16</v>
      </c>
      <c r="D37" s="13"/>
      <c r="E37" s="70"/>
      <c r="F37" s="14" t="s">
        <v>15</v>
      </c>
      <c r="G37" s="11">
        <v>19367</v>
      </c>
      <c r="H37" s="67">
        <v>600</v>
      </c>
      <c r="I37" s="12" t="s">
        <v>410</v>
      </c>
      <c r="J37" s="61">
        <v>19401</v>
      </c>
      <c r="K37" s="71">
        <v>400</v>
      </c>
      <c r="L37" s="62" t="s">
        <v>302</v>
      </c>
      <c r="M37" s="75"/>
      <c r="N37" s="73"/>
      <c r="O37" s="15"/>
    </row>
    <row r="38" spans="1:15" x14ac:dyDescent="0.25">
      <c r="A38" s="16">
        <v>19269</v>
      </c>
      <c r="B38" s="49">
        <v>400</v>
      </c>
      <c r="C38" s="17"/>
      <c r="D38" s="13">
        <v>19313</v>
      </c>
      <c r="E38" s="70"/>
      <c r="F38" s="14" t="s">
        <v>59</v>
      </c>
      <c r="G38" s="11">
        <v>19368</v>
      </c>
      <c r="H38" s="67">
        <v>700</v>
      </c>
      <c r="I38" s="12" t="s">
        <v>411</v>
      </c>
      <c r="J38" s="61">
        <v>19402</v>
      </c>
      <c r="K38" s="71">
        <v>400</v>
      </c>
      <c r="L38" s="62" t="s">
        <v>52</v>
      </c>
      <c r="M38" s="75"/>
      <c r="N38" s="73"/>
      <c r="O38" s="15"/>
    </row>
    <row r="39" spans="1:15" x14ac:dyDescent="0.25">
      <c r="A39" s="16">
        <v>19270</v>
      </c>
      <c r="B39" s="49">
        <v>150</v>
      </c>
      <c r="C39" s="17"/>
      <c r="D39" s="13">
        <v>19314</v>
      </c>
      <c r="E39" s="70">
        <v>9600</v>
      </c>
      <c r="F39" s="14" t="s">
        <v>387</v>
      </c>
      <c r="G39" s="11"/>
      <c r="H39" s="67"/>
      <c r="I39" s="12" t="s">
        <v>18</v>
      </c>
      <c r="J39" s="61">
        <v>19403</v>
      </c>
      <c r="K39" s="71">
        <v>800</v>
      </c>
      <c r="L39" s="62" t="s">
        <v>407</v>
      </c>
      <c r="M39" s="75"/>
      <c r="N39" s="73"/>
      <c r="O39" s="15"/>
    </row>
    <row r="40" spans="1:15" x14ac:dyDescent="0.25">
      <c r="A40" s="16">
        <v>19271</v>
      </c>
      <c r="B40" s="49">
        <v>50</v>
      </c>
      <c r="C40" s="17" t="s">
        <v>75</v>
      </c>
      <c r="D40" s="13"/>
      <c r="E40" s="70"/>
      <c r="F40" s="14" t="s">
        <v>15</v>
      </c>
      <c r="G40" s="11">
        <v>19369</v>
      </c>
      <c r="H40" s="67">
        <v>400</v>
      </c>
      <c r="I40" s="12" t="s">
        <v>328</v>
      </c>
      <c r="J40" s="61"/>
      <c r="K40" s="71"/>
      <c r="L40" s="62" t="s">
        <v>15</v>
      </c>
      <c r="M40" s="75"/>
      <c r="N40" s="73"/>
      <c r="O40" s="15"/>
    </row>
    <row r="41" spans="1:15" x14ac:dyDescent="0.25">
      <c r="A41" s="16">
        <v>19272</v>
      </c>
      <c r="B41" s="49">
        <v>350</v>
      </c>
      <c r="C41" s="17"/>
      <c r="D41" s="13"/>
      <c r="E41" s="70"/>
      <c r="F41" s="14" t="s">
        <v>338</v>
      </c>
      <c r="G41" s="11"/>
      <c r="H41" s="67"/>
      <c r="I41" s="12" t="s">
        <v>14</v>
      </c>
      <c r="J41" s="61"/>
      <c r="K41" s="71"/>
      <c r="L41" s="62"/>
      <c r="M41" s="75"/>
      <c r="N41" s="73"/>
      <c r="O41" s="15"/>
    </row>
    <row r="42" spans="1:15" x14ac:dyDescent="0.25">
      <c r="A42" s="16">
        <v>19273</v>
      </c>
      <c r="B42" s="49">
        <v>1600</v>
      </c>
      <c r="C42" s="17" t="s">
        <v>380</v>
      </c>
      <c r="D42" s="13"/>
      <c r="E42" s="70"/>
      <c r="F42" s="14" t="s">
        <v>15</v>
      </c>
      <c r="G42" s="11">
        <v>19370</v>
      </c>
      <c r="H42" s="67">
        <v>400</v>
      </c>
      <c r="I42" s="12"/>
      <c r="J42" s="61"/>
      <c r="K42" s="71"/>
      <c r="L42" s="62"/>
      <c r="M42" s="75"/>
      <c r="N42" s="73"/>
      <c r="O42" s="15"/>
    </row>
    <row r="43" spans="1:15" x14ac:dyDescent="0.25">
      <c r="A43" s="16"/>
      <c r="B43" s="49"/>
      <c r="C43" s="17" t="s">
        <v>15</v>
      </c>
      <c r="D43" s="13">
        <v>19315</v>
      </c>
      <c r="E43" s="70">
        <v>500</v>
      </c>
      <c r="F43" s="14" t="s">
        <v>388</v>
      </c>
      <c r="G43" s="11">
        <v>19371</v>
      </c>
      <c r="H43" s="67">
        <v>400</v>
      </c>
      <c r="I43" s="12" t="s">
        <v>302</v>
      </c>
      <c r="J43" s="61"/>
      <c r="K43" s="71"/>
      <c r="L43" s="62"/>
      <c r="M43" s="75"/>
      <c r="N43" s="73"/>
      <c r="O43" s="15"/>
    </row>
    <row r="44" spans="1:15" x14ac:dyDescent="0.25">
      <c r="A44" s="16">
        <v>19274</v>
      </c>
      <c r="B44" s="49">
        <v>400</v>
      </c>
      <c r="C44" s="17"/>
      <c r="D44" s="13"/>
      <c r="E44" s="70"/>
      <c r="F44" s="14" t="s">
        <v>389</v>
      </c>
      <c r="G44" s="11">
        <v>19372</v>
      </c>
      <c r="H44" s="67">
        <v>400</v>
      </c>
      <c r="I44" s="12"/>
      <c r="J44" s="61"/>
      <c r="K44" s="71"/>
      <c r="L44" s="62"/>
      <c r="M44" s="75"/>
      <c r="N44" s="73"/>
      <c r="O44" s="15"/>
    </row>
    <row r="45" spans="1:15" x14ac:dyDescent="0.25">
      <c r="A45" s="16">
        <v>19275</v>
      </c>
      <c r="B45" s="49">
        <v>800</v>
      </c>
      <c r="C45" s="17" t="s">
        <v>273</v>
      </c>
      <c r="D45" s="13">
        <v>19316</v>
      </c>
      <c r="E45" s="70">
        <v>400</v>
      </c>
      <c r="F45" s="14" t="s">
        <v>52</v>
      </c>
      <c r="G45" s="11">
        <v>19373</v>
      </c>
      <c r="H45" s="67">
        <v>400</v>
      </c>
      <c r="I45" s="12"/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 t="s">
        <v>15</v>
      </c>
      <c r="D46" s="13">
        <v>19317</v>
      </c>
      <c r="E46" s="70">
        <v>400</v>
      </c>
      <c r="F46" s="14"/>
      <c r="G46" s="11">
        <v>19374</v>
      </c>
      <c r="H46" s="67">
        <v>800</v>
      </c>
      <c r="I46" s="12" t="s">
        <v>411</v>
      </c>
      <c r="J46" s="61"/>
      <c r="K46" s="71"/>
      <c r="L46" s="62"/>
      <c r="M46" s="75"/>
      <c r="N46" s="73"/>
      <c r="O46" s="15"/>
    </row>
    <row r="47" spans="1:15" x14ac:dyDescent="0.25">
      <c r="A47" s="16">
        <v>19276</v>
      </c>
      <c r="B47" s="49">
        <v>800</v>
      </c>
      <c r="C47" s="17" t="s">
        <v>373</v>
      </c>
      <c r="D47" s="13">
        <v>19318</v>
      </c>
      <c r="E47" s="70">
        <v>400</v>
      </c>
      <c r="F47" s="14" t="s">
        <v>390</v>
      </c>
      <c r="G47" s="11"/>
      <c r="H47" s="67"/>
      <c r="I47" s="12" t="s">
        <v>15</v>
      </c>
      <c r="J47" s="61"/>
      <c r="K47" s="71"/>
      <c r="L47" s="62"/>
      <c r="M47" s="75"/>
      <c r="N47" s="73"/>
      <c r="O47" s="15"/>
    </row>
    <row r="48" spans="1:15" x14ac:dyDescent="0.25">
      <c r="A48" s="16"/>
      <c r="B48" s="49"/>
      <c r="C48" s="17" t="s">
        <v>15</v>
      </c>
      <c r="D48" s="13">
        <v>19319</v>
      </c>
      <c r="E48" s="70">
        <v>600</v>
      </c>
      <c r="F48" s="14" t="s">
        <v>273</v>
      </c>
      <c r="G48" s="11">
        <v>19375</v>
      </c>
      <c r="H48" s="67">
        <v>800</v>
      </c>
      <c r="I48" s="12" t="s">
        <v>229</v>
      </c>
      <c r="J48" s="61"/>
      <c r="K48" s="71"/>
      <c r="L48" s="62"/>
      <c r="M48" s="75"/>
      <c r="N48" s="73"/>
      <c r="O48" s="15"/>
    </row>
    <row r="49" spans="1:15" x14ac:dyDescent="0.25">
      <c r="A49" s="16">
        <v>19277</v>
      </c>
      <c r="B49" s="49">
        <v>400</v>
      </c>
      <c r="C49" s="17"/>
      <c r="D49" s="13"/>
      <c r="E49" s="70"/>
      <c r="F49" s="14" t="s">
        <v>16</v>
      </c>
      <c r="G49" s="11"/>
      <c r="H49" s="67"/>
      <c r="I49" s="12" t="s">
        <v>15</v>
      </c>
      <c r="J49" s="61"/>
      <c r="K49" s="71"/>
      <c r="L49" s="62"/>
      <c r="M49" s="75"/>
      <c r="N49" s="73"/>
      <c r="O49" s="15"/>
    </row>
    <row r="50" spans="1:15" x14ac:dyDescent="0.25">
      <c r="A50" s="16">
        <v>19278</v>
      </c>
      <c r="B50" s="49">
        <v>400</v>
      </c>
      <c r="C50" s="17"/>
      <c r="D50" s="13">
        <v>19320</v>
      </c>
      <c r="E50" s="70">
        <v>800</v>
      </c>
      <c r="F50" s="14" t="s">
        <v>229</v>
      </c>
      <c r="G50" s="11">
        <v>19376</v>
      </c>
      <c r="H50" s="67">
        <v>400</v>
      </c>
      <c r="I50" s="12"/>
      <c r="J50" s="61"/>
      <c r="K50" s="71"/>
      <c r="L50" s="62"/>
      <c r="M50" s="75"/>
      <c r="N50" s="73"/>
      <c r="O50" s="15"/>
    </row>
    <row r="51" spans="1:15" x14ac:dyDescent="0.25">
      <c r="A51" s="16">
        <v>19279</v>
      </c>
      <c r="B51" s="49">
        <v>400</v>
      </c>
      <c r="C51" s="17"/>
      <c r="D51" s="13"/>
      <c r="E51" s="70"/>
      <c r="F51" s="14" t="s">
        <v>15</v>
      </c>
      <c r="G51" s="11">
        <v>19377</v>
      </c>
      <c r="H51" s="67">
        <v>600</v>
      </c>
      <c r="I51" s="12" t="s">
        <v>412</v>
      </c>
      <c r="J51" s="61"/>
      <c r="K51" s="71"/>
      <c r="L51" s="62"/>
      <c r="M51" s="75"/>
      <c r="N51" s="73"/>
      <c r="O51" s="15"/>
    </row>
    <row r="52" spans="1:15" x14ac:dyDescent="0.25">
      <c r="A52" s="16">
        <v>19280</v>
      </c>
      <c r="B52" s="49">
        <v>200</v>
      </c>
      <c r="C52" s="17" t="s">
        <v>381</v>
      </c>
      <c r="D52" s="13">
        <v>19321</v>
      </c>
      <c r="E52" s="70">
        <v>450</v>
      </c>
      <c r="F52" s="14" t="s">
        <v>391</v>
      </c>
      <c r="G52" s="11"/>
      <c r="H52" s="67"/>
      <c r="I52" s="12" t="s">
        <v>14</v>
      </c>
      <c r="J52" s="61"/>
      <c r="K52" s="71"/>
      <c r="L52" s="68"/>
      <c r="M52" s="75"/>
      <c r="N52" s="73"/>
      <c r="O52" s="15"/>
    </row>
    <row r="53" spans="1:15" x14ac:dyDescent="0.25">
      <c r="A53" s="16">
        <v>19281</v>
      </c>
      <c r="B53" s="49">
        <v>400</v>
      </c>
      <c r="C53" s="17"/>
      <c r="D53" s="13">
        <v>19322</v>
      </c>
      <c r="E53" s="70">
        <v>800</v>
      </c>
      <c r="F53" s="14" t="s">
        <v>315</v>
      </c>
      <c r="G53" s="11">
        <v>19378</v>
      </c>
      <c r="H53" s="67">
        <v>400</v>
      </c>
      <c r="I53" s="12" t="s">
        <v>302</v>
      </c>
      <c r="J53" s="61"/>
      <c r="K53" s="71"/>
      <c r="L53" s="62"/>
      <c r="M53" s="75"/>
      <c r="N53" s="73"/>
      <c r="O53" s="15"/>
    </row>
    <row r="54" spans="1:15" x14ac:dyDescent="0.25">
      <c r="A54" s="16">
        <v>19282</v>
      </c>
      <c r="B54" s="49">
        <v>1200</v>
      </c>
      <c r="C54" s="17" t="s">
        <v>274</v>
      </c>
      <c r="D54" s="13"/>
      <c r="E54" s="70"/>
      <c r="F54" s="14" t="s">
        <v>15</v>
      </c>
      <c r="G54" s="11">
        <v>19379</v>
      </c>
      <c r="H54" s="67">
        <v>200</v>
      </c>
      <c r="I54" s="12" t="s">
        <v>302</v>
      </c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 t="s">
        <v>16</v>
      </c>
      <c r="D55" s="13">
        <v>19323</v>
      </c>
      <c r="E55" s="70">
        <v>300</v>
      </c>
      <c r="F55" s="14"/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>
        <v>19283</v>
      </c>
      <c r="B56" s="49">
        <v>400</v>
      </c>
      <c r="C56" s="17" t="s">
        <v>372</v>
      </c>
      <c r="D56" s="13">
        <v>19324</v>
      </c>
      <c r="E56" s="70">
        <v>400</v>
      </c>
      <c r="F56" s="14"/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>
        <v>19284</v>
      </c>
      <c r="B57" s="49">
        <v>400</v>
      </c>
      <c r="C57" s="17"/>
      <c r="D57" s="13">
        <v>19325</v>
      </c>
      <c r="E57" s="70">
        <v>400</v>
      </c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>
        <v>19285</v>
      </c>
      <c r="B58" s="49">
        <v>200</v>
      </c>
      <c r="C58" s="17" t="s">
        <v>372</v>
      </c>
      <c r="D58" s="13">
        <v>19326</v>
      </c>
      <c r="E58" s="70">
        <v>800</v>
      </c>
      <c r="F58" s="14" t="s">
        <v>273</v>
      </c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19286</v>
      </c>
      <c r="B59" s="49">
        <v>700</v>
      </c>
      <c r="C59" s="17" t="s">
        <v>373</v>
      </c>
      <c r="D59" s="13"/>
      <c r="E59" s="70"/>
      <c r="F59" s="14" t="s">
        <v>15</v>
      </c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 t="s">
        <v>18</v>
      </c>
      <c r="D60" s="13">
        <v>19327</v>
      </c>
      <c r="E60" s="70">
        <v>600</v>
      </c>
      <c r="F60" s="14" t="s">
        <v>328</v>
      </c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19287</v>
      </c>
      <c r="B61" s="49">
        <v>200</v>
      </c>
      <c r="C61" s="17" t="s">
        <v>372</v>
      </c>
      <c r="D61" s="13"/>
      <c r="E61" s="70"/>
      <c r="F61" s="14" t="s">
        <v>16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19288</v>
      </c>
      <c r="B62" s="49">
        <v>1000</v>
      </c>
      <c r="C62" s="17" t="s">
        <v>273</v>
      </c>
      <c r="D62" s="13">
        <v>19328</v>
      </c>
      <c r="E62" s="70">
        <v>500</v>
      </c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 t="s">
        <v>193</v>
      </c>
      <c r="D63" s="13">
        <v>19329</v>
      </c>
      <c r="E63" s="70">
        <v>800</v>
      </c>
      <c r="F63" s="14" t="s">
        <v>273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19289</v>
      </c>
      <c r="B64" s="49">
        <v>200</v>
      </c>
      <c r="C64" s="17"/>
      <c r="D64" s="13"/>
      <c r="E64" s="70"/>
      <c r="F64" s="14" t="s">
        <v>15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19290</v>
      </c>
      <c r="B65" s="49">
        <v>400</v>
      </c>
      <c r="C65" s="17"/>
      <c r="D65" s="13">
        <v>19330</v>
      </c>
      <c r="E65" s="70">
        <v>600</v>
      </c>
      <c r="F65" s="14" t="s">
        <v>328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19291</v>
      </c>
      <c r="B66" s="49">
        <v>450</v>
      </c>
      <c r="C66" s="17" t="s">
        <v>382</v>
      </c>
      <c r="D66" s="13"/>
      <c r="E66" s="70"/>
      <c r="F66" s="14" t="s">
        <v>16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 t="s">
        <v>383</v>
      </c>
      <c r="D67" s="13">
        <v>19331</v>
      </c>
      <c r="E67" s="70">
        <v>200</v>
      </c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19292</v>
      </c>
      <c r="B68" s="49">
        <v>400</v>
      </c>
      <c r="C68" s="17"/>
      <c r="D68" s="13">
        <v>19332</v>
      </c>
      <c r="E68" s="70">
        <v>600</v>
      </c>
      <c r="F68" s="14" t="s">
        <v>392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19293</v>
      </c>
      <c r="B69" s="49">
        <v>350</v>
      </c>
      <c r="C69" s="17"/>
      <c r="D69" s="13">
        <v>19333</v>
      </c>
      <c r="E69" s="70">
        <v>400</v>
      </c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19294</v>
      </c>
      <c r="B70" s="49">
        <v>1050</v>
      </c>
      <c r="C70" s="17" t="s">
        <v>354</v>
      </c>
      <c r="D70" s="13">
        <v>19334</v>
      </c>
      <c r="E70" s="70">
        <v>400</v>
      </c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 t="s">
        <v>18</v>
      </c>
      <c r="D71" s="13">
        <v>19335</v>
      </c>
      <c r="E71" s="70"/>
      <c r="F71" s="14" t="s">
        <v>59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19295</v>
      </c>
      <c r="B72" s="49">
        <v>400</v>
      </c>
      <c r="C72" s="17" t="s">
        <v>372</v>
      </c>
      <c r="D72" s="13">
        <v>19336</v>
      </c>
      <c r="E72" s="70">
        <v>400</v>
      </c>
      <c r="F72" s="14" t="s">
        <v>273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 t="s">
        <v>14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>
        <v>19337</v>
      </c>
      <c r="E74" s="70">
        <v>400</v>
      </c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>
        <v>19338</v>
      </c>
      <c r="E75" s="70">
        <v>800</v>
      </c>
      <c r="F75" s="14" t="s">
        <v>273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/>
      <c r="E76" s="70"/>
      <c r="F76" s="14" t="s">
        <v>15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>
        <v>19339</v>
      </c>
      <c r="E77" s="70">
        <v>300</v>
      </c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>
        <v>19340</v>
      </c>
      <c r="E78" s="70">
        <v>1500</v>
      </c>
      <c r="F78" s="14" t="s">
        <v>359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/>
      <c r="E79" s="70"/>
      <c r="F79" s="14" t="s">
        <v>360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>
        <v>19341</v>
      </c>
      <c r="E80" s="70">
        <v>600</v>
      </c>
      <c r="F80" s="14" t="s">
        <v>393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/>
      <c r="D81" s="13">
        <v>19342</v>
      </c>
      <c r="E81" s="70">
        <v>400</v>
      </c>
      <c r="F81" s="14" t="s">
        <v>302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>
        <v>19343</v>
      </c>
      <c r="E82" s="70">
        <v>300</v>
      </c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>
        <v>19344</v>
      </c>
      <c r="E83" s="70">
        <v>840</v>
      </c>
      <c r="F83" s="14" t="s">
        <v>394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/>
      <c r="E84" s="70"/>
      <c r="F84" s="14" t="s">
        <v>395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>
        <v>19345</v>
      </c>
      <c r="E85" s="70">
        <v>450</v>
      </c>
      <c r="F85" s="14" t="s">
        <v>396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 t="s">
        <v>57</v>
      </c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>
        <v>19346</v>
      </c>
      <c r="E87" s="70">
        <v>800</v>
      </c>
      <c r="F87" s="14" t="s">
        <v>328</v>
      </c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 t="s">
        <v>15</v>
      </c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75"/>
      <c r="N136" s="73"/>
      <c r="O136" s="15"/>
    </row>
    <row r="137" spans="1:15" x14ac:dyDescent="0.25">
      <c r="A137" s="26"/>
      <c r="B137" s="58"/>
      <c r="C137" s="58"/>
      <c r="D137" s="26"/>
      <c r="E137" s="58"/>
      <c r="F137" s="58"/>
      <c r="G137" s="26"/>
      <c r="H137" s="58"/>
      <c r="I137" s="58"/>
      <c r="J137" s="58"/>
      <c r="K137" s="58"/>
      <c r="L137" s="58"/>
    </row>
    <row r="138" spans="1:15" x14ac:dyDescent="0.25">
      <c r="A138" s="26"/>
      <c r="B138" s="58"/>
      <c r="C138" s="58"/>
      <c r="D138" s="26"/>
      <c r="E138" s="58"/>
      <c r="F138" s="58"/>
      <c r="G138" s="26"/>
      <c r="H138" s="58"/>
      <c r="I138" s="58"/>
      <c r="J138" s="58"/>
      <c r="K138" s="58"/>
      <c r="L138" s="58"/>
    </row>
    <row r="139" spans="1:15" x14ac:dyDescent="0.25">
      <c r="A139" s="26"/>
      <c r="B139" s="58"/>
      <c r="C139" s="58"/>
      <c r="D139" s="26"/>
      <c r="E139" s="58"/>
      <c r="F139" s="58"/>
      <c r="G139" s="26"/>
      <c r="H139" s="58"/>
      <c r="I139" s="58"/>
      <c r="J139" s="58"/>
      <c r="K139" s="58"/>
      <c r="L139" s="58"/>
    </row>
    <row r="140" spans="1:15" x14ac:dyDescent="0.25">
      <c r="A140" s="26"/>
      <c r="B140" s="58"/>
      <c r="C140" s="58"/>
      <c r="D140" s="26"/>
      <c r="E140" s="58"/>
      <c r="F140" s="58"/>
      <c r="G140" s="26"/>
      <c r="H140" s="58"/>
      <c r="I140" s="58"/>
      <c r="J140" s="58"/>
      <c r="K140" s="58"/>
      <c r="L140" s="58"/>
    </row>
    <row r="141" spans="1:15" x14ac:dyDescent="0.25">
      <c r="A141" s="26"/>
      <c r="B141" s="58"/>
      <c r="C141" s="58"/>
      <c r="D141" s="26"/>
      <c r="E141" s="58"/>
      <c r="F141" s="58"/>
      <c r="G141" s="26"/>
      <c r="H141" s="58"/>
      <c r="I141" s="58"/>
      <c r="J141" s="58"/>
      <c r="K141" s="58"/>
      <c r="L141" s="58"/>
    </row>
    <row r="142" spans="1:15" x14ac:dyDescent="0.25">
      <c r="A142" s="26"/>
      <c r="B142" s="58"/>
      <c r="C142" s="58"/>
      <c r="D142" s="26"/>
      <c r="E142" s="58"/>
      <c r="F142" s="58"/>
      <c r="G142" s="26"/>
      <c r="H142" s="58"/>
      <c r="I142" s="58"/>
      <c r="J142" s="58"/>
      <c r="K142" s="58"/>
      <c r="L142" s="58"/>
    </row>
    <row r="143" spans="1:15" x14ac:dyDescent="0.25">
      <c r="A143" s="26"/>
      <c r="B143" s="58"/>
      <c r="C143" s="58"/>
      <c r="D143" s="26"/>
      <c r="E143" s="58"/>
      <c r="F143" s="58"/>
      <c r="G143" s="26"/>
      <c r="H143" s="58"/>
      <c r="I143" s="58"/>
      <c r="J143" s="58"/>
      <c r="K143" s="58"/>
      <c r="L143" s="58"/>
    </row>
    <row r="144" spans="1:15" x14ac:dyDescent="0.25">
      <c r="A144" s="26"/>
      <c r="B144" s="58"/>
      <c r="C144" s="58"/>
      <c r="D144" s="26"/>
      <c r="E144" s="58"/>
      <c r="F144" s="58"/>
      <c r="G144" s="26"/>
      <c r="H144" s="58"/>
      <c r="I144" s="58"/>
      <c r="J144" s="58"/>
      <c r="K144" s="58"/>
      <c r="L144" s="58"/>
    </row>
    <row r="145" spans="1:12" x14ac:dyDescent="0.25">
      <c r="A145" s="26"/>
      <c r="B145" s="58"/>
      <c r="C145" s="58"/>
      <c r="D145" s="26"/>
      <c r="E145" s="58"/>
      <c r="F145" s="58"/>
      <c r="G145" s="26"/>
      <c r="H145" s="58"/>
      <c r="I145" s="58"/>
      <c r="J145" s="58"/>
      <c r="K145" s="58"/>
      <c r="L145" s="58"/>
    </row>
    <row r="146" spans="1:12" x14ac:dyDescent="0.25">
      <c r="A146" s="26"/>
      <c r="B146" s="58"/>
      <c r="C146" s="58"/>
      <c r="D146" s="26"/>
      <c r="E146" s="58"/>
      <c r="F146" s="58"/>
      <c r="G146" s="26"/>
      <c r="H146" s="58"/>
      <c r="I146" s="58"/>
      <c r="J146" s="58"/>
      <c r="K146" s="58"/>
      <c r="L146" s="58"/>
    </row>
    <row r="147" spans="1:12" x14ac:dyDescent="0.25">
      <c r="A147" s="26"/>
      <c r="B147" s="58"/>
      <c r="C147" s="58"/>
      <c r="D147" s="26"/>
      <c r="E147" s="58"/>
      <c r="F147" s="58"/>
      <c r="G147" s="26"/>
      <c r="H147" s="58"/>
      <c r="I147" s="58"/>
      <c r="J147" s="58"/>
      <c r="K147" s="58"/>
      <c r="L147" s="58"/>
    </row>
    <row r="148" spans="1:12" x14ac:dyDescent="0.25">
      <c r="A148" s="26"/>
      <c r="B148" s="58"/>
      <c r="C148" s="58"/>
      <c r="D148" s="26"/>
      <c r="E148" s="58"/>
      <c r="F148" s="58"/>
      <c r="G148" s="26"/>
      <c r="H148" s="58"/>
      <c r="I148" s="58"/>
      <c r="J148" s="58"/>
      <c r="K148" s="58"/>
      <c r="L148" s="58"/>
    </row>
    <row r="149" spans="1:12" x14ac:dyDescent="0.25">
      <c r="A149" s="26"/>
      <c r="B149" s="58"/>
      <c r="C149" s="58"/>
      <c r="D149" s="26"/>
      <c r="E149" s="58"/>
      <c r="F149" s="58"/>
      <c r="G149" s="26"/>
      <c r="H149" s="58"/>
      <c r="I149" s="58"/>
      <c r="J149" s="58"/>
      <c r="K149" s="58"/>
      <c r="L149" s="58"/>
    </row>
    <row r="150" spans="1:12" x14ac:dyDescent="0.25">
      <c r="A150" s="26"/>
      <c r="B150" s="58"/>
      <c r="C150" s="58"/>
      <c r="D150" s="26"/>
      <c r="E150" s="58"/>
      <c r="F150" s="58"/>
      <c r="G150" s="26"/>
      <c r="H150" s="58"/>
      <c r="I150" s="58"/>
      <c r="J150" s="58"/>
      <c r="K150" s="58"/>
      <c r="L150" s="58"/>
    </row>
    <row r="151" spans="1:12" x14ac:dyDescent="0.25">
      <c r="A151" s="26"/>
      <c r="B151" s="58"/>
      <c r="C151" s="58"/>
      <c r="D151" s="26"/>
      <c r="E151" s="58"/>
      <c r="F151" s="58"/>
      <c r="G151" s="26"/>
      <c r="H151" s="58"/>
      <c r="I151" s="58"/>
      <c r="J151" s="58"/>
      <c r="K151" s="58"/>
      <c r="L151" s="58"/>
    </row>
    <row r="152" spans="1:12" x14ac:dyDescent="0.25">
      <c r="A152" s="26"/>
      <c r="B152" s="58"/>
      <c r="C152" s="58"/>
      <c r="D152" s="26"/>
      <c r="E152" s="58"/>
      <c r="F152" s="58"/>
      <c r="G152" s="26"/>
      <c r="H152" s="58"/>
      <c r="I152" s="58"/>
      <c r="J152" s="58"/>
      <c r="K152" s="58"/>
      <c r="L152" s="58"/>
    </row>
    <row r="153" spans="1:12" x14ac:dyDescent="0.25">
      <c r="A153" s="26"/>
      <c r="B153" s="58"/>
      <c r="C153" s="58"/>
      <c r="D153" s="26"/>
      <c r="E153" s="58"/>
      <c r="F153" s="58"/>
      <c r="G153" s="26"/>
      <c r="H153" s="58"/>
      <c r="I153" s="58"/>
      <c r="J153" s="58"/>
      <c r="K153" s="58"/>
      <c r="L153" s="58"/>
    </row>
    <row r="154" spans="1:12" x14ac:dyDescent="0.25">
      <c r="A154" s="26"/>
      <c r="B154" s="58"/>
      <c r="C154" s="58"/>
      <c r="D154" s="26"/>
      <c r="E154" s="58"/>
      <c r="F154" s="58"/>
      <c r="G154" s="26"/>
      <c r="H154" s="58"/>
      <c r="I154" s="58"/>
      <c r="J154" s="58"/>
      <c r="K154" s="58"/>
      <c r="L154" s="58"/>
    </row>
    <row r="155" spans="1:12" x14ac:dyDescent="0.25">
      <c r="A155" s="26"/>
      <c r="B155" s="58"/>
      <c r="C155" s="58"/>
      <c r="D155" s="26"/>
      <c r="E155" s="58"/>
      <c r="F155" s="58"/>
      <c r="G155" s="26"/>
      <c r="H155" s="58"/>
      <c r="I155" s="58"/>
      <c r="J155" s="58"/>
      <c r="K155" s="58"/>
      <c r="L155" s="58"/>
    </row>
    <row r="156" spans="1:12" x14ac:dyDescent="0.25">
      <c r="A156" s="26"/>
      <c r="B156" s="58"/>
      <c r="C156" s="58"/>
      <c r="D156" s="26"/>
      <c r="E156" s="58"/>
      <c r="F156" s="58"/>
      <c r="G156" s="26"/>
      <c r="H156" s="58"/>
      <c r="I156" s="58"/>
      <c r="J156" s="58"/>
      <c r="K156" s="58"/>
      <c r="L156" s="58"/>
    </row>
    <row r="157" spans="1:12" x14ac:dyDescent="0.25">
      <c r="A157" s="26"/>
      <c r="B157" s="58"/>
      <c r="C157" s="58"/>
      <c r="D157" s="26"/>
      <c r="E157" s="58"/>
      <c r="F157" s="58"/>
      <c r="G157" s="26"/>
      <c r="H157" s="58"/>
      <c r="I157" s="58"/>
      <c r="J157" s="58"/>
      <c r="K157" s="58"/>
      <c r="L157" s="58"/>
    </row>
    <row r="158" spans="1:12" x14ac:dyDescent="0.25">
      <c r="A158" s="26"/>
      <c r="B158" s="58"/>
      <c r="C158" s="58"/>
      <c r="D158" s="26"/>
      <c r="E158" s="58"/>
      <c r="F158" s="58"/>
      <c r="G158" s="26"/>
      <c r="H158" s="58"/>
      <c r="I158" s="58"/>
      <c r="J158" s="58"/>
      <c r="K158" s="58"/>
      <c r="L158" s="58"/>
    </row>
    <row r="159" spans="1:12" x14ac:dyDescent="0.25">
      <c r="A159" s="26"/>
      <c r="B159" s="58"/>
      <c r="C159" s="58"/>
      <c r="D159" s="26"/>
      <c r="E159" s="58"/>
      <c r="F159" s="58"/>
      <c r="G159" s="26"/>
      <c r="H159" s="58"/>
      <c r="I159" s="58"/>
      <c r="J159" s="58"/>
      <c r="K159" s="58"/>
      <c r="L159" s="58"/>
    </row>
    <row r="160" spans="1:12" x14ac:dyDescent="0.25">
      <c r="A160" s="26"/>
      <c r="B160" s="58"/>
      <c r="C160" s="58"/>
      <c r="D160" s="26"/>
      <c r="E160" s="58"/>
      <c r="F160" s="58"/>
      <c r="G160" s="26"/>
      <c r="H160" s="58"/>
      <c r="I160" s="58"/>
      <c r="J160" s="58"/>
      <c r="K160" s="58"/>
      <c r="L160" s="58"/>
    </row>
    <row r="161" spans="1:12" x14ac:dyDescent="0.25">
      <c r="A161" s="26"/>
      <c r="B161" s="58"/>
      <c r="C161" s="58"/>
      <c r="D161" s="26"/>
      <c r="E161" s="58"/>
      <c r="F161" s="58"/>
      <c r="G161" s="26"/>
      <c r="H161" s="58"/>
      <c r="I161" s="58"/>
      <c r="J161" s="58"/>
      <c r="K161" s="58"/>
      <c r="L161" s="58"/>
    </row>
    <row r="162" spans="1:12" x14ac:dyDescent="0.25">
      <c r="A162" s="26"/>
      <c r="B162" s="58"/>
      <c r="C162" s="58"/>
      <c r="D162" s="26"/>
      <c r="E162" s="58"/>
      <c r="F162" s="58"/>
      <c r="G162" s="26"/>
      <c r="H162" s="58"/>
      <c r="I162" s="58"/>
      <c r="J162" s="58"/>
      <c r="K162" s="58"/>
      <c r="L162" s="58"/>
    </row>
    <row r="163" spans="1:12" x14ac:dyDescent="0.25">
      <c r="A163" s="26"/>
      <c r="B163" s="58"/>
      <c r="C163" s="58"/>
      <c r="D163" s="26"/>
      <c r="E163" s="58"/>
      <c r="F163" s="58"/>
      <c r="G163" s="26"/>
      <c r="H163" s="58"/>
      <c r="I163" s="58"/>
      <c r="J163" s="58"/>
      <c r="K163" s="58"/>
      <c r="L163" s="58"/>
    </row>
    <row r="164" spans="1:12" x14ac:dyDescent="0.25">
      <c r="A164" s="26"/>
      <c r="B164" s="58"/>
      <c r="C164" s="58"/>
      <c r="D164" s="26"/>
      <c r="E164" s="58"/>
      <c r="F164" s="58"/>
      <c r="G164" s="26"/>
      <c r="H164" s="58"/>
      <c r="I164" s="58"/>
      <c r="J164" s="58"/>
      <c r="K164" s="58"/>
      <c r="L164" s="58"/>
    </row>
    <row r="165" spans="1:12" x14ac:dyDescent="0.25">
      <c r="A165" s="26"/>
      <c r="B165" s="58"/>
      <c r="C165" s="58"/>
      <c r="D165" s="26"/>
      <c r="E165" s="58"/>
      <c r="F165" s="58"/>
      <c r="G165" s="26"/>
      <c r="H165" s="58"/>
      <c r="I165" s="58"/>
      <c r="J165" s="58"/>
      <c r="K165" s="58"/>
      <c r="L165" s="58"/>
    </row>
    <row r="166" spans="1:12" x14ac:dyDescent="0.25">
      <c r="A166" s="26"/>
      <c r="B166" s="58"/>
      <c r="C166" s="58"/>
      <c r="D166" s="26"/>
      <c r="E166" s="58"/>
      <c r="F166" s="58"/>
      <c r="G166" s="26"/>
      <c r="H166" s="58"/>
      <c r="I166" s="58"/>
      <c r="J166" s="58"/>
      <c r="K166" s="58"/>
      <c r="L166" s="58"/>
    </row>
    <row r="167" spans="1:12" x14ac:dyDescent="0.25">
      <c r="A167" s="26"/>
      <c r="B167" s="58"/>
      <c r="C167" s="58"/>
      <c r="D167" s="26"/>
      <c r="E167" s="58"/>
      <c r="F167" s="58"/>
      <c r="G167" s="26"/>
      <c r="H167" s="58"/>
      <c r="I167" s="58"/>
      <c r="J167" s="58"/>
      <c r="K167" s="58"/>
      <c r="L167" s="58"/>
    </row>
    <row r="168" spans="1:12" x14ac:dyDescent="0.25">
      <c r="A168" s="26"/>
      <c r="B168" s="58"/>
      <c r="C168" s="58"/>
      <c r="D168" s="26"/>
      <c r="E168" s="58"/>
      <c r="F168" s="58"/>
      <c r="G168" s="26"/>
      <c r="H168" s="58"/>
      <c r="I168" s="58"/>
      <c r="J168" s="58"/>
      <c r="K168" s="58"/>
      <c r="L168" s="58"/>
    </row>
    <row r="169" spans="1:12" x14ac:dyDescent="0.25">
      <c r="A169" s="26"/>
      <c r="B169" s="58"/>
      <c r="C169" s="58"/>
      <c r="D169" s="26"/>
      <c r="E169" s="58"/>
      <c r="F169" s="58"/>
      <c r="G169" s="26"/>
      <c r="H169" s="58"/>
      <c r="I169" s="58"/>
      <c r="J169" s="58"/>
      <c r="K169" s="58"/>
      <c r="L169" s="58"/>
    </row>
    <row r="170" spans="1:12" x14ac:dyDescent="0.25">
      <c r="A170" s="26"/>
      <c r="B170" s="58"/>
      <c r="C170" s="58"/>
      <c r="D170" s="26"/>
      <c r="E170" s="58"/>
      <c r="F170" s="58"/>
      <c r="G170" s="26"/>
      <c r="H170" s="58"/>
      <c r="I170" s="58"/>
      <c r="J170" s="58"/>
      <c r="K170" s="58"/>
      <c r="L170" s="58"/>
    </row>
    <row r="171" spans="1:12" x14ac:dyDescent="0.25">
      <c r="A171" s="26"/>
      <c r="B171" s="58"/>
      <c r="C171" s="58"/>
      <c r="D171" s="26"/>
      <c r="E171" s="58"/>
      <c r="F171" s="58"/>
      <c r="G171" s="26"/>
      <c r="H171" s="58"/>
      <c r="I171" s="58"/>
      <c r="J171" s="58"/>
      <c r="K171" s="58"/>
      <c r="L171" s="58"/>
    </row>
    <row r="172" spans="1:12" x14ac:dyDescent="0.25">
      <c r="A172" s="26"/>
      <c r="B172" s="58"/>
      <c r="C172" s="58"/>
      <c r="D172" s="26"/>
      <c r="E172" s="58"/>
      <c r="F172" s="58"/>
      <c r="G172" s="26"/>
      <c r="H172" s="58"/>
      <c r="I172" s="58"/>
      <c r="J172" s="58"/>
      <c r="K172" s="58"/>
      <c r="L172" s="58"/>
    </row>
    <row r="173" spans="1:12" x14ac:dyDescent="0.25">
      <c r="A173" s="26"/>
      <c r="B173" s="58"/>
      <c r="C173" s="58"/>
      <c r="D173" s="26"/>
      <c r="E173" s="58"/>
      <c r="F173" s="58"/>
      <c r="G173" s="26"/>
      <c r="H173" s="58"/>
      <c r="I173" s="58"/>
      <c r="J173" s="58"/>
      <c r="K173" s="58"/>
      <c r="L173" s="58"/>
    </row>
    <row r="174" spans="1:12" x14ac:dyDescent="0.25">
      <c r="A174" s="26"/>
      <c r="B174" s="58"/>
      <c r="C174" s="58"/>
      <c r="D174" s="26"/>
      <c r="E174" s="58"/>
      <c r="F174" s="58"/>
      <c r="G174" s="26"/>
      <c r="H174" s="58"/>
      <c r="I174" s="58"/>
      <c r="J174" s="58"/>
      <c r="K174" s="58"/>
      <c r="L174" s="58"/>
    </row>
    <row r="175" spans="1:12" x14ac:dyDescent="0.25">
      <c r="A175" s="26"/>
      <c r="B175" s="58"/>
      <c r="C175" s="58"/>
      <c r="D175" s="26"/>
      <c r="E175" s="58"/>
      <c r="F175" s="58"/>
      <c r="G175" s="26"/>
      <c r="H175" s="58"/>
      <c r="I175" s="58"/>
      <c r="J175" s="58"/>
      <c r="K175" s="58"/>
      <c r="L175" s="58"/>
    </row>
    <row r="176" spans="1:12" x14ac:dyDescent="0.25">
      <c r="A176" s="26"/>
      <c r="B176" s="58"/>
      <c r="C176" s="58"/>
      <c r="D176" s="26"/>
      <c r="E176" s="58"/>
      <c r="F176" s="58"/>
      <c r="G176" s="26"/>
      <c r="H176" s="58"/>
      <c r="I176" s="58"/>
      <c r="J176" s="58"/>
      <c r="K176" s="58"/>
      <c r="L176" s="58"/>
    </row>
    <row r="177" spans="1:15" x14ac:dyDescent="0.25">
      <c r="A177" s="26"/>
      <c r="B177" s="58"/>
      <c r="C177" s="58"/>
      <c r="D177" s="26"/>
      <c r="E177" s="58"/>
      <c r="F177" s="58"/>
      <c r="G177" s="26"/>
      <c r="H177" s="58"/>
      <c r="I177" s="58"/>
      <c r="J177" s="58"/>
      <c r="K177" s="58"/>
      <c r="L177" s="58"/>
    </row>
    <row r="178" spans="1:15" x14ac:dyDescent="0.25">
      <c r="A178" s="26"/>
      <c r="B178" s="58"/>
      <c r="C178" s="58"/>
      <c r="D178" s="26"/>
      <c r="E178" s="58"/>
      <c r="F178" s="58"/>
      <c r="G178" s="26"/>
      <c r="H178" s="58"/>
      <c r="I178" s="58"/>
      <c r="J178" s="58"/>
      <c r="K178" s="58"/>
      <c r="L178" s="58"/>
    </row>
    <row r="179" spans="1:15" x14ac:dyDescent="0.25">
      <c r="A179" s="26"/>
      <c r="B179" s="58"/>
      <c r="C179" s="58"/>
      <c r="D179" s="26"/>
      <c r="E179" s="58"/>
      <c r="F179" s="58"/>
      <c r="G179" s="26"/>
      <c r="H179" s="58"/>
      <c r="I179" s="58"/>
      <c r="J179" s="58"/>
      <c r="K179" s="58"/>
      <c r="L179" s="58"/>
    </row>
    <row r="180" spans="1:15" x14ac:dyDescent="0.25">
      <c r="A180" s="26"/>
      <c r="B180" s="58"/>
      <c r="C180" s="58"/>
      <c r="D180" s="26"/>
      <c r="E180" s="58"/>
      <c r="F180" s="58"/>
      <c r="G180" s="26"/>
      <c r="H180" s="58"/>
      <c r="I180" s="58"/>
      <c r="J180" s="58"/>
      <c r="K180" s="58"/>
      <c r="L180" s="58"/>
    </row>
    <row r="181" spans="1:15" x14ac:dyDescent="0.25">
      <c r="A181" s="26"/>
      <c r="B181" s="58"/>
      <c r="C181" s="58"/>
      <c r="D181" s="26"/>
      <c r="E181" s="58"/>
      <c r="F181" s="58"/>
      <c r="G181" s="26"/>
      <c r="H181" s="58"/>
      <c r="I181" s="58"/>
      <c r="J181" s="58"/>
      <c r="K181" s="58"/>
      <c r="L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36"/>
  <sheetViews>
    <sheetView topLeftCell="C5" workbookViewId="0">
      <pane ySplit="3" topLeftCell="A8" activePane="bottomLeft" state="frozen"/>
      <selection activeCell="A5" sqref="A5"/>
      <selection pane="bottomLeft" activeCell="L14" sqref="L1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855468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6" t="s">
        <v>6</v>
      </c>
      <c r="K5" s="136"/>
      <c r="L5" s="136"/>
      <c r="M5" s="124" t="s">
        <v>12</v>
      </c>
      <c r="N5" s="124"/>
      <c r="O5" s="124"/>
      <c r="Q5" s="133" t="s">
        <v>13</v>
      </c>
      <c r="R5" s="133"/>
    </row>
    <row r="6" spans="1:18" x14ac:dyDescent="0.25">
      <c r="A6" s="8">
        <f>SUBTOTAL(3,A9:A122)</f>
        <v>53</v>
      </c>
      <c r="B6" s="8">
        <f>SUBTOTAL(9,B8:B122)</f>
        <v>22150</v>
      </c>
      <c r="C6" s="35">
        <v>43681</v>
      </c>
      <c r="D6" s="8">
        <f>SUBTOTAL(3,D8:D120)</f>
        <v>47</v>
      </c>
      <c r="E6" s="1">
        <f>SUBTOTAL(9,E8:E120)</f>
        <v>26900</v>
      </c>
      <c r="F6" s="38">
        <v>43688</v>
      </c>
      <c r="G6" s="8">
        <f>SUBTOTAL(3,G8:G121)</f>
        <v>41</v>
      </c>
      <c r="H6" s="1">
        <f>SUBTOTAL(9,H8:H121)</f>
        <v>25400</v>
      </c>
      <c r="I6" s="39">
        <v>43695</v>
      </c>
      <c r="J6" s="8">
        <f>SUBTOTAL(3,J8:J111)</f>
        <v>44</v>
      </c>
      <c r="K6" s="1">
        <f>SUBTOTAL(9,K8:K111)</f>
        <v>18980</v>
      </c>
      <c r="L6" s="63">
        <v>43702</v>
      </c>
      <c r="M6" s="1">
        <f>SUBTOTAL(3,M8:M120)</f>
        <v>4</v>
      </c>
      <c r="N6" s="1">
        <f>SUBTOTAL(9,N8:N120)</f>
        <v>2300</v>
      </c>
      <c r="O6" s="85"/>
      <c r="Q6" s="30">
        <f>+A6+D6+G6+J6+M6</f>
        <v>189</v>
      </c>
      <c r="R6" s="29">
        <f>+B6+E6+H6+K6+N6</f>
        <v>95730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17">
        <v>19407</v>
      </c>
      <c r="B8" s="49">
        <v>600</v>
      </c>
      <c r="C8" s="118" t="s">
        <v>418</v>
      </c>
      <c r="D8" s="13">
        <v>19461</v>
      </c>
      <c r="E8" s="70">
        <v>600</v>
      </c>
      <c r="F8" s="14" t="s">
        <v>316</v>
      </c>
      <c r="G8" s="11">
        <v>19508</v>
      </c>
      <c r="H8" s="67">
        <v>600</v>
      </c>
      <c r="I8" s="12" t="s">
        <v>434</v>
      </c>
      <c r="J8" s="61">
        <v>19549</v>
      </c>
      <c r="K8" s="71">
        <v>200</v>
      </c>
      <c r="L8" s="62" t="s">
        <v>34</v>
      </c>
      <c r="M8" s="75">
        <v>19589</v>
      </c>
      <c r="N8" s="73">
        <v>400</v>
      </c>
      <c r="O8" s="15"/>
      <c r="Q8" s="32"/>
      <c r="R8" s="32"/>
    </row>
    <row r="9" spans="1:18" x14ac:dyDescent="0.25">
      <c r="A9" s="16"/>
      <c r="B9" s="49"/>
      <c r="C9" s="17" t="s">
        <v>14</v>
      </c>
      <c r="D9" s="13">
        <v>19462</v>
      </c>
      <c r="E9" s="70">
        <v>200</v>
      </c>
      <c r="F9" s="14" t="s">
        <v>423</v>
      </c>
      <c r="G9" s="11"/>
      <c r="H9" s="67"/>
      <c r="I9" s="12" t="s">
        <v>14</v>
      </c>
      <c r="J9" s="61">
        <v>19550</v>
      </c>
      <c r="K9" s="71">
        <v>200</v>
      </c>
      <c r="L9" s="62" t="s">
        <v>34</v>
      </c>
      <c r="M9" s="75">
        <v>19590</v>
      </c>
      <c r="N9" s="73">
        <v>200</v>
      </c>
      <c r="O9" s="15" t="s">
        <v>456</v>
      </c>
    </row>
    <row r="10" spans="1:18" x14ac:dyDescent="0.25">
      <c r="A10" s="16">
        <v>19408</v>
      </c>
      <c r="B10" s="49">
        <v>400</v>
      </c>
      <c r="C10" s="17" t="s">
        <v>419</v>
      </c>
      <c r="D10" s="13">
        <v>19463</v>
      </c>
      <c r="E10" s="70">
        <v>100</v>
      </c>
      <c r="F10" s="14"/>
      <c r="G10" s="11">
        <v>19509</v>
      </c>
      <c r="H10" s="67"/>
      <c r="I10" s="12" t="s">
        <v>59</v>
      </c>
      <c r="J10" s="61">
        <v>19551</v>
      </c>
      <c r="K10" s="71">
        <v>350</v>
      </c>
      <c r="L10" s="62"/>
      <c r="M10" s="75">
        <v>19591</v>
      </c>
      <c r="N10" s="73">
        <v>500</v>
      </c>
      <c r="O10" s="15" t="s">
        <v>457</v>
      </c>
    </row>
    <row r="11" spans="1:18" x14ac:dyDescent="0.25">
      <c r="A11" s="16">
        <v>19409</v>
      </c>
      <c r="B11" s="49">
        <v>350</v>
      </c>
      <c r="C11" s="17" t="s">
        <v>316</v>
      </c>
      <c r="D11" s="13">
        <v>19464</v>
      </c>
      <c r="E11" s="70">
        <v>800</v>
      </c>
      <c r="F11" s="14" t="s">
        <v>315</v>
      </c>
      <c r="G11" s="11">
        <v>19510</v>
      </c>
      <c r="H11" s="67">
        <v>50</v>
      </c>
      <c r="I11" s="12" t="s">
        <v>435</v>
      </c>
      <c r="J11" s="61">
        <v>19552</v>
      </c>
      <c r="K11" s="71">
        <v>80</v>
      </c>
      <c r="L11" s="62" t="s">
        <v>88</v>
      </c>
      <c r="M11" s="75"/>
      <c r="N11" s="73"/>
      <c r="O11" s="15" t="s">
        <v>458</v>
      </c>
    </row>
    <row r="12" spans="1:18" x14ac:dyDescent="0.25">
      <c r="A12" s="16">
        <v>19410</v>
      </c>
      <c r="B12" s="49">
        <v>400</v>
      </c>
      <c r="C12" s="17" t="s">
        <v>315</v>
      </c>
      <c r="D12" s="13"/>
      <c r="E12" s="70"/>
      <c r="F12" s="14" t="s">
        <v>15</v>
      </c>
      <c r="G12" s="11">
        <v>19511</v>
      </c>
      <c r="H12" s="67">
        <v>1000</v>
      </c>
      <c r="I12" s="12" t="s">
        <v>436</v>
      </c>
      <c r="J12" s="61">
        <v>19553</v>
      </c>
      <c r="K12" s="71">
        <v>300</v>
      </c>
      <c r="L12" s="62" t="s">
        <v>315</v>
      </c>
      <c r="M12" s="75">
        <v>19644</v>
      </c>
      <c r="N12" s="73">
        <v>1200</v>
      </c>
      <c r="O12" s="15" t="s">
        <v>353</v>
      </c>
    </row>
    <row r="13" spans="1:18" x14ac:dyDescent="0.25">
      <c r="A13" s="16"/>
      <c r="B13" s="49"/>
      <c r="C13" s="17" t="s">
        <v>14</v>
      </c>
      <c r="D13" s="13">
        <v>19465</v>
      </c>
      <c r="E13" s="70">
        <v>400</v>
      </c>
      <c r="F13" s="14" t="s">
        <v>315</v>
      </c>
      <c r="G13" s="11"/>
      <c r="H13" s="67"/>
      <c r="I13" s="12" t="s">
        <v>14</v>
      </c>
      <c r="J13" s="61"/>
      <c r="K13" s="71"/>
      <c r="L13" s="62" t="s">
        <v>57</v>
      </c>
      <c r="M13" s="75"/>
      <c r="N13" s="73"/>
      <c r="O13" s="15" t="s">
        <v>15</v>
      </c>
    </row>
    <row r="14" spans="1:18" x14ac:dyDescent="0.25">
      <c r="A14" s="16">
        <v>19411</v>
      </c>
      <c r="B14" s="49">
        <v>400</v>
      </c>
      <c r="C14" s="17"/>
      <c r="D14" s="13"/>
      <c r="E14" s="70"/>
      <c r="F14" s="14" t="s">
        <v>14</v>
      </c>
      <c r="G14" s="11">
        <v>19512</v>
      </c>
      <c r="H14" s="67">
        <v>1200</v>
      </c>
      <c r="I14" s="12" t="s">
        <v>353</v>
      </c>
      <c r="J14" s="61">
        <v>19554</v>
      </c>
      <c r="K14" s="71">
        <v>400</v>
      </c>
      <c r="L14" s="62" t="s">
        <v>451</v>
      </c>
      <c r="M14" s="75"/>
      <c r="N14" s="73"/>
      <c r="O14" s="31"/>
    </row>
    <row r="15" spans="1:18" x14ac:dyDescent="0.25">
      <c r="A15" s="16">
        <v>19412</v>
      </c>
      <c r="B15" s="49">
        <v>200</v>
      </c>
      <c r="C15" s="17"/>
      <c r="D15" s="13">
        <v>19466</v>
      </c>
      <c r="E15" s="70">
        <v>200</v>
      </c>
      <c r="F15" s="14"/>
      <c r="G15" s="11"/>
      <c r="H15" s="67"/>
      <c r="I15" s="12" t="s">
        <v>15</v>
      </c>
      <c r="J15" s="61">
        <v>19555</v>
      </c>
      <c r="K15" s="71">
        <v>800</v>
      </c>
      <c r="L15" s="62" t="s">
        <v>273</v>
      </c>
      <c r="M15" s="75"/>
      <c r="N15" s="73"/>
      <c r="O15" s="15"/>
    </row>
    <row r="16" spans="1:18" x14ac:dyDescent="0.25">
      <c r="A16" s="16">
        <v>19413</v>
      </c>
      <c r="B16" s="49">
        <v>400</v>
      </c>
      <c r="C16" s="17" t="s">
        <v>315</v>
      </c>
      <c r="D16" s="13">
        <v>19467</v>
      </c>
      <c r="E16" s="70">
        <v>1400</v>
      </c>
      <c r="F16" s="14" t="s">
        <v>396</v>
      </c>
      <c r="G16" s="11">
        <v>19513</v>
      </c>
      <c r="H16" s="67"/>
      <c r="I16" s="12" t="s">
        <v>59</v>
      </c>
      <c r="J16" s="61"/>
      <c r="K16" s="71"/>
      <c r="L16" s="62" t="s">
        <v>15</v>
      </c>
      <c r="M16" s="75"/>
      <c r="N16" s="73"/>
      <c r="O16" s="15"/>
    </row>
    <row r="17" spans="1:15" x14ac:dyDescent="0.25">
      <c r="A17" s="16"/>
      <c r="B17" s="49"/>
      <c r="C17" s="17" t="s">
        <v>14</v>
      </c>
      <c r="D17" s="13"/>
      <c r="E17" s="70"/>
      <c r="F17" s="14" t="s">
        <v>424</v>
      </c>
      <c r="G17" s="11">
        <v>19514</v>
      </c>
      <c r="H17" s="67">
        <v>650</v>
      </c>
      <c r="I17" s="12" t="s">
        <v>437</v>
      </c>
      <c r="J17" s="61">
        <v>19556</v>
      </c>
      <c r="K17" s="71">
        <v>900</v>
      </c>
      <c r="L17" s="62" t="s">
        <v>353</v>
      </c>
      <c r="M17" s="75"/>
      <c r="N17" s="73"/>
      <c r="O17" s="15"/>
    </row>
    <row r="18" spans="1:15" x14ac:dyDescent="0.25">
      <c r="A18" s="16">
        <v>19414</v>
      </c>
      <c r="B18" s="49">
        <v>350</v>
      </c>
      <c r="C18" s="17"/>
      <c r="D18" s="13">
        <v>19468</v>
      </c>
      <c r="E18" s="70">
        <v>400</v>
      </c>
      <c r="F18" s="33"/>
      <c r="G18" s="11"/>
      <c r="H18" s="67"/>
      <c r="I18" s="12" t="s">
        <v>438</v>
      </c>
      <c r="J18" s="61"/>
      <c r="K18" s="71"/>
      <c r="L18" s="62" t="s">
        <v>16</v>
      </c>
      <c r="M18" s="75"/>
      <c r="N18" s="73"/>
      <c r="O18" s="15"/>
    </row>
    <row r="19" spans="1:15" x14ac:dyDescent="0.25">
      <c r="A19" s="16">
        <v>19415</v>
      </c>
      <c r="B19" s="49">
        <v>400</v>
      </c>
      <c r="C19" s="17"/>
      <c r="D19" s="13">
        <v>19469</v>
      </c>
      <c r="E19" s="70">
        <v>400</v>
      </c>
      <c r="F19" s="14"/>
      <c r="G19" s="11">
        <v>19515</v>
      </c>
      <c r="H19" s="67">
        <v>400</v>
      </c>
      <c r="I19" s="12"/>
      <c r="J19" s="61">
        <v>19557</v>
      </c>
      <c r="K19" s="71">
        <v>800</v>
      </c>
      <c r="L19" s="62" t="s">
        <v>328</v>
      </c>
      <c r="M19" s="75"/>
      <c r="N19" s="73"/>
      <c r="O19" s="15"/>
    </row>
    <row r="20" spans="1:15" x14ac:dyDescent="0.25">
      <c r="A20" s="16">
        <v>19416</v>
      </c>
      <c r="B20" s="49">
        <v>350</v>
      </c>
      <c r="C20" s="17"/>
      <c r="D20" s="13">
        <v>19470</v>
      </c>
      <c r="E20" s="70">
        <v>400</v>
      </c>
      <c r="F20" s="14"/>
      <c r="G20" s="11">
        <v>19516</v>
      </c>
      <c r="H20" s="67">
        <v>300</v>
      </c>
      <c r="I20" s="12" t="s">
        <v>316</v>
      </c>
      <c r="J20" s="61"/>
      <c r="K20" s="71"/>
      <c r="L20" s="62" t="s">
        <v>15</v>
      </c>
      <c r="M20" s="75"/>
      <c r="N20" s="73"/>
      <c r="O20" s="15"/>
    </row>
    <row r="21" spans="1:15" x14ac:dyDescent="0.25">
      <c r="A21" s="16">
        <v>19417</v>
      </c>
      <c r="B21" s="49">
        <v>300</v>
      </c>
      <c r="C21" s="17"/>
      <c r="D21" s="13">
        <v>19471</v>
      </c>
      <c r="E21" s="70">
        <v>2000</v>
      </c>
      <c r="F21" s="14" t="s">
        <v>425</v>
      </c>
      <c r="G21" s="11">
        <v>19517</v>
      </c>
      <c r="H21" s="67">
        <v>600</v>
      </c>
      <c r="I21" s="12" t="s">
        <v>439</v>
      </c>
      <c r="J21" s="61">
        <v>19558</v>
      </c>
      <c r="K21" s="71">
        <v>150</v>
      </c>
      <c r="L21" s="62" t="s">
        <v>452</v>
      </c>
      <c r="M21" s="75"/>
      <c r="N21" s="73"/>
      <c r="O21" s="15"/>
    </row>
    <row r="22" spans="1:15" x14ac:dyDescent="0.25">
      <c r="A22" s="16">
        <v>19418</v>
      </c>
      <c r="B22" s="49">
        <v>400</v>
      </c>
      <c r="C22" s="17"/>
      <c r="D22" s="13"/>
      <c r="E22" s="70"/>
      <c r="F22" s="14" t="s">
        <v>426</v>
      </c>
      <c r="G22" s="11"/>
      <c r="H22" s="67"/>
      <c r="I22" s="100" t="s">
        <v>16</v>
      </c>
      <c r="J22" s="61">
        <v>19558</v>
      </c>
      <c r="K22" s="71">
        <v>150</v>
      </c>
      <c r="L22" s="62" t="s">
        <v>452</v>
      </c>
      <c r="M22" s="75"/>
      <c r="N22" s="73"/>
      <c r="O22" s="15"/>
    </row>
    <row r="23" spans="1:15" x14ac:dyDescent="0.25">
      <c r="A23" s="16">
        <v>19419</v>
      </c>
      <c r="B23" s="49">
        <v>400</v>
      </c>
      <c r="C23" s="17"/>
      <c r="D23" s="13">
        <v>19472</v>
      </c>
      <c r="E23" s="70">
        <v>400</v>
      </c>
      <c r="F23" s="14" t="s">
        <v>315</v>
      </c>
      <c r="G23" s="11">
        <v>19518</v>
      </c>
      <c r="H23" s="67">
        <v>300</v>
      </c>
      <c r="I23" s="12"/>
      <c r="J23" s="61">
        <v>19558</v>
      </c>
      <c r="K23" s="71">
        <v>150</v>
      </c>
      <c r="L23" s="62" t="s">
        <v>452</v>
      </c>
      <c r="M23" s="75"/>
      <c r="N23" s="73"/>
      <c r="O23" s="15"/>
    </row>
    <row r="24" spans="1:15" x14ac:dyDescent="0.25">
      <c r="A24" s="16">
        <v>19420</v>
      </c>
      <c r="B24" s="49">
        <v>400</v>
      </c>
      <c r="C24" s="17"/>
      <c r="D24" s="13"/>
      <c r="E24" s="70"/>
      <c r="F24" s="14" t="s">
        <v>14</v>
      </c>
      <c r="G24" s="11">
        <v>19519</v>
      </c>
      <c r="H24" s="67">
        <v>800</v>
      </c>
      <c r="I24" s="12" t="s">
        <v>439</v>
      </c>
      <c r="J24" s="61">
        <v>19559</v>
      </c>
      <c r="K24" s="71">
        <v>1200</v>
      </c>
      <c r="L24" s="62" t="s">
        <v>353</v>
      </c>
      <c r="M24" s="15"/>
      <c r="N24" s="73"/>
      <c r="O24" s="15"/>
    </row>
    <row r="25" spans="1:15" x14ac:dyDescent="0.25">
      <c r="A25" s="16">
        <v>19421</v>
      </c>
      <c r="B25" s="49">
        <v>400</v>
      </c>
      <c r="C25" s="17" t="s">
        <v>316</v>
      </c>
      <c r="D25" s="13">
        <v>19473</v>
      </c>
      <c r="E25" s="70">
        <v>400</v>
      </c>
      <c r="F25" s="14"/>
      <c r="G25" s="11"/>
      <c r="H25" s="67"/>
      <c r="I25" s="12" t="s">
        <v>15</v>
      </c>
      <c r="J25" s="61"/>
      <c r="K25" s="71"/>
      <c r="L25" s="62" t="s">
        <v>15</v>
      </c>
      <c r="M25" s="15"/>
      <c r="N25" s="73"/>
      <c r="O25" s="15"/>
    </row>
    <row r="26" spans="1:15" x14ac:dyDescent="0.25">
      <c r="A26" s="16">
        <v>19422</v>
      </c>
      <c r="B26" s="49">
        <v>400</v>
      </c>
      <c r="C26" s="17" t="s">
        <v>420</v>
      </c>
      <c r="D26" s="13">
        <v>19474</v>
      </c>
      <c r="E26" s="70">
        <v>400</v>
      </c>
      <c r="F26" s="14"/>
      <c r="G26" s="11">
        <v>19520</v>
      </c>
      <c r="H26" s="67">
        <v>300</v>
      </c>
      <c r="I26" s="12"/>
      <c r="J26" s="61">
        <v>19560</v>
      </c>
      <c r="K26" s="71">
        <v>50</v>
      </c>
      <c r="L26" s="62" t="s">
        <v>75</v>
      </c>
      <c r="M26" s="15"/>
      <c r="N26" s="73"/>
      <c r="O26" s="15"/>
    </row>
    <row r="27" spans="1:15" x14ac:dyDescent="0.25">
      <c r="A27" s="16">
        <v>19423</v>
      </c>
      <c r="B27" s="49">
        <v>200</v>
      </c>
      <c r="C27" s="17" t="s">
        <v>34</v>
      </c>
      <c r="D27" s="13">
        <v>19475</v>
      </c>
      <c r="E27" s="70">
        <v>600</v>
      </c>
      <c r="F27" s="69" t="s">
        <v>315</v>
      </c>
      <c r="G27" s="11">
        <v>19521</v>
      </c>
      <c r="H27" s="67">
        <v>600</v>
      </c>
      <c r="I27" s="12" t="s">
        <v>440</v>
      </c>
      <c r="J27" s="61">
        <v>19561</v>
      </c>
      <c r="K27" s="71">
        <v>650</v>
      </c>
      <c r="L27" s="62" t="s">
        <v>422</v>
      </c>
      <c r="M27" s="15"/>
      <c r="N27" s="73"/>
      <c r="O27" s="31"/>
    </row>
    <row r="28" spans="1:15" x14ac:dyDescent="0.25">
      <c r="A28" s="16">
        <v>19424</v>
      </c>
      <c r="B28" s="49">
        <v>150</v>
      </c>
      <c r="C28" s="17"/>
      <c r="D28" s="13"/>
      <c r="E28" s="70"/>
      <c r="F28" s="14" t="s">
        <v>16</v>
      </c>
      <c r="G28" s="11">
        <v>19522</v>
      </c>
      <c r="H28" s="67">
        <v>600</v>
      </c>
      <c r="I28" s="100" t="s">
        <v>441</v>
      </c>
      <c r="J28" s="61"/>
      <c r="K28" s="71"/>
      <c r="L28" s="62" t="s">
        <v>416</v>
      </c>
      <c r="M28" s="15"/>
      <c r="N28" s="73"/>
      <c r="O28" s="15"/>
    </row>
    <row r="29" spans="1:15" x14ac:dyDescent="0.25">
      <c r="A29" s="16">
        <v>19425</v>
      </c>
      <c r="B29" s="49">
        <v>400</v>
      </c>
      <c r="C29" s="17"/>
      <c r="D29" s="13">
        <v>19476</v>
      </c>
      <c r="E29" s="70">
        <v>400</v>
      </c>
      <c r="F29" s="14" t="s">
        <v>316</v>
      </c>
      <c r="G29" s="11"/>
      <c r="H29" s="67"/>
      <c r="I29" s="12" t="s">
        <v>14</v>
      </c>
      <c r="J29" s="61">
        <v>19562</v>
      </c>
      <c r="K29" s="71">
        <v>50</v>
      </c>
      <c r="L29" s="62" t="s">
        <v>75</v>
      </c>
      <c r="M29" s="15"/>
      <c r="N29" s="73"/>
      <c r="O29" s="15"/>
    </row>
    <row r="30" spans="1:15" x14ac:dyDescent="0.25">
      <c r="A30" s="16">
        <v>19426</v>
      </c>
      <c r="B30" s="49">
        <v>1200</v>
      </c>
      <c r="C30" s="17" t="s">
        <v>274</v>
      </c>
      <c r="D30" s="13">
        <v>19477</v>
      </c>
      <c r="E30" s="70">
        <v>300</v>
      </c>
      <c r="F30" s="14" t="s">
        <v>316</v>
      </c>
      <c r="G30" s="11">
        <v>19523</v>
      </c>
      <c r="H30" s="67">
        <v>400</v>
      </c>
      <c r="I30" s="12"/>
      <c r="J30" s="61">
        <v>19563</v>
      </c>
      <c r="K30" s="71">
        <v>400</v>
      </c>
      <c r="L30" s="62"/>
      <c r="M30" s="15"/>
      <c r="N30" s="73"/>
      <c r="O30" s="15"/>
    </row>
    <row r="31" spans="1:15" x14ac:dyDescent="0.25">
      <c r="A31" s="16"/>
      <c r="B31" s="49"/>
      <c r="C31" s="17" t="s">
        <v>16</v>
      </c>
      <c r="D31" s="13">
        <v>19478</v>
      </c>
      <c r="E31" s="70">
        <v>400</v>
      </c>
      <c r="F31" s="14" t="s">
        <v>315</v>
      </c>
      <c r="G31" s="11">
        <v>19524</v>
      </c>
      <c r="H31" s="67">
        <v>400</v>
      </c>
      <c r="I31" s="12"/>
      <c r="J31" s="61">
        <v>19564</v>
      </c>
      <c r="K31" s="71">
        <v>200</v>
      </c>
      <c r="L31" s="62" t="s">
        <v>34</v>
      </c>
      <c r="M31" s="15"/>
      <c r="N31" s="73"/>
      <c r="O31" s="15"/>
    </row>
    <row r="32" spans="1:15" x14ac:dyDescent="0.25">
      <c r="A32" s="16">
        <v>19427</v>
      </c>
      <c r="B32" s="49">
        <v>1200</v>
      </c>
      <c r="C32" s="17" t="s">
        <v>396</v>
      </c>
      <c r="D32" s="13"/>
      <c r="E32" s="70"/>
      <c r="F32" s="14" t="s">
        <v>14</v>
      </c>
      <c r="G32" s="11">
        <v>19525</v>
      </c>
      <c r="H32" s="67">
        <v>400</v>
      </c>
      <c r="I32" s="12" t="s">
        <v>442</v>
      </c>
      <c r="J32" s="61">
        <v>19565</v>
      </c>
      <c r="K32" s="71">
        <v>50</v>
      </c>
      <c r="L32" s="62" t="s">
        <v>75</v>
      </c>
      <c r="M32" s="15"/>
      <c r="N32" s="73"/>
      <c r="O32" s="15"/>
    </row>
    <row r="33" spans="1:15" x14ac:dyDescent="0.25">
      <c r="A33" s="16"/>
      <c r="B33" s="49"/>
      <c r="C33" s="17" t="s">
        <v>15</v>
      </c>
      <c r="D33" s="13">
        <v>19479</v>
      </c>
      <c r="E33" s="70">
        <v>400</v>
      </c>
      <c r="F33" s="14" t="s">
        <v>316</v>
      </c>
      <c r="G33" s="11">
        <v>19526</v>
      </c>
      <c r="H33" s="67">
        <v>600</v>
      </c>
      <c r="I33" s="12" t="s">
        <v>353</v>
      </c>
      <c r="J33" s="61">
        <v>19566</v>
      </c>
      <c r="K33" s="71">
        <v>400</v>
      </c>
      <c r="L33" s="62"/>
      <c r="M33" s="15"/>
      <c r="N33" s="73"/>
      <c r="O33" s="15"/>
    </row>
    <row r="34" spans="1:15" x14ac:dyDescent="0.25">
      <c r="A34" s="16">
        <v>19428</v>
      </c>
      <c r="B34" s="49">
        <v>200</v>
      </c>
      <c r="C34" s="17"/>
      <c r="D34" s="13">
        <v>19480</v>
      </c>
      <c r="E34" s="70">
        <v>400</v>
      </c>
      <c r="F34" s="14"/>
      <c r="G34" s="11"/>
      <c r="H34" s="67"/>
      <c r="I34" s="12" t="s">
        <v>14</v>
      </c>
      <c r="J34" s="61">
        <v>19567</v>
      </c>
      <c r="K34" s="71">
        <v>800</v>
      </c>
      <c r="L34" s="62" t="s">
        <v>453</v>
      </c>
      <c r="M34" s="15"/>
      <c r="N34" s="73"/>
      <c r="O34" s="31"/>
    </row>
    <row r="35" spans="1:15" x14ac:dyDescent="0.25">
      <c r="A35" s="16">
        <v>19429</v>
      </c>
      <c r="B35" s="49">
        <v>400</v>
      </c>
      <c r="C35" s="17"/>
      <c r="D35" s="13">
        <v>19481</v>
      </c>
      <c r="E35" s="70">
        <v>400</v>
      </c>
      <c r="F35" s="14"/>
      <c r="G35" s="11">
        <v>19527</v>
      </c>
      <c r="H35" s="67">
        <v>200</v>
      </c>
      <c r="I35" s="12" t="s">
        <v>316</v>
      </c>
      <c r="J35" s="61"/>
      <c r="K35" s="71"/>
      <c r="L35" s="62" t="s">
        <v>15</v>
      </c>
      <c r="M35" s="15"/>
      <c r="N35" s="73"/>
      <c r="O35" s="15"/>
    </row>
    <row r="36" spans="1:15" x14ac:dyDescent="0.25">
      <c r="A36" s="16">
        <v>19430</v>
      </c>
      <c r="B36" s="49">
        <v>400</v>
      </c>
      <c r="C36" s="17"/>
      <c r="D36" s="13">
        <v>19482</v>
      </c>
      <c r="E36" s="70">
        <v>400</v>
      </c>
      <c r="F36" s="14"/>
      <c r="G36" s="11">
        <v>19528</v>
      </c>
      <c r="H36" s="67">
        <v>200</v>
      </c>
      <c r="I36" s="12" t="s">
        <v>302</v>
      </c>
      <c r="J36" s="61">
        <v>19568</v>
      </c>
      <c r="K36" s="71">
        <v>1200</v>
      </c>
      <c r="L36" s="62" t="s">
        <v>454</v>
      </c>
      <c r="M36" s="15"/>
      <c r="N36" s="73"/>
      <c r="O36" s="15"/>
    </row>
    <row r="37" spans="1:15" x14ac:dyDescent="0.25">
      <c r="A37" s="16">
        <v>19431</v>
      </c>
      <c r="B37" s="49">
        <v>400</v>
      </c>
      <c r="C37" s="17"/>
      <c r="D37" s="13">
        <v>19483</v>
      </c>
      <c r="E37" s="70">
        <v>250</v>
      </c>
      <c r="F37" s="14"/>
      <c r="G37" s="11">
        <v>19529</v>
      </c>
      <c r="H37" s="67">
        <v>900</v>
      </c>
      <c r="I37" s="12" t="s">
        <v>443</v>
      </c>
      <c r="J37" s="61"/>
      <c r="K37" s="71"/>
      <c r="L37" s="62" t="s">
        <v>14</v>
      </c>
      <c r="M37" s="15"/>
      <c r="N37" s="73"/>
      <c r="O37" s="15"/>
    </row>
    <row r="38" spans="1:15" x14ac:dyDescent="0.25">
      <c r="A38" s="16">
        <v>19432</v>
      </c>
      <c r="B38" s="49">
        <v>200</v>
      </c>
      <c r="C38" s="17"/>
      <c r="D38" s="13">
        <v>19484</v>
      </c>
      <c r="E38" s="70">
        <v>400</v>
      </c>
      <c r="F38" s="14" t="s">
        <v>315</v>
      </c>
      <c r="G38" s="11"/>
      <c r="H38" s="67"/>
      <c r="I38" s="12" t="s">
        <v>16</v>
      </c>
      <c r="J38" s="61">
        <v>19569</v>
      </c>
      <c r="K38" s="71">
        <v>300</v>
      </c>
      <c r="L38" s="62"/>
      <c r="M38" s="15"/>
      <c r="N38" s="73"/>
      <c r="O38" s="15"/>
    </row>
    <row r="39" spans="1:15" x14ac:dyDescent="0.25">
      <c r="A39" s="16">
        <v>19433</v>
      </c>
      <c r="B39" s="49">
        <v>400</v>
      </c>
      <c r="C39" s="17"/>
      <c r="D39" s="13"/>
      <c r="E39" s="70"/>
      <c r="F39" s="14" t="s">
        <v>14</v>
      </c>
      <c r="G39" s="11">
        <v>19530</v>
      </c>
      <c r="H39" s="67">
        <v>1600</v>
      </c>
      <c r="I39" s="12" t="s">
        <v>444</v>
      </c>
      <c r="J39" s="61">
        <v>19570</v>
      </c>
      <c r="K39" s="71">
        <v>200</v>
      </c>
      <c r="L39" s="62" t="s">
        <v>34</v>
      </c>
      <c r="M39" s="15"/>
      <c r="N39" s="73"/>
      <c r="O39" s="15"/>
    </row>
    <row r="40" spans="1:15" x14ac:dyDescent="0.25">
      <c r="A40" s="16">
        <v>19434</v>
      </c>
      <c r="B40" s="49"/>
      <c r="C40" s="17" t="s">
        <v>59</v>
      </c>
      <c r="D40" s="13">
        <v>19485</v>
      </c>
      <c r="E40" s="70">
        <v>600</v>
      </c>
      <c r="F40" s="14" t="s">
        <v>396</v>
      </c>
      <c r="G40" s="11"/>
      <c r="H40" s="67"/>
      <c r="I40" s="12" t="s">
        <v>15</v>
      </c>
      <c r="J40" s="61">
        <v>19571</v>
      </c>
      <c r="K40" s="71">
        <v>150</v>
      </c>
      <c r="L40" s="62"/>
      <c r="M40" s="15"/>
      <c r="N40" s="73"/>
      <c r="O40" s="15"/>
    </row>
    <row r="41" spans="1:15" x14ac:dyDescent="0.25">
      <c r="A41" s="16">
        <v>19435</v>
      </c>
      <c r="B41" s="49">
        <v>400</v>
      </c>
      <c r="C41" s="17"/>
      <c r="D41" s="13"/>
      <c r="E41" s="70"/>
      <c r="F41" s="14" t="s">
        <v>14</v>
      </c>
      <c r="G41" s="11">
        <v>19531</v>
      </c>
      <c r="H41" s="67">
        <v>200</v>
      </c>
      <c r="I41" s="12" t="s">
        <v>34</v>
      </c>
      <c r="J41" s="61">
        <v>19571</v>
      </c>
      <c r="K41" s="71">
        <v>150</v>
      </c>
      <c r="L41" s="62"/>
      <c r="M41" s="15"/>
      <c r="N41" s="73"/>
      <c r="O41" s="15"/>
    </row>
    <row r="42" spans="1:15" x14ac:dyDescent="0.25">
      <c r="A42" s="16">
        <v>19436</v>
      </c>
      <c r="B42" s="49">
        <v>900</v>
      </c>
      <c r="C42" s="17" t="s">
        <v>353</v>
      </c>
      <c r="D42" s="13">
        <v>19486</v>
      </c>
      <c r="E42" s="70">
        <v>400</v>
      </c>
      <c r="F42" s="14"/>
      <c r="G42" s="11">
        <v>19532</v>
      </c>
      <c r="H42" s="67">
        <v>400</v>
      </c>
      <c r="I42" s="12" t="s">
        <v>316</v>
      </c>
      <c r="J42" s="61">
        <v>19571</v>
      </c>
      <c r="K42" s="71">
        <v>150</v>
      </c>
      <c r="L42" s="62"/>
      <c r="M42" s="15"/>
      <c r="N42" s="73"/>
      <c r="O42" s="15"/>
    </row>
    <row r="43" spans="1:15" x14ac:dyDescent="0.25">
      <c r="A43" s="16"/>
      <c r="B43" s="49"/>
      <c r="C43" s="17" t="s">
        <v>16</v>
      </c>
      <c r="D43" s="13">
        <v>19487</v>
      </c>
      <c r="E43" s="70">
        <v>2400</v>
      </c>
      <c r="F43" s="14" t="s">
        <v>427</v>
      </c>
      <c r="G43" s="11">
        <v>19533</v>
      </c>
      <c r="H43" s="67">
        <v>400</v>
      </c>
      <c r="I43" s="12" t="s">
        <v>422</v>
      </c>
      <c r="J43" s="61">
        <v>19572</v>
      </c>
      <c r="K43" s="71">
        <v>400</v>
      </c>
      <c r="L43" s="62" t="s">
        <v>315</v>
      </c>
      <c r="M43" s="15"/>
      <c r="N43" s="73"/>
      <c r="O43" s="15"/>
    </row>
    <row r="44" spans="1:15" x14ac:dyDescent="0.25">
      <c r="A44" s="16">
        <v>19437</v>
      </c>
      <c r="B44" s="49">
        <v>400</v>
      </c>
      <c r="C44" s="17"/>
      <c r="D44" s="13"/>
      <c r="E44" s="70"/>
      <c r="F44" s="14" t="s">
        <v>428</v>
      </c>
      <c r="G44" s="11"/>
      <c r="H44" s="67"/>
      <c r="I44" s="12" t="s">
        <v>14</v>
      </c>
      <c r="J44" s="61"/>
      <c r="K44" s="71"/>
      <c r="L44" s="62" t="s">
        <v>14</v>
      </c>
      <c r="M44" s="15"/>
      <c r="N44" s="73"/>
      <c r="O44" s="15"/>
    </row>
    <row r="45" spans="1:15" x14ac:dyDescent="0.25">
      <c r="A45" s="16">
        <v>19438</v>
      </c>
      <c r="B45" s="49">
        <v>200</v>
      </c>
      <c r="C45" s="107" t="s">
        <v>328</v>
      </c>
      <c r="D45" s="13">
        <v>19488</v>
      </c>
      <c r="E45" s="70">
        <v>1200</v>
      </c>
      <c r="F45" s="14" t="s">
        <v>353</v>
      </c>
      <c r="G45" s="11">
        <v>19534</v>
      </c>
      <c r="H45" s="67">
        <v>600</v>
      </c>
      <c r="I45" s="12" t="s">
        <v>445</v>
      </c>
      <c r="J45" s="61">
        <v>19573</v>
      </c>
      <c r="K45" s="71">
        <v>400</v>
      </c>
      <c r="L45" s="62" t="s">
        <v>328</v>
      </c>
      <c r="M45" s="15"/>
      <c r="N45" s="73"/>
      <c r="O45" s="15"/>
    </row>
    <row r="46" spans="1:15" x14ac:dyDescent="0.25">
      <c r="A46" s="16"/>
      <c r="B46" s="49"/>
      <c r="C46" s="17" t="s">
        <v>66</v>
      </c>
      <c r="D46" s="13"/>
      <c r="E46" s="70"/>
      <c r="F46" s="14" t="s">
        <v>15</v>
      </c>
      <c r="G46" s="11"/>
      <c r="H46" s="67"/>
      <c r="I46" s="12" t="s">
        <v>446</v>
      </c>
      <c r="J46" s="61"/>
      <c r="K46" s="71"/>
      <c r="L46" s="62" t="s">
        <v>14</v>
      </c>
      <c r="M46" s="15"/>
      <c r="N46" s="73"/>
      <c r="O46" s="15"/>
    </row>
    <row r="47" spans="1:15" x14ac:dyDescent="0.25">
      <c r="A47" s="16">
        <v>19439</v>
      </c>
      <c r="B47" s="49">
        <v>200</v>
      </c>
      <c r="C47" s="17" t="s">
        <v>373</v>
      </c>
      <c r="D47" s="13">
        <v>19489</v>
      </c>
      <c r="E47" s="70">
        <v>450</v>
      </c>
      <c r="F47" s="14" t="s">
        <v>429</v>
      </c>
      <c r="G47" s="11">
        <v>19535</v>
      </c>
      <c r="H47" s="67">
        <v>200</v>
      </c>
      <c r="I47" s="12" t="s">
        <v>447</v>
      </c>
      <c r="J47" s="61">
        <v>19574</v>
      </c>
      <c r="K47" s="71">
        <v>600</v>
      </c>
      <c r="L47" s="62" t="s">
        <v>315</v>
      </c>
      <c r="M47" s="15"/>
      <c r="N47" s="73"/>
      <c r="O47" s="15"/>
    </row>
    <row r="48" spans="1:15" x14ac:dyDescent="0.25">
      <c r="A48" s="16"/>
      <c r="B48" s="49"/>
      <c r="C48" s="17" t="s">
        <v>66</v>
      </c>
      <c r="D48" s="13">
        <v>19490</v>
      </c>
      <c r="E48" s="70">
        <v>50</v>
      </c>
      <c r="F48" s="14" t="s">
        <v>20</v>
      </c>
      <c r="G48" s="11">
        <v>19536</v>
      </c>
      <c r="H48" s="67">
        <v>200</v>
      </c>
      <c r="I48" s="12"/>
      <c r="J48" s="61"/>
      <c r="K48" s="71"/>
      <c r="L48" s="62" t="s">
        <v>16</v>
      </c>
      <c r="M48" s="15"/>
      <c r="N48" s="73"/>
      <c r="O48" s="15"/>
    </row>
    <row r="49" spans="1:15" x14ac:dyDescent="0.25">
      <c r="A49" s="16">
        <v>19440</v>
      </c>
      <c r="B49" s="49">
        <v>600</v>
      </c>
      <c r="C49" s="17" t="s">
        <v>315</v>
      </c>
      <c r="D49" s="13">
        <v>19491</v>
      </c>
      <c r="E49" s="70">
        <v>1600</v>
      </c>
      <c r="F49" s="14" t="s">
        <v>274</v>
      </c>
      <c r="G49" s="11">
        <v>19537</v>
      </c>
      <c r="H49" s="67">
        <v>1200</v>
      </c>
      <c r="I49" s="12" t="s">
        <v>353</v>
      </c>
      <c r="J49" s="61">
        <v>19575</v>
      </c>
      <c r="K49" s="71">
        <v>50</v>
      </c>
      <c r="L49" s="62" t="s">
        <v>75</v>
      </c>
      <c r="M49" s="15"/>
      <c r="N49" s="73"/>
      <c r="O49" s="15"/>
    </row>
    <row r="50" spans="1:15" x14ac:dyDescent="0.25">
      <c r="A50" s="16"/>
      <c r="B50" s="49"/>
      <c r="C50" s="17" t="s">
        <v>16</v>
      </c>
      <c r="D50" s="13"/>
      <c r="E50" s="70"/>
      <c r="F50" s="14" t="s">
        <v>15</v>
      </c>
      <c r="G50" s="11"/>
      <c r="H50" s="67"/>
      <c r="I50" s="12" t="s">
        <v>15</v>
      </c>
      <c r="J50" s="61">
        <v>19576</v>
      </c>
      <c r="K50" s="71">
        <v>400</v>
      </c>
      <c r="L50" s="62" t="s">
        <v>316</v>
      </c>
      <c r="M50" s="15"/>
      <c r="N50" s="73"/>
      <c r="O50" s="15"/>
    </row>
    <row r="51" spans="1:15" x14ac:dyDescent="0.25">
      <c r="A51" s="16">
        <v>19441</v>
      </c>
      <c r="B51" s="49">
        <v>600</v>
      </c>
      <c r="C51" s="17" t="s">
        <v>328</v>
      </c>
      <c r="D51" s="13">
        <v>19492</v>
      </c>
      <c r="E51" s="70">
        <v>50</v>
      </c>
      <c r="F51" s="14" t="s">
        <v>20</v>
      </c>
      <c r="G51" s="11">
        <v>19538</v>
      </c>
      <c r="H51" s="67">
        <v>1200</v>
      </c>
      <c r="I51" s="12" t="s">
        <v>353</v>
      </c>
      <c r="J51" s="61">
        <v>19577</v>
      </c>
      <c r="K51" s="71">
        <v>200</v>
      </c>
      <c r="L51" s="62"/>
      <c r="M51" s="15"/>
      <c r="N51" s="73"/>
      <c r="O51" s="15"/>
    </row>
    <row r="52" spans="1:15" x14ac:dyDescent="0.25">
      <c r="A52" s="16"/>
      <c r="B52" s="49"/>
      <c r="C52" s="17" t="s">
        <v>16</v>
      </c>
      <c r="D52" s="13">
        <v>19493</v>
      </c>
      <c r="E52" s="70">
        <v>800</v>
      </c>
      <c r="F52" s="14" t="s">
        <v>422</v>
      </c>
      <c r="G52" s="11"/>
      <c r="H52" s="67"/>
      <c r="I52" s="12" t="s">
        <v>15</v>
      </c>
      <c r="J52" s="61">
        <v>19578</v>
      </c>
      <c r="K52" s="71">
        <v>300</v>
      </c>
      <c r="L52" s="62" t="s">
        <v>455</v>
      </c>
      <c r="M52" s="15"/>
      <c r="N52" s="73"/>
      <c r="O52" s="15"/>
    </row>
    <row r="53" spans="1:15" x14ac:dyDescent="0.25">
      <c r="A53" s="16">
        <v>19442</v>
      </c>
      <c r="B53" s="49">
        <v>250</v>
      </c>
      <c r="C53" s="17" t="s">
        <v>421</v>
      </c>
      <c r="D53" s="13"/>
      <c r="E53" s="70"/>
      <c r="F53" s="14" t="s">
        <v>15</v>
      </c>
      <c r="G53" s="11">
        <v>19539</v>
      </c>
      <c r="H53" s="67">
        <v>500</v>
      </c>
      <c r="I53" s="12"/>
      <c r="J53" s="61">
        <v>19579</v>
      </c>
      <c r="K53" s="71">
        <v>800</v>
      </c>
      <c r="L53" s="62" t="s">
        <v>315</v>
      </c>
      <c r="M53" s="15"/>
      <c r="N53" s="73"/>
      <c r="O53" s="15"/>
    </row>
    <row r="54" spans="1:15" x14ac:dyDescent="0.25">
      <c r="A54" s="16">
        <v>19443</v>
      </c>
      <c r="B54" s="49">
        <v>400</v>
      </c>
      <c r="C54" s="17" t="s">
        <v>316</v>
      </c>
      <c r="D54" s="13">
        <v>19494</v>
      </c>
      <c r="E54" s="70">
        <v>400</v>
      </c>
      <c r="F54" s="14" t="s">
        <v>316</v>
      </c>
      <c r="G54" s="11">
        <v>19540</v>
      </c>
      <c r="H54" s="67">
        <v>1500</v>
      </c>
      <c r="I54" s="12" t="s">
        <v>448</v>
      </c>
      <c r="J54" s="61"/>
      <c r="K54" s="71"/>
      <c r="L54" s="62" t="s">
        <v>15</v>
      </c>
      <c r="M54" s="15"/>
      <c r="N54" s="73"/>
      <c r="O54" s="15"/>
    </row>
    <row r="55" spans="1:15" x14ac:dyDescent="0.25">
      <c r="A55" s="16">
        <v>19444</v>
      </c>
      <c r="B55" s="49">
        <v>250</v>
      </c>
      <c r="C55" s="17"/>
      <c r="D55" s="13">
        <v>19495</v>
      </c>
      <c r="E55" s="70">
        <v>800</v>
      </c>
      <c r="F55" s="14" t="s">
        <v>422</v>
      </c>
      <c r="G55" s="11"/>
      <c r="H55" s="67"/>
      <c r="I55" s="12" t="s">
        <v>449</v>
      </c>
      <c r="J55" s="61">
        <v>19580</v>
      </c>
      <c r="K55" s="71">
        <v>1200</v>
      </c>
      <c r="L55" s="62" t="s">
        <v>396</v>
      </c>
      <c r="M55" s="15"/>
      <c r="N55" s="73"/>
      <c r="O55" s="15"/>
    </row>
    <row r="56" spans="1:15" x14ac:dyDescent="0.25">
      <c r="A56" s="16">
        <v>19445</v>
      </c>
      <c r="B56" s="49">
        <v>400</v>
      </c>
      <c r="C56" s="17" t="s">
        <v>316</v>
      </c>
      <c r="D56" s="13"/>
      <c r="E56" s="70"/>
      <c r="F56" s="14" t="s">
        <v>15</v>
      </c>
      <c r="G56" s="11"/>
      <c r="H56" s="67"/>
      <c r="I56" s="12" t="s">
        <v>450</v>
      </c>
      <c r="J56" s="61"/>
      <c r="K56" s="71"/>
      <c r="L56" s="62" t="s">
        <v>15</v>
      </c>
      <c r="M56" s="15"/>
      <c r="N56" s="73"/>
      <c r="O56" s="15"/>
    </row>
    <row r="57" spans="1:15" x14ac:dyDescent="0.25">
      <c r="A57" s="16">
        <v>19446</v>
      </c>
      <c r="B57" s="49">
        <v>800</v>
      </c>
      <c r="C57" s="17" t="s">
        <v>422</v>
      </c>
      <c r="D57" s="13">
        <v>19496</v>
      </c>
      <c r="E57" s="70">
        <v>800</v>
      </c>
      <c r="F57" s="14" t="s">
        <v>328</v>
      </c>
      <c r="G57" s="11">
        <v>19541</v>
      </c>
      <c r="H57" s="67">
        <v>200</v>
      </c>
      <c r="I57" s="12" t="s">
        <v>34</v>
      </c>
      <c r="J57" s="61">
        <v>19581</v>
      </c>
      <c r="K57" s="71">
        <v>400</v>
      </c>
      <c r="L57" s="62"/>
      <c r="M57" s="15"/>
      <c r="N57" s="73"/>
      <c r="O57" s="15"/>
    </row>
    <row r="58" spans="1:15" x14ac:dyDescent="0.25">
      <c r="A58" s="16"/>
      <c r="B58" s="49"/>
      <c r="C58" s="17" t="s">
        <v>15</v>
      </c>
      <c r="D58" s="13"/>
      <c r="E58" s="70"/>
      <c r="F58" s="14" t="s">
        <v>15</v>
      </c>
      <c r="G58" s="11">
        <v>19542</v>
      </c>
      <c r="H58" s="67">
        <v>400</v>
      </c>
      <c r="I58" s="12" t="s">
        <v>316</v>
      </c>
      <c r="J58" s="61">
        <v>19582</v>
      </c>
      <c r="K58" s="71">
        <v>400</v>
      </c>
      <c r="L58" s="62" t="s">
        <v>306</v>
      </c>
      <c r="M58" s="15"/>
      <c r="N58" s="73"/>
      <c r="O58" s="15"/>
    </row>
    <row r="59" spans="1:15" x14ac:dyDescent="0.25">
      <c r="A59" s="16">
        <v>19447</v>
      </c>
      <c r="B59" s="49">
        <v>250</v>
      </c>
      <c r="C59" s="17"/>
      <c r="D59" s="13">
        <v>19497</v>
      </c>
      <c r="E59" s="70">
        <v>400</v>
      </c>
      <c r="F59" s="14"/>
      <c r="G59" s="11">
        <v>19543</v>
      </c>
      <c r="H59" s="67">
        <v>800</v>
      </c>
      <c r="I59" s="12" t="s">
        <v>415</v>
      </c>
      <c r="J59" s="61">
        <v>19583</v>
      </c>
      <c r="K59" s="71">
        <v>400</v>
      </c>
      <c r="L59" s="62"/>
      <c r="M59" s="15"/>
      <c r="N59" s="73"/>
      <c r="O59" s="15"/>
    </row>
    <row r="60" spans="1:15" x14ac:dyDescent="0.25">
      <c r="A60" s="16">
        <v>19448</v>
      </c>
      <c r="B60" s="49">
        <v>400</v>
      </c>
      <c r="C60" s="17"/>
      <c r="D60" s="13">
        <v>19498</v>
      </c>
      <c r="E60" s="70">
        <v>400</v>
      </c>
      <c r="F60" s="14"/>
      <c r="G60" s="11"/>
      <c r="H60" s="67"/>
      <c r="I60" s="12" t="s">
        <v>15</v>
      </c>
      <c r="J60" s="61">
        <v>19584</v>
      </c>
      <c r="K60" s="71">
        <v>600</v>
      </c>
      <c r="L60" s="62" t="s">
        <v>422</v>
      </c>
      <c r="M60" s="15"/>
      <c r="N60" s="73"/>
      <c r="O60" s="15"/>
    </row>
    <row r="61" spans="1:15" x14ac:dyDescent="0.25">
      <c r="A61" s="16">
        <v>19449</v>
      </c>
      <c r="B61" s="49">
        <v>400</v>
      </c>
      <c r="C61" s="17"/>
      <c r="D61" s="13">
        <v>19499</v>
      </c>
      <c r="E61" s="70">
        <v>600</v>
      </c>
      <c r="F61" s="14" t="s">
        <v>430</v>
      </c>
      <c r="G61" s="11">
        <v>19544</v>
      </c>
      <c r="H61" s="67">
        <v>400</v>
      </c>
      <c r="I61" s="12" t="s">
        <v>328</v>
      </c>
      <c r="J61" s="61"/>
      <c r="K61" s="71"/>
      <c r="L61" s="62" t="s">
        <v>16</v>
      </c>
      <c r="M61" s="15"/>
      <c r="N61" s="73"/>
      <c r="O61" s="15"/>
    </row>
    <row r="62" spans="1:15" x14ac:dyDescent="0.25">
      <c r="A62" s="16">
        <v>19450</v>
      </c>
      <c r="B62" s="49">
        <v>300</v>
      </c>
      <c r="C62" s="17"/>
      <c r="D62" s="13"/>
      <c r="E62" s="70"/>
      <c r="F62" s="14" t="s">
        <v>16</v>
      </c>
      <c r="G62" s="11"/>
      <c r="H62" s="67"/>
      <c r="I62" s="12" t="s">
        <v>14</v>
      </c>
      <c r="J62" s="61">
        <v>19585</v>
      </c>
      <c r="K62" s="71">
        <v>500</v>
      </c>
      <c r="L62" s="62" t="s">
        <v>273</v>
      </c>
      <c r="M62" s="15"/>
      <c r="N62" s="73"/>
      <c r="O62" s="15"/>
    </row>
    <row r="63" spans="1:15" x14ac:dyDescent="0.25">
      <c r="A63" s="16">
        <v>19451</v>
      </c>
      <c r="B63" s="49">
        <v>200</v>
      </c>
      <c r="C63" s="17"/>
      <c r="D63" s="13">
        <v>19500</v>
      </c>
      <c r="E63" s="70">
        <v>400</v>
      </c>
      <c r="F63" s="14" t="s">
        <v>316</v>
      </c>
      <c r="G63" s="11">
        <v>19545</v>
      </c>
      <c r="H63" s="67">
        <v>2400</v>
      </c>
      <c r="I63" s="12" t="s">
        <v>50</v>
      </c>
      <c r="J63" s="61"/>
      <c r="K63" s="71"/>
      <c r="L63" s="62" t="s">
        <v>19</v>
      </c>
      <c r="M63" s="15"/>
      <c r="N63" s="73"/>
      <c r="O63" s="15"/>
    </row>
    <row r="64" spans="1:15" x14ac:dyDescent="0.25">
      <c r="A64" s="16">
        <v>19452</v>
      </c>
      <c r="B64" s="49">
        <v>200</v>
      </c>
      <c r="C64" s="17"/>
      <c r="D64" s="13">
        <v>19501</v>
      </c>
      <c r="E64" s="70">
        <v>400</v>
      </c>
      <c r="F64" s="14" t="s">
        <v>431</v>
      </c>
      <c r="G64" s="11"/>
      <c r="H64" s="67"/>
      <c r="I64" s="12" t="s">
        <v>15</v>
      </c>
      <c r="J64" s="61">
        <v>19586</v>
      </c>
      <c r="K64" s="71">
        <v>300</v>
      </c>
      <c r="L64" s="62"/>
      <c r="M64" s="15"/>
      <c r="N64" s="73"/>
      <c r="O64" s="15"/>
    </row>
    <row r="65" spans="1:15" x14ac:dyDescent="0.25">
      <c r="A65" s="16">
        <v>19453</v>
      </c>
      <c r="B65" s="49">
        <v>400</v>
      </c>
      <c r="C65" s="17" t="s">
        <v>315</v>
      </c>
      <c r="D65" s="13">
        <v>19502</v>
      </c>
      <c r="E65" s="70">
        <v>800</v>
      </c>
      <c r="F65" s="14" t="s">
        <v>328</v>
      </c>
      <c r="G65" s="11">
        <v>19546</v>
      </c>
      <c r="H65" s="67">
        <v>800</v>
      </c>
      <c r="I65" s="12" t="s">
        <v>315</v>
      </c>
      <c r="J65" s="61">
        <v>19587</v>
      </c>
      <c r="K65" s="71">
        <v>1200</v>
      </c>
      <c r="L65" s="62" t="s">
        <v>444</v>
      </c>
      <c r="M65" s="15"/>
      <c r="N65" s="73"/>
      <c r="O65" s="15"/>
    </row>
    <row r="66" spans="1:15" x14ac:dyDescent="0.25">
      <c r="A66" s="16"/>
      <c r="B66" s="49"/>
      <c r="C66" s="17" t="s">
        <v>14</v>
      </c>
      <c r="D66" s="13"/>
      <c r="E66" s="70"/>
      <c r="F66" s="14" t="s">
        <v>15</v>
      </c>
      <c r="G66" s="11"/>
      <c r="H66" s="67"/>
      <c r="I66" s="12" t="s">
        <v>15</v>
      </c>
      <c r="J66" s="61"/>
      <c r="K66" s="71"/>
      <c r="L66" s="62" t="s">
        <v>16</v>
      </c>
      <c r="M66" s="15"/>
      <c r="N66" s="73"/>
      <c r="O66" s="15"/>
    </row>
    <row r="67" spans="1:15" x14ac:dyDescent="0.25">
      <c r="A67" s="16">
        <v>19454</v>
      </c>
      <c r="B67" s="49">
        <v>300</v>
      </c>
      <c r="C67" s="17"/>
      <c r="D67" s="13">
        <v>19503</v>
      </c>
      <c r="E67" s="70">
        <v>450</v>
      </c>
      <c r="F67" s="14" t="s">
        <v>432</v>
      </c>
      <c r="G67" s="11">
        <v>19547</v>
      </c>
      <c r="H67" s="67">
        <v>1200</v>
      </c>
      <c r="I67" s="12" t="s">
        <v>380</v>
      </c>
      <c r="J67" s="61">
        <v>19588</v>
      </c>
      <c r="K67" s="71">
        <v>400</v>
      </c>
      <c r="L67" s="62"/>
      <c r="M67" s="15"/>
      <c r="N67" s="73"/>
      <c r="O67" s="15"/>
    </row>
    <row r="68" spans="1:15" x14ac:dyDescent="0.25">
      <c r="A68" s="16">
        <v>19455</v>
      </c>
      <c r="B68" s="49">
        <v>200</v>
      </c>
      <c r="C68" s="17" t="s">
        <v>34</v>
      </c>
      <c r="D68" s="13">
        <v>19504</v>
      </c>
      <c r="E68" s="70">
        <v>600</v>
      </c>
      <c r="F68" s="14" t="s">
        <v>415</v>
      </c>
      <c r="G68" s="11"/>
      <c r="H68" s="67"/>
      <c r="I68" s="12" t="s">
        <v>16</v>
      </c>
      <c r="J68" s="61"/>
      <c r="K68" s="71"/>
      <c r="L68" s="62"/>
      <c r="M68" s="15"/>
      <c r="N68" s="73"/>
      <c r="O68" s="15"/>
    </row>
    <row r="69" spans="1:15" x14ac:dyDescent="0.25">
      <c r="A69" s="16">
        <v>19456</v>
      </c>
      <c r="B69" s="49">
        <v>400</v>
      </c>
      <c r="C69" s="17"/>
      <c r="D69" s="13"/>
      <c r="E69" s="70"/>
      <c r="F69" s="14" t="s">
        <v>16</v>
      </c>
      <c r="G69" s="11">
        <v>19548</v>
      </c>
      <c r="H69" s="67">
        <v>700</v>
      </c>
      <c r="I69" s="12" t="s">
        <v>315</v>
      </c>
      <c r="J69" s="61"/>
      <c r="K69" s="71"/>
      <c r="L69" s="62"/>
      <c r="M69" s="15"/>
      <c r="N69" s="73"/>
      <c r="O69" s="15"/>
    </row>
    <row r="70" spans="1:15" x14ac:dyDescent="0.25">
      <c r="A70" s="16">
        <v>19457</v>
      </c>
      <c r="B70" s="49">
        <v>800</v>
      </c>
      <c r="C70" s="17" t="s">
        <v>328</v>
      </c>
      <c r="D70" s="13">
        <v>19505</v>
      </c>
      <c r="E70" s="70">
        <v>250</v>
      </c>
      <c r="F70" s="14"/>
      <c r="G70" s="11"/>
      <c r="H70" s="67"/>
      <c r="I70" s="12" t="s">
        <v>198</v>
      </c>
      <c r="J70" s="61"/>
      <c r="K70" s="71"/>
      <c r="L70" s="62"/>
      <c r="M70" s="15"/>
      <c r="N70" s="73"/>
      <c r="O70" s="15"/>
    </row>
    <row r="71" spans="1:15" x14ac:dyDescent="0.25">
      <c r="A71" s="16"/>
      <c r="B71" s="49"/>
      <c r="C71" s="17" t="s">
        <v>15</v>
      </c>
      <c r="D71" s="13">
        <v>19506</v>
      </c>
      <c r="E71" s="70">
        <v>1000</v>
      </c>
      <c r="F71" s="14" t="s">
        <v>359</v>
      </c>
      <c r="G71" s="11"/>
      <c r="H71" s="67"/>
      <c r="I71" s="12"/>
      <c r="J71" s="61"/>
      <c r="K71" s="71"/>
      <c r="L71" s="62"/>
      <c r="M71" s="15"/>
      <c r="N71" s="73"/>
      <c r="O71" s="15"/>
    </row>
    <row r="72" spans="1:15" x14ac:dyDescent="0.25">
      <c r="A72" s="16">
        <v>19458</v>
      </c>
      <c r="B72" s="49">
        <v>800</v>
      </c>
      <c r="C72" s="17" t="s">
        <v>422</v>
      </c>
      <c r="D72" s="13"/>
      <c r="E72" s="70"/>
      <c r="F72" s="14" t="s">
        <v>433</v>
      </c>
      <c r="G72" s="11"/>
      <c r="H72" s="67"/>
      <c r="I72" s="12"/>
      <c r="J72" s="61"/>
      <c r="K72" s="71"/>
      <c r="L72" s="62"/>
      <c r="M72" s="15"/>
      <c r="N72" s="73"/>
      <c r="O72" s="15"/>
    </row>
    <row r="73" spans="1:15" x14ac:dyDescent="0.25">
      <c r="A73" s="16"/>
      <c r="B73" s="49"/>
      <c r="C73" s="17" t="s">
        <v>15</v>
      </c>
      <c r="D73" s="13">
        <v>19507</v>
      </c>
      <c r="E73" s="70"/>
      <c r="F73" s="14" t="s">
        <v>59</v>
      </c>
      <c r="G73" s="11"/>
      <c r="H73" s="67"/>
      <c r="I73" s="12"/>
      <c r="J73" s="61"/>
      <c r="K73" s="71"/>
      <c r="L73" s="62"/>
      <c r="M73" s="15"/>
      <c r="N73" s="73"/>
      <c r="O73" s="15"/>
    </row>
    <row r="74" spans="1:15" x14ac:dyDescent="0.25">
      <c r="A74" s="16">
        <v>19459</v>
      </c>
      <c r="B74" s="49">
        <v>400</v>
      </c>
      <c r="C74" s="17"/>
      <c r="D74" s="13"/>
      <c r="E74" s="70"/>
      <c r="F74" s="14"/>
      <c r="G74" s="11"/>
      <c r="H74" s="67"/>
      <c r="I74" s="12"/>
      <c r="J74" s="61"/>
      <c r="K74" s="71"/>
      <c r="L74" s="62"/>
      <c r="M74" s="15"/>
      <c r="N74" s="73"/>
      <c r="O74" s="15"/>
    </row>
    <row r="75" spans="1:15" x14ac:dyDescent="0.25">
      <c r="A75" s="16">
        <v>19460</v>
      </c>
      <c r="B75" s="49">
        <v>400</v>
      </c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15"/>
      <c r="N75" s="73"/>
      <c r="O75" s="15"/>
    </row>
    <row r="76" spans="1:15" x14ac:dyDescent="0.25">
      <c r="A76" s="16"/>
      <c r="B76" s="49"/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15"/>
      <c r="N76" s="73"/>
      <c r="O76" s="15"/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15"/>
      <c r="N77" s="73"/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15"/>
      <c r="N78" s="73"/>
      <c r="O78" s="15"/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15"/>
      <c r="N79" s="73"/>
      <c r="O79" s="15"/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15"/>
      <c r="N80" s="73"/>
      <c r="O80" s="15"/>
    </row>
    <row r="81" spans="1:15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15"/>
      <c r="N81" s="73"/>
      <c r="O81" s="15"/>
    </row>
    <row r="82" spans="1:15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15"/>
      <c r="N82" s="73"/>
      <c r="O82" s="15"/>
    </row>
    <row r="83" spans="1:15" x14ac:dyDescent="0.25">
      <c r="A83" s="16"/>
      <c r="B83" s="49"/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15"/>
      <c r="N83" s="73"/>
      <c r="O83" s="15"/>
    </row>
    <row r="84" spans="1:15" x14ac:dyDescent="0.25">
      <c r="A84" s="16"/>
      <c r="B84" s="49"/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15"/>
      <c r="N84" s="73"/>
      <c r="O84" s="15"/>
    </row>
    <row r="85" spans="1:15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15"/>
      <c r="N85" s="73"/>
      <c r="O85" s="15"/>
    </row>
    <row r="86" spans="1:15" x14ac:dyDescent="0.25">
      <c r="A86" s="16"/>
      <c r="B86" s="49"/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1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1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1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1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1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1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1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1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15"/>
      <c r="N94" s="73"/>
      <c r="O94" s="15"/>
    </row>
    <row r="95" spans="1:15" x14ac:dyDescent="0.25">
      <c r="A95" s="26"/>
      <c r="B95" s="66"/>
      <c r="C95" s="58"/>
      <c r="D95" s="26"/>
      <c r="E95" s="58"/>
      <c r="F95" s="58"/>
      <c r="G95" s="26"/>
      <c r="H95" s="74"/>
      <c r="I95" s="58"/>
      <c r="J95" s="26"/>
      <c r="K95" s="74"/>
      <c r="L95" s="58"/>
      <c r="M95" s="58"/>
      <c r="N95" s="58"/>
      <c r="O95" s="58"/>
    </row>
    <row r="96" spans="1:15" x14ac:dyDescent="0.25">
      <c r="A96" s="26"/>
      <c r="B96" s="66"/>
      <c r="C96" s="58"/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36"/>
  <sheetViews>
    <sheetView topLeftCell="D5" zoomScaleNormal="100" workbookViewId="0">
      <pane ySplit="3" topLeftCell="A64" activePane="bottomLeft" state="frozen"/>
      <selection activeCell="A5" sqref="A5"/>
      <selection pane="bottomLeft" activeCell="E76" sqref="E7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4.42578125" customWidth="1"/>
    <col min="4" max="4" width="7.7109375" style="6" customWidth="1"/>
    <col min="5" max="5" width="8.7109375" customWidth="1"/>
    <col min="6" max="6" width="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6" t="s">
        <v>6</v>
      </c>
      <c r="K5" s="136"/>
      <c r="L5" s="136"/>
      <c r="M5" s="124" t="s">
        <v>12</v>
      </c>
      <c r="N5" s="124"/>
      <c r="O5" s="124"/>
      <c r="Q5" s="133" t="s">
        <v>13</v>
      </c>
      <c r="R5" s="133"/>
    </row>
    <row r="6" spans="1:18" x14ac:dyDescent="0.25">
      <c r="A6" s="8">
        <f>SUBTOTAL(3,A8:A121)</f>
        <v>51</v>
      </c>
      <c r="B6" s="8">
        <f>SUBTOTAL(9,B8:B121)</f>
        <v>26150</v>
      </c>
      <c r="C6" s="35">
        <v>43709</v>
      </c>
      <c r="D6" s="8">
        <f>SUBTOTAL(3,D8:D120)</f>
        <v>43</v>
      </c>
      <c r="E6" s="1">
        <f>SUBTOTAL(9,E8:E126)</f>
        <v>25050</v>
      </c>
      <c r="F6" s="38">
        <v>43716</v>
      </c>
      <c r="G6" s="8">
        <f>SUBTOTAL(3,G8:G120)</f>
        <v>44</v>
      </c>
      <c r="H6" s="1">
        <f>SUBTOTAL(9,H8:H126)</f>
        <v>22100</v>
      </c>
      <c r="I6" s="39">
        <v>43723</v>
      </c>
      <c r="J6" s="8">
        <f>SUBTOTAL(3,J8:J111)</f>
        <v>41</v>
      </c>
      <c r="K6" s="1">
        <f>SUBTOTAL(9,K8:K111)</f>
        <v>19100</v>
      </c>
      <c r="L6" s="63">
        <v>43730</v>
      </c>
      <c r="M6" s="1">
        <f>SUBTOTAL(3,M8:M120)</f>
        <v>48</v>
      </c>
      <c r="N6" s="1">
        <f>SUBTOTAL(9,N8:N120)</f>
        <v>29300</v>
      </c>
      <c r="O6" s="85">
        <v>43737</v>
      </c>
      <c r="Q6" s="30">
        <f>+A6+D6+G6+J6+M6</f>
        <v>227</v>
      </c>
      <c r="R6" s="29">
        <f>+B6+E6+H6+K6+N6</f>
        <v>121700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19592</v>
      </c>
      <c r="B8" s="49">
        <v>400</v>
      </c>
      <c r="C8" s="17"/>
      <c r="D8" s="13">
        <v>19643</v>
      </c>
      <c r="E8" s="70">
        <v>450</v>
      </c>
      <c r="F8" s="14" t="s">
        <v>354</v>
      </c>
      <c r="G8" s="11">
        <v>19686</v>
      </c>
      <c r="H8" s="67">
        <v>400</v>
      </c>
      <c r="I8" s="12" t="s">
        <v>422</v>
      </c>
      <c r="J8" s="61">
        <v>19730</v>
      </c>
      <c r="K8" s="71"/>
      <c r="L8" s="62" t="s">
        <v>59</v>
      </c>
      <c r="M8" s="75">
        <v>19771</v>
      </c>
      <c r="N8" s="73">
        <v>900</v>
      </c>
      <c r="O8" s="15" t="s">
        <v>396</v>
      </c>
      <c r="Q8" s="32"/>
      <c r="R8" s="32"/>
    </row>
    <row r="9" spans="1:18" x14ac:dyDescent="0.25">
      <c r="A9" s="16">
        <v>19593</v>
      </c>
      <c r="B9" s="49">
        <v>600</v>
      </c>
      <c r="C9" s="17" t="s">
        <v>459</v>
      </c>
      <c r="D9" s="13"/>
      <c r="E9" s="70"/>
      <c r="F9" s="14" t="s">
        <v>57</v>
      </c>
      <c r="G9" s="11"/>
      <c r="H9" s="67"/>
      <c r="I9" s="12" t="s">
        <v>14</v>
      </c>
      <c r="J9" s="61">
        <v>19731</v>
      </c>
      <c r="K9" s="71">
        <v>800</v>
      </c>
      <c r="L9" s="62" t="s">
        <v>422</v>
      </c>
      <c r="M9" s="75"/>
      <c r="N9" s="73"/>
      <c r="O9" s="15" t="s">
        <v>16</v>
      </c>
    </row>
    <row r="10" spans="1:18" x14ac:dyDescent="0.25">
      <c r="A10" s="16">
        <v>19594</v>
      </c>
      <c r="B10" s="49">
        <v>400</v>
      </c>
      <c r="C10" s="17" t="s">
        <v>460</v>
      </c>
      <c r="D10" s="13">
        <v>19644</v>
      </c>
      <c r="E10" s="70"/>
      <c r="F10" s="14" t="s">
        <v>470</v>
      </c>
      <c r="G10" s="11">
        <v>19687</v>
      </c>
      <c r="H10" s="67">
        <v>400</v>
      </c>
      <c r="I10" s="12"/>
      <c r="J10" s="61"/>
      <c r="K10" s="71"/>
      <c r="L10" s="62" t="s">
        <v>15</v>
      </c>
      <c r="M10" s="75">
        <v>19772</v>
      </c>
      <c r="N10" s="73">
        <v>800</v>
      </c>
      <c r="O10" s="15" t="s">
        <v>422</v>
      </c>
    </row>
    <row r="11" spans="1:18" x14ac:dyDescent="0.25">
      <c r="A11" s="16"/>
      <c r="B11" s="49"/>
      <c r="C11" s="17" t="s">
        <v>14</v>
      </c>
      <c r="D11" s="13"/>
      <c r="E11" s="70"/>
      <c r="F11" s="14" t="s">
        <v>471</v>
      </c>
      <c r="G11" s="11">
        <v>19688</v>
      </c>
      <c r="H11" s="67">
        <v>400</v>
      </c>
      <c r="I11" s="12" t="s">
        <v>390</v>
      </c>
      <c r="J11" s="61">
        <v>19732</v>
      </c>
      <c r="K11" s="71">
        <v>3000</v>
      </c>
      <c r="L11" s="62" t="s">
        <v>486</v>
      </c>
      <c r="M11" s="75"/>
      <c r="N11" s="73"/>
      <c r="O11" s="15" t="s">
        <v>15</v>
      </c>
    </row>
    <row r="12" spans="1:18" x14ac:dyDescent="0.25">
      <c r="A12" s="16">
        <v>19595</v>
      </c>
      <c r="B12" s="49">
        <v>400</v>
      </c>
      <c r="C12" s="17" t="s">
        <v>461</v>
      </c>
      <c r="D12" s="13">
        <v>19545</v>
      </c>
      <c r="E12" s="70">
        <v>400</v>
      </c>
      <c r="F12" s="14" t="s">
        <v>469</v>
      </c>
      <c r="G12" s="11">
        <v>19689</v>
      </c>
      <c r="H12" s="67">
        <v>50</v>
      </c>
      <c r="I12" s="12" t="s">
        <v>20</v>
      </c>
      <c r="J12" s="61"/>
      <c r="K12" s="71"/>
      <c r="L12" s="62" t="s">
        <v>487</v>
      </c>
      <c r="M12" s="75"/>
      <c r="N12" s="73"/>
      <c r="O12" s="15" t="s">
        <v>496</v>
      </c>
    </row>
    <row r="13" spans="1:18" x14ac:dyDescent="0.25">
      <c r="A13" s="16">
        <v>19596</v>
      </c>
      <c r="B13" s="49">
        <v>600</v>
      </c>
      <c r="C13" s="17" t="s">
        <v>315</v>
      </c>
      <c r="D13" s="13">
        <v>19546</v>
      </c>
      <c r="E13" s="70">
        <v>300</v>
      </c>
      <c r="F13" s="14" t="s">
        <v>316</v>
      </c>
      <c r="G13" s="11">
        <v>19690</v>
      </c>
      <c r="H13" s="67">
        <v>400</v>
      </c>
      <c r="I13" s="12" t="s">
        <v>422</v>
      </c>
      <c r="J13" s="61"/>
      <c r="K13" s="71"/>
      <c r="L13" s="62" t="s">
        <v>488</v>
      </c>
      <c r="M13" s="75">
        <v>19773</v>
      </c>
      <c r="N13" s="73">
        <v>850</v>
      </c>
      <c r="O13" s="15" t="s">
        <v>497</v>
      </c>
    </row>
    <row r="14" spans="1:18" x14ac:dyDescent="0.25">
      <c r="A14" s="16"/>
      <c r="B14" s="49"/>
      <c r="C14" s="17" t="s">
        <v>16</v>
      </c>
      <c r="D14" s="13">
        <v>19547</v>
      </c>
      <c r="E14" s="70">
        <v>300</v>
      </c>
      <c r="F14" s="14" t="s">
        <v>390</v>
      </c>
      <c r="G14" s="11"/>
      <c r="H14" s="67"/>
      <c r="I14" s="12" t="s">
        <v>14</v>
      </c>
      <c r="J14" s="61"/>
      <c r="K14" s="71"/>
      <c r="L14" s="62" t="s">
        <v>489</v>
      </c>
      <c r="M14" s="75"/>
      <c r="N14" s="73"/>
      <c r="O14" s="31" t="s">
        <v>163</v>
      </c>
    </row>
    <row r="15" spans="1:18" x14ac:dyDescent="0.25">
      <c r="A15" s="16">
        <v>19597</v>
      </c>
      <c r="B15" s="49">
        <v>200</v>
      </c>
      <c r="C15" s="17" t="s">
        <v>316</v>
      </c>
      <c r="D15" s="13">
        <v>19548</v>
      </c>
      <c r="E15" s="70">
        <v>350</v>
      </c>
      <c r="F15" s="14" t="s">
        <v>390</v>
      </c>
      <c r="G15" s="11">
        <v>19691</v>
      </c>
      <c r="H15" s="67">
        <v>300</v>
      </c>
      <c r="I15" s="12"/>
      <c r="J15" s="61">
        <v>19733</v>
      </c>
      <c r="K15" s="71">
        <v>200</v>
      </c>
      <c r="L15" s="68"/>
      <c r="M15" s="75">
        <v>19774</v>
      </c>
      <c r="N15" s="73">
        <v>50</v>
      </c>
      <c r="O15" s="15" t="s">
        <v>498</v>
      </c>
    </row>
    <row r="16" spans="1:18" x14ac:dyDescent="0.25">
      <c r="A16" s="16">
        <v>19598</v>
      </c>
      <c r="B16" s="49">
        <v>800</v>
      </c>
      <c r="C16" s="17" t="s">
        <v>460</v>
      </c>
      <c r="D16" s="13">
        <v>19549</v>
      </c>
      <c r="E16" s="70">
        <v>50</v>
      </c>
      <c r="F16" s="14" t="s">
        <v>20</v>
      </c>
      <c r="G16" s="11">
        <v>19692</v>
      </c>
      <c r="H16" s="67">
        <v>650</v>
      </c>
      <c r="I16" s="12" t="s">
        <v>476</v>
      </c>
      <c r="J16" s="61">
        <v>19734</v>
      </c>
      <c r="K16" s="71"/>
      <c r="L16" s="62" t="s">
        <v>59</v>
      </c>
      <c r="M16" s="75">
        <v>19775</v>
      </c>
      <c r="N16" s="73">
        <v>1200</v>
      </c>
      <c r="O16" s="15" t="s">
        <v>396</v>
      </c>
    </row>
    <row r="17" spans="1:15" x14ac:dyDescent="0.25">
      <c r="A17" s="16"/>
      <c r="B17" s="49"/>
      <c r="C17" s="17" t="s">
        <v>15</v>
      </c>
      <c r="D17" s="13">
        <v>19550</v>
      </c>
      <c r="E17" s="70">
        <v>1200</v>
      </c>
      <c r="F17" s="14" t="s">
        <v>353</v>
      </c>
      <c r="G17" s="11">
        <v>19693</v>
      </c>
      <c r="H17" s="67">
        <v>1500</v>
      </c>
      <c r="I17" s="12" t="s">
        <v>477</v>
      </c>
      <c r="J17" s="61">
        <v>19735</v>
      </c>
      <c r="K17" s="71"/>
      <c r="L17" s="62" t="s">
        <v>59</v>
      </c>
      <c r="M17" s="75"/>
      <c r="N17" s="73"/>
      <c r="O17" s="15" t="s">
        <v>15</v>
      </c>
    </row>
    <row r="18" spans="1:15" x14ac:dyDescent="0.25">
      <c r="A18" s="16">
        <v>19599</v>
      </c>
      <c r="B18" s="49">
        <v>800</v>
      </c>
      <c r="C18" s="17" t="s">
        <v>460</v>
      </c>
      <c r="D18" s="13"/>
      <c r="E18" s="70"/>
      <c r="F18" s="33" t="s">
        <v>15</v>
      </c>
      <c r="G18" s="11"/>
      <c r="H18" s="67"/>
      <c r="I18" s="12" t="s">
        <v>478</v>
      </c>
      <c r="J18" s="61">
        <v>19736</v>
      </c>
      <c r="K18" s="71"/>
      <c r="L18" s="62" t="s">
        <v>59</v>
      </c>
      <c r="M18" s="75">
        <v>19776</v>
      </c>
      <c r="N18" s="73">
        <v>100</v>
      </c>
      <c r="O18" s="15" t="s">
        <v>217</v>
      </c>
    </row>
    <row r="19" spans="1:15" x14ac:dyDescent="0.25">
      <c r="A19" s="16"/>
      <c r="B19" s="49"/>
      <c r="C19" s="17" t="s">
        <v>15</v>
      </c>
      <c r="D19" s="13">
        <v>19651</v>
      </c>
      <c r="E19" s="70">
        <v>600</v>
      </c>
      <c r="F19" s="14" t="s">
        <v>390</v>
      </c>
      <c r="G19" s="11">
        <v>19694</v>
      </c>
      <c r="H19" s="67">
        <v>800</v>
      </c>
      <c r="I19" s="12" t="s">
        <v>422</v>
      </c>
      <c r="J19" s="61">
        <v>19737</v>
      </c>
      <c r="K19" s="71"/>
      <c r="L19" s="62" t="s">
        <v>59</v>
      </c>
      <c r="M19" s="75">
        <v>19777</v>
      </c>
      <c r="N19" s="73">
        <v>400</v>
      </c>
      <c r="O19" s="15" t="s">
        <v>315</v>
      </c>
    </row>
    <row r="20" spans="1:15" x14ac:dyDescent="0.25">
      <c r="A20" s="16">
        <v>19600</v>
      </c>
      <c r="B20" s="49">
        <v>800</v>
      </c>
      <c r="C20" s="17" t="s">
        <v>315</v>
      </c>
      <c r="D20" s="13">
        <v>19652</v>
      </c>
      <c r="E20" s="70">
        <v>300</v>
      </c>
      <c r="F20" s="14" t="s">
        <v>390</v>
      </c>
      <c r="G20" s="11"/>
      <c r="H20" s="67"/>
      <c r="I20" s="12" t="s">
        <v>15</v>
      </c>
      <c r="J20" s="61">
        <v>19738</v>
      </c>
      <c r="K20" s="71"/>
      <c r="L20" s="62" t="s">
        <v>59</v>
      </c>
      <c r="M20" s="75"/>
      <c r="N20" s="73"/>
      <c r="O20" s="15" t="s">
        <v>14</v>
      </c>
    </row>
    <row r="21" spans="1:15" x14ac:dyDescent="0.25">
      <c r="A21" s="16"/>
      <c r="B21" s="49"/>
      <c r="C21" s="17" t="s">
        <v>15</v>
      </c>
      <c r="D21" s="13">
        <v>19653</v>
      </c>
      <c r="E21" s="70">
        <v>200</v>
      </c>
      <c r="F21" s="14" t="s">
        <v>472</v>
      </c>
      <c r="G21" s="11">
        <v>19695</v>
      </c>
      <c r="H21" s="67">
        <v>300</v>
      </c>
      <c r="I21" s="12" t="s">
        <v>273</v>
      </c>
      <c r="J21" s="61">
        <v>19739</v>
      </c>
      <c r="K21" s="71"/>
      <c r="L21" s="62" t="s">
        <v>59</v>
      </c>
      <c r="M21" s="75"/>
      <c r="N21" s="73"/>
      <c r="O21" s="15" t="s">
        <v>496</v>
      </c>
    </row>
    <row r="22" spans="1:15" x14ac:dyDescent="0.25">
      <c r="A22" s="16">
        <v>19601</v>
      </c>
      <c r="B22" s="49">
        <v>350</v>
      </c>
      <c r="C22" s="17"/>
      <c r="D22" s="13">
        <v>19654</v>
      </c>
      <c r="E22" s="70">
        <v>100</v>
      </c>
      <c r="F22" s="14"/>
      <c r="G22" s="11"/>
      <c r="H22" s="67"/>
      <c r="I22" s="12" t="s">
        <v>57</v>
      </c>
      <c r="J22" s="61">
        <v>19740</v>
      </c>
      <c r="K22" s="71"/>
      <c r="L22" s="62" t="s">
        <v>59</v>
      </c>
      <c r="M22" s="75">
        <v>19778</v>
      </c>
      <c r="N22" s="73">
        <v>300</v>
      </c>
      <c r="O22" s="15" t="s">
        <v>390</v>
      </c>
    </row>
    <row r="23" spans="1:15" x14ac:dyDescent="0.25">
      <c r="A23" s="16">
        <v>19602</v>
      </c>
      <c r="B23" s="49">
        <v>700</v>
      </c>
      <c r="C23" s="17" t="s">
        <v>462</v>
      </c>
      <c r="D23" s="13">
        <v>19655</v>
      </c>
      <c r="E23" s="70">
        <v>800</v>
      </c>
      <c r="F23" s="14" t="s">
        <v>422</v>
      </c>
      <c r="G23" s="11">
        <v>19696</v>
      </c>
      <c r="H23" s="67">
        <v>800</v>
      </c>
      <c r="I23" s="12" t="s">
        <v>479</v>
      </c>
      <c r="J23" s="61">
        <v>19741</v>
      </c>
      <c r="K23" s="71">
        <v>800</v>
      </c>
      <c r="L23" s="62" t="s">
        <v>315</v>
      </c>
      <c r="M23" s="75">
        <v>19779</v>
      </c>
      <c r="N23" s="73">
        <v>3600</v>
      </c>
      <c r="O23" s="15" t="s">
        <v>499</v>
      </c>
    </row>
    <row r="24" spans="1:15" x14ac:dyDescent="0.25">
      <c r="A24" s="16"/>
      <c r="B24" s="49"/>
      <c r="C24" s="17" t="s">
        <v>16</v>
      </c>
      <c r="D24" s="13"/>
      <c r="E24" s="70"/>
      <c r="F24" s="14" t="s">
        <v>15</v>
      </c>
      <c r="G24" s="11"/>
      <c r="H24" s="67"/>
      <c r="I24" s="12" t="s">
        <v>15</v>
      </c>
      <c r="J24" s="61"/>
      <c r="K24" s="71"/>
      <c r="L24" s="62" t="s">
        <v>15</v>
      </c>
      <c r="M24" s="75"/>
      <c r="N24" s="73"/>
      <c r="O24" s="15" t="s">
        <v>16</v>
      </c>
    </row>
    <row r="25" spans="1:15" x14ac:dyDescent="0.25">
      <c r="A25" s="16">
        <v>19603</v>
      </c>
      <c r="B25" s="49">
        <v>400</v>
      </c>
      <c r="C25" s="17" t="s">
        <v>316</v>
      </c>
      <c r="D25" s="13">
        <v>19656</v>
      </c>
      <c r="E25" s="70">
        <v>400</v>
      </c>
      <c r="F25" s="14"/>
      <c r="G25" s="11">
        <v>19697</v>
      </c>
      <c r="H25" s="67">
        <v>400</v>
      </c>
      <c r="I25" s="12" t="s">
        <v>422</v>
      </c>
      <c r="J25" s="61">
        <v>19742</v>
      </c>
      <c r="K25" s="71">
        <v>800</v>
      </c>
      <c r="L25" s="62" t="s">
        <v>315</v>
      </c>
      <c r="M25" s="75">
        <v>19780</v>
      </c>
      <c r="N25" s="73">
        <v>400</v>
      </c>
      <c r="O25" s="15"/>
    </row>
    <row r="26" spans="1:15" x14ac:dyDescent="0.25">
      <c r="A26" s="16">
        <v>19604</v>
      </c>
      <c r="B26" s="49">
        <v>800</v>
      </c>
      <c r="C26" s="17" t="s">
        <v>315</v>
      </c>
      <c r="D26" s="13">
        <v>19657</v>
      </c>
      <c r="E26" s="70">
        <v>400</v>
      </c>
      <c r="F26" s="14"/>
      <c r="G26" s="11"/>
      <c r="H26" s="67"/>
      <c r="I26" s="12" t="s">
        <v>14</v>
      </c>
      <c r="J26" s="61"/>
      <c r="K26" s="71"/>
      <c r="L26" s="62" t="s">
        <v>15</v>
      </c>
      <c r="M26" s="75">
        <v>19781</v>
      </c>
      <c r="N26" s="73">
        <v>1050</v>
      </c>
      <c r="O26" s="15" t="s">
        <v>482</v>
      </c>
    </row>
    <row r="27" spans="1:15" x14ac:dyDescent="0.25">
      <c r="A27" s="16"/>
      <c r="B27" s="49"/>
      <c r="C27" s="17" t="s">
        <v>15</v>
      </c>
      <c r="D27" s="13">
        <v>19658</v>
      </c>
      <c r="E27" s="70">
        <v>300</v>
      </c>
      <c r="F27" s="14"/>
      <c r="G27" s="11">
        <v>19698</v>
      </c>
      <c r="H27" s="67">
        <v>500</v>
      </c>
      <c r="I27" s="12" t="s">
        <v>422</v>
      </c>
      <c r="J27" s="61">
        <v>19743</v>
      </c>
      <c r="K27" s="71">
        <v>400</v>
      </c>
      <c r="L27" s="62" t="s">
        <v>316</v>
      </c>
      <c r="M27" s="75"/>
      <c r="N27" s="73"/>
      <c r="O27" s="31" t="s">
        <v>18</v>
      </c>
    </row>
    <row r="28" spans="1:15" x14ac:dyDescent="0.25">
      <c r="A28" s="16">
        <v>19605</v>
      </c>
      <c r="B28" s="49">
        <v>400</v>
      </c>
      <c r="C28" s="17"/>
      <c r="D28" s="13">
        <v>19659</v>
      </c>
      <c r="E28" s="70">
        <v>400</v>
      </c>
      <c r="F28" s="14"/>
      <c r="G28" s="11"/>
      <c r="H28" s="67"/>
      <c r="I28" s="12" t="s">
        <v>480</v>
      </c>
      <c r="J28" s="61">
        <v>19744</v>
      </c>
      <c r="K28" s="71">
        <v>900</v>
      </c>
      <c r="L28" s="62" t="s">
        <v>396</v>
      </c>
      <c r="M28" s="75">
        <v>19782</v>
      </c>
      <c r="N28" s="73">
        <v>800</v>
      </c>
      <c r="O28" s="15" t="s">
        <v>453</v>
      </c>
    </row>
    <row r="29" spans="1:15" x14ac:dyDescent="0.25">
      <c r="A29" s="16">
        <v>19606</v>
      </c>
      <c r="B29" s="49">
        <v>200</v>
      </c>
      <c r="C29" s="17"/>
      <c r="D29" s="13">
        <v>19660</v>
      </c>
      <c r="E29" s="70">
        <v>250</v>
      </c>
      <c r="F29" s="14"/>
      <c r="G29" s="11">
        <v>19699</v>
      </c>
      <c r="H29" s="67">
        <v>150</v>
      </c>
      <c r="I29" s="12" t="s">
        <v>481</v>
      </c>
      <c r="J29" s="61"/>
      <c r="K29" s="71"/>
      <c r="L29" s="62" t="s">
        <v>16</v>
      </c>
      <c r="M29" s="75"/>
      <c r="N29" s="73"/>
      <c r="O29" s="15" t="s">
        <v>15</v>
      </c>
    </row>
    <row r="30" spans="1:15" x14ac:dyDescent="0.25">
      <c r="A30" s="16">
        <v>19607</v>
      </c>
      <c r="B30" s="49">
        <v>350</v>
      </c>
      <c r="C30" s="17"/>
      <c r="D30" s="13">
        <v>19661</v>
      </c>
      <c r="E30" s="70">
        <v>1200</v>
      </c>
      <c r="F30" s="14" t="s">
        <v>443</v>
      </c>
      <c r="G30" s="11">
        <v>19700</v>
      </c>
      <c r="H30" s="67">
        <v>200</v>
      </c>
      <c r="I30" s="12" t="s">
        <v>316</v>
      </c>
      <c r="J30" s="61">
        <v>19745</v>
      </c>
      <c r="K30" s="71">
        <v>800</v>
      </c>
      <c r="L30" s="62" t="s">
        <v>315</v>
      </c>
      <c r="M30" s="75">
        <v>19783</v>
      </c>
      <c r="N30" s="73">
        <v>600</v>
      </c>
      <c r="O30" s="15" t="s">
        <v>500</v>
      </c>
    </row>
    <row r="31" spans="1:15" x14ac:dyDescent="0.25">
      <c r="A31" s="16">
        <v>19608</v>
      </c>
      <c r="B31" s="49">
        <v>450</v>
      </c>
      <c r="C31" s="17" t="s">
        <v>463</v>
      </c>
      <c r="D31" s="13"/>
      <c r="E31" s="70"/>
      <c r="F31" s="14" t="s">
        <v>15</v>
      </c>
      <c r="G31" s="11">
        <v>19701</v>
      </c>
      <c r="H31" s="67">
        <v>250</v>
      </c>
      <c r="I31" s="12"/>
      <c r="J31" s="61"/>
      <c r="K31" s="71"/>
      <c r="L31" s="62" t="s">
        <v>15</v>
      </c>
      <c r="M31" s="75"/>
      <c r="N31" s="73"/>
      <c r="O31" s="15" t="s">
        <v>14</v>
      </c>
    </row>
    <row r="32" spans="1:15" x14ac:dyDescent="0.25">
      <c r="A32" s="16">
        <v>19609</v>
      </c>
      <c r="B32" s="49">
        <v>1600</v>
      </c>
      <c r="C32" s="17" t="s">
        <v>464</v>
      </c>
      <c r="D32" s="13">
        <v>19662</v>
      </c>
      <c r="E32" s="70">
        <v>400</v>
      </c>
      <c r="F32" s="14" t="s">
        <v>302</v>
      </c>
      <c r="G32" s="11">
        <v>19702</v>
      </c>
      <c r="H32" s="67">
        <v>400</v>
      </c>
      <c r="I32" s="12"/>
      <c r="J32" s="61">
        <v>19746</v>
      </c>
      <c r="K32" s="71">
        <v>800</v>
      </c>
      <c r="L32" s="62" t="s">
        <v>315</v>
      </c>
      <c r="M32" s="75">
        <v>19784</v>
      </c>
      <c r="N32" s="73">
        <v>800</v>
      </c>
      <c r="O32" s="15" t="s">
        <v>422</v>
      </c>
    </row>
    <row r="33" spans="1:15" x14ac:dyDescent="0.25">
      <c r="A33" s="16"/>
      <c r="B33" s="49"/>
      <c r="C33" s="17" t="s">
        <v>15</v>
      </c>
      <c r="D33" s="13">
        <v>19663</v>
      </c>
      <c r="E33" s="70">
        <v>800</v>
      </c>
      <c r="F33" s="14" t="s">
        <v>315</v>
      </c>
      <c r="G33" s="11">
        <v>19703</v>
      </c>
      <c r="H33" s="67">
        <v>400</v>
      </c>
      <c r="I33" s="12"/>
      <c r="J33" s="61"/>
      <c r="K33" s="71"/>
      <c r="L33" s="62" t="s">
        <v>15</v>
      </c>
      <c r="M33" s="75"/>
      <c r="N33" s="73"/>
      <c r="O33" s="15" t="s">
        <v>15</v>
      </c>
    </row>
    <row r="34" spans="1:15" x14ac:dyDescent="0.25">
      <c r="A34" s="16">
        <v>19610</v>
      </c>
      <c r="B34" s="49">
        <v>400</v>
      </c>
      <c r="C34" s="17"/>
      <c r="D34" s="13"/>
      <c r="E34" s="70"/>
      <c r="F34" s="14" t="s">
        <v>15</v>
      </c>
      <c r="G34" s="11">
        <v>19704</v>
      </c>
      <c r="H34" s="67">
        <v>800</v>
      </c>
      <c r="I34" s="12" t="s">
        <v>422</v>
      </c>
      <c r="J34" s="61">
        <v>19747</v>
      </c>
      <c r="K34" s="71">
        <v>600</v>
      </c>
      <c r="L34" s="62" t="s">
        <v>422</v>
      </c>
      <c r="M34" s="75">
        <v>19785</v>
      </c>
      <c r="N34" s="73">
        <v>600</v>
      </c>
      <c r="O34" s="31" t="s">
        <v>490</v>
      </c>
    </row>
    <row r="35" spans="1:15" x14ac:dyDescent="0.25">
      <c r="A35" s="16">
        <v>19611</v>
      </c>
      <c r="B35" s="49">
        <v>200</v>
      </c>
      <c r="C35" s="17"/>
      <c r="D35" s="13">
        <v>19664</v>
      </c>
      <c r="E35" s="70">
        <v>200</v>
      </c>
      <c r="F35" s="14"/>
      <c r="G35" s="11"/>
      <c r="H35" s="67"/>
      <c r="I35" s="12" t="s">
        <v>15</v>
      </c>
      <c r="J35" s="61"/>
      <c r="K35" s="71"/>
      <c r="L35" s="62" t="s">
        <v>16</v>
      </c>
      <c r="M35" s="75"/>
      <c r="N35" s="73"/>
      <c r="O35" s="15" t="s">
        <v>501</v>
      </c>
    </row>
    <row r="36" spans="1:15" x14ac:dyDescent="0.25">
      <c r="A36" s="16">
        <v>19612</v>
      </c>
      <c r="B36" s="49">
        <v>400</v>
      </c>
      <c r="C36" s="17" t="s">
        <v>390</v>
      </c>
      <c r="D36" s="13">
        <v>19665</v>
      </c>
      <c r="E36" s="70">
        <v>400</v>
      </c>
      <c r="F36" s="14"/>
      <c r="G36" s="11">
        <v>19705</v>
      </c>
      <c r="H36" s="67">
        <v>1200</v>
      </c>
      <c r="I36" s="12" t="s">
        <v>396</v>
      </c>
      <c r="J36" s="61">
        <v>19748</v>
      </c>
      <c r="K36" s="71">
        <v>400</v>
      </c>
      <c r="L36" s="62" t="s">
        <v>390</v>
      </c>
      <c r="M36" s="75">
        <v>19786</v>
      </c>
      <c r="N36" s="73">
        <v>1200</v>
      </c>
      <c r="O36" s="15" t="s">
        <v>443</v>
      </c>
    </row>
    <row r="37" spans="1:15" x14ac:dyDescent="0.25">
      <c r="A37" s="16">
        <v>19613</v>
      </c>
      <c r="B37" s="49">
        <v>800</v>
      </c>
      <c r="C37" s="17" t="s">
        <v>460</v>
      </c>
      <c r="D37" s="13">
        <v>19666</v>
      </c>
      <c r="E37" s="70">
        <v>400</v>
      </c>
      <c r="F37" s="14"/>
      <c r="G37" s="11"/>
      <c r="H37" s="67"/>
      <c r="I37" s="12" t="s">
        <v>15</v>
      </c>
      <c r="J37" s="61">
        <v>19749</v>
      </c>
      <c r="K37" s="71">
        <v>400</v>
      </c>
      <c r="L37" s="62"/>
      <c r="M37" s="75"/>
      <c r="N37" s="73"/>
      <c r="O37" s="15" t="s">
        <v>15</v>
      </c>
    </row>
    <row r="38" spans="1:15" x14ac:dyDescent="0.25">
      <c r="A38" s="16"/>
      <c r="B38" s="49"/>
      <c r="C38" s="17" t="s">
        <v>15</v>
      </c>
      <c r="D38" s="13">
        <v>19667</v>
      </c>
      <c r="E38" s="70">
        <v>500</v>
      </c>
      <c r="F38" s="14" t="s">
        <v>473</v>
      </c>
      <c r="G38" s="11">
        <v>19706</v>
      </c>
      <c r="H38" s="67">
        <v>400</v>
      </c>
      <c r="I38" s="12"/>
      <c r="J38" s="61">
        <v>19750</v>
      </c>
      <c r="K38" s="71">
        <v>400</v>
      </c>
      <c r="L38" s="62" t="s">
        <v>490</v>
      </c>
      <c r="M38" s="75">
        <v>19787</v>
      </c>
      <c r="N38" s="73">
        <v>500</v>
      </c>
      <c r="O38" s="15" t="s">
        <v>494</v>
      </c>
    </row>
    <row r="39" spans="1:15" x14ac:dyDescent="0.25">
      <c r="A39" s="16">
        <v>19614</v>
      </c>
      <c r="B39" s="49">
        <v>400</v>
      </c>
      <c r="C39" s="17"/>
      <c r="D39" s="13">
        <v>19668</v>
      </c>
      <c r="E39" s="70">
        <v>400</v>
      </c>
      <c r="F39" s="14"/>
      <c r="G39" s="11">
        <v>19707</v>
      </c>
      <c r="H39" s="67">
        <v>800</v>
      </c>
      <c r="I39" s="12" t="s">
        <v>422</v>
      </c>
      <c r="J39" s="61">
        <v>19751</v>
      </c>
      <c r="K39" s="71">
        <v>400</v>
      </c>
      <c r="L39" s="62" t="s">
        <v>422</v>
      </c>
      <c r="M39" s="75"/>
      <c r="N39" s="73"/>
      <c r="O39" s="15" t="s">
        <v>19</v>
      </c>
    </row>
    <row r="40" spans="1:15" x14ac:dyDescent="0.25">
      <c r="A40" s="16">
        <v>19615</v>
      </c>
      <c r="B40" s="49">
        <v>400</v>
      </c>
      <c r="C40" s="17"/>
      <c r="D40" s="13">
        <v>19669</v>
      </c>
      <c r="E40" s="70">
        <v>800</v>
      </c>
      <c r="F40" s="14" t="s">
        <v>422</v>
      </c>
      <c r="G40" s="11"/>
      <c r="H40" s="67"/>
      <c r="I40" s="12" t="s">
        <v>15</v>
      </c>
      <c r="J40" s="61"/>
      <c r="K40" s="71"/>
      <c r="L40" s="62" t="s">
        <v>14</v>
      </c>
      <c r="M40" s="75">
        <v>19788</v>
      </c>
      <c r="N40" s="73">
        <v>1200</v>
      </c>
      <c r="O40" s="15" t="s">
        <v>443</v>
      </c>
    </row>
    <row r="41" spans="1:15" x14ac:dyDescent="0.25">
      <c r="A41" s="16">
        <v>19616</v>
      </c>
      <c r="B41" s="49">
        <v>800</v>
      </c>
      <c r="C41" s="17" t="s">
        <v>315</v>
      </c>
      <c r="D41" s="13"/>
      <c r="E41" s="70"/>
      <c r="F41" s="14" t="s">
        <v>15</v>
      </c>
      <c r="G41" s="11">
        <v>19708</v>
      </c>
      <c r="H41" s="67">
        <v>400</v>
      </c>
      <c r="I41" s="12"/>
      <c r="J41" s="61">
        <v>19752</v>
      </c>
      <c r="K41" s="71">
        <v>300</v>
      </c>
      <c r="L41" s="62" t="s">
        <v>491</v>
      </c>
      <c r="M41" s="75"/>
      <c r="N41" s="73"/>
      <c r="O41" s="15" t="s">
        <v>15</v>
      </c>
    </row>
    <row r="42" spans="1:15" x14ac:dyDescent="0.25">
      <c r="A42" s="16"/>
      <c r="B42" s="49"/>
      <c r="C42" s="17" t="s">
        <v>15</v>
      </c>
      <c r="D42" s="13">
        <v>19670</v>
      </c>
      <c r="E42" s="70">
        <v>800</v>
      </c>
      <c r="F42" s="14" t="s">
        <v>422</v>
      </c>
      <c r="G42" s="11">
        <v>19709</v>
      </c>
      <c r="H42" s="67">
        <v>400</v>
      </c>
      <c r="I42" s="12"/>
      <c r="J42" s="61">
        <v>19753</v>
      </c>
      <c r="K42" s="71">
        <v>200</v>
      </c>
      <c r="L42" s="62" t="s">
        <v>492</v>
      </c>
      <c r="M42" s="75">
        <v>19789</v>
      </c>
      <c r="N42" s="73">
        <v>300</v>
      </c>
      <c r="O42" s="15" t="s">
        <v>490</v>
      </c>
    </row>
    <row r="43" spans="1:15" x14ac:dyDescent="0.25">
      <c r="A43" s="16">
        <v>19617</v>
      </c>
      <c r="B43" s="49">
        <v>400</v>
      </c>
      <c r="C43" s="17"/>
      <c r="D43" s="13"/>
      <c r="E43" s="70"/>
      <c r="F43" s="14" t="s">
        <v>15</v>
      </c>
      <c r="G43" s="11">
        <v>19710</v>
      </c>
      <c r="H43" s="67">
        <v>1200</v>
      </c>
      <c r="I43" s="12" t="s">
        <v>482</v>
      </c>
      <c r="J43" s="61">
        <v>19754</v>
      </c>
      <c r="K43" s="71">
        <v>200</v>
      </c>
      <c r="L43" s="62" t="s">
        <v>490</v>
      </c>
      <c r="M43" s="75">
        <v>19790</v>
      </c>
      <c r="N43" s="73">
        <v>800</v>
      </c>
      <c r="O43" s="15" t="s">
        <v>422</v>
      </c>
    </row>
    <row r="44" spans="1:15" x14ac:dyDescent="0.25">
      <c r="A44" s="16">
        <v>19618</v>
      </c>
      <c r="B44" s="49">
        <v>400</v>
      </c>
      <c r="C44" s="17"/>
      <c r="D44" s="13">
        <v>19671</v>
      </c>
      <c r="E44" s="70">
        <v>1200</v>
      </c>
      <c r="F44" s="14" t="s">
        <v>396</v>
      </c>
      <c r="G44" s="11"/>
      <c r="H44" s="67"/>
      <c r="I44" s="12" t="s">
        <v>15</v>
      </c>
      <c r="J44" s="61">
        <v>19755</v>
      </c>
      <c r="K44" s="71">
        <v>350</v>
      </c>
      <c r="L44" s="62"/>
      <c r="M44" s="75"/>
      <c r="N44" s="73"/>
      <c r="O44" s="15" t="s">
        <v>15</v>
      </c>
    </row>
    <row r="45" spans="1:15" x14ac:dyDescent="0.25">
      <c r="A45" s="16">
        <v>19619</v>
      </c>
      <c r="B45" s="49">
        <v>500</v>
      </c>
      <c r="C45" s="17" t="s">
        <v>315</v>
      </c>
      <c r="D45" s="13"/>
      <c r="E45" s="70"/>
      <c r="F45" s="14" t="s">
        <v>15</v>
      </c>
      <c r="G45" s="11">
        <v>19711</v>
      </c>
      <c r="H45" s="67">
        <v>200</v>
      </c>
      <c r="I45" s="12" t="s">
        <v>390</v>
      </c>
      <c r="J45" s="61">
        <v>19756</v>
      </c>
      <c r="K45" s="71">
        <v>300</v>
      </c>
      <c r="L45" s="62"/>
      <c r="M45" s="75">
        <v>19791</v>
      </c>
      <c r="N45" s="73">
        <v>400</v>
      </c>
      <c r="O45" s="15"/>
    </row>
    <row r="46" spans="1:15" x14ac:dyDescent="0.25">
      <c r="A46" s="16"/>
      <c r="B46" s="49"/>
      <c r="C46" s="17" t="s">
        <v>19</v>
      </c>
      <c r="D46" s="13">
        <v>19672</v>
      </c>
      <c r="E46" s="70">
        <v>400</v>
      </c>
      <c r="F46" s="14"/>
      <c r="G46" s="11">
        <v>19712</v>
      </c>
      <c r="H46" s="67">
        <v>250</v>
      </c>
      <c r="I46" s="12" t="s">
        <v>483</v>
      </c>
      <c r="J46" s="61">
        <v>19757</v>
      </c>
      <c r="K46" s="71">
        <v>800</v>
      </c>
      <c r="L46" s="62" t="s">
        <v>453</v>
      </c>
      <c r="M46" s="75">
        <v>19792</v>
      </c>
      <c r="N46" s="73">
        <v>400</v>
      </c>
      <c r="O46" s="15"/>
    </row>
    <row r="47" spans="1:15" x14ac:dyDescent="0.25">
      <c r="A47" s="16">
        <v>19620</v>
      </c>
      <c r="B47" s="49">
        <v>400</v>
      </c>
      <c r="C47" s="17" t="s">
        <v>390</v>
      </c>
      <c r="D47" s="13">
        <v>19673</v>
      </c>
      <c r="E47" s="70">
        <v>400</v>
      </c>
      <c r="F47" s="14"/>
      <c r="G47" s="11">
        <v>19713</v>
      </c>
      <c r="H47" s="67">
        <v>400</v>
      </c>
      <c r="I47" s="12"/>
      <c r="J47" s="61"/>
      <c r="K47" s="71"/>
      <c r="L47" s="62" t="s">
        <v>15</v>
      </c>
      <c r="M47" s="75">
        <v>19793</v>
      </c>
      <c r="N47" s="73">
        <v>800</v>
      </c>
      <c r="O47" s="15" t="s">
        <v>453</v>
      </c>
    </row>
    <row r="48" spans="1:15" x14ac:dyDescent="0.25">
      <c r="A48" s="16">
        <v>19621</v>
      </c>
      <c r="B48" s="49">
        <v>400</v>
      </c>
      <c r="C48" s="17" t="s">
        <v>460</v>
      </c>
      <c r="D48" s="13">
        <v>19674</v>
      </c>
      <c r="E48" s="70">
        <v>250</v>
      </c>
      <c r="F48" s="14" t="s">
        <v>474</v>
      </c>
      <c r="G48" s="11">
        <v>19714</v>
      </c>
      <c r="H48" s="67">
        <v>100</v>
      </c>
      <c r="I48" s="12" t="s">
        <v>217</v>
      </c>
      <c r="J48" s="61">
        <v>19758</v>
      </c>
      <c r="K48" s="71">
        <v>400</v>
      </c>
      <c r="L48" s="62"/>
      <c r="M48" s="75"/>
      <c r="N48" s="73"/>
      <c r="O48" s="15" t="s">
        <v>15</v>
      </c>
    </row>
    <row r="49" spans="1:15" x14ac:dyDescent="0.25">
      <c r="A49" s="16"/>
      <c r="B49" s="49"/>
      <c r="C49" s="17" t="s">
        <v>14</v>
      </c>
      <c r="D49" s="13">
        <v>19675</v>
      </c>
      <c r="E49" s="70">
        <v>2400</v>
      </c>
      <c r="F49" s="14" t="s">
        <v>50</v>
      </c>
      <c r="G49" s="11">
        <v>19715</v>
      </c>
      <c r="H49" s="67">
        <v>1200</v>
      </c>
      <c r="I49" s="12" t="s">
        <v>396</v>
      </c>
      <c r="J49" s="61">
        <v>19759</v>
      </c>
      <c r="K49" s="71">
        <v>300</v>
      </c>
      <c r="L49" s="62" t="s">
        <v>390</v>
      </c>
      <c r="M49" s="75">
        <v>19794</v>
      </c>
      <c r="N49" s="73">
        <v>600</v>
      </c>
      <c r="O49" s="15" t="s">
        <v>482</v>
      </c>
    </row>
    <row r="50" spans="1:15" x14ac:dyDescent="0.25">
      <c r="A50" s="16">
        <v>19622</v>
      </c>
      <c r="B50" s="49">
        <v>300</v>
      </c>
      <c r="C50" s="17"/>
      <c r="D50" s="13"/>
      <c r="E50" s="70"/>
      <c r="F50" s="14" t="s">
        <v>15</v>
      </c>
      <c r="G50" s="11"/>
      <c r="H50" s="67"/>
      <c r="I50" s="12" t="s">
        <v>15</v>
      </c>
      <c r="J50" s="61">
        <v>19760</v>
      </c>
      <c r="K50" s="71">
        <v>400</v>
      </c>
      <c r="L50" s="62" t="s">
        <v>390</v>
      </c>
      <c r="M50" s="75"/>
      <c r="N50" s="73"/>
      <c r="O50" s="15" t="s">
        <v>14</v>
      </c>
    </row>
    <row r="51" spans="1:15" x14ac:dyDescent="0.25">
      <c r="A51" s="16">
        <v>19623</v>
      </c>
      <c r="B51" s="49">
        <v>1200</v>
      </c>
      <c r="C51" s="17" t="s">
        <v>465</v>
      </c>
      <c r="D51" s="13">
        <v>19676</v>
      </c>
      <c r="E51" s="70">
        <v>800</v>
      </c>
      <c r="F51" s="14" t="s">
        <v>422</v>
      </c>
      <c r="G51" s="11">
        <v>19716</v>
      </c>
      <c r="H51" s="67">
        <v>700</v>
      </c>
      <c r="I51" s="12" t="s">
        <v>422</v>
      </c>
      <c r="J51" s="61">
        <v>19761</v>
      </c>
      <c r="K51" s="71">
        <v>400</v>
      </c>
      <c r="L51" s="62"/>
      <c r="M51" s="75">
        <v>19795</v>
      </c>
      <c r="N51" s="73">
        <v>300</v>
      </c>
      <c r="O51" s="15"/>
    </row>
    <row r="52" spans="1:15" x14ac:dyDescent="0.25">
      <c r="A52" s="16"/>
      <c r="B52" s="49"/>
      <c r="C52" s="17" t="s">
        <v>15</v>
      </c>
      <c r="D52" s="13"/>
      <c r="E52" s="70"/>
      <c r="F52" s="14" t="s">
        <v>15</v>
      </c>
      <c r="G52" s="11"/>
      <c r="H52" s="67"/>
      <c r="I52" s="12" t="s">
        <v>18</v>
      </c>
      <c r="J52" s="61">
        <v>19762</v>
      </c>
      <c r="K52" s="71">
        <v>250</v>
      </c>
      <c r="L52" s="62" t="s">
        <v>493</v>
      </c>
      <c r="M52" s="75">
        <v>19796</v>
      </c>
      <c r="N52" s="73">
        <v>400</v>
      </c>
      <c r="O52" s="15" t="s">
        <v>52</v>
      </c>
    </row>
    <row r="53" spans="1:15" x14ac:dyDescent="0.25">
      <c r="A53" s="16">
        <v>19624</v>
      </c>
      <c r="B53" s="49">
        <v>400</v>
      </c>
      <c r="C53" s="17"/>
      <c r="D53" s="13">
        <v>19677</v>
      </c>
      <c r="E53" s="70">
        <v>150</v>
      </c>
      <c r="F53" s="14"/>
      <c r="G53" s="11">
        <v>19717</v>
      </c>
      <c r="H53" s="67">
        <v>400</v>
      </c>
      <c r="I53" s="12" t="s">
        <v>390</v>
      </c>
      <c r="J53" s="61">
        <v>19763</v>
      </c>
      <c r="K53" s="71">
        <v>400</v>
      </c>
      <c r="L53" s="62"/>
      <c r="M53" s="75">
        <v>19797</v>
      </c>
      <c r="N53" s="73">
        <v>200</v>
      </c>
      <c r="O53" s="15"/>
    </row>
    <row r="54" spans="1:15" x14ac:dyDescent="0.25">
      <c r="A54" s="16">
        <v>19625</v>
      </c>
      <c r="B54" s="49">
        <v>800</v>
      </c>
      <c r="C54" s="17" t="s">
        <v>460</v>
      </c>
      <c r="D54" s="13">
        <v>19678</v>
      </c>
      <c r="E54" s="70">
        <v>1200</v>
      </c>
      <c r="F54" s="14" t="s">
        <v>465</v>
      </c>
      <c r="G54" s="11">
        <v>19718</v>
      </c>
      <c r="H54" s="67">
        <v>200</v>
      </c>
      <c r="I54" s="12" t="s">
        <v>390</v>
      </c>
      <c r="J54" s="61">
        <v>19764</v>
      </c>
      <c r="K54" s="71">
        <v>1200</v>
      </c>
      <c r="L54" s="62" t="s">
        <v>396</v>
      </c>
      <c r="M54" s="75">
        <v>19798</v>
      </c>
      <c r="N54" s="73">
        <v>400</v>
      </c>
      <c r="O54" s="15" t="s">
        <v>490</v>
      </c>
    </row>
    <row r="55" spans="1:15" x14ac:dyDescent="0.25">
      <c r="A55" s="16"/>
      <c r="B55" s="49"/>
      <c r="C55" s="17" t="s">
        <v>15</v>
      </c>
      <c r="D55" s="13"/>
      <c r="E55" s="70"/>
      <c r="F55" s="14" t="s">
        <v>15</v>
      </c>
      <c r="G55" s="11">
        <v>19719</v>
      </c>
      <c r="H55" s="67">
        <v>400</v>
      </c>
      <c r="I55" s="12"/>
      <c r="J55" s="61"/>
      <c r="K55" s="71"/>
      <c r="L55" s="62" t="s">
        <v>15</v>
      </c>
      <c r="M55" s="75">
        <v>19799</v>
      </c>
      <c r="N55" s="73">
        <v>800</v>
      </c>
      <c r="O55" s="15" t="s">
        <v>502</v>
      </c>
    </row>
    <row r="56" spans="1:15" x14ac:dyDescent="0.25">
      <c r="A56" s="16">
        <v>19626</v>
      </c>
      <c r="B56" s="49">
        <v>400</v>
      </c>
      <c r="C56" s="17"/>
      <c r="D56" s="13">
        <v>19679</v>
      </c>
      <c r="E56" s="70">
        <v>800</v>
      </c>
      <c r="F56" s="14" t="s">
        <v>444</v>
      </c>
      <c r="G56" s="11">
        <v>19720</v>
      </c>
      <c r="H56" s="67">
        <v>300</v>
      </c>
      <c r="I56" s="12"/>
      <c r="J56" s="61">
        <v>19765</v>
      </c>
      <c r="K56" s="71">
        <v>400</v>
      </c>
      <c r="L56" s="68" t="s">
        <v>302</v>
      </c>
      <c r="M56" s="75"/>
      <c r="N56" s="73"/>
      <c r="O56" s="15" t="s">
        <v>15</v>
      </c>
    </row>
    <row r="57" spans="1:15" x14ac:dyDescent="0.25">
      <c r="A57" s="16">
        <v>19627</v>
      </c>
      <c r="B57" s="49">
        <v>250</v>
      </c>
      <c r="C57" s="17"/>
      <c r="D57" s="13"/>
      <c r="E57" s="70"/>
      <c r="F57" s="14" t="s">
        <v>14</v>
      </c>
      <c r="G57" s="11">
        <v>19721</v>
      </c>
      <c r="H57" s="67">
        <v>50</v>
      </c>
      <c r="I57" s="12" t="s">
        <v>20</v>
      </c>
      <c r="J57" s="61">
        <v>19766</v>
      </c>
      <c r="K57" s="71">
        <v>400</v>
      </c>
      <c r="L57" s="62"/>
      <c r="M57" s="75">
        <v>19800</v>
      </c>
      <c r="N57" s="73">
        <v>800</v>
      </c>
      <c r="O57" s="15" t="s">
        <v>422</v>
      </c>
    </row>
    <row r="58" spans="1:15" x14ac:dyDescent="0.25">
      <c r="A58" s="16">
        <v>19628</v>
      </c>
      <c r="B58" s="49">
        <v>400</v>
      </c>
      <c r="C58" s="17"/>
      <c r="D58" s="13">
        <v>19680</v>
      </c>
      <c r="E58" s="70">
        <v>400</v>
      </c>
      <c r="F58" s="14"/>
      <c r="G58" s="11">
        <v>19722</v>
      </c>
      <c r="H58" s="67">
        <v>400</v>
      </c>
      <c r="I58" s="12"/>
      <c r="J58" s="61">
        <v>19767</v>
      </c>
      <c r="K58" s="71">
        <v>700</v>
      </c>
      <c r="L58" s="62" t="s">
        <v>494</v>
      </c>
      <c r="M58" s="75"/>
      <c r="N58" s="73"/>
      <c r="O58" s="15" t="s">
        <v>15</v>
      </c>
    </row>
    <row r="59" spans="1:15" x14ac:dyDescent="0.25">
      <c r="A59" s="16">
        <v>19629</v>
      </c>
      <c r="B59" s="49">
        <v>300</v>
      </c>
      <c r="C59" s="17" t="s">
        <v>390</v>
      </c>
      <c r="D59" s="13">
        <v>19681</v>
      </c>
      <c r="E59" s="70">
        <v>400</v>
      </c>
      <c r="F59" s="14"/>
      <c r="G59" s="11">
        <v>19723</v>
      </c>
      <c r="H59" s="67">
        <v>400</v>
      </c>
      <c r="I59" s="12" t="s">
        <v>315</v>
      </c>
      <c r="J59" s="61"/>
      <c r="K59" s="71"/>
      <c r="L59" s="62" t="s">
        <v>495</v>
      </c>
      <c r="M59" s="75">
        <v>19801</v>
      </c>
      <c r="N59" s="73">
        <v>400</v>
      </c>
      <c r="O59" s="15" t="s">
        <v>422</v>
      </c>
    </row>
    <row r="60" spans="1:15" x14ac:dyDescent="0.25">
      <c r="A60" s="16">
        <v>19630</v>
      </c>
      <c r="B60" s="49">
        <v>400</v>
      </c>
      <c r="C60" s="17"/>
      <c r="D60" s="13">
        <v>19682</v>
      </c>
      <c r="E60" s="70">
        <v>1000</v>
      </c>
      <c r="F60" s="14" t="s">
        <v>380</v>
      </c>
      <c r="G60" s="11"/>
      <c r="H60" s="67"/>
      <c r="I60" s="12" t="s">
        <v>14</v>
      </c>
      <c r="J60" s="61">
        <v>19768</v>
      </c>
      <c r="K60" s="71">
        <v>400</v>
      </c>
      <c r="L60" s="62" t="s">
        <v>52</v>
      </c>
      <c r="M60" s="75"/>
      <c r="N60" s="73"/>
      <c r="O60" s="15" t="s">
        <v>14</v>
      </c>
    </row>
    <row r="61" spans="1:15" x14ac:dyDescent="0.25">
      <c r="A61" s="16">
        <v>19631</v>
      </c>
      <c r="B61" s="49">
        <v>1200</v>
      </c>
      <c r="C61" s="17" t="s">
        <v>274</v>
      </c>
      <c r="D61" s="13"/>
      <c r="E61" s="70"/>
      <c r="F61" s="14" t="s">
        <v>14</v>
      </c>
      <c r="G61" s="11">
        <v>19724</v>
      </c>
      <c r="H61" s="67">
        <v>400</v>
      </c>
      <c r="I61" s="12" t="s">
        <v>315</v>
      </c>
      <c r="J61" s="61">
        <v>19769</v>
      </c>
      <c r="K61" s="71">
        <v>600</v>
      </c>
      <c r="L61" s="62" t="s">
        <v>396</v>
      </c>
      <c r="M61" s="75">
        <v>19802</v>
      </c>
      <c r="N61" s="73">
        <v>400</v>
      </c>
      <c r="O61" s="15" t="s">
        <v>503</v>
      </c>
    </row>
    <row r="62" spans="1:15" x14ac:dyDescent="0.25">
      <c r="A62" s="16"/>
      <c r="B62" s="49"/>
      <c r="C62" s="17" t="s">
        <v>16</v>
      </c>
      <c r="D62" s="13">
        <v>19683</v>
      </c>
      <c r="E62" s="70">
        <v>400</v>
      </c>
      <c r="F62" s="14"/>
      <c r="G62" s="11"/>
      <c r="H62" s="67"/>
      <c r="I62" s="12" t="s">
        <v>14</v>
      </c>
      <c r="J62" s="61"/>
      <c r="K62" s="71"/>
      <c r="L62" s="62" t="s">
        <v>14</v>
      </c>
      <c r="M62" s="75"/>
      <c r="N62" s="73"/>
      <c r="O62" s="15" t="s">
        <v>15</v>
      </c>
    </row>
    <row r="63" spans="1:15" x14ac:dyDescent="0.25">
      <c r="A63" s="16">
        <v>19632</v>
      </c>
      <c r="B63" s="49">
        <v>400</v>
      </c>
      <c r="C63" s="17"/>
      <c r="D63" s="13">
        <v>19684</v>
      </c>
      <c r="E63" s="70">
        <v>1750</v>
      </c>
      <c r="F63" s="14" t="s">
        <v>475</v>
      </c>
      <c r="G63" s="11">
        <v>19725</v>
      </c>
      <c r="H63" s="67">
        <v>800</v>
      </c>
      <c r="I63" s="12" t="s">
        <v>479</v>
      </c>
      <c r="J63" s="61">
        <v>19770</v>
      </c>
      <c r="K63" s="71">
        <v>400</v>
      </c>
      <c r="L63" s="62"/>
      <c r="M63" s="75">
        <v>19803</v>
      </c>
      <c r="N63" s="73">
        <v>200</v>
      </c>
      <c r="O63" s="15" t="s">
        <v>504</v>
      </c>
    </row>
    <row r="64" spans="1:15" x14ac:dyDescent="0.25">
      <c r="A64" s="16">
        <v>19633</v>
      </c>
      <c r="B64" s="49">
        <v>400</v>
      </c>
      <c r="C64" s="17"/>
      <c r="D64" s="13"/>
      <c r="E64" s="70"/>
      <c r="F64" s="14" t="s">
        <v>18</v>
      </c>
      <c r="G64" s="11"/>
      <c r="H64" s="67"/>
      <c r="I64" s="12" t="s">
        <v>15</v>
      </c>
      <c r="J64" s="61"/>
      <c r="K64" s="71"/>
      <c r="L64" s="62"/>
      <c r="M64" s="75">
        <v>19804</v>
      </c>
      <c r="N64" s="73">
        <v>300</v>
      </c>
      <c r="O64" s="15"/>
    </row>
    <row r="65" spans="1:15" x14ac:dyDescent="0.25">
      <c r="A65" s="16">
        <v>19634</v>
      </c>
      <c r="B65" s="49">
        <v>300</v>
      </c>
      <c r="C65" s="17"/>
      <c r="D65" s="13">
        <v>19685</v>
      </c>
      <c r="E65" s="70">
        <v>800</v>
      </c>
      <c r="F65" s="14" t="s">
        <v>315</v>
      </c>
      <c r="G65" s="11">
        <v>19726</v>
      </c>
      <c r="H65" s="67">
        <v>1200</v>
      </c>
      <c r="I65" s="12" t="s">
        <v>353</v>
      </c>
      <c r="J65" s="61"/>
      <c r="K65" s="71"/>
      <c r="L65" s="62"/>
      <c r="M65" s="75">
        <v>19805</v>
      </c>
      <c r="N65" s="73">
        <v>600</v>
      </c>
      <c r="O65" s="15" t="s">
        <v>505</v>
      </c>
    </row>
    <row r="66" spans="1:15" x14ac:dyDescent="0.25">
      <c r="A66" s="16">
        <v>19635</v>
      </c>
      <c r="B66" s="49">
        <v>400</v>
      </c>
      <c r="C66" s="17"/>
      <c r="D66" s="13"/>
      <c r="E66" s="70"/>
      <c r="F66" s="14" t="s">
        <v>15</v>
      </c>
      <c r="G66" s="11"/>
      <c r="H66" s="67"/>
      <c r="I66" s="12" t="s">
        <v>15</v>
      </c>
      <c r="J66" s="61"/>
      <c r="K66" s="71"/>
      <c r="L66" s="62"/>
      <c r="M66" s="75">
        <v>19806</v>
      </c>
      <c r="N66" s="73">
        <v>1600</v>
      </c>
      <c r="O66" s="15" t="s">
        <v>506</v>
      </c>
    </row>
    <row r="67" spans="1:15" x14ac:dyDescent="0.25">
      <c r="A67" s="16">
        <v>19636</v>
      </c>
      <c r="B67" s="49">
        <v>400</v>
      </c>
      <c r="C67" s="17"/>
      <c r="D67" s="13"/>
      <c r="E67" s="70"/>
      <c r="F67" s="14"/>
      <c r="G67" s="11">
        <v>19727</v>
      </c>
      <c r="H67" s="67">
        <v>800</v>
      </c>
      <c r="I67" s="12" t="s">
        <v>453</v>
      </c>
      <c r="J67" s="61"/>
      <c r="K67" s="71"/>
      <c r="L67" s="62"/>
      <c r="M67" s="75"/>
      <c r="N67" s="73"/>
      <c r="O67" s="15" t="s">
        <v>15</v>
      </c>
    </row>
    <row r="68" spans="1:15" x14ac:dyDescent="0.25">
      <c r="A68" s="16">
        <v>19637</v>
      </c>
      <c r="B68" s="49">
        <v>200</v>
      </c>
      <c r="C68" s="17" t="s">
        <v>466</v>
      </c>
      <c r="D68" s="13"/>
      <c r="E68" s="70"/>
      <c r="F68" s="14"/>
      <c r="G68" s="11"/>
      <c r="H68" s="67"/>
      <c r="I68" s="12" t="s">
        <v>15</v>
      </c>
      <c r="J68" s="61"/>
      <c r="K68" s="71"/>
      <c r="L68" s="62"/>
      <c r="M68" s="75">
        <v>19807</v>
      </c>
      <c r="N68" s="73">
        <v>800</v>
      </c>
      <c r="O68" s="15" t="s">
        <v>453</v>
      </c>
    </row>
    <row r="69" spans="1:15" x14ac:dyDescent="0.25">
      <c r="A69" s="16">
        <v>19638</v>
      </c>
      <c r="B69" s="49">
        <v>350</v>
      </c>
      <c r="C69" s="17" t="s">
        <v>467</v>
      </c>
      <c r="D69" s="13"/>
      <c r="E69" s="70"/>
      <c r="F69" s="14"/>
      <c r="G69" s="11">
        <v>19728</v>
      </c>
      <c r="H69" s="67">
        <v>200</v>
      </c>
      <c r="I69" s="12" t="s">
        <v>484</v>
      </c>
      <c r="J69" s="61"/>
      <c r="K69" s="71"/>
      <c r="L69" s="62"/>
      <c r="M69" s="75"/>
      <c r="N69" s="73"/>
      <c r="O69" s="15" t="s">
        <v>15</v>
      </c>
    </row>
    <row r="70" spans="1:15" x14ac:dyDescent="0.25">
      <c r="A70" s="16">
        <v>19639</v>
      </c>
      <c r="B70" s="49">
        <v>200</v>
      </c>
      <c r="C70" s="17"/>
      <c r="D70" s="13"/>
      <c r="E70" s="70"/>
      <c r="F70" s="14"/>
      <c r="G70" s="11">
        <v>19729</v>
      </c>
      <c r="H70" s="67">
        <v>200</v>
      </c>
      <c r="I70" s="12" t="s">
        <v>485</v>
      </c>
      <c r="J70" s="61"/>
      <c r="K70" s="71"/>
      <c r="L70" s="62"/>
      <c r="M70" s="75">
        <v>19808</v>
      </c>
      <c r="N70" s="73">
        <v>400</v>
      </c>
      <c r="O70" s="15"/>
    </row>
    <row r="71" spans="1:15" x14ac:dyDescent="0.25">
      <c r="A71" s="16">
        <v>19640</v>
      </c>
      <c r="B71" s="49">
        <v>500</v>
      </c>
      <c r="C71" s="17" t="s">
        <v>453</v>
      </c>
      <c r="D71" s="13"/>
      <c r="E71" s="70"/>
      <c r="F71" s="14"/>
      <c r="G71" s="11"/>
      <c r="H71" s="67"/>
      <c r="I71" s="12"/>
      <c r="J71" s="61"/>
      <c r="K71" s="71"/>
      <c r="L71" s="62"/>
      <c r="M71" s="75">
        <v>19809</v>
      </c>
      <c r="N71" s="73">
        <v>800</v>
      </c>
      <c r="O71" s="15" t="s">
        <v>453</v>
      </c>
    </row>
    <row r="72" spans="1:15" x14ac:dyDescent="0.25">
      <c r="A72" s="16"/>
      <c r="B72" s="49"/>
      <c r="C72" s="17" t="s">
        <v>19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 t="s">
        <v>15</v>
      </c>
    </row>
    <row r="73" spans="1:15" x14ac:dyDescent="0.25">
      <c r="A73" s="16">
        <v>19641</v>
      </c>
      <c r="B73" s="49">
        <v>1200</v>
      </c>
      <c r="C73" s="17" t="s">
        <v>353</v>
      </c>
      <c r="D73" s="13"/>
      <c r="E73" s="70"/>
      <c r="F73" s="14"/>
      <c r="G73" s="11"/>
      <c r="H73" s="67"/>
      <c r="I73" s="12"/>
      <c r="J73" s="61"/>
      <c r="K73" s="71"/>
      <c r="L73" s="62"/>
      <c r="M73" s="75">
        <v>19810</v>
      </c>
      <c r="N73" s="73">
        <v>300</v>
      </c>
      <c r="O73" s="15" t="s">
        <v>490</v>
      </c>
    </row>
    <row r="74" spans="1:15" x14ac:dyDescent="0.25">
      <c r="A74" s="16"/>
      <c r="B74" s="49"/>
      <c r="C74" s="17" t="s">
        <v>15</v>
      </c>
      <c r="D74" s="13"/>
      <c r="E74" s="70"/>
      <c r="F74" s="14"/>
      <c r="G74" s="11"/>
      <c r="H74" s="67"/>
      <c r="I74" s="12"/>
      <c r="J74" s="61"/>
      <c r="K74" s="71"/>
      <c r="L74" s="62"/>
      <c r="M74" s="75">
        <v>19811</v>
      </c>
      <c r="N74" s="73">
        <v>400</v>
      </c>
      <c r="O74" s="15" t="s">
        <v>453</v>
      </c>
    </row>
    <row r="75" spans="1:15" x14ac:dyDescent="0.25">
      <c r="A75" s="16">
        <v>19642</v>
      </c>
      <c r="B75" s="49">
        <v>400</v>
      </c>
      <c r="C75" s="17" t="s">
        <v>316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 t="s">
        <v>14</v>
      </c>
    </row>
    <row r="76" spans="1:15" x14ac:dyDescent="0.25">
      <c r="A76" s="16"/>
      <c r="B76" s="49"/>
      <c r="C76" s="17" t="s">
        <v>468</v>
      </c>
      <c r="D76" s="13"/>
      <c r="E76" s="70"/>
      <c r="F76" s="14"/>
      <c r="G76" s="11"/>
      <c r="H76" s="67"/>
      <c r="I76" s="12"/>
      <c r="J76" s="61"/>
      <c r="K76" s="71"/>
      <c r="L76" s="62"/>
      <c r="M76" s="75">
        <v>19812</v>
      </c>
      <c r="N76" s="73"/>
      <c r="O76" s="15" t="s">
        <v>59</v>
      </c>
    </row>
    <row r="77" spans="1:15" x14ac:dyDescent="0.25">
      <c r="A77" s="16"/>
      <c r="B77" s="49"/>
      <c r="C77" s="17"/>
      <c r="D77" s="13"/>
      <c r="E77" s="70"/>
      <c r="F77" s="14"/>
      <c r="G77" s="11"/>
      <c r="H77" s="67"/>
      <c r="I77" s="12"/>
      <c r="J77" s="61"/>
      <c r="K77" s="71"/>
      <c r="L77" s="62"/>
      <c r="M77" s="75">
        <v>19813</v>
      </c>
      <c r="N77" s="73">
        <v>400</v>
      </c>
      <c r="O77" s="15"/>
    </row>
    <row r="78" spans="1:15" x14ac:dyDescent="0.25">
      <c r="A78" s="16"/>
      <c r="B78" s="49"/>
      <c r="C78" s="17"/>
      <c r="D78" s="13"/>
      <c r="E78" s="70"/>
      <c r="F78" s="14"/>
      <c r="G78" s="11"/>
      <c r="H78" s="67"/>
      <c r="I78" s="12"/>
      <c r="J78" s="61"/>
      <c r="K78" s="71"/>
      <c r="L78" s="62"/>
      <c r="M78" s="75">
        <v>19814</v>
      </c>
      <c r="N78" s="73">
        <v>200</v>
      </c>
      <c r="O78" s="15" t="s">
        <v>390</v>
      </c>
    </row>
    <row r="79" spans="1:15" x14ac:dyDescent="0.25">
      <c r="A79" s="16"/>
      <c r="B79" s="49"/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>
        <v>19815</v>
      </c>
      <c r="N79" s="73">
        <v>450</v>
      </c>
      <c r="O79" s="15" t="s">
        <v>396</v>
      </c>
    </row>
    <row r="80" spans="1:15" x14ac:dyDescent="0.25">
      <c r="A80" s="16"/>
      <c r="B80" s="49"/>
      <c r="C80" s="17"/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 t="s">
        <v>57</v>
      </c>
    </row>
    <row r="81" spans="1:16" x14ac:dyDescent="0.25">
      <c r="A81" s="16"/>
      <c r="B81" s="49"/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>
        <v>19816</v>
      </c>
      <c r="N81" s="73"/>
      <c r="O81" s="15" t="s">
        <v>59</v>
      </c>
    </row>
    <row r="82" spans="1:16" x14ac:dyDescent="0.25">
      <c r="A82" s="16"/>
      <c r="B82" s="49"/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>
        <v>19817</v>
      </c>
      <c r="N82" s="73">
        <v>200</v>
      </c>
      <c r="O82" s="15" t="s">
        <v>507</v>
      </c>
    </row>
    <row r="83" spans="1:16" x14ac:dyDescent="0.25">
      <c r="A83" s="26"/>
      <c r="B83" s="66"/>
      <c r="C83" s="58"/>
      <c r="D83" s="26"/>
      <c r="E83" s="74"/>
      <c r="F83" s="58"/>
      <c r="G83" s="26"/>
      <c r="H83" s="74"/>
      <c r="I83" s="58"/>
      <c r="J83" s="26"/>
      <c r="K83" s="74"/>
      <c r="L83" s="58"/>
      <c r="M83" s="75">
        <v>19818</v>
      </c>
      <c r="N83" s="73">
        <v>300</v>
      </c>
      <c r="O83" s="15"/>
      <c r="P83" s="58"/>
    </row>
    <row r="84" spans="1:16" x14ac:dyDescent="0.25">
      <c r="A84" s="26"/>
      <c r="B84" s="66"/>
      <c r="C84" s="58"/>
      <c r="D84" s="26"/>
      <c r="E84" s="74"/>
      <c r="F84" s="58"/>
      <c r="G84" s="26"/>
      <c r="H84" s="74"/>
      <c r="I84" s="58"/>
      <c r="J84" s="26"/>
      <c r="K84" s="74"/>
      <c r="L84" s="58"/>
      <c r="M84" s="75"/>
      <c r="N84" s="73"/>
      <c r="O84" s="15"/>
      <c r="P84" s="58"/>
    </row>
    <row r="85" spans="1:16" x14ac:dyDescent="0.25">
      <c r="A85" s="26"/>
      <c r="B85" s="66"/>
      <c r="C85" s="58"/>
      <c r="D85" s="26"/>
      <c r="E85" s="74"/>
      <c r="F85" s="58"/>
      <c r="G85" s="26"/>
      <c r="H85" s="74"/>
      <c r="I85" s="58"/>
      <c r="J85" s="26"/>
      <c r="K85" s="74"/>
      <c r="L85" s="58"/>
      <c r="M85" s="75"/>
      <c r="N85" s="73"/>
      <c r="O85" s="15"/>
      <c r="P85" s="58"/>
    </row>
    <row r="86" spans="1:16" x14ac:dyDescent="0.25">
      <c r="A86" s="26"/>
      <c r="B86" s="66"/>
      <c r="C86" s="58"/>
      <c r="D86" s="26"/>
      <c r="E86" s="74"/>
      <c r="F86" s="58"/>
      <c r="G86" s="26"/>
      <c r="H86" s="74"/>
      <c r="I86" s="58"/>
      <c r="J86" s="26"/>
      <c r="K86" s="74"/>
      <c r="L86" s="58"/>
      <c r="M86" s="26"/>
      <c r="N86" s="74"/>
      <c r="O86" s="58"/>
      <c r="P86" s="58"/>
    </row>
    <row r="87" spans="1:16" x14ac:dyDescent="0.25">
      <c r="A87" s="26"/>
      <c r="B87" s="66"/>
      <c r="C87" s="58"/>
      <c r="D87" s="26"/>
      <c r="E87" s="74"/>
      <c r="F87" s="58"/>
      <c r="G87" s="26"/>
      <c r="H87" s="74"/>
      <c r="I87" s="58"/>
      <c r="J87" s="26"/>
      <c r="K87" s="74"/>
      <c r="L87" s="58"/>
      <c r="M87" s="26"/>
      <c r="N87" s="74"/>
      <c r="O87" s="58"/>
      <c r="P87" s="58"/>
    </row>
    <row r="88" spans="1:16" x14ac:dyDescent="0.25">
      <c r="A88" s="26"/>
      <c r="B88" s="66"/>
      <c r="C88" s="58"/>
      <c r="D88" s="26"/>
      <c r="E88" s="74"/>
      <c r="F88" s="58"/>
      <c r="G88" s="26"/>
      <c r="H88" s="74"/>
      <c r="I88" s="58"/>
      <c r="J88" s="26"/>
      <c r="K88" s="74"/>
      <c r="L88" s="58"/>
      <c r="M88" s="26"/>
      <c r="N88" s="74"/>
      <c r="O88" s="58"/>
      <c r="P88" s="58"/>
    </row>
    <row r="89" spans="1:16" x14ac:dyDescent="0.25">
      <c r="A89" s="26"/>
      <c r="B89" s="66"/>
      <c r="C89" s="58"/>
      <c r="D89" s="26"/>
      <c r="E89" s="74"/>
      <c r="F89" s="58"/>
      <c r="G89" s="26"/>
      <c r="H89" s="74"/>
      <c r="I89" s="58"/>
      <c r="J89" s="26"/>
      <c r="K89" s="74"/>
      <c r="L89" s="58"/>
      <c r="M89" s="26"/>
      <c r="N89" s="74"/>
      <c r="O89" s="58"/>
      <c r="P89" s="58"/>
    </row>
    <row r="90" spans="1:16" x14ac:dyDescent="0.25">
      <c r="A90" s="26"/>
      <c r="B90" s="66"/>
      <c r="C90" s="58"/>
      <c r="D90" s="26"/>
      <c r="E90" s="74"/>
      <c r="F90" s="58"/>
      <c r="G90" s="26"/>
      <c r="H90" s="74"/>
      <c r="I90" s="58"/>
      <c r="J90" s="26"/>
      <c r="K90" s="74"/>
      <c r="L90" s="58"/>
      <c r="M90" s="26"/>
      <c r="N90" s="74"/>
      <c r="O90" s="58"/>
      <c r="P90" s="58"/>
    </row>
    <row r="91" spans="1:16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26"/>
      <c r="N91" s="74"/>
      <c r="O91" s="58"/>
      <c r="P91" s="58"/>
    </row>
    <row r="92" spans="1:16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26"/>
      <c r="N92" s="74"/>
      <c r="O92" s="58"/>
      <c r="P92" s="58"/>
    </row>
    <row r="93" spans="1:16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26"/>
      <c r="N93" s="74"/>
      <c r="O93" s="58"/>
      <c r="P93" s="58"/>
    </row>
    <row r="94" spans="1:16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26"/>
      <c r="N94" s="74"/>
      <c r="O94" s="58"/>
      <c r="P94" s="58"/>
    </row>
    <row r="95" spans="1:16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26"/>
      <c r="N95" s="74"/>
      <c r="O95" s="58"/>
      <c r="P95" s="58"/>
    </row>
    <row r="96" spans="1:16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26"/>
      <c r="N137" s="74"/>
      <c r="O137" s="58"/>
      <c r="P137" s="58"/>
    </row>
    <row r="138" spans="1:16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26"/>
      <c r="N138" s="74"/>
      <c r="O138" s="58"/>
      <c r="P138" s="58"/>
    </row>
    <row r="139" spans="1:16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26"/>
      <c r="N139" s="74"/>
      <c r="O139" s="58"/>
      <c r="P139" s="58"/>
    </row>
    <row r="140" spans="1:16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26"/>
      <c r="N140" s="74"/>
      <c r="O140" s="58"/>
      <c r="P140" s="58"/>
    </row>
    <row r="141" spans="1:16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26"/>
      <c r="N141" s="74"/>
      <c r="O141" s="58"/>
      <c r="P141" s="58"/>
    </row>
    <row r="142" spans="1:16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26"/>
      <c r="N142" s="74"/>
      <c r="O142" s="58"/>
      <c r="P142" s="58"/>
    </row>
    <row r="143" spans="1:16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26"/>
      <c r="N143" s="74"/>
      <c r="O143" s="58"/>
      <c r="P143" s="58"/>
    </row>
    <row r="144" spans="1:16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26"/>
      <c r="N144" s="74"/>
      <c r="O144" s="58"/>
      <c r="P144" s="58"/>
    </row>
    <row r="145" spans="1:16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26"/>
      <c r="N145" s="74"/>
      <c r="O145" s="58"/>
      <c r="P145" s="58"/>
    </row>
    <row r="146" spans="1:16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26"/>
      <c r="N146" s="74"/>
      <c r="O146" s="58"/>
      <c r="P146" s="58"/>
    </row>
    <row r="147" spans="1:16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26"/>
      <c r="N147" s="74"/>
      <c r="O147" s="58"/>
      <c r="P147" s="58"/>
    </row>
    <row r="148" spans="1:16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26"/>
      <c r="N148" s="74"/>
      <c r="O148" s="58"/>
      <c r="P148" s="58"/>
    </row>
    <row r="149" spans="1:16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26"/>
      <c r="N149" s="74"/>
      <c r="O149" s="58"/>
      <c r="P149" s="58"/>
    </row>
    <row r="150" spans="1:16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26"/>
      <c r="N150" s="74"/>
      <c r="O150" s="58"/>
      <c r="P150" s="58"/>
    </row>
    <row r="151" spans="1:16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26"/>
      <c r="N151" s="74"/>
      <c r="O151" s="58"/>
      <c r="P151" s="58"/>
    </row>
    <row r="152" spans="1:16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26"/>
      <c r="N152" s="74"/>
      <c r="O152" s="58"/>
      <c r="P152" s="58"/>
    </row>
    <row r="153" spans="1:16" x14ac:dyDescent="0.25">
      <c r="A153" s="26"/>
      <c r="B153" s="66"/>
      <c r="C153" s="58"/>
      <c r="D153" s="26"/>
      <c r="E153" s="74"/>
      <c r="F153" s="58"/>
      <c r="G153" s="26"/>
      <c r="H153" s="74"/>
      <c r="I153" s="58"/>
      <c r="J153" s="26"/>
      <c r="K153" s="74"/>
      <c r="L153" s="58"/>
      <c r="M153" s="26"/>
      <c r="N153" s="74"/>
      <c r="O153" s="58"/>
      <c r="P153" s="58"/>
    </row>
    <row r="154" spans="1:16" x14ac:dyDescent="0.25">
      <c r="A154" s="26"/>
      <c r="B154" s="66"/>
      <c r="C154" s="58"/>
      <c r="D154" s="26"/>
      <c r="E154" s="74"/>
      <c r="F154" s="58"/>
      <c r="G154" s="26"/>
      <c r="H154" s="74"/>
      <c r="I154" s="58"/>
      <c r="J154" s="26"/>
      <c r="K154" s="74"/>
      <c r="L154" s="58"/>
      <c r="M154" s="26"/>
      <c r="N154" s="74"/>
      <c r="O154" s="58"/>
      <c r="P154" s="58"/>
    </row>
    <row r="155" spans="1:16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26"/>
      <c r="N155" s="74"/>
      <c r="O155" s="58"/>
      <c r="P155" s="58"/>
    </row>
    <row r="156" spans="1:16" x14ac:dyDescent="0.25">
      <c r="A156" s="26"/>
      <c r="B156" s="66"/>
      <c r="C156" s="58"/>
      <c r="D156" s="26"/>
      <c r="E156" s="74"/>
      <c r="F156" s="58"/>
      <c r="G156" s="26"/>
      <c r="H156" s="74"/>
      <c r="I156" s="58"/>
      <c r="J156" s="26"/>
      <c r="K156" s="74"/>
      <c r="L156" s="58"/>
      <c r="M156" s="26"/>
      <c r="N156" s="74"/>
      <c r="O156" s="58"/>
      <c r="P156" s="58"/>
    </row>
    <row r="157" spans="1:16" x14ac:dyDescent="0.25">
      <c r="A157" s="26"/>
      <c r="B157" s="66"/>
      <c r="C157" s="58"/>
      <c r="D157" s="26"/>
      <c r="E157" s="74"/>
      <c r="F157" s="58"/>
      <c r="G157" s="26"/>
      <c r="H157" s="74"/>
      <c r="I157" s="58"/>
      <c r="J157" s="26"/>
      <c r="K157" s="74"/>
      <c r="L157" s="58"/>
      <c r="M157" s="26"/>
      <c r="N157" s="74"/>
      <c r="O157" s="58"/>
      <c r="P157" s="58"/>
    </row>
    <row r="158" spans="1:16" x14ac:dyDescent="0.25">
      <c r="A158" s="26"/>
      <c r="B158" s="66"/>
      <c r="C158" s="58"/>
      <c r="D158" s="26"/>
      <c r="E158" s="74"/>
      <c r="F158" s="58"/>
      <c r="G158" s="26"/>
      <c r="H158" s="74"/>
      <c r="I158" s="58"/>
      <c r="J158" s="26"/>
      <c r="K158" s="74"/>
      <c r="L158" s="58"/>
      <c r="M158" s="26"/>
      <c r="N158" s="74"/>
      <c r="O158" s="58"/>
      <c r="P158" s="58"/>
    </row>
    <row r="159" spans="1:16" x14ac:dyDescent="0.25">
      <c r="A159" s="26"/>
      <c r="B159" s="66"/>
      <c r="C159" s="58"/>
      <c r="D159" s="26"/>
      <c r="E159" s="74"/>
      <c r="F159" s="58"/>
      <c r="G159" s="26"/>
      <c r="H159" s="74"/>
      <c r="I159" s="58"/>
      <c r="J159" s="26"/>
      <c r="K159" s="74"/>
      <c r="L159" s="58"/>
      <c r="M159" s="26"/>
      <c r="N159" s="74"/>
      <c r="O159" s="58"/>
      <c r="P159" s="58"/>
    </row>
    <row r="160" spans="1:16" x14ac:dyDescent="0.25">
      <c r="A160" s="26"/>
      <c r="B160" s="66"/>
      <c r="C160" s="58"/>
      <c r="D160" s="26"/>
      <c r="E160" s="74"/>
      <c r="F160" s="58"/>
      <c r="G160" s="26"/>
      <c r="H160" s="74"/>
      <c r="I160" s="58"/>
      <c r="J160" s="26"/>
      <c r="K160" s="74"/>
      <c r="L160" s="58"/>
      <c r="M160" s="26"/>
      <c r="N160" s="74"/>
      <c r="O160" s="58"/>
      <c r="P160" s="58"/>
    </row>
    <row r="161" spans="1:16" x14ac:dyDescent="0.25">
      <c r="A161" s="26"/>
      <c r="B161" s="66"/>
      <c r="C161" s="58"/>
      <c r="D161" s="26"/>
      <c r="E161" s="74"/>
      <c r="F161" s="58"/>
      <c r="G161" s="26"/>
      <c r="H161" s="74"/>
      <c r="I161" s="58"/>
      <c r="J161" s="26"/>
      <c r="K161" s="74"/>
      <c r="L161" s="58"/>
      <c r="M161" s="26"/>
      <c r="N161" s="74"/>
      <c r="O161" s="58"/>
      <c r="P161" s="58"/>
    </row>
    <row r="162" spans="1:16" x14ac:dyDescent="0.25">
      <c r="A162" s="26"/>
      <c r="B162" s="66"/>
      <c r="C162" s="58"/>
      <c r="D162" s="26"/>
      <c r="E162" s="74"/>
      <c r="F162" s="58"/>
      <c r="G162" s="26"/>
      <c r="H162" s="74"/>
      <c r="I162" s="58"/>
      <c r="J162" s="26"/>
      <c r="K162" s="74"/>
      <c r="L162" s="58"/>
      <c r="M162" s="26"/>
      <c r="N162" s="74"/>
      <c r="O162" s="58"/>
      <c r="P162" s="58"/>
    </row>
    <row r="163" spans="1:16" x14ac:dyDescent="0.25">
      <c r="A163" s="26"/>
      <c r="B163" s="66"/>
      <c r="C163" s="58"/>
      <c r="D163" s="26"/>
      <c r="E163" s="74"/>
      <c r="F163" s="58"/>
      <c r="G163" s="26"/>
      <c r="H163" s="74"/>
      <c r="I163" s="58"/>
      <c r="J163" s="26"/>
      <c r="K163" s="74"/>
      <c r="L163" s="58"/>
      <c r="M163" s="26"/>
      <c r="N163" s="74"/>
      <c r="O163" s="58"/>
      <c r="P163" s="58"/>
    </row>
    <row r="164" spans="1:16" x14ac:dyDescent="0.25">
      <c r="A164" s="26"/>
      <c r="B164" s="66"/>
      <c r="C164" s="58"/>
      <c r="D164" s="26"/>
      <c r="E164" s="74"/>
      <c r="F164" s="58"/>
      <c r="G164" s="26"/>
      <c r="H164" s="74"/>
      <c r="I164" s="58"/>
      <c r="J164" s="26"/>
      <c r="K164" s="74"/>
      <c r="L164" s="58"/>
      <c r="M164" s="26"/>
      <c r="N164" s="74"/>
      <c r="O164" s="58"/>
      <c r="P164" s="58"/>
    </row>
    <row r="165" spans="1:16" x14ac:dyDescent="0.25">
      <c r="A165" s="26"/>
      <c r="B165" s="66"/>
      <c r="C165" s="58"/>
      <c r="D165" s="26"/>
      <c r="E165" s="74"/>
      <c r="F165" s="58"/>
      <c r="G165" s="26"/>
      <c r="H165" s="74"/>
      <c r="I165" s="58"/>
      <c r="J165" s="26"/>
      <c r="K165" s="74"/>
      <c r="L165" s="58"/>
      <c r="M165" s="26"/>
      <c r="N165" s="74"/>
      <c r="O165" s="58"/>
      <c r="P165" s="58"/>
    </row>
    <row r="166" spans="1:16" x14ac:dyDescent="0.25">
      <c r="A166" s="26"/>
      <c r="B166" s="66"/>
      <c r="C166" s="58"/>
      <c r="D166" s="26"/>
      <c r="E166" s="74"/>
      <c r="F166" s="58"/>
      <c r="G166" s="26"/>
      <c r="H166" s="74"/>
      <c r="I166" s="58"/>
      <c r="J166" s="26"/>
      <c r="K166" s="74"/>
      <c r="L166" s="58"/>
      <c r="M166" s="26"/>
      <c r="N166" s="74"/>
      <c r="O166" s="58"/>
      <c r="P166" s="58"/>
    </row>
    <row r="167" spans="1:16" x14ac:dyDescent="0.25">
      <c r="A167" s="26"/>
      <c r="B167" s="66"/>
      <c r="C167" s="58"/>
      <c r="D167" s="26"/>
      <c r="E167" s="74"/>
      <c r="F167" s="58"/>
      <c r="G167" s="26"/>
      <c r="H167" s="74"/>
      <c r="I167" s="58"/>
      <c r="J167" s="26"/>
      <c r="K167" s="74"/>
      <c r="L167" s="58"/>
      <c r="M167" s="26"/>
      <c r="N167" s="74"/>
      <c r="O167" s="58"/>
      <c r="P167" s="58"/>
    </row>
    <row r="168" spans="1:16" x14ac:dyDescent="0.25">
      <c r="A168" s="26"/>
      <c r="B168" s="66"/>
      <c r="C168" s="58"/>
      <c r="D168" s="26"/>
      <c r="E168" s="74"/>
      <c r="F168" s="58"/>
      <c r="G168" s="26"/>
      <c r="H168" s="74"/>
      <c r="I168" s="58"/>
      <c r="J168" s="26"/>
      <c r="K168" s="74"/>
      <c r="L168" s="58"/>
      <c r="M168" s="26"/>
      <c r="N168" s="74"/>
      <c r="O168" s="58"/>
      <c r="P168" s="58"/>
    </row>
    <row r="169" spans="1:16" x14ac:dyDescent="0.25">
      <c r="A169" s="26"/>
      <c r="B169" s="66"/>
      <c r="C169" s="58"/>
      <c r="D169" s="26"/>
      <c r="E169" s="74"/>
      <c r="F169" s="58"/>
      <c r="G169" s="26"/>
      <c r="H169" s="74"/>
      <c r="I169" s="58"/>
      <c r="J169" s="26"/>
      <c r="K169" s="74"/>
      <c r="L169" s="58"/>
      <c r="M169" s="26"/>
      <c r="N169" s="74"/>
      <c r="O169" s="58"/>
      <c r="P169" s="58"/>
    </row>
    <row r="170" spans="1:16" x14ac:dyDescent="0.25">
      <c r="A170" s="26"/>
      <c r="B170" s="66"/>
      <c r="C170" s="58"/>
      <c r="D170" s="26"/>
      <c r="E170" s="74"/>
      <c r="F170" s="58"/>
      <c r="G170" s="26"/>
      <c r="H170" s="74"/>
      <c r="I170" s="58"/>
      <c r="J170" s="26"/>
      <c r="K170" s="74"/>
      <c r="L170" s="58"/>
      <c r="M170" s="26"/>
      <c r="N170" s="74"/>
      <c r="O170" s="58"/>
      <c r="P170" s="58"/>
    </row>
    <row r="171" spans="1:16" x14ac:dyDescent="0.25">
      <c r="A171" s="26"/>
      <c r="B171" s="66"/>
      <c r="C171" s="58"/>
      <c r="D171" s="26"/>
      <c r="E171" s="74"/>
      <c r="F171" s="58"/>
      <c r="G171" s="26"/>
      <c r="H171" s="74"/>
      <c r="I171" s="58"/>
      <c r="J171" s="26"/>
      <c r="K171" s="74"/>
      <c r="L171" s="58"/>
      <c r="M171" s="26"/>
      <c r="N171" s="74"/>
      <c r="O171" s="58"/>
      <c r="P171" s="58"/>
    </row>
    <row r="172" spans="1:16" x14ac:dyDescent="0.25">
      <c r="A172" s="26"/>
      <c r="B172" s="66"/>
      <c r="C172" s="58"/>
      <c r="D172" s="26"/>
      <c r="E172" s="74"/>
      <c r="F172" s="58"/>
      <c r="G172" s="26"/>
      <c r="H172" s="74"/>
      <c r="I172" s="58"/>
      <c r="J172" s="26"/>
      <c r="K172" s="74"/>
      <c r="L172" s="58"/>
      <c r="M172" s="26"/>
      <c r="N172" s="74"/>
      <c r="O172" s="58"/>
      <c r="P172" s="58"/>
    </row>
    <row r="173" spans="1:16" x14ac:dyDescent="0.25">
      <c r="A173" s="26"/>
      <c r="B173" s="66"/>
      <c r="C173" s="58"/>
      <c r="D173" s="26"/>
      <c r="E173" s="74"/>
      <c r="F173" s="58"/>
      <c r="G173" s="26"/>
      <c r="H173" s="74"/>
      <c r="I173" s="58"/>
      <c r="J173" s="26"/>
      <c r="K173" s="74"/>
      <c r="L173" s="58"/>
      <c r="M173" s="26"/>
      <c r="N173" s="74"/>
      <c r="O173" s="58"/>
      <c r="P173" s="58"/>
    </row>
    <row r="174" spans="1:16" x14ac:dyDescent="0.25">
      <c r="A174" s="26"/>
      <c r="B174" s="66"/>
      <c r="C174" s="58"/>
      <c r="D174" s="26"/>
      <c r="E174" s="74"/>
      <c r="F174" s="58"/>
      <c r="G174" s="26"/>
      <c r="H174" s="74"/>
      <c r="I174" s="58"/>
      <c r="J174" s="26"/>
      <c r="K174" s="74"/>
      <c r="L174" s="58"/>
      <c r="M174" s="26"/>
      <c r="N174" s="74"/>
      <c r="O174" s="58"/>
      <c r="P174" s="58"/>
    </row>
    <row r="175" spans="1:16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  <c r="P175" s="58"/>
    </row>
    <row r="176" spans="1:16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  <c r="P176" s="58"/>
    </row>
    <row r="177" spans="1:16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  <c r="P177" s="58"/>
    </row>
    <row r="178" spans="1:16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6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6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6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6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6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6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6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6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6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6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6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6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6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6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36"/>
  <sheetViews>
    <sheetView topLeftCell="A5" zoomScale="90" zoomScaleNormal="90" workbookViewId="0">
      <pane ySplit="3" topLeftCell="A98" activePane="bottomLeft" state="frozen"/>
      <selection activeCell="A5" sqref="A5"/>
      <selection pane="bottomLeft" activeCell="F108" sqref="F10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9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6" t="s">
        <v>6</v>
      </c>
      <c r="K5" s="136"/>
      <c r="L5" s="136"/>
      <c r="M5" s="124" t="s">
        <v>12</v>
      </c>
      <c r="N5" s="124"/>
      <c r="O5" s="124"/>
      <c r="Q5" s="133" t="s">
        <v>13</v>
      </c>
      <c r="R5" s="133"/>
    </row>
    <row r="6" spans="1:18" x14ac:dyDescent="0.25">
      <c r="A6" s="8">
        <f>SUBTOTAL(3,A8:A122)</f>
        <v>64</v>
      </c>
      <c r="B6" s="8">
        <f>SUBTOTAL(9,B8:B122)</f>
        <v>31700</v>
      </c>
      <c r="C6" s="35">
        <v>43744</v>
      </c>
      <c r="D6" s="8">
        <f>SUBTOTAL(3,D8:D91)</f>
        <v>44</v>
      </c>
      <c r="E6" s="1">
        <f>SUBTOTAL(9,E8:E91)</f>
        <v>24050</v>
      </c>
      <c r="F6" s="38">
        <v>43751</v>
      </c>
      <c r="G6" s="8">
        <f>SUBTOTAL(3,G8:G120)</f>
        <v>47</v>
      </c>
      <c r="H6" s="1">
        <f>SUBTOTAL(9,H8:H120)</f>
        <v>24550</v>
      </c>
      <c r="I6" s="39">
        <v>43758</v>
      </c>
      <c r="J6" s="8">
        <f>SUBTOTAL(3,J8:J111)</f>
        <v>83</v>
      </c>
      <c r="K6" s="1">
        <f>SUBTOTAL(9,K8:K165)</f>
        <v>49200</v>
      </c>
      <c r="L6" s="63">
        <v>43765</v>
      </c>
      <c r="M6" s="8">
        <f>SUBTOTAL(3,M8:M120)</f>
        <v>0</v>
      </c>
      <c r="N6" s="1">
        <f>SUBTOTAL(9,N8:N120)</f>
        <v>0</v>
      </c>
      <c r="O6" s="85"/>
      <c r="Q6" s="30">
        <f>+A6+D6+G6+J6+M6</f>
        <v>238</v>
      </c>
      <c r="R6" s="29">
        <f>+B6+E6+H6+K6+N6</f>
        <v>129500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102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19819</v>
      </c>
      <c r="B8" s="49">
        <v>500</v>
      </c>
      <c r="C8" s="17" t="s">
        <v>422</v>
      </c>
      <c r="D8" s="13">
        <v>19883</v>
      </c>
      <c r="E8" s="70">
        <v>400</v>
      </c>
      <c r="F8" s="14"/>
      <c r="G8" s="11">
        <v>19927</v>
      </c>
      <c r="H8" s="67">
        <v>750</v>
      </c>
      <c r="I8" s="12" t="s">
        <v>482</v>
      </c>
      <c r="J8" s="61">
        <v>19974</v>
      </c>
      <c r="K8" s="71">
        <v>1600</v>
      </c>
      <c r="L8" s="62" t="s">
        <v>464</v>
      </c>
      <c r="M8" s="75"/>
      <c r="N8" s="73"/>
      <c r="O8" s="15"/>
      <c r="Q8" s="32"/>
      <c r="R8" s="32"/>
    </row>
    <row r="9" spans="1:18" x14ac:dyDescent="0.25">
      <c r="A9" s="16"/>
      <c r="B9" s="49"/>
      <c r="C9" s="17" t="s">
        <v>19</v>
      </c>
      <c r="D9" s="13">
        <v>19884</v>
      </c>
      <c r="E9" s="70">
        <v>200</v>
      </c>
      <c r="F9" s="14" t="s">
        <v>34</v>
      </c>
      <c r="G9" s="11"/>
      <c r="H9" s="67"/>
      <c r="I9" s="12" t="s">
        <v>19</v>
      </c>
      <c r="J9" s="61"/>
      <c r="K9" s="71"/>
      <c r="L9" s="62" t="s">
        <v>270</v>
      </c>
      <c r="M9" s="75"/>
      <c r="N9" s="73"/>
      <c r="O9" s="15"/>
    </row>
    <row r="10" spans="1:18" x14ac:dyDescent="0.25">
      <c r="A10" s="16">
        <v>19820</v>
      </c>
      <c r="B10" s="49">
        <v>200</v>
      </c>
      <c r="C10" s="17" t="s">
        <v>455</v>
      </c>
      <c r="D10" s="13">
        <v>19885</v>
      </c>
      <c r="E10" s="70">
        <v>400</v>
      </c>
      <c r="F10" s="14"/>
      <c r="G10" s="11">
        <v>19928</v>
      </c>
      <c r="H10" s="67"/>
      <c r="I10" s="12"/>
      <c r="J10" s="61"/>
      <c r="K10" s="71"/>
      <c r="L10" s="62" t="s">
        <v>535</v>
      </c>
      <c r="M10" s="75"/>
      <c r="N10" s="73"/>
      <c r="O10" s="15"/>
    </row>
    <row r="11" spans="1:18" x14ac:dyDescent="0.25">
      <c r="A11" s="16">
        <v>19821</v>
      </c>
      <c r="B11" s="49">
        <v>2400</v>
      </c>
      <c r="C11" s="17" t="s">
        <v>427</v>
      </c>
      <c r="D11" s="13">
        <v>19886</v>
      </c>
      <c r="E11" s="70">
        <v>500</v>
      </c>
      <c r="F11" s="14" t="s">
        <v>515</v>
      </c>
      <c r="G11" s="11"/>
      <c r="H11" s="67"/>
      <c r="I11" s="12"/>
      <c r="J11" s="61">
        <v>19975</v>
      </c>
      <c r="K11" s="71">
        <v>400</v>
      </c>
      <c r="L11" s="62" t="s">
        <v>536</v>
      </c>
      <c r="M11" s="75"/>
      <c r="N11" s="73"/>
      <c r="O11" s="15"/>
    </row>
    <row r="12" spans="1:18" x14ac:dyDescent="0.25">
      <c r="A12" s="16"/>
      <c r="B12" s="49"/>
      <c r="C12" s="17" t="s">
        <v>428</v>
      </c>
      <c r="D12" s="13"/>
      <c r="E12" s="70"/>
      <c r="F12" s="113" t="s">
        <v>516</v>
      </c>
      <c r="G12" s="11">
        <v>19929</v>
      </c>
      <c r="H12" s="67"/>
      <c r="I12" s="12"/>
      <c r="J12" s="61"/>
      <c r="K12" s="71"/>
      <c r="L12" s="62" t="s">
        <v>537</v>
      </c>
      <c r="M12" s="75"/>
      <c r="N12" s="73"/>
      <c r="O12" s="15"/>
    </row>
    <row r="13" spans="1:18" x14ac:dyDescent="0.25">
      <c r="A13" s="16">
        <v>19822</v>
      </c>
      <c r="B13" s="49">
        <v>1200</v>
      </c>
      <c r="C13" s="17" t="s">
        <v>465</v>
      </c>
      <c r="D13" s="13">
        <v>19887</v>
      </c>
      <c r="E13" s="70">
        <v>650</v>
      </c>
      <c r="F13" s="14" t="s">
        <v>443</v>
      </c>
      <c r="G13" s="11"/>
      <c r="H13" s="67"/>
      <c r="I13" s="12"/>
      <c r="J13" s="61">
        <v>19976</v>
      </c>
      <c r="K13" s="71">
        <v>200</v>
      </c>
      <c r="L13" s="62" t="s">
        <v>34</v>
      </c>
      <c r="M13" s="75"/>
      <c r="N13" s="73"/>
      <c r="O13" s="15"/>
    </row>
    <row r="14" spans="1:18" x14ac:dyDescent="0.25">
      <c r="A14" s="16"/>
      <c r="B14" s="49"/>
      <c r="C14" s="17" t="s">
        <v>15</v>
      </c>
      <c r="D14" s="13"/>
      <c r="E14" s="70"/>
      <c r="F14" s="14" t="s">
        <v>517</v>
      </c>
      <c r="G14" s="11">
        <v>19930</v>
      </c>
      <c r="H14" s="67">
        <v>800</v>
      </c>
      <c r="I14" s="12" t="s">
        <v>422</v>
      </c>
      <c r="J14" s="61">
        <v>19977</v>
      </c>
      <c r="K14" s="71">
        <v>4400</v>
      </c>
      <c r="L14" s="93" t="s">
        <v>538</v>
      </c>
      <c r="M14" s="75"/>
      <c r="N14" s="73"/>
      <c r="O14" s="31"/>
    </row>
    <row r="15" spans="1:18" x14ac:dyDescent="0.25">
      <c r="A15" s="16">
        <v>19823</v>
      </c>
      <c r="B15" s="49">
        <v>200</v>
      </c>
      <c r="C15" s="17" t="s">
        <v>34</v>
      </c>
      <c r="D15" s="13"/>
      <c r="E15" s="70"/>
      <c r="F15" s="14" t="s">
        <v>518</v>
      </c>
      <c r="G15" s="11"/>
      <c r="H15" s="67"/>
      <c r="I15" s="12" t="s">
        <v>15</v>
      </c>
      <c r="J15" s="61"/>
      <c r="K15" s="71"/>
      <c r="L15" s="93" t="s">
        <v>270</v>
      </c>
      <c r="M15" s="75"/>
      <c r="N15" s="73"/>
      <c r="O15" s="15"/>
    </row>
    <row r="16" spans="1:18" x14ac:dyDescent="0.25">
      <c r="A16" s="16">
        <v>19824</v>
      </c>
      <c r="B16" s="49">
        <v>400</v>
      </c>
      <c r="C16" s="17"/>
      <c r="D16" s="13">
        <v>19888</v>
      </c>
      <c r="E16" s="70">
        <v>400</v>
      </c>
      <c r="F16" s="14"/>
      <c r="G16" s="11">
        <v>19931</v>
      </c>
      <c r="H16" s="67">
        <v>600</v>
      </c>
      <c r="I16" s="12" t="s">
        <v>430</v>
      </c>
      <c r="J16" s="61"/>
      <c r="K16" s="71"/>
      <c r="L16" s="62" t="s">
        <v>539</v>
      </c>
      <c r="M16" s="75"/>
      <c r="N16" s="73"/>
      <c r="O16" s="15"/>
    </row>
    <row r="17" spans="1:15" x14ac:dyDescent="0.25">
      <c r="A17" s="16">
        <v>19825</v>
      </c>
      <c r="B17" s="49">
        <v>600</v>
      </c>
      <c r="C17" s="17" t="s">
        <v>455</v>
      </c>
      <c r="D17" s="13">
        <v>19889</v>
      </c>
      <c r="E17" s="70">
        <v>400</v>
      </c>
      <c r="F17" s="14" t="s">
        <v>422</v>
      </c>
      <c r="G17" s="11"/>
      <c r="H17" s="67"/>
      <c r="I17" s="12" t="s">
        <v>16</v>
      </c>
      <c r="J17" s="61">
        <v>19978</v>
      </c>
      <c r="K17" s="71">
        <v>800</v>
      </c>
      <c r="L17" s="62" t="s">
        <v>453</v>
      </c>
      <c r="M17" s="75"/>
      <c r="N17" s="73"/>
      <c r="O17" s="15"/>
    </row>
    <row r="18" spans="1:15" x14ac:dyDescent="0.25">
      <c r="A18" s="16">
        <v>19826</v>
      </c>
      <c r="B18" s="49">
        <v>400</v>
      </c>
      <c r="C18" s="17" t="s">
        <v>455</v>
      </c>
      <c r="D18" s="13"/>
      <c r="E18" s="70"/>
      <c r="F18" s="14" t="s">
        <v>14</v>
      </c>
      <c r="G18" s="11">
        <v>19932</v>
      </c>
      <c r="H18" s="67">
        <v>1200</v>
      </c>
      <c r="I18" s="12" t="s">
        <v>465</v>
      </c>
      <c r="J18" s="61"/>
      <c r="K18" s="71"/>
      <c r="L18" s="62" t="s">
        <v>270</v>
      </c>
      <c r="M18" s="75"/>
      <c r="N18" s="73"/>
      <c r="O18" s="15"/>
    </row>
    <row r="19" spans="1:15" x14ac:dyDescent="0.25">
      <c r="A19" s="16">
        <v>19827</v>
      </c>
      <c r="B19" s="49">
        <v>200</v>
      </c>
      <c r="C19" s="17" t="s">
        <v>508</v>
      </c>
      <c r="D19" s="13">
        <v>19890</v>
      </c>
      <c r="E19" s="70">
        <v>200</v>
      </c>
      <c r="F19" s="14" t="s">
        <v>34</v>
      </c>
      <c r="G19" s="11"/>
      <c r="H19" s="67"/>
      <c r="I19" s="12" t="s">
        <v>15</v>
      </c>
      <c r="J19" s="61">
        <v>19979</v>
      </c>
      <c r="K19" s="71">
        <v>400</v>
      </c>
      <c r="L19" s="62" t="s">
        <v>540</v>
      </c>
      <c r="M19" s="75"/>
      <c r="N19" s="73"/>
      <c r="O19" s="15"/>
    </row>
    <row r="20" spans="1:15" x14ac:dyDescent="0.25">
      <c r="A20" s="16">
        <v>19828</v>
      </c>
      <c r="B20" s="49">
        <v>400</v>
      </c>
      <c r="C20" s="17"/>
      <c r="D20" s="13">
        <v>19891</v>
      </c>
      <c r="E20" s="70">
        <v>400</v>
      </c>
      <c r="F20" s="14" t="s">
        <v>315</v>
      </c>
      <c r="G20" s="11">
        <v>19933</v>
      </c>
      <c r="H20" s="67">
        <v>200</v>
      </c>
      <c r="I20" s="12" t="s">
        <v>528</v>
      </c>
      <c r="J20" s="61">
        <v>19980</v>
      </c>
      <c r="K20" s="71">
        <v>400</v>
      </c>
      <c r="L20" s="62"/>
      <c r="M20" s="75"/>
      <c r="N20" s="73"/>
      <c r="O20" s="15"/>
    </row>
    <row r="21" spans="1:15" x14ac:dyDescent="0.25">
      <c r="A21" s="16">
        <v>19829</v>
      </c>
      <c r="B21" s="49">
        <v>300</v>
      </c>
      <c r="C21" s="89"/>
      <c r="D21" s="13"/>
      <c r="E21" s="70"/>
      <c r="F21" s="14" t="s">
        <v>14</v>
      </c>
      <c r="G21" s="11">
        <v>19934</v>
      </c>
      <c r="H21" s="67">
        <v>400</v>
      </c>
      <c r="I21" s="12"/>
      <c r="J21" s="61">
        <v>19981</v>
      </c>
      <c r="K21" s="71">
        <v>300</v>
      </c>
      <c r="L21" s="62"/>
      <c r="M21" s="75"/>
      <c r="N21" s="73"/>
      <c r="O21" s="15"/>
    </row>
    <row r="22" spans="1:15" x14ac:dyDescent="0.25">
      <c r="A22" s="16">
        <v>19830</v>
      </c>
      <c r="B22" s="49">
        <v>400</v>
      </c>
      <c r="C22" s="17"/>
      <c r="D22" s="13">
        <v>19892</v>
      </c>
      <c r="E22" s="70">
        <v>600</v>
      </c>
      <c r="F22" s="14" t="s">
        <v>422</v>
      </c>
      <c r="G22" s="11">
        <v>19935</v>
      </c>
      <c r="H22" s="67">
        <v>200</v>
      </c>
      <c r="I22" s="12" t="s">
        <v>529</v>
      </c>
      <c r="J22" s="61">
        <v>19982</v>
      </c>
      <c r="K22" s="71">
        <v>150</v>
      </c>
      <c r="L22" s="62" t="s">
        <v>278</v>
      </c>
      <c r="M22" s="75"/>
      <c r="N22" s="73"/>
      <c r="O22" s="15"/>
    </row>
    <row r="23" spans="1:15" x14ac:dyDescent="0.25">
      <c r="A23" s="16">
        <v>19831</v>
      </c>
      <c r="B23" s="49">
        <v>400</v>
      </c>
      <c r="C23" s="17"/>
      <c r="D23" s="13"/>
      <c r="E23" s="70"/>
      <c r="F23" s="14" t="s">
        <v>16</v>
      </c>
      <c r="G23" s="11">
        <v>19936</v>
      </c>
      <c r="H23" s="67">
        <v>400</v>
      </c>
      <c r="I23" s="12" t="s">
        <v>453</v>
      </c>
      <c r="J23" s="61">
        <v>19983</v>
      </c>
      <c r="K23" s="71">
        <v>150</v>
      </c>
      <c r="L23" s="62" t="s">
        <v>278</v>
      </c>
      <c r="M23" s="75"/>
      <c r="N23" s="73"/>
      <c r="O23" s="15"/>
    </row>
    <row r="24" spans="1:15" x14ac:dyDescent="0.25">
      <c r="A24" s="16">
        <v>19832</v>
      </c>
      <c r="B24" s="49">
        <v>300</v>
      </c>
      <c r="C24" s="17"/>
      <c r="D24" s="13">
        <v>19893</v>
      </c>
      <c r="E24" s="70">
        <v>300</v>
      </c>
      <c r="F24" s="14"/>
      <c r="G24" s="11"/>
      <c r="H24" s="67"/>
      <c r="I24" s="12" t="s">
        <v>14</v>
      </c>
      <c r="J24" s="61">
        <v>19984</v>
      </c>
      <c r="K24" s="71">
        <v>400</v>
      </c>
      <c r="L24" s="62"/>
      <c r="M24" s="75"/>
      <c r="N24" s="73"/>
      <c r="O24" s="15"/>
    </row>
    <row r="25" spans="1:15" x14ac:dyDescent="0.25">
      <c r="A25" s="16">
        <v>19833</v>
      </c>
      <c r="B25" s="49">
        <v>900</v>
      </c>
      <c r="C25" s="17" t="s">
        <v>482</v>
      </c>
      <c r="D25" s="13">
        <v>19894</v>
      </c>
      <c r="E25" s="70">
        <v>450</v>
      </c>
      <c r="F25" s="14" t="s">
        <v>519</v>
      </c>
      <c r="G25" s="11">
        <v>19937</v>
      </c>
      <c r="H25" s="67">
        <v>200</v>
      </c>
      <c r="I25" s="12" t="s">
        <v>34</v>
      </c>
      <c r="J25" s="61">
        <v>19985</v>
      </c>
      <c r="K25" s="71">
        <v>800</v>
      </c>
      <c r="L25" s="62" t="s">
        <v>453</v>
      </c>
      <c r="M25" s="75"/>
      <c r="N25" s="73"/>
      <c r="O25" s="15"/>
    </row>
    <row r="26" spans="1:15" x14ac:dyDescent="0.25">
      <c r="A26" s="16"/>
      <c r="B26" s="49"/>
      <c r="C26" s="17" t="s">
        <v>16</v>
      </c>
      <c r="D26" s="13">
        <v>19895</v>
      </c>
      <c r="E26" s="70">
        <v>1200</v>
      </c>
      <c r="F26" s="14" t="s">
        <v>482</v>
      </c>
      <c r="G26" s="11">
        <v>19938</v>
      </c>
      <c r="H26" s="67">
        <v>600</v>
      </c>
      <c r="I26" s="12" t="s">
        <v>465</v>
      </c>
      <c r="J26" s="61"/>
      <c r="K26" s="71"/>
      <c r="L26" s="62" t="s">
        <v>270</v>
      </c>
      <c r="M26" s="75"/>
      <c r="N26" s="73"/>
      <c r="O26" s="15"/>
    </row>
    <row r="27" spans="1:15" x14ac:dyDescent="0.25">
      <c r="A27" s="16">
        <v>19834</v>
      </c>
      <c r="B27" s="49">
        <v>50</v>
      </c>
      <c r="C27" s="17" t="s">
        <v>20</v>
      </c>
      <c r="D27" s="13"/>
      <c r="E27" s="70"/>
      <c r="F27" s="14" t="s">
        <v>15</v>
      </c>
      <c r="G27" s="11"/>
      <c r="H27" s="67"/>
      <c r="I27" s="12" t="s">
        <v>14</v>
      </c>
      <c r="J27" s="61">
        <v>19986</v>
      </c>
      <c r="K27" s="71">
        <v>400</v>
      </c>
      <c r="L27" s="62" t="s">
        <v>540</v>
      </c>
      <c r="M27" s="75"/>
      <c r="N27" s="73"/>
      <c r="O27" s="31"/>
    </row>
    <row r="28" spans="1:15" x14ac:dyDescent="0.25">
      <c r="A28" s="16">
        <v>19835</v>
      </c>
      <c r="B28" s="49">
        <v>400</v>
      </c>
      <c r="C28" s="17"/>
      <c r="D28" s="13">
        <v>19896</v>
      </c>
      <c r="E28" s="70">
        <v>300</v>
      </c>
      <c r="F28" s="14"/>
      <c r="G28" s="11">
        <v>19939</v>
      </c>
      <c r="H28" s="67">
        <v>400</v>
      </c>
      <c r="I28" s="12"/>
      <c r="J28" s="61">
        <v>19987</v>
      </c>
      <c r="K28" s="71">
        <v>150</v>
      </c>
      <c r="L28" s="62" t="s">
        <v>278</v>
      </c>
      <c r="M28" s="75"/>
      <c r="N28" s="73"/>
      <c r="O28" s="15"/>
    </row>
    <row r="29" spans="1:15" x14ac:dyDescent="0.25">
      <c r="A29" s="16">
        <v>19836</v>
      </c>
      <c r="B29" s="49">
        <v>400</v>
      </c>
      <c r="C29" s="17" t="s">
        <v>453</v>
      </c>
      <c r="D29" s="13">
        <v>19897</v>
      </c>
      <c r="E29" s="70">
        <v>400</v>
      </c>
      <c r="F29" s="14"/>
      <c r="G29" s="11">
        <v>19940</v>
      </c>
      <c r="H29" s="67">
        <v>800</v>
      </c>
      <c r="I29" s="12" t="s">
        <v>422</v>
      </c>
      <c r="J29" s="61">
        <v>19988</v>
      </c>
      <c r="K29" s="71">
        <v>600</v>
      </c>
      <c r="L29" s="62" t="s">
        <v>453</v>
      </c>
      <c r="M29" s="75"/>
      <c r="N29" s="73"/>
      <c r="O29" s="15"/>
    </row>
    <row r="30" spans="1:15" x14ac:dyDescent="0.25">
      <c r="A30" s="16"/>
      <c r="B30" s="49"/>
      <c r="C30" s="17" t="s">
        <v>14</v>
      </c>
      <c r="D30" s="13">
        <v>19898</v>
      </c>
      <c r="E30" s="70"/>
      <c r="F30" s="14" t="s">
        <v>59</v>
      </c>
      <c r="G30" s="11"/>
      <c r="H30" s="67"/>
      <c r="I30" s="12" t="s">
        <v>15</v>
      </c>
      <c r="J30" s="61"/>
      <c r="K30" s="71"/>
      <c r="L30" s="62" t="s">
        <v>16</v>
      </c>
      <c r="M30" s="75"/>
      <c r="N30" s="73"/>
      <c r="O30" s="15"/>
    </row>
    <row r="31" spans="1:15" x14ac:dyDescent="0.25">
      <c r="A31" s="16">
        <v>19837</v>
      </c>
      <c r="B31" s="49">
        <v>250</v>
      </c>
      <c r="C31" s="17"/>
      <c r="D31" s="13">
        <v>19899</v>
      </c>
      <c r="E31" s="70">
        <v>400</v>
      </c>
      <c r="F31" s="14" t="s">
        <v>527</v>
      </c>
      <c r="G31" s="11">
        <v>19941</v>
      </c>
      <c r="H31" s="67">
        <v>600</v>
      </c>
      <c r="I31" s="12" t="s">
        <v>453</v>
      </c>
      <c r="J31" s="61">
        <v>19989</v>
      </c>
      <c r="K31" s="71">
        <v>750</v>
      </c>
      <c r="L31" s="62" t="s">
        <v>465</v>
      </c>
      <c r="M31" s="75"/>
      <c r="N31" s="73"/>
      <c r="O31" s="15"/>
    </row>
    <row r="32" spans="1:15" x14ac:dyDescent="0.25">
      <c r="A32" s="16">
        <v>19838</v>
      </c>
      <c r="B32" s="49">
        <v>400</v>
      </c>
      <c r="C32" s="17"/>
      <c r="D32" s="13">
        <v>19900</v>
      </c>
      <c r="E32" s="70">
        <v>1000</v>
      </c>
      <c r="F32" s="14" t="s">
        <v>520</v>
      </c>
      <c r="G32" s="11"/>
      <c r="H32" s="67"/>
      <c r="I32" s="12" t="s">
        <v>16</v>
      </c>
      <c r="J32" s="61"/>
      <c r="K32" s="71"/>
      <c r="L32" s="62" t="s">
        <v>19</v>
      </c>
      <c r="M32" s="75"/>
      <c r="N32" s="73"/>
      <c r="O32" s="15"/>
    </row>
    <row r="33" spans="1:15" x14ac:dyDescent="0.25">
      <c r="A33" s="16">
        <v>19839</v>
      </c>
      <c r="B33" s="49">
        <v>400</v>
      </c>
      <c r="C33" s="17"/>
      <c r="D33" s="13"/>
      <c r="E33" s="70"/>
      <c r="F33" s="14" t="s">
        <v>521</v>
      </c>
      <c r="G33" s="11">
        <v>19942</v>
      </c>
      <c r="H33" s="67">
        <v>800</v>
      </c>
      <c r="I33" s="12" t="s">
        <v>453</v>
      </c>
      <c r="J33" s="61">
        <v>19990</v>
      </c>
      <c r="K33" s="71">
        <v>50</v>
      </c>
      <c r="L33" s="62" t="s">
        <v>20</v>
      </c>
      <c r="M33" s="75"/>
      <c r="N33" s="73"/>
      <c r="O33" s="15"/>
    </row>
    <row r="34" spans="1:15" x14ac:dyDescent="0.25">
      <c r="A34" s="16">
        <v>19840</v>
      </c>
      <c r="B34" s="49">
        <v>200</v>
      </c>
      <c r="C34" s="17"/>
      <c r="D34" s="13">
        <v>19901</v>
      </c>
      <c r="E34" s="70">
        <v>400</v>
      </c>
      <c r="F34" s="14"/>
      <c r="G34" s="11"/>
      <c r="H34" s="67"/>
      <c r="I34" s="12" t="s">
        <v>15</v>
      </c>
      <c r="J34" s="61">
        <v>19991</v>
      </c>
      <c r="K34" s="71">
        <v>1200</v>
      </c>
      <c r="L34" s="62" t="s">
        <v>465</v>
      </c>
      <c r="M34" s="75"/>
      <c r="N34" s="73"/>
      <c r="O34" s="31"/>
    </row>
    <row r="35" spans="1:15" x14ac:dyDescent="0.25">
      <c r="A35" s="16">
        <v>19841</v>
      </c>
      <c r="B35" s="49">
        <v>250</v>
      </c>
      <c r="C35" s="17"/>
      <c r="D35" s="13">
        <v>19902</v>
      </c>
      <c r="E35" s="70">
        <v>400</v>
      </c>
      <c r="F35" s="14"/>
      <c r="G35" s="11">
        <v>19943</v>
      </c>
      <c r="H35" s="67">
        <v>400</v>
      </c>
      <c r="I35" s="12"/>
      <c r="J35" s="61"/>
      <c r="K35" s="71"/>
      <c r="L35" s="62" t="s">
        <v>270</v>
      </c>
      <c r="M35" s="75"/>
      <c r="N35" s="73"/>
      <c r="O35" s="115"/>
    </row>
    <row r="36" spans="1:15" x14ac:dyDescent="0.25">
      <c r="A36" s="16">
        <v>19842</v>
      </c>
      <c r="B36" s="49">
        <v>600</v>
      </c>
      <c r="C36" s="17" t="s">
        <v>453</v>
      </c>
      <c r="D36" s="13">
        <v>19903</v>
      </c>
      <c r="E36" s="70">
        <v>400</v>
      </c>
      <c r="F36" s="14"/>
      <c r="G36" s="11">
        <v>19944</v>
      </c>
      <c r="H36" s="67">
        <v>300</v>
      </c>
      <c r="I36" s="12"/>
      <c r="J36" s="61">
        <v>19992</v>
      </c>
      <c r="K36" s="71">
        <v>400</v>
      </c>
      <c r="L36" s="62" t="s">
        <v>540</v>
      </c>
      <c r="M36" s="75"/>
      <c r="N36" s="73"/>
      <c r="O36" s="15"/>
    </row>
    <row r="37" spans="1:15" x14ac:dyDescent="0.25">
      <c r="A37" s="16"/>
      <c r="B37" s="49"/>
      <c r="C37" s="17" t="s">
        <v>16</v>
      </c>
      <c r="D37" s="13">
        <v>19904</v>
      </c>
      <c r="E37" s="70">
        <v>400</v>
      </c>
      <c r="F37" s="14"/>
      <c r="G37" s="11">
        <v>19945</v>
      </c>
      <c r="H37" s="67">
        <v>400</v>
      </c>
      <c r="I37" s="12" t="s">
        <v>453</v>
      </c>
      <c r="J37" s="61">
        <v>19993</v>
      </c>
      <c r="K37" s="71">
        <v>50</v>
      </c>
      <c r="L37" s="62" t="s">
        <v>20</v>
      </c>
      <c r="M37" s="75"/>
      <c r="N37" s="73"/>
      <c r="O37" s="15"/>
    </row>
    <row r="38" spans="1:15" x14ac:dyDescent="0.25">
      <c r="A38" s="16">
        <v>19843</v>
      </c>
      <c r="B38" s="49">
        <v>1000</v>
      </c>
      <c r="C38" s="17" t="s">
        <v>453</v>
      </c>
      <c r="D38" s="13">
        <v>19905</v>
      </c>
      <c r="E38" s="70">
        <v>800</v>
      </c>
      <c r="F38" s="14" t="s">
        <v>453</v>
      </c>
      <c r="G38" s="11"/>
      <c r="H38" s="67"/>
      <c r="I38" s="12" t="s">
        <v>14</v>
      </c>
      <c r="J38" s="61">
        <v>19994</v>
      </c>
      <c r="K38" s="71">
        <v>150</v>
      </c>
      <c r="L38" s="62" t="s">
        <v>278</v>
      </c>
      <c r="M38" s="75"/>
      <c r="N38" s="73"/>
      <c r="O38" s="15"/>
    </row>
    <row r="39" spans="1:15" x14ac:dyDescent="0.25">
      <c r="A39" s="16"/>
      <c r="B39" s="49"/>
      <c r="C39" s="17" t="s">
        <v>111</v>
      </c>
      <c r="D39" s="13"/>
      <c r="E39" s="70"/>
      <c r="F39" s="14" t="s">
        <v>15</v>
      </c>
      <c r="G39" s="11">
        <v>19946</v>
      </c>
      <c r="H39" s="67"/>
      <c r="I39" s="12" t="s">
        <v>59</v>
      </c>
      <c r="J39" s="61">
        <v>19995</v>
      </c>
      <c r="K39" s="71">
        <v>1500</v>
      </c>
      <c r="L39" s="62" t="s">
        <v>541</v>
      </c>
      <c r="M39" s="75"/>
      <c r="N39" s="73"/>
      <c r="O39" s="15"/>
    </row>
    <row r="40" spans="1:15" x14ac:dyDescent="0.25">
      <c r="A40" s="16">
        <v>19844</v>
      </c>
      <c r="B40" s="49">
        <v>400</v>
      </c>
      <c r="C40" s="17"/>
      <c r="D40" s="13">
        <v>19906</v>
      </c>
      <c r="E40" s="70">
        <v>500</v>
      </c>
      <c r="F40" s="14" t="s">
        <v>453</v>
      </c>
      <c r="G40" s="11">
        <v>19947</v>
      </c>
      <c r="H40" s="67"/>
      <c r="I40" s="12" t="s">
        <v>59</v>
      </c>
      <c r="J40" s="61"/>
      <c r="K40" s="71"/>
      <c r="L40" s="62" t="s">
        <v>542</v>
      </c>
      <c r="M40" s="75"/>
      <c r="N40" s="73"/>
      <c r="O40" s="15"/>
    </row>
    <row r="41" spans="1:15" x14ac:dyDescent="0.25">
      <c r="A41" s="16">
        <v>19845</v>
      </c>
      <c r="B41" s="49">
        <v>400</v>
      </c>
      <c r="C41" s="17"/>
      <c r="D41" s="13"/>
      <c r="E41" s="70"/>
      <c r="F41" s="14" t="s">
        <v>19</v>
      </c>
      <c r="G41" s="11">
        <v>19948</v>
      </c>
      <c r="H41" s="67"/>
      <c r="I41" s="12" t="s">
        <v>59</v>
      </c>
      <c r="J41" s="61">
        <v>19996</v>
      </c>
      <c r="K41" s="71">
        <v>400</v>
      </c>
      <c r="L41" s="62"/>
      <c r="M41" s="75"/>
      <c r="N41" s="73"/>
      <c r="O41" s="15"/>
    </row>
    <row r="42" spans="1:15" x14ac:dyDescent="0.25">
      <c r="A42" s="16">
        <v>19846</v>
      </c>
      <c r="B42" s="49">
        <v>200</v>
      </c>
      <c r="C42" s="17" t="s">
        <v>390</v>
      </c>
      <c r="D42" s="13">
        <v>19907</v>
      </c>
      <c r="E42" s="70">
        <v>400</v>
      </c>
      <c r="F42" s="14"/>
      <c r="G42" s="11">
        <v>19949</v>
      </c>
      <c r="H42" s="67">
        <v>300</v>
      </c>
      <c r="I42" s="12"/>
      <c r="J42" s="61">
        <v>19997</v>
      </c>
      <c r="K42" s="71">
        <v>400</v>
      </c>
      <c r="L42" s="62"/>
      <c r="M42" s="75"/>
      <c r="N42" s="73"/>
      <c r="O42" s="15"/>
    </row>
    <row r="43" spans="1:15" x14ac:dyDescent="0.25">
      <c r="A43" s="16">
        <v>19847</v>
      </c>
      <c r="B43" s="49">
        <v>200</v>
      </c>
      <c r="C43" s="17"/>
      <c r="D43" s="13">
        <v>19908</v>
      </c>
      <c r="E43" s="70">
        <v>1200</v>
      </c>
      <c r="F43" s="14" t="s">
        <v>396</v>
      </c>
      <c r="G43" s="11">
        <v>19950</v>
      </c>
      <c r="H43" s="67"/>
      <c r="I43" s="12" t="s">
        <v>59</v>
      </c>
      <c r="J43" s="61">
        <v>19998</v>
      </c>
      <c r="K43" s="71">
        <v>1150</v>
      </c>
      <c r="L43" s="62" t="s">
        <v>543</v>
      </c>
      <c r="M43" s="75"/>
      <c r="N43" s="73"/>
      <c r="O43" s="15"/>
    </row>
    <row r="44" spans="1:15" x14ac:dyDescent="0.25">
      <c r="A44" s="16">
        <v>19848</v>
      </c>
      <c r="B44" s="49">
        <v>350</v>
      </c>
      <c r="C44" s="17"/>
      <c r="D44" s="13"/>
      <c r="E44" s="70"/>
      <c r="F44" s="14" t="s">
        <v>15</v>
      </c>
      <c r="G44" s="11">
        <v>19951</v>
      </c>
      <c r="H44" s="67">
        <v>200</v>
      </c>
      <c r="I44" s="12" t="s">
        <v>530</v>
      </c>
      <c r="J44" s="61">
        <v>19999</v>
      </c>
      <c r="K44" s="71">
        <v>350</v>
      </c>
      <c r="L44" s="62" t="s">
        <v>544</v>
      </c>
      <c r="M44" s="75"/>
      <c r="N44" s="73"/>
      <c r="O44" s="15"/>
    </row>
    <row r="45" spans="1:15" x14ac:dyDescent="0.25">
      <c r="A45" s="16">
        <v>19849</v>
      </c>
      <c r="B45" s="49">
        <v>350</v>
      </c>
      <c r="C45" s="17"/>
      <c r="D45" s="13">
        <v>19909</v>
      </c>
      <c r="E45" s="70">
        <v>200</v>
      </c>
      <c r="F45" s="14" t="s">
        <v>34</v>
      </c>
      <c r="G45" s="11">
        <v>19952</v>
      </c>
      <c r="H45" s="67">
        <v>400</v>
      </c>
      <c r="I45" s="12"/>
      <c r="J45" s="61">
        <v>20000</v>
      </c>
      <c r="K45" s="71">
        <v>800</v>
      </c>
      <c r="L45" s="62" t="s">
        <v>494</v>
      </c>
      <c r="M45" s="75"/>
      <c r="N45" s="73"/>
      <c r="O45" s="15"/>
    </row>
    <row r="46" spans="1:15" x14ac:dyDescent="0.25">
      <c r="A46" s="16">
        <v>19850</v>
      </c>
      <c r="B46" s="49">
        <v>400</v>
      </c>
      <c r="C46" s="17" t="s">
        <v>453</v>
      </c>
      <c r="D46" s="13">
        <v>19910</v>
      </c>
      <c r="E46" s="70">
        <v>200</v>
      </c>
      <c r="F46" s="14"/>
      <c r="G46" s="11">
        <v>19953</v>
      </c>
      <c r="H46" s="67">
        <v>400</v>
      </c>
      <c r="I46" s="12"/>
      <c r="J46" s="61"/>
      <c r="K46" s="71"/>
      <c r="L46" s="62" t="s">
        <v>270</v>
      </c>
      <c r="M46" s="75"/>
      <c r="N46" s="73"/>
      <c r="O46" s="15"/>
    </row>
    <row r="47" spans="1:15" x14ac:dyDescent="0.25">
      <c r="A47" s="16"/>
      <c r="B47" s="49"/>
      <c r="C47" s="17" t="s">
        <v>14</v>
      </c>
      <c r="D47" s="13">
        <v>19911</v>
      </c>
      <c r="E47" s="70">
        <v>1200</v>
      </c>
      <c r="F47" s="14" t="s">
        <v>482</v>
      </c>
      <c r="G47" s="11">
        <v>19954</v>
      </c>
      <c r="H47" s="67">
        <v>200</v>
      </c>
      <c r="I47" s="12" t="s">
        <v>531</v>
      </c>
      <c r="J47" s="61">
        <v>20001</v>
      </c>
      <c r="K47" s="71">
        <v>250</v>
      </c>
      <c r="L47" s="62" t="s">
        <v>545</v>
      </c>
      <c r="M47" s="75"/>
      <c r="N47" s="73"/>
      <c r="O47" s="15"/>
    </row>
    <row r="48" spans="1:15" x14ac:dyDescent="0.25">
      <c r="A48" s="16">
        <v>19851</v>
      </c>
      <c r="B48" s="49">
        <v>200</v>
      </c>
      <c r="C48" s="17"/>
      <c r="D48" s="13"/>
      <c r="E48" s="70"/>
      <c r="F48" s="14" t="s">
        <v>15</v>
      </c>
      <c r="G48" s="11">
        <v>19955</v>
      </c>
      <c r="H48" s="67">
        <v>1200</v>
      </c>
      <c r="I48" s="12" t="s">
        <v>396</v>
      </c>
      <c r="J48" s="61">
        <v>20002</v>
      </c>
      <c r="K48" s="71">
        <v>100</v>
      </c>
      <c r="L48" s="62" t="s">
        <v>217</v>
      </c>
      <c r="M48" s="75"/>
      <c r="N48" s="73"/>
      <c r="O48" s="15"/>
    </row>
    <row r="49" spans="1:15" x14ac:dyDescent="0.25">
      <c r="A49" s="16">
        <v>19852</v>
      </c>
      <c r="B49" s="49">
        <v>400</v>
      </c>
      <c r="C49" s="17"/>
      <c r="D49" s="13">
        <v>19912</v>
      </c>
      <c r="E49" s="70">
        <v>100</v>
      </c>
      <c r="F49" s="14"/>
      <c r="G49" s="11"/>
      <c r="H49" s="67"/>
      <c r="I49" s="12" t="s">
        <v>15</v>
      </c>
      <c r="J49" s="61">
        <v>20003</v>
      </c>
      <c r="K49" s="71">
        <v>1000</v>
      </c>
      <c r="L49" s="62" t="s">
        <v>546</v>
      </c>
      <c r="M49" s="75"/>
      <c r="N49" s="73"/>
      <c r="O49" s="15"/>
    </row>
    <row r="50" spans="1:15" x14ac:dyDescent="0.25">
      <c r="A50" s="16">
        <v>19853</v>
      </c>
      <c r="B50" s="49">
        <v>400</v>
      </c>
      <c r="C50" s="17"/>
      <c r="D50" s="13">
        <v>19913</v>
      </c>
      <c r="E50" s="70">
        <v>3000</v>
      </c>
      <c r="F50" s="14" t="s">
        <v>522</v>
      </c>
      <c r="G50" s="11">
        <v>19956</v>
      </c>
      <c r="H50" s="67">
        <v>800</v>
      </c>
      <c r="I50" s="12" t="s">
        <v>453</v>
      </c>
      <c r="J50" s="61"/>
      <c r="K50" s="71"/>
      <c r="L50" s="62" t="s">
        <v>547</v>
      </c>
      <c r="M50" s="75"/>
      <c r="N50" s="73"/>
      <c r="O50" s="15"/>
    </row>
    <row r="51" spans="1:15" x14ac:dyDescent="0.25">
      <c r="A51" s="16">
        <v>19854</v>
      </c>
      <c r="B51" s="49">
        <v>400</v>
      </c>
      <c r="C51" s="17"/>
      <c r="D51" s="13"/>
      <c r="E51" s="70"/>
      <c r="F51" s="14" t="s">
        <v>523</v>
      </c>
      <c r="G51" s="11"/>
      <c r="H51" s="67"/>
      <c r="I51" s="12" t="s">
        <v>15</v>
      </c>
      <c r="J51" s="61">
        <v>20004</v>
      </c>
      <c r="K51" s="71">
        <v>150</v>
      </c>
      <c r="L51" s="62" t="s">
        <v>278</v>
      </c>
      <c r="M51" s="75"/>
      <c r="N51" s="73"/>
      <c r="O51" s="15"/>
    </row>
    <row r="52" spans="1:15" x14ac:dyDescent="0.25">
      <c r="A52" s="16">
        <v>19855</v>
      </c>
      <c r="B52" s="49">
        <v>850</v>
      </c>
      <c r="C52" s="17" t="s">
        <v>509</v>
      </c>
      <c r="D52" s="13"/>
      <c r="E52" s="70"/>
      <c r="F52" s="14" t="s">
        <v>524</v>
      </c>
      <c r="G52" s="11">
        <v>19957</v>
      </c>
      <c r="H52" s="67">
        <v>400</v>
      </c>
      <c r="I52" s="12"/>
      <c r="J52" s="61">
        <v>20005</v>
      </c>
      <c r="K52" s="71">
        <v>50</v>
      </c>
      <c r="L52" s="62" t="s">
        <v>20</v>
      </c>
      <c r="M52" s="75"/>
      <c r="N52" s="73"/>
      <c r="O52" s="15"/>
    </row>
    <row r="53" spans="1:15" x14ac:dyDescent="0.25">
      <c r="A53" s="16"/>
      <c r="B53" s="49"/>
      <c r="C53" s="17" t="s">
        <v>510</v>
      </c>
      <c r="D53" s="13">
        <v>19914</v>
      </c>
      <c r="E53" s="70">
        <v>400</v>
      </c>
      <c r="F53" s="14" t="s">
        <v>455</v>
      </c>
      <c r="G53" s="11">
        <v>19958</v>
      </c>
      <c r="H53" s="67">
        <v>600</v>
      </c>
      <c r="I53" s="12" t="s">
        <v>443</v>
      </c>
      <c r="J53" s="61">
        <v>20006</v>
      </c>
      <c r="K53" s="71">
        <v>200</v>
      </c>
      <c r="L53" s="62"/>
      <c r="M53" s="75"/>
      <c r="N53" s="73"/>
      <c r="O53" s="15"/>
    </row>
    <row r="54" spans="1:15" x14ac:dyDescent="0.25">
      <c r="A54" s="16">
        <v>19856</v>
      </c>
      <c r="B54" s="49">
        <v>400</v>
      </c>
      <c r="C54" s="17" t="s">
        <v>455</v>
      </c>
      <c r="D54" s="13">
        <v>19915</v>
      </c>
      <c r="E54" s="70">
        <v>800</v>
      </c>
      <c r="F54" s="14" t="s">
        <v>453</v>
      </c>
      <c r="G54" s="11"/>
      <c r="H54" s="67"/>
      <c r="I54" s="12" t="s">
        <v>14</v>
      </c>
      <c r="J54" s="61">
        <v>20007</v>
      </c>
      <c r="K54" s="71">
        <v>400</v>
      </c>
      <c r="L54" s="62" t="s">
        <v>430</v>
      </c>
      <c r="M54" s="75"/>
      <c r="N54" s="73"/>
      <c r="O54" s="15"/>
    </row>
    <row r="55" spans="1:15" x14ac:dyDescent="0.25">
      <c r="A55" s="16">
        <v>19857</v>
      </c>
      <c r="B55" s="49">
        <v>400</v>
      </c>
      <c r="C55" s="17" t="s">
        <v>455</v>
      </c>
      <c r="D55" s="13"/>
      <c r="E55" s="70"/>
      <c r="F55" s="14" t="s">
        <v>15</v>
      </c>
      <c r="G55" s="11">
        <v>19959</v>
      </c>
      <c r="H55" s="67">
        <v>400</v>
      </c>
      <c r="I55" s="12"/>
      <c r="J55" s="61"/>
      <c r="K55" s="71"/>
      <c r="L55" s="62" t="s">
        <v>14</v>
      </c>
      <c r="M55" s="75"/>
      <c r="N55" s="73"/>
      <c r="O55" s="15"/>
    </row>
    <row r="56" spans="1:15" x14ac:dyDescent="0.25">
      <c r="A56" s="16">
        <v>19858</v>
      </c>
      <c r="B56" s="49">
        <v>400</v>
      </c>
      <c r="C56" s="17" t="s">
        <v>390</v>
      </c>
      <c r="D56" s="13">
        <v>19916</v>
      </c>
      <c r="E56" s="70">
        <v>400</v>
      </c>
      <c r="F56" s="14"/>
      <c r="G56" s="11">
        <v>19960</v>
      </c>
      <c r="H56" s="67">
        <v>3600</v>
      </c>
      <c r="I56" s="12" t="s">
        <v>532</v>
      </c>
      <c r="J56" s="61">
        <v>20008</v>
      </c>
      <c r="K56" s="71">
        <v>50</v>
      </c>
      <c r="L56" s="62" t="s">
        <v>20</v>
      </c>
      <c r="M56" s="75"/>
      <c r="N56" s="73"/>
      <c r="O56" s="15"/>
    </row>
    <row r="57" spans="1:15" x14ac:dyDescent="0.25">
      <c r="A57" s="16">
        <v>19859</v>
      </c>
      <c r="B57" s="49">
        <v>400</v>
      </c>
      <c r="C57" s="17"/>
      <c r="D57" s="13">
        <v>19917</v>
      </c>
      <c r="E57" s="70">
        <v>600</v>
      </c>
      <c r="F57" s="14" t="s">
        <v>453</v>
      </c>
      <c r="G57" s="11"/>
      <c r="H57" s="67"/>
      <c r="I57" s="12" t="s">
        <v>15</v>
      </c>
      <c r="J57" s="61">
        <v>20009</v>
      </c>
      <c r="K57" s="71">
        <v>400</v>
      </c>
      <c r="L57" s="62" t="s">
        <v>455</v>
      </c>
      <c r="M57" s="75"/>
      <c r="N57" s="73"/>
      <c r="O57" s="15"/>
    </row>
    <row r="58" spans="1:15" x14ac:dyDescent="0.25">
      <c r="A58" s="16">
        <v>19860</v>
      </c>
      <c r="B58" s="49">
        <v>400</v>
      </c>
      <c r="C58" s="17"/>
      <c r="D58" s="13"/>
      <c r="E58" s="70"/>
      <c r="F58" s="14" t="s">
        <v>16</v>
      </c>
      <c r="G58" s="11">
        <v>19961</v>
      </c>
      <c r="H58" s="67">
        <v>400</v>
      </c>
      <c r="I58" s="12" t="s">
        <v>455</v>
      </c>
      <c r="J58" s="61">
        <v>20010</v>
      </c>
      <c r="K58" s="71">
        <v>200</v>
      </c>
      <c r="L58" s="62" t="s">
        <v>540</v>
      </c>
      <c r="M58" s="75"/>
      <c r="N58" s="73"/>
      <c r="O58" s="15"/>
    </row>
    <row r="59" spans="1:15" x14ac:dyDescent="0.25">
      <c r="A59" s="16">
        <v>19861</v>
      </c>
      <c r="B59" s="49">
        <v>2000</v>
      </c>
      <c r="C59" s="17" t="s">
        <v>457</v>
      </c>
      <c r="D59" s="13">
        <v>19918</v>
      </c>
      <c r="E59" s="70">
        <v>800</v>
      </c>
      <c r="F59" s="14" t="s">
        <v>422</v>
      </c>
      <c r="G59" s="11">
        <v>19962</v>
      </c>
      <c r="H59" s="67">
        <v>400</v>
      </c>
      <c r="I59" s="12"/>
      <c r="J59" s="61">
        <v>20011</v>
      </c>
      <c r="K59" s="71">
        <v>400</v>
      </c>
      <c r="L59" s="62" t="s">
        <v>540</v>
      </c>
      <c r="M59" s="75"/>
      <c r="N59" s="73"/>
      <c r="O59" s="15"/>
    </row>
    <row r="60" spans="1:15" x14ac:dyDescent="0.25">
      <c r="A60" s="16"/>
      <c r="B60" s="49"/>
      <c r="C60" s="17" t="s">
        <v>511</v>
      </c>
      <c r="D60" s="13"/>
      <c r="E60" s="70"/>
      <c r="F60" s="14" t="s">
        <v>15</v>
      </c>
      <c r="G60" s="11">
        <v>19963</v>
      </c>
      <c r="H60" s="67">
        <v>600</v>
      </c>
      <c r="I60" s="12" t="s">
        <v>453</v>
      </c>
      <c r="J60" s="61">
        <v>20012</v>
      </c>
      <c r="K60" s="71">
        <v>200</v>
      </c>
      <c r="L60" s="62"/>
      <c r="M60" s="75"/>
      <c r="N60" s="73"/>
      <c r="O60" s="15"/>
    </row>
    <row r="61" spans="1:15" x14ac:dyDescent="0.25">
      <c r="A61" s="16">
        <v>19862</v>
      </c>
      <c r="B61" s="49">
        <v>200</v>
      </c>
      <c r="C61" s="17" t="s">
        <v>512</v>
      </c>
      <c r="D61" s="13">
        <v>19919</v>
      </c>
      <c r="E61" s="70">
        <v>400</v>
      </c>
      <c r="F61" s="14"/>
      <c r="G61" s="11"/>
      <c r="H61" s="67"/>
      <c r="I61" s="12" t="s">
        <v>16</v>
      </c>
      <c r="J61" s="61">
        <v>20013</v>
      </c>
      <c r="K61" s="71">
        <v>500</v>
      </c>
      <c r="L61" s="62" t="s">
        <v>494</v>
      </c>
      <c r="M61" s="75"/>
      <c r="N61" s="73"/>
      <c r="O61" s="15"/>
    </row>
    <row r="62" spans="1:15" x14ac:dyDescent="0.25">
      <c r="A62" s="16">
        <v>19863</v>
      </c>
      <c r="B62" s="49">
        <v>200</v>
      </c>
      <c r="C62" s="17" t="s">
        <v>34</v>
      </c>
      <c r="D62" s="13">
        <v>19920</v>
      </c>
      <c r="E62" s="70">
        <v>1200</v>
      </c>
      <c r="F62" s="14" t="s">
        <v>443</v>
      </c>
      <c r="G62" s="11">
        <v>19964</v>
      </c>
      <c r="H62" s="67">
        <v>1200</v>
      </c>
      <c r="I62" s="12" t="s">
        <v>443</v>
      </c>
      <c r="J62" s="61"/>
      <c r="K62" s="71"/>
      <c r="L62" s="62" t="s">
        <v>19</v>
      </c>
      <c r="M62" s="75"/>
      <c r="N62" s="73"/>
      <c r="O62" s="15"/>
    </row>
    <row r="63" spans="1:15" x14ac:dyDescent="0.25">
      <c r="A63" s="16">
        <v>19864</v>
      </c>
      <c r="B63" s="49">
        <v>200</v>
      </c>
      <c r="C63" s="17" t="s">
        <v>34</v>
      </c>
      <c r="D63" s="13"/>
      <c r="E63" s="70"/>
      <c r="F63" s="14" t="s">
        <v>15</v>
      </c>
      <c r="G63" s="11"/>
      <c r="H63" s="67"/>
      <c r="I63" s="12" t="s">
        <v>15</v>
      </c>
      <c r="J63" s="61">
        <v>20014</v>
      </c>
      <c r="K63" s="71">
        <v>50</v>
      </c>
      <c r="L63" s="62" t="s">
        <v>20</v>
      </c>
      <c r="M63" s="75"/>
      <c r="N63" s="73"/>
      <c r="O63" s="15"/>
    </row>
    <row r="64" spans="1:15" x14ac:dyDescent="0.25">
      <c r="A64" s="16">
        <v>19865</v>
      </c>
      <c r="B64" s="49">
        <v>400</v>
      </c>
      <c r="C64" s="17"/>
      <c r="D64" s="13">
        <v>19921</v>
      </c>
      <c r="E64" s="70">
        <v>400</v>
      </c>
      <c r="F64" s="14"/>
      <c r="G64" s="11">
        <v>19965</v>
      </c>
      <c r="H64" s="67">
        <v>400</v>
      </c>
      <c r="I64" s="12"/>
      <c r="J64" s="61">
        <v>20015</v>
      </c>
      <c r="K64" s="71">
        <v>400</v>
      </c>
      <c r="L64" s="62" t="s">
        <v>540</v>
      </c>
      <c r="M64" s="75"/>
      <c r="N64" s="73"/>
      <c r="O64" s="15"/>
    </row>
    <row r="65" spans="1:15" x14ac:dyDescent="0.25">
      <c r="A65" s="16">
        <v>19866</v>
      </c>
      <c r="B65" s="49">
        <v>150</v>
      </c>
      <c r="C65" s="17"/>
      <c r="D65" s="13">
        <v>19922</v>
      </c>
      <c r="E65" s="70">
        <v>450</v>
      </c>
      <c r="F65" s="14" t="s">
        <v>465</v>
      </c>
      <c r="G65" s="11">
        <v>19966</v>
      </c>
      <c r="H65" s="67">
        <v>400</v>
      </c>
      <c r="I65" s="12"/>
      <c r="J65" s="61">
        <v>20016</v>
      </c>
      <c r="K65" s="71">
        <v>300</v>
      </c>
      <c r="L65" s="62"/>
      <c r="M65" s="75"/>
      <c r="N65" s="73"/>
      <c r="O65" s="15"/>
    </row>
    <row r="66" spans="1:15" x14ac:dyDescent="0.25">
      <c r="A66" s="16">
        <v>19867</v>
      </c>
      <c r="B66" s="49">
        <v>1200</v>
      </c>
      <c r="C66" s="17" t="s">
        <v>272</v>
      </c>
      <c r="D66" s="13"/>
      <c r="E66" s="70"/>
      <c r="F66" s="14" t="s">
        <v>525</v>
      </c>
      <c r="G66" s="11">
        <v>19967</v>
      </c>
      <c r="H66" s="67">
        <v>400</v>
      </c>
      <c r="I66" s="12"/>
      <c r="J66" s="61">
        <v>20017</v>
      </c>
      <c r="K66" s="71">
        <v>100</v>
      </c>
      <c r="L66" s="62" t="s">
        <v>217</v>
      </c>
      <c r="M66" s="75"/>
      <c r="N66" s="73"/>
      <c r="O66" s="15"/>
    </row>
    <row r="67" spans="1:15" x14ac:dyDescent="0.25">
      <c r="A67" s="16"/>
      <c r="B67" s="49"/>
      <c r="C67" s="17" t="s">
        <v>15</v>
      </c>
      <c r="D67" s="13">
        <v>19923</v>
      </c>
      <c r="E67" s="70">
        <v>200</v>
      </c>
      <c r="F67" s="14" t="s">
        <v>526</v>
      </c>
      <c r="G67" s="11">
        <v>19968</v>
      </c>
      <c r="H67" s="67">
        <v>400</v>
      </c>
      <c r="I67" s="12" t="s">
        <v>533</v>
      </c>
      <c r="J67" s="61">
        <v>20018</v>
      </c>
      <c r="K67" s="71">
        <v>800</v>
      </c>
      <c r="L67" s="62" t="s">
        <v>453</v>
      </c>
      <c r="M67" s="75"/>
      <c r="N67" s="73"/>
      <c r="O67" s="15"/>
    </row>
    <row r="68" spans="1:15" x14ac:dyDescent="0.25">
      <c r="A68" s="16">
        <v>19868</v>
      </c>
      <c r="B68" s="49">
        <v>400</v>
      </c>
      <c r="C68" s="17"/>
      <c r="D68" s="13">
        <v>19924</v>
      </c>
      <c r="E68" s="70">
        <v>300</v>
      </c>
      <c r="F68" s="14" t="s">
        <v>390</v>
      </c>
      <c r="G68" s="11"/>
      <c r="H68" s="67"/>
      <c r="I68" s="12" t="s">
        <v>534</v>
      </c>
      <c r="J68" s="61"/>
      <c r="K68" s="71"/>
      <c r="L68" s="62" t="s">
        <v>270</v>
      </c>
      <c r="M68" s="75"/>
      <c r="N68" s="73"/>
      <c r="O68" s="15"/>
    </row>
    <row r="69" spans="1:15" x14ac:dyDescent="0.25">
      <c r="A69" s="16">
        <v>19869</v>
      </c>
      <c r="B69" s="49">
        <v>200</v>
      </c>
      <c r="C69" s="17" t="s">
        <v>513</v>
      </c>
      <c r="D69" s="13">
        <v>19925</v>
      </c>
      <c r="E69" s="70">
        <v>400</v>
      </c>
      <c r="F69" s="14"/>
      <c r="G69" s="11">
        <v>19969</v>
      </c>
      <c r="H69" s="67">
        <v>400</v>
      </c>
      <c r="I69" s="12"/>
      <c r="J69" s="61">
        <v>20019</v>
      </c>
      <c r="K69" s="71">
        <v>400</v>
      </c>
      <c r="L69" s="62"/>
      <c r="M69" s="75"/>
      <c r="N69" s="73"/>
      <c r="O69" s="15"/>
    </row>
    <row r="70" spans="1:15" x14ac:dyDescent="0.25">
      <c r="A70" s="16">
        <v>19870</v>
      </c>
      <c r="B70" s="49">
        <v>50</v>
      </c>
      <c r="C70" s="17" t="s">
        <v>20</v>
      </c>
      <c r="D70" s="13">
        <v>19926</v>
      </c>
      <c r="E70" s="70">
        <v>300</v>
      </c>
      <c r="F70" s="14" t="s">
        <v>455</v>
      </c>
      <c r="G70" s="11">
        <v>19970</v>
      </c>
      <c r="H70" s="67">
        <v>800</v>
      </c>
      <c r="I70" s="12" t="s">
        <v>315</v>
      </c>
      <c r="J70" s="61">
        <v>20020</v>
      </c>
      <c r="K70" s="71">
        <v>50</v>
      </c>
      <c r="L70" s="62" t="s">
        <v>20</v>
      </c>
      <c r="M70" s="75"/>
      <c r="N70" s="73"/>
      <c r="O70" s="15"/>
    </row>
    <row r="71" spans="1:15" x14ac:dyDescent="0.25">
      <c r="A71" s="16">
        <v>19871</v>
      </c>
      <c r="B71" s="49">
        <v>600</v>
      </c>
      <c r="C71" s="17" t="s">
        <v>453</v>
      </c>
      <c r="D71" s="13"/>
      <c r="E71" s="70"/>
      <c r="F71" s="14"/>
      <c r="G71" s="11"/>
      <c r="H71" s="67"/>
      <c r="I71" s="12" t="s">
        <v>15</v>
      </c>
      <c r="J71" s="61">
        <v>20021</v>
      </c>
      <c r="K71" s="71">
        <v>50</v>
      </c>
      <c r="L71" s="62" t="s">
        <v>20</v>
      </c>
      <c r="M71" s="75"/>
      <c r="N71" s="73"/>
      <c r="O71" s="15"/>
    </row>
    <row r="72" spans="1:15" x14ac:dyDescent="0.25">
      <c r="A72" s="16"/>
      <c r="B72" s="49"/>
      <c r="C72" s="17" t="s">
        <v>16</v>
      </c>
      <c r="D72" s="13"/>
      <c r="E72" s="70"/>
      <c r="F72" s="14"/>
      <c r="G72" s="11">
        <v>19971</v>
      </c>
      <c r="H72" s="67"/>
      <c r="I72" s="12" t="s">
        <v>59</v>
      </c>
      <c r="J72" s="61">
        <v>20022</v>
      </c>
      <c r="K72" s="71">
        <v>50</v>
      </c>
      <c r="L72" s="62" t="s">
        <v>20</v>
      </c>
      <c r="M72" s="75"/>
      <c r="N72" s="73"/>
      <c r="O72" s="15"/>
    </row>
    <row r="73" spans="1:15" x14ac:dyDescent="0.25">
      <c r="A73" s="16">
        <v>19872</v>
      </c>
      <c r="B73" s="49">
        <v>1200</v>
      </c>
      <c r="C73" s="17" t="s">
        <v>464</v>
      </c>
      <c r="D73" s="13"/>
      <c r="E73" s="70"/>
      <c r="F73" s="14"/>
      <c r="G73" s="11">
        <v>19972</v>
      </c>
      <c r="H73" s="67">
        <v>1200</v>
      </c>
      <c r="I73" s="12" t="s">
        <v>482</v>
      </c>
      <c r="J73" s="61">
        <v>20023</v>
      </c>
      <c r="K73" s="71">
        <v>250</v>
      </c>
      <c r="L73" s="62" t="s">
        <v>278</v>
      </c>
      <c r="M73" s="75"/>
      <c r="N73" s="73"/>
      <c r="O73" s="15"/>
    </row>
    <row r="74" spans="1:15" x14ac:dyDescent="0.25">
      <c r="A74" s="16"/>
      <c r="B74" s="49"/>
      <c r="C74" s="17" t="s">
        <v>16</v>
      </c>
      <c r="D74" s="13"/>
      <c r="E74" s="70"/>
      <c r="F74" s="14"/>
      <c r="G74" s="11"/>
      <c r="H74" s="67"/>
      <c r="I74" s="12" t="s">
        <v>15</v>
      </c>
      <c r="J74" s="61">
        <v>20024</v>
      </c>
      <c r="K74" s="71">
        <v>50</v>
      </c>
      <c r="L74" s="62" t="s">
        <v>20</v>
      </c>
      <c r="M74" s="75"/>
      <c r="N74" s="73"/>
      <c r="O74" s="15"/>
    </row>
    <row r="75" spans="1:15" x14ac:dyDescent="0.25">
      <c r="A75" s="16">
        <v>19873</v>
      </c>
      <c r="B75" s="49">
        <v>400</v>
      </c>
      <c r="C75" s="17"/>
      <c r="D75" s="13"/>
      <c r="E75" s="70"/>
      <c r="F75" s="14"/>
      <c r="G75" s="11">
        <v>19973</v>
      </c>
      <c r="H75" s="67">
        <v>400</v>
      </c>
      <c r="I75" s="12"/>
      <c r="J75" s="61">
        <v>20025</v>
      </c>
      <c r="K75" s="71">
        <v>450</v>
      </c>
      <c r="L75" s="62" t="s">
        <v>548</v>
      </c>
      <c r="M75" s="75"/>
      <c r="N75" s="73"/>
      <c r="O75" s="15"/>
    </row>
    <row r="76" spans="1:15" x14ac:dyDescent="0.25">
      <c r="A76" s="16">
        <v>19874</v>
      </c>
      <c r="B76" s="49">
        <v>200</v>
      </c>
      <c r="C76" s="17"/>
      <c r="D76" s="13"/>
      <c r="E76" s="70"/>
      <c r="F76" s="14"/>
      <c r="G76" s="11"/>
      <c r="H76" s="67"/>
      <c r="I76" s="12"/>
      <c r="J76" s="61">
        <v>20026</v>
      </c>
      <c r="K76" s="71">
        <v>600</v>
      </c>
      <c r="L76" s="62" t="s">
        <v>549</v>
      </c>
      <c r="M76" s="75"/>
      <c r="N76" s="73"/>
      <c r="O76" s="15"/>
    </row>
    <row r="77" spans="1:15" x14ac:dyDescent="0.25">
      <c r="A77" s="16">
        <v>19875</v>
      </c>
      <c r="B77" s="49">
        <v>400</v>
      </c>
      <c r="C77" s="17"/>
      <c r="D77" s="13"/>
      <c r="E77" s="70"/>
      <c r="F77" s="14"/>
      <c r="G77" s="11"/>
      <c r="H77" s="67"/>
      <c r="I77" s="12"/>
      <c r="J77" s="61">
        <v>20027</v>
      </c>
      <c r="K77" s="71">
        <v>100</v>
      </c>
      <c r="L77" s="62" t="s">
        <v>217</v>
      </c>
      <c r="M77" s="75"/>
      <c r="N77" s="73"/>
      <c r="O77" s="15"/>
    </row>
    <row r="78" spans="1:15" x14ac:dyDescent="0.25">
      <c r="A78" s="16">
        <v>19876</v>
      </c>
      <c r="B78" s="49">
        <v>2000</v>
      </c>
      <c r="C78" s="17" t="s">
        <v>385</v>
      </c>
      <c r="D78" s="13"/>
      <c r="E78" s="70"/>
      <c r="F78" s="14"/>
      <c r="G78" s="11"/>
      <c r="H78" s="67"/>
      <c r="I78" s="12"/>
      <c r="J78" s="61">
        <v>20028</v>
      </c>
      <c r="K78" s="71">
        <v>400</v>
      </c>
      <c r="L78" s="62" t="s">
        <v>540</v>
      </c>
      <c r="M78" s="75"/>
      <c r="N78" s="73"/>
      <c r="O78" s="15"/>
    </row>
    <row r="79" spans="1:15" x14ac:dyDescent="0.25">
      <c r="A79" s="16"/>
      <c r="B79" s="49"/>
      <c r="C79" s="17" t="s">
        <v>514</v>
      </c>
      <c r="D79" s="13"/>
      <c r="E79" s="70"/>
      <c r="F79" s="14"/>
      <c r="G79" s="11"/>
      <c r="H79" s="67"/>
      <c r="I79" s="12"/>
      <c r="J79" s="61">
        <v>20029</v>
      </c>
      <c r="K79" s="71">
        <v>100</v>
      </c>
      <c r="L79" s="62" t="s">
        <v>217</v>
      </c>
      <c r="M79" s="75"/>
      <c r="N79" s="73"/>
      <c r="O79" s="15"/>
    </row>
    <row r="80" spans="1:15" x14ac:dyDescent="0.25">
      <c r="A80" s="16">
        <v>19877</v>
      </c>
      <c r="B80" s="49">
        <v>400</v>
      </c>
      <c r="C80" s="17" t="s">
        <v>455</v>
      </c>
      <c r="D80" s="13"/>
      <c r="E80" s="70"/>
      <c r="F80" s="14"/>
      <c r="G80" s="11"/>
      <c r="H80" s="67"/>
      <c r="I80" s="12"/>
      <c r="J80" s="61">
        <v>20030</v>
      </c>
      <c r="K80" s="71">
        <v>200</v>
      </c>
      <c r="L80" s="62" t="s">
        <v>540</v>
      </c>
      <c r="M80" s="75"/>
      <c r="N80" s="73"/>
      <c r="O80" s="15"/>
    </row>
    <row r="81" spans="1:15" x14ac:dyDescent="0.25">
      <c r="A81" s="16">
        <v>19878</v>
      </c>
      <c r="B81" s="49">
        <v>400</v>
      </c>
      <c r="C81" s="17"/>
      <c r="D81" s="13"/>
      <c r="E81" s="70"/>
      <c r="F81" s="14"/>
      <c r="G81" s="11"/>
      <c r="H81" s="67"/>
      <c r="I81" s="12"/>
      <c r="J81" s="61">
        <v>20031</v>
      </c>
      <c r="K81" s="71">
        <v>450</v>
      </c>
      <c r="L81" s="62" t="s">
        <v>550</v>
      </c>
      <c r="M81" s="75"/>
      <c r="N81" s="73"/>
      <c r="O81" s="15"/>
    </row>
    <row r="82" spans="1:15" x14ac:dyDescent="0.25">
      <c r="A82" s="16">
        <v>19879</v>
      </c>
      <c r="B82" s="49">
        <v>800</v>
      </c>
      <c r="C82" s="17" t="s">
        <v>453</v>
      </c>
      <c r="D82" s="13"/>
      <c r="E82" s="70"/>
      <c r="F82" s="14"/>
      <c r="G82" s="11"/>
      <c r="H82" s="67"/>
      <c r="I82" s="12"/>
      <c r="J82" s="61">
        <v>20032</v>
      </c>
      <c r="K82" s="71">
        <v>850</v>
      </c>
      <c r="L82" s="62" t="s">
        <v>551</v>
      </c>
      <c r="M82" s="75"/>
      <c r="N82" s="73"/>
      <c r="O82" s="15"/>
    </row>
    <row r="83" spans="1:15" x14ac:dyDescent="0.25">
      <c r="A83" s="16"/>
      <c r="B83" s="49"/>
      <c r="C83" s="17" t="s">
        <v>15</v>
      </c>
      <c r="D83" s="13"/>
      <c r="E83" s="70"/>
      <c r="F83" s="14"/>
      <c r="G83" s="11"/>
      <c r="H83" s="67"/>
      <c r="I83" s="12"/>
      <c r="J83" s="61">
        <v>20033</v>
      </c>
      <c r="K83" s="71">
        <v>50</v>
      </c>
      <c r="L83" s="62" t="s">
        <v>20</v>
      </c>
      <c r="M83" s="75"/>
      <c r="N83" s="73"/>
      <c r="O83" s="15"/>
    </row>
    <row r="84" spans="1:15" x14ac:dyDescent="0.25">
      <c r="A84" s="16">
        <v>19880</v>
      </c>
      <c r="B84" s="49">
        <v>400</v>
      </c>
      <c r="C84" s="17"/>
      <c r="D84" s="13"/>
      <c r="E84" s="70"/>
      <c r="F84" s="14"/>
      <c r="G84" s="11"/>
      <c r="H84" s="67"/>
      <c r="I84" s="12"/>
      <c r="J84" s="61">
        <v>20034</v>
      </c>
      <c r="K84" s="71">
        <v>400</v>
      </c>
      <c r="L84" s="62" t="s">
        <v>494</v>
      </c>
      <c r="M84" s="75"/>
      <c r="N84" s="73"/>
      <c r="O84" s="15"/>
    </row>
    <row r="85" spans="1:15" x14ac:dyDescent="0.25">
      <c r="A85" s="16">
        <v>19881</v>
      </c>
      <c r="B85" s="49">
        <v>200</v>
      </c>
      <c r="C85" s="17"/>
      <c r="D85" s="13"/>
      <c r="E85" s="70"/>
      <c r="F85" s="14"/>
      <c r="G85" s="11"/>
      <c r="H85" s="67"/>
      <c r="I85" s="12"/>
      <c r="J85" s="61"/>
      <c r="K85" s="71"/>
      <c r="L85" s="62" t="s">
        <v>14</v>
      </c>
      <c r="M85" s="75"/>
      <c r="N85" s="73"/>
      <c r="O85" s="15"/>
    </row>
    <row r="86" spans="1:15" x14ac:dyDescent="0.25">
      <c r="A86" s="16">
        <v>19882</v>
      </c>
      <c r="B86" s="49">
        <v>400</v>
      </c>
      <c r="C86" s="17" t="s">
        <v>455</v>
      </c>
      <c r="D86" s="13"/>
      <c r="E86" s="70"/>
      <c r="F86" s="14"/>
      <c r="G86" s="11"/>
      <c r="H86" s="67"/>
      <c r="I86" s="12"/>
      <c r="J86" s="61">
        <v>20035</v>
      </c>
      <c r="K86" s="71">
        <v>250</v>
      </c>
      <c r="L86" s="62" t="s">
        <v>552</v>
      </c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/>
      <c r="G87" s="11"/>
      <c r="H87" s="67"/>
      <c r="I87" s="12"/>
      <c r="J87" s="61">
        <v>20036</v>
      </c>
      <c r="K87" s="71">
        <v>50</v>
      </c>
      <c r="L87" s="62" t="s">
        <v>20</v>
      </c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/>
      <c r="G88" s="11"/>
      <c r="H88" s="67"/>
      <c r="I88" s="12"/>
      <c r="J88" s="61">
        <v>20037</v>
      </c>
      <c r="K88" s="71">
        <v>200</v>
      </c>
      <c r="L88" s="62" t="s">
        <v>553</v>
      </c>
      <c r="M88" s="75"/>
      <c r="N88" s="73"/>
      <c r="O88" s="15"/>
    </row>
    <row r="89" spans="1:15" x14ac:dyDescent="0.25">
      <c r="A89" s="16"/>
      <c r="B89" s="49"/>
      <c r="C89" s="17"/>
      <c r="D89" s="13"/>
      <c r="E89" s="70"/>
      <c r="F89" s="14"/>
      <c r="G89" s="11"/>
      <c r="H89" s="67"/>
      <c r="I89" s="12"/>
      <c r="J89" s="61">
        <v>20038</v>
      </c>
      <c r="K89" s="71">
        <v>600</v>
      </c>
      <c r="L89" s="62" t="s">
        <v>443</v>
      </c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/>
      <c r="G90" s="11"/>
      <c r="H90" s="67"/>
      <c r="I90" s="12"/>
      <c r="J90" s="61"/>
      <c r="K90" s="71"/>
      <c r="L90" s="62" t="s">
        <v>14</v>
      </c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/>
      <c r="G91" s="11"/>
      <c r="H91" s="67"/>
      <c r="I91" s="12"/>
      <c r="J91" s="61">
        <v>20039</v>
      </c>
      <c r="K91" s="71">
        <v>200</v>
      </c>
      <c r="L91" s="62" t="s">
        <v>558</v>
      </c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>
        <v>20040</v>
      </c>
      <c r="K92" s="71">
        <v>200</v>
      </c>
      <c r="L92" s="62" t="s">
        <v>554</v>
      </c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>
        <v>20041</v>
      </c>
      <c r="K93" s="71">
        <v>50</v>
      </c>
      <c r="L93" s="62" t="s">
        <v>20</v>
      </c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>
        <v>20042</v>
      </c>
      <c r="K94" s="71">
        <v>1100</v>
      </c>
      <c r="L94" s="62" t="s">
        <v>555</v>
      </c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 t="s">
        <v>270</v>
      </c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>
        <v>20043</v>
      </c>
      <c r="K96" s="71">
        <v>50</v>
      </c>
      <c r="L96" s="62" t="s">
        <v>20</v>
      </c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>
        <v>20044</v>
      </c>
      <c r="K97" s="71">
        <v>800</v>
      </c>
      <c r="L97" s="62" t="s">
        <v>453</v>
      </c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 t="s">
        <v>270</v>
      </c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>
        <v>20045</v>
      </c>
      <c r="K99" s="71">
        <v>50</v>
      </c>
      <c r="L99" s="62" t="s">
        <v>20</v>
      </c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>
        <v>20046</v>
      </c>
      <c r="K100" s="71">
        <v>800</v>
      </c>
      <c r="L100" s="62" t="s">
        <v>453</v>
      </c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 t="s">
        <v>270</v>
      </c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>
        <v>20047</v>
      </c>
      <c r="K102" s="71">
        <v>50</v>
      </c>
      <c r="L102" s="62" t="s">
        <v>20</v>
      </c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>
        <v>20048</v>
      </c>
      <c r="K103" s="71">
        <v>50</v>
      </c>
      <c r="L103" s="62" t="s">
        <v>20</v>
      </c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>
        <v>20049</v>
      </c>
      <c r="K104" s="71">
        <v>100</v>
      </c>
      <c r="L104" s="62" t="s">
        <v>217</v>
      </c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>
        <v>20050</v>
      </c>
      <c r="K105" s="71">
        <v>200</v>
      </c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>
        <v>20051</v>
      </c>
      <c r="K106" s="71">
        <v>50</v>
      </c>
      <c r="L106" s="62" t="s">
        <v>20</v>
      </c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>
        <v>20052</v>
      </c>
      <c r="K107" s="71">
        <v>400</v>
      </c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>
        <v>20053</v>
      </c>
      <c r="K108" s="71">
        <v>50</v>
      </c>
      <c r="L108" s="62" t="s">
        <v>20</v>
      </c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>
        <v>20054</v>
      </c>
      <c r="K109" s="71">
        <v>100</v>
      </c>
      <c r="L109" s="62" t="s">
        <v>217</v>
      </c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>
        <v>20055</v>
      </c>
      <c r="K110" s="71">
        <v>200</v>
      </c>
      <c r="L110" s="62" t="s">
        <v>556</v>
      </c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>
        <v>20056</v>
      </c>
      <c r="K111" s="71">
        <v>400</v>
      </c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>
        <v>20057</v>
      </c>
      <c r="K112" s="71">
        <v>1300</v>
      </c>
      <c r="L112" s="62" t="s">
        <v>557</v>
      </c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 t="s">
        <v>294</v>
      </c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>
        <v>20058</v>
      </c>
      <c r="K114" s="71">
        <v>150</v>
      </c>
      <c r="L114" s="62" t="s">
        <v>278</v>
      </c>
      <c r="M114" s="75"/>
      <c r="N114" s="73"/>
      <c r="O114" s="15"/>
    </row>
    <row r="115" spans="1:15" x14ac:dyDescent="0.25">
      <c r="A115" s="26"/>
      <c r="B115" s="66"/>
      <c r="C115" s="58"/>
      <c r="D115" s="26"/>
      <c r="E115" s="74"/>
      <c r="F115" s="58"/>
      <c r="G115" s="26"/>
      <c r="H115" s="58"/>
      <c r="I115" s="58"/>
      <c r="J115" s="61">
        <v>20059</v>
      </c>
      <c r="K115" s="71">
        <v>450</v>
      </c>
      <c r="L115" s="62" t="s">
        <v>559</v>
      </c>
      <c r="M115" s="26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61">
        <v>20060</v>
      </c>
      <c r="K116" s="71">
        <v>250</v>
      </c>
      <c r="L116" s="62"/>
      <c r="M116" s="26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61">
        <v>20061</v>
      </c>
      <c r="K117" s="71">
        <v>100</v>
      </c>
      <c r="L117" s="62" t="s">
        <v>217</v>
      </c>
      <c r="M117" s="26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61">
        <v>20062</v>
      </c>
      <c r="K118" s="71">
        <v>550</v>
      </c>
      <c r="L118" s="62" t="s">
        <v>560</v>
      </c>
      <c r="M118" s="26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61"/>
      <c r="K119" s="71"/>
      <c r="L119" s="62" t="s">
        <v>309</v>
      </c>
      <c r="M119" s="26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61">
        <v>20063</v>
      </c>
      <c r="K120" s="71">
        <v>50</v>
      </c>
      <c r="L120" s="62" t="s">
        <v>20</v>
      </c>
      <c r="M120" s="26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61">
        <v>20064</v>
      </c>
      <c r="K121" s="71">
        <v>100</v>
      </c>
      <c r="L121" s="62" t="s">
        <v>217</v>
      </c>
      <c r="M121" s="26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61">
        <v>20065</v>
      </c>
      <c r="K122" s="71">
        <v>800</v>
      </c>
      <c r="L122" s="62" t="s">
        <v>422</v>
      </c>
      <c r="M122" s="26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61"/>
      <c r="K123" s="71"/>
      <c r="L123" s="62" t="s">
        <v>270</v>
      </c>
      <c r="M123" s="26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61">
        <v>20066</v>
      </c>
      <c r="K124" s="71">
        <v>200</v>
      </c>
      <c r="L124" s="62" t="s">
        <v>390</v>
      </c>
      <c r="M124" s="26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61">
        <v>20067</v>
      </c>
      <c r="K125" s="71">
        <v>200</v>
      </c>
      <c r="L125" s="62" t="s">
        <v>455</v>
      </c>
      <c r="M125" s="26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61">
        <v>20068</v>
      </c>
      <c r="K126" s="71">
        <v>400</v>
      </c>
      <c r="L126" s="62"/>
      <c r="M126" s="26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61">
        <v>20069</v>
      </c>
      <c r="K127" s="71">
        <v>600</v>
      </c>
      <c r="L127" s="62" t="s">
        <v>465</v>
      </c>
      <c r="M127" s="26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61"/>
      <c r="K128" s="71"/>
      <c r="L128" s="62" t="s">
        <v>14</v>
      </c>
      <c r="M128" s="26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61">
        <v>20070</v>
      </c>
      <c r="K129" s="71">
        <v>50</v>
      </c>
      <c r="L129" s="62" t="s">
        <v>20</v>
      </c>
      <c r="M129" s="26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61">
        <v>20071</v>
      </c>
      <c r="K130" s="71">
        <v>400</v>
      </c>
      <c r="L130" s="62"/>
      <c r="M130" s="26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61">
        <v>20072</v>
      </c>
      <c r="K131" s="71">
        <v>50</v>
      </c>
      <c r="L131" s="62" t="s">
        <v>20</v>
      </c>
      <c r="M131" s="26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61">
        <v>20073</v>
      </c>
      <c r="K132" s="71">
        <v>100</v>
      </c>
      <c r="L132" s="62" t="s">
        <v>217</v>
      </c>
      <c r="M132" s="26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61">
        <v>20074</v>
      </c>
      <c r="K133" s="71">
        <v>400</v>
      </c>
      <c r="L133" s="62" t="s">
        <v>455</v>
      </c>
      <c r="M133" s="26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61">
        <v>20075</v>
      </c>
      <c r="K134" s="71">
        <v>400</v>
      </c>
      <c r="L134" s="62"/>
      <c r="M134" s="26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61">
        <v>20076</v>
      </c>
      <c r="K135" s="71">
        <v>50</v>
      </c>
      <c r="L135" s="62" t="s">
        <v>20</v>
      </c>
      <c r="M135" s="26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61">
        <v>20077</v>
      </c>
      <c r="K136" s="71">
        <v>400</v>
      </c>
      <c r="L136" s="62"/>
      <c r="M136" s="26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61">
        <v>20078</v>
      </c>
      <c r="K137" s="71">
        <v>500</v>
      </c>
      <c r="L137" s="62" t="s">
        <v>561</v>
      </c>
      <c r="M137" s="26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61"/>
      <c r="K138" s="71"/>
      <c r="L138" s="62" t="s">
        <v>562</v>
      </c>
      <c r="M138" s="26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61">
        <v>20079</v>
      </c>
      <c r="K139" s="71">
        <v>400</v>
      </c>
      <c r="L139" s="62"/>
      <c r="M139" s="26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61">
        <v>20080</v>
      </c>
      <c r="K140" s="71">
        <v>400</v>
      </c>
      <c r="L140" s="62" t="s">
        <v>430</v>
      </c>
      <c r="M140" s="26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61">
        <v>20081</v>
      </c>
      <c r="K141" s="71">
        <v>400</v>
      </c>
      <c r="L141" s="62"/>
      <c r="M141" s="26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61">
        <v>20082</v>
      </c>
      <c r="K142" s="71">
        <v>200</v>
      </c>
      <c r="L142" s="62" t="s">
        <v>34</v>
      </c>
      <c r="M142" s="26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61">
        <v>20083</v>
      </c>
      <c r="K143" s="71">
        <v>400</v>
      </c>
      <c r="L143" s="62"/>
      <c r="M143" s="26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61">
        <v>20084</v>
      </c>
      <c r="K144" s="71">
        <v>100</v>
      </c>
      <c r="L144" s="62" t="s">
        <v>217</v>
      </c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61">
        <v>20085</v>
      </c>
      <c r="K145" s="71">
        <v>150</v>
      </c>
      <c r="L145" s="62" t="s">
        <v>278</v>
      </c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61">
        <v>20086</v>
      </c>
      <c r="K146" s="71">
        <v>450</v>
      </c>
      <c r="L146" s="62" t="s">
        <v>482</v>
      </c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61"/>
      <c r="K147" s="71"/>
      <c r="L147" s="62" t="s">
        <v>57</v>
      </c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61">
        <v>20087</v>
      </c>
      <c r="K148" s="71">
        <v>300</v>
      </c>
      <c r="L148" s="62" t="s">
        <v>563</v>
      </c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61">
        <v>20088</v>
      </c>
      <c r="K149" s="71">
        <v>50</v>
      </c>
      <c r="L149" s="62" t="s">
        <v>20</v>
      </c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61">
        <v>20089</v>
      </c>
      <c r="K150" s="71">
        <v>800</v>
      </c>
      <c r="L150" s="62" t="s">
        <v>430</v>
      </c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61"/>
      <c r="K151" s="71"/>
      <c r="L151" s="62" t="s">
        <v>270</v>
      </c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61">
        <v>20090</v>
      </c>
      <c r="K152" s="71">
        <v>100</v>
      </c>
      <c r="L152" s="62" t="s">
        <v>217</v>
      </c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61">
        <v>20091</v>
      </c>
      <c r="K153" s="71">
        <v>150</v>
      </c>
      <c r="L153" s="62" t="s">
        <v>278</v>
      </c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61">
        <v>20092</v>
      </c>
      <c r="K154" s="71"/>
      <c r="L154" s="62" t="s">
        <v>59</v>
      </c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61">
        <v>20093</v>
      </c>
      <c r="K155" s="71">
        <v>100</v>
      </c>
      <c r="L155" s="62" t="s">
        <v>217</v>
      </c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61">
        <v>20094</v>
      </c>
      <c r="K156" s="71">
        <v>600</v>
      </c>
      <c r="L156" s="62" t="s">
        <v>453</v>
      </c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61"/>
      <c r="K157" s="71"/>
      <c r="L157" s="62" t="s">
        <v>16</v>
      </c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61">
        <v>20095</v>
      </c>
      <c r="K158" s="71">
        <v>800</v>
      </c>
      <c r="L158" s="62" t="s">
        <v>362</v>
      </c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61"/>
      <c r="K159" s="71"/>
      <c r="L159" s="62" t="s">
        <v>270</v>
      </c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61">
        <v>20096</v>
      </c>
      <c r="K160" s="71">
        <v>100</v>
      </c>
      <c r="L160" s="62" t="s">
        <v>217</v>
      </c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61">
        <v>20097</v>
      </c>
      <c r="K161" s="71">
        <v>500</v>
      </c>
      <c r="L161" s="62" t="s">
        <v>564</v>
      </c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61">
        <v>20098</v>
      </c>
      <c r="K162" s="71">
        <v>200</v>
      </c>
      <c r="L162" s="62" t="s">
        <v>565</v>
      </c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61">
        <v>20099</v>
      </c>
      <c r="K163" s="71">
        <v>400</v>
      </c>
      <c r="L163" s="62" t="s">
        <v>566</v>
      </c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61">
        <v>20100</v>
      </c>
      <c r="K164" s="71">
        <v>800</v>
      </c>
      <c r="L164" s="62" t="s">
        <v>567</v>
      </c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61"/>
      <c r="K165" s="71"/>
      <c r="L165" s="62" t="s">
        <v>568</v>
      </c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61"/>
      <c r="K166" s="71"/>
      <c r="L166" s="62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61"/>
      <c r="K167" s="71"/>
      <c r="L167" s="62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A536" s="26"/>
      <c r="B536" s="66"/>
      <c r="C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60"/>
  <sheetViews>
    <sheetView zoomScaleNormal="100" workbookViewId="0">
      <pane ySplit="4" topLeftCell="A538" activePane="bottomLeft" state="frozen"/>
      <selection pane="bottomLeft" activeCell="L551" sqref="L551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7.285156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 t="s">
        <v>10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x14ac:dyDescent="0.25">
      <c r="A2" s="129" t="s">
        <v>0</v>
      </c>
      <c r="B2" s="129"/>
      <c r="C2" s="129"/>
      <c r="D2" s="130"/>
      <c r="E2" s="130"/>
      <c r="F2" s="130"/>
      <c r="G2" s="131" t="s">
        <v>5</v>
      </c>
      <c r="H2" s="131"/>
      <c r="I2" s="131"/>
      <c r="J2" s="136" t="s">
        <v>6</v>
      </c>
      <c r="K2" s="136"/>
      <c r="L2" s="136"/>
      <c r="M2" s="124" t="s">
        <v>12</v>
      </c>
      <c r="N2" s="124"/>
      <c r="O2" s="124"/>
      <c r="Q2" s="133" t="s">
        <v>13</v>
      </c>
      <c r="R2" s="133"/>
    </row>
    <row r="3" spans="1:18" x14ac:dyDescent="0.25">
      <c r="A3" s="8">
        <f>SUBTOTAL(3,A5:A124)</f>
        <v>92</v>
      </c>
      <c r="B3" s="8">
        <f>SUBTOTAL(9,B5:B124)</f>
        <v>41000</v>
      </c>
      <c r="C3" s="35">
        <v>43772</v>
      </c>
      <c r="D3" s="8">
        <f>SUBTOTAL(3,D5:D117)</f>
        <v>81</v>
      </c>
      <c r="E3" s="1">
        <f>SUBTOTAL(9,E5:E137)</f>
        <v>57600</v>
      </c>
      <c r="F3" s="38">
        <v>43779</v>
      </c>
      <c r="G3" s="8">
        <f>SUBTOTAL(3,G5:G118)</f>
        <v>55</v>
      </c>
      <c r="H3" s="1">
        <f>SUBTOTAL(9,H5:H118)</f>
        <v>24500</v>
      </c>
      <c r="I3" s="39">
        <v>43786</v>
      </c>
      <c r="J3" s="8">
        <f>SUBTOTAL(3,J5:J559)</f>
        <v>475</v>
      </c>
      <c r="K3" s="1">
        <f>SUBTOTAL(9,K5:K559)</f>
        <v>87650</v>
      </c>
      <c r="L3" s="63">
        <v>43793</v>
      </c>
      <c r="M3" s="1">
        <f>SUBTOTAL(3,M5:M117)</f>
        <v>0</v>
      </c>
      <c r="N3" s="1">
        <f>SUBTOTAL(9,N5:N117)</f>
        <v>0</v>
      </c>
      <c r="O3" s="85"/>
      <c r="Q3" s="30">
        <f>+A3+D3+G3+J3+M3</f>
        <v>703</v>
      </c>
      <c r="R3" s="29">
        <f>+B3+E3+H3+K3+N3</f>
        <v>210750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20101</v>
      </c>
      <c r="B5" s="49">
        <v>200</v>
      </c>
      <c r="C5" s="17" t="s">
        <v>553</v>
      </c>
      <c r="D5" s="13">
        <v>20193</v>
      </c>
      <c r="E5" s="70">
        <v>50</v>
      </c>
      <c r="F5" s="14" t="s">
        <v>20</v>
      </c>
      <c r="G5" s="11">
        <v>20288</v>
      </c>
      <c r="H5" s="67">
        <v>200</v>
      </c>
      <c r="I5" s="12" t="s">
        <v>701</v>
      </c>
      <c r="J5" s="61">
        <v>20343</v>
      </c>
      <c r="K5" s="71">
        <v>400</v>
      </c>
      <c r="L5" s="62"/>
      <c r="M5" s="75"/>
      <c r="N5" s="73"/>
      <c r="O5" s="15"/>
      <c r="Q5" s="32"/>
      <c r="R5" s="32"/>
    </row>
    <row r="6" spans="1:18" x14ac:dyDescent="0.25">
      <c r="A6" s="16">
        <v>20102</v>
      </c>
      <c r="B6" s="49">
        <v>400</v>
      </c>
      <c r="C6" s="17"/>
      <c r="D6" s="13">
        <v>20194</v>
      </c>
      <c r="E6" s="70">
        <v>400</v>
      </c>
      <c r="F6" s="14" t="s">
        <v>584</v>
      </c>
      <c r="G6" s="11">
        <v>20289</v>
      </c>
      <c r="H6" s="67">
        <v>1600</v>
      </c>
      <c r="I6" s="12" t="s">
        <v>580</v>
      </c>
      <c r="J6" s="61">
        <v>20344</v>
      </c>
      <c r="K6" s="71">
        <v>400</v>
      </c>
      <c r="L6" s="62" t="s">
        <v>430</v>
      </c>
      <c r="M6" s="75"/>
      <c r="N6" s="73"/>
      <c r="O6" s="15"/>
    </row>
    <row r="7" spans="1:18" x14ac:dyDescent="0.25">
      <c r="A7" s="16">
        <v>20103</v>
      </c>
      <c r="B7" s="49">
        <v>600</v>
      </c>
      <c r="C7" s="17" t="s">
        <v>465</v>
      </c>
      <c r="D7" s="14"/>
      <c r="E7" s="70"/>
      <c r="F7" s="14" t="s">
        <v>14</v>
      </c>
      <c r="G7" s="11"/>
      <c r="H7" s="67"/>
      <c r="I7" s="12" t="s">
        <v>270</v>
      </c>
      <c r="J7" s="61"/>
      <c r="K7" s="71"/>
      <c r="L7" s="62" t="s">
        <v>14</v>
      </c>
      <c r="M7" s="75"/>
      <c r="N7" s="73"/>
      <c r="O7" s="15"/>
    </row>
    <row r="8" spans="1:18" x14ac:dyDescent="0.25">
      <c r="A8" s="16"/>
      <c r="B8" s="49"/>
      <c r="C8" s="17" t="s">
        <v>14</v>
      </c>
      <c r="D8" s="13">
        <v>20195</v>
      </c>
      <c r="E8" s="70">
        <v>400</v>
      </c>
      <c r="F8" s="14" t="s">
        <v>584</v>
      </c>
      <c r="G8" s="11">
        <v>20290</v>
      </c>
      <c r="H8" s="67">
        <v>300</v>
      </c>
      <c r="I8" s="12" t="s">
        <v>455</v>
      </c>
      <c r="J8" s="61">
        <v>20345</v>
      </c>
      <c r="K8" s="71">
        <v>50</v>
      </c>
      <c r="L8" s="62" t="s">
        <v>644</v>
      </c>
      <c r="M8" s="75"/>
      <c r="N8" s="73"/>
      <c r="O8" s="15"/>
    </row>
    <row r="9" spans="1:18" x14ac:dyDescent="0.25">
      <c r="A9" s="16">
        <v>20104</v>
      </c>
      <c r="B9" s="49">
        <v>300</v>
      </c>
      <c r="C9" s="17" t="s">
        <v>430</v>
      </c>
      <c r="D9" s="13"/>
      <c r="E9" s="70"/>
      <c r="F9" s="14" t="s">
        <v>14</v>
      </c>
      <c r="G9" s="11">
        <v>20291</v>
      </c>
      <c r="H9" s="67">
        <v>400</v>
      </c>
      <c r="I9" s="12" t="s">
        <v>540</v>
      </c>
      <c r="J9" s="61">
        <v>20346</v>
      </c>
      <c r="K9" s="71">
        <v>50</v>
      </c>
      <c r="L9" s="62" t="s">
        <v>637</v>
      </c>
      <c r="M9" s="75"/>
      <c r="N9" s="73"/>
      <c r="O9" s="15"/>
    </row>
    <row r="10" spans="1:18" x14ac:dyDescent="0.25">
      <c r="A10" s="16"/>
      <c r="B10" s="49"/>
      <c r="C10" s="17" t="s">
        <v>57</v>
      </c>
      <c r="D10" s="13">
        <v>20196</v>
      </c>
      <c r="E10" s="70">
        <v>50</v>
      </c>
      <c r="F10" s="14" t="s">
        <v>20</v>
      </c>
      <c r="G10" s="11">
        <v>20292</v>
      </c>
      <c r="H10" s="67">
        <v>400</v>
      </c>
      <c r="I10" s="12" t="s">
        <v>540</v>
      </c>
      <c r="J10" s="61">
        <v>20347</v>
      </c>
      <c r="K10" s="71">
        <v>50</v>
      </c>
      <c r="L10" s="62" t="s">
        <v>637</v>
      </c>
      <c r="M10" s="75"/>
      <c r="N10" s="73"/>
      <c r="O10" s="15"/>
    </row>
    <row r="11" spans="1:18" x14ac:dyDescent="0.25">
      <c r="A11" s="16">
        <v>20105</v>
      </c>
      <c r="B11" s="49">
        <v>200</v>
      </c>
      <c r="C11" s="17" t="s">
        <v>582</v>
      </c>
      <c r="D11" s="13">
        <v>20197</v>
      </c>
      <c r="E11" s="70">
        <v>400</v>
      </c>
      <c r="F11" s="14"/>
      <c r="G11" s="11">
        <v>20293</v>
      </c>
      <c r="H11" s="67">
        <v>800</v>
      </c>
      <c r="I11" s="12" t="s">
        <v>494</v>
      </c>
      <c r="J11" s="61">
        <v>20348</v>
      </c>
      <c r="K11" s="71">
        <v>150</v>
      </c>
      <c r="L11" s="62" t="s">
        <v>638</v>
      </c>
      <c r="M11" s="75"/>
      <c r="N11" s="73"/>
      <c r="O11" s="31"/>
    </row>
    <row r="12" spans="1:18" x14ac:dyDescent="0.25">
      <c r="A12" s="16"/>
      <c r="B12" s="49"/>
      <c r="C12" s="17" t="s">
        <v>583</v>
      </c>
      <c r="D12" s="13">
        <v>20198</v>
      </c>
      <c r="E12" s="70">
        <v>50</v>
      </c>
      <c r="F12" s="103" t="s">
        <v>20</v>
      </c>
      <c r="G12" s="11"/>
      <c r="H12" s="67"/>
      <c r="I12" s="119" t="s">
        <v>15</v>
      </c>
      <c r="J12" s="61">
        <v>20349</v>
      </c>
      <c r="K12" s="71">
        <v>50</v>
      </c>
      <c r="L12" s="62" t="s">
        <v>637</v>
      </c>
      <c r="M12" s="75"/>
      <c r="N12" s="73"/>
      <c r="O12" s="15"/>
    </row>
    <row r="13" spans="1:18" x14ac:dyDescent="0.25">
      <c r="A13" s="16">
        <v>20106</v>
      </c>
      <c r="B13" s="49">
        <v>400</v>
      </c>
      <c r="C13" s="17"/>
      <c r="D13" s="13">
        <v>20199</v>
      </c>
      <c r="E13" s="70">
        <v>450</v>
      </c>
      <c r="F13" s="14" t="s">
        <v>585</v>
      </c>
      <c r="G13" s="11"/>
      <c r="H13" s="67"/>
      <c r="I13" s="12" t="s">
        <v>621</v>
      </c>
      <c r="J13" s="61">
        <v>20350</v>
      </c>
      <c r="K13" s="71">
        <v>50</v>
      </c>
      <c r="L13" s="62" t="s">
        <v>637</v>
      </c>
      <c r="M13" s="75"/>
      <c r="N13" s="73"/>
      <c r="O13" s="15"/>
    </row>
    <row r="14" spans="1:18" x14ac:dyDescent="0.25">
      <c r="A14" s="16">
        <v>20107</v>
      </c>
      <c r="B14" s="49">
        <v>400</v>
      </c>
      <c r="C14" s="17"/>
      <c r="D14" s="13"/>
      <c r="E14" s="70"/>
      <c r="F14" s="14" t="s">
        <v>586</v>
      </c>
      <c r="G14" s="11">
        <v>20294</v>
      </c>
      <c r="H14" s="67">
        <v>400</v>
      </c>
      <c r="I14" s="12" t="s">
        <v>453</v>
      </c>
      <c r="J14" s="61">
        <v>20351</v>
      </c>
      <c r="K14" s="71">
        <v>200</v>
      </c>
      <c r="L14" s="62" t="s">
        <v>639</v>
      </c>
      <c r="M14" s="75"/>
      <c r="N14" s="73"/>
      <c r="O14" s="15"/>
    </row>
    <row r="15" spans="1:18" x14ac:dyDescent="0.25">
      <c r="A15" s="16">
        <v>20108</v>
      </c>
      <c r="B15" s="49">
        <v>50</v>
      </c>
      <c r="C15" s="17" t="s">
        <v>20</v>
      </c>
      <c r="D15" s="13">
        <v>20200</v>
      </c>
      <c r="E15" s="70">
        <v>50</v>
      </c>
      <c r="F15" s="33" t="s">
        <v>20</v>
      </c>
      <c r="G15" s="11"/>
      <c r="H15" s="67"/>
      <c r="I15" s="12" t="s">
        <v>622</v>
      </c>
      <c r="J15" s="61">
        <v>20352</v>
      </c>
      <c r="K15" s="71">
        <v>150</v>
      </c>
      <c r="L15" s="62" t="s">
        <v>638</v>
      </c>
      <c r="M15" s="75"/>
      <c r="N15" s="73"/>
      <c r="O15" s="15"/>
    </row>
    <row r="16" spans="1:18" x14ac:dyDescent="0.25">
      <c r="A16" s="16">
        <v>20109</v>
      </c>
      <c r="B16" s="49">
        <v>50</v>
      </c>
      <c r="C16" s="17" t="s">
        <v>20</v>
      </c>
      <c r="D16" s="13">
        <v>20201</v>
      </c>
      <c r="E16" s="70">
        <v>400</v>
      </c>
      <c r="F16" s="14"/>
      <c r="G16" s="11"/>
      <c r="H16" s="67"/>
      <c r="I16" s="12" t="s">
        <v>419</v>
      </c>
      <c r="J16" s="61">
        <v>20353</v>
      </c>
      <c r="K16" s="71">
        <v>100</v>
      </c>
      <c r="L16" s="62" t="s">
        <v>640</v>
      </c>
      <c r="M16" s="75"/>
      <c r="N16" s="73"/>
      <c r="O16" s="15"/>
    </row>
    <row r="17" spans="1:15" x14ac:dyDescent="0.25">
      <c r="A17" s="16">
        <v>20110</v>
      </c>
      <c r="B17" s="49">
        <v>400</v>
      </c>
      <c r="C17" s="17" t="s">
        <v>569</v>
      </c>
      <c r="D17" s="13">
        <v>20202</v>
      </c>
      <c r="E17" s="70">
        <v>600</v>
      </c>
      <c r="F17" s="14" t="s">
        <v>587</v>
      </c>
      <c r="G17" s="11">
        <v>20295</v>
      </c>
      <c r="H17" s="67">
        <v>400</v>
      </c>
      <c r="I17" s="12"/>
      <c r="J17" s="61">
        <v>20354</v>
      </c>
      <c r="K17" s="71">
        <v>50</v>
      </c>
      <c r="L17" s="62" t="s">
        <v>637</v>
      </c>
      <c r="M17" s="75"/>
      <c r="N17" s="73"/>
      <c r="O17" s="15"/>
    </row>
    <row r="18" spans="1:15" x14ac:dyDescent="0.25">
      <c r="A18" s="16">
        <v>20111</v>
      </c>
      <c r="B18" s="49">
        <v>250</v>
      </c>
      <c r="C18" s="17" t="s">
        <v>570</v>
      </c>
      <c r="D18" s="13">
        <v>20203</v>
      </c>
      <c r="E18" s="70">
        <v>400</v>
      </c>
      <c r="F18" s="14" t="s">
        <v>584</v>
      </c>
      <c r="G18" s="11">
        <v>20296</v>
      </c>
      <c r="H18" s="67">
        <v>1800</v>
      </c>
      <c r="I18" s="12" t="s">
        <v>623</v>
      </c>
      <c r="J18" s="61">
        <v>20355</v>
      </c>
      <c r="K18" s="71">
        <v>100</v>
      </c>
      <c r="L18" s="62" t="s">
        <v>640</v>
      </c>
      <c r="M18" s="75"/>
      <c r="N18" s="73"/>
      <c r="O18" s="15"/>
    </row>
    <row r="19" spans="1:15" x14ac:dyDescent="0.25">
      <c r="A19" s="16"/>
      <c r="B19" s="49"/>
      <c r="C19" s="17" t="s">
        <v>214</v>
      </c>
      <c r="D19" s="13"/>
      <c r="E19" s="70"/>
      <c r="F19" s="14" t="s">
        <v>14</v>
      </c>
      <c r="G19" s="11">
        <v>20297</v>
      </c>
      <c r="H19" s="67">
        <v>200</v>
      </c>
      <c r="I19" s="12" t="s">
        <v>624</v>
      </c>
      <c r="J19" s="61">
        <v>20356</v>
      </c>
      <c r="K19" s="71">
        <v>50</v>
      </c>
      <c r="L19" s="62" t="s">
        <v>637</v>
      </c>
      <c r="M19" s="75"/>
      <c r="N19" s="73"/>
      <c r="O19" s="15"/>
    </row>
    <row r="20" spans="1:15" x14ac:dyDescent="0.25">
      <c r="A20" s="16">
        <v>20112</v>
      </c>
      <c r="B20" s="49">
        <v>1200</v>
      </c>
      <c r="C20" s="17" t="s">
        <v>482</v>
      </c>
      <c r="D20" s="13">
        <v>20204</v>
      </c>
      <c r="E20" s="70">
        <v>400</v>
      </c>
      <c r="F20" s="14"/>
      <c r="G20" s="11">
        <v>20298</v>
      </c>
      <c r="H20" s="67">
        <v>400</v>
      </c>
      <c r="I20" s="12"/>
      <c r="J20" s="61">
        <v>20357</v>
      </c>
      <c r="K20" s="71">
        <v>100</v>
      </c>
      <c r="L20" s="62" t="s">
        <v>640</v>
      </c>
      <c r="M20" s="75"/>
      <c r="N20" s="73"/>
      <c r="O20" s="15"/>
    </row>
    <row r="21" spans="1:15" x14ac:dyDescent="0.25">
      <c r="A21" s="16"/>
      <c r="B21" s="49"/>
      <c r="C21" s="17" t="s">
        <v>15</v>
      </c>
      <c r="D21" s="13">
        <v>20205</v>
      </c>
      <c r="E21" s="70">
        <v>400</v>
      </c>
      <c r="F21" s="14" t="s">
        <v>588</v>
      </c>
      <c r="G21" s="11">
        <v>20299</v>
      </c>
      <c r="H21" s="67">
        <v>1000</v>
      </c>
      <c r="I21" s="12" t="s">
        <v>430</v>
      </c>
      <c r="J21" s="61">
        <v>20358</v>
      </c>
      <c r="K21" s="71">
        <v>100</v>
      </c>
      <c r="L21" s="62" t="s">
        <v>640</v>
      </c>
      <c r="M21" s="75"/>
      <c r="N21" s="73"/>
      <c r="O21" s="15"/>
    </row>
    <row r="22" spans="1:15" x14ac:dyDescent="0.25">
      <c r="A22" s="16">
        <v>20113</v>
      </c>
      <c r="B22" s="49">
        <v>400</v>
      </c>
      <c r="C22" s="17"/>
      <c r="D22" s="13">
        <v>20206</v>
      </c>
      <c r="E22" s="70">
        <v>400</v>
      </c>
      <c r="F22" s="14" t="s">
        <v>585</v>
      </c>
      <c r="G22" s="11"/>
      <c r="H22" s="67"/>
      <c r="I22" s="12" t="s">
        <v>625</v>
      </c>
      <c r="J22" s="61">
        <v>20359</v>
      </c>
      <c r="K22" s="71">
        <v>100</v>
      </c>
      <c r="L22" s="62" t="s">
        <v>640</v>
      </c>
      <c r="M22" s="75"/>
      <c r="N22" s="73"/>
      <c r="O22" s="15"/>
    </row>
    <row r="23" spans="1:15" x14ac:dyDescent="0.25">
      <c r="A23" s="16">
        <v>20114</v>
      </c>
      <c r="B23" s="49">
        <v>400</v>
      </c>
      <c r="C23" s="121" t="s">
        <v>571</v>
      </c>
      <c r="D23" s="13">
        <v>20207</v>
      </c>
      <c r="E23" s="70">
        <v>50</v>
      </c>
      <c r="F23" s="14" t="s">
        <v>20</v>
      </c>
      <c r="G23" s="11"/>
      <c r="H23" s="67"/>
      <c r="I23" s="12" t="s">
        <v>626</v>
      </c>
      <c r="J23" s="61">
        <v>20360</v>
      </c>
      <c r="K23" s="71">
        <v>50</v>
      </c>
      <c r="L23" s="62" t="s">
        <v>637</v>
      </c>
      <c r="M23" s="75"/>
      <c r="N23" s="73"/>
      <c r="O23" s="15"/>
    </row>
    <row r="24" spans="1:15" x14ac:dyDescent="0.25">
      <c r="A24" s="16">
        <v>20115</v>
      </c>
      <c r="B24" s="49">
        <v>100</v>
      </c>
      <c r="C24" s="17" t="s">
        <v>217</v>
      </c>
      <c r="D24" s="13">
        <v>20208</v>
      </c>
      <c r="E24" s="70">
        <v>50</v>
      </c>
      <c r="F24" s="14" t="s">
        <v>20</v>
      </c>
      <c r="G24" s="11">
        <v>20300</v>
      </c>
      <c r="H24" s="67">
        <v>200</v>
      </c>
      <c r="I24" s="12" t="s">
        <v>504</v>
      </c>
      <c r="J24" s="61">
        <v>20361</v>
      </c>
      <c r="K24" s="71">
        <v>50</v>
      </c>
      <c r="L24" s="62" t="s">
        <v>637</v>
      </c>
      <c r="M24" s="75"/>
      <c r="N24" s="73"/>
      <c r="O24" s="31"/>
    </row>
    <row r="25" spans="1:15" x14ac:dyDescent="0.25">
      <c r="A25" s="16">
        <v>20116</v>
      </c>
      <c r="B25" s="49">
        <v>400</v>
      </c>
      <c r="C25" s="17"/>
      <c r="D25" s="13">
        <v>20209</v>
      </c>
      <c r="E25" s="70">
        <v>400</v>
      </c>
      <c r="F25" s="14"/>
      <c r="G25" s="11">
        <v>20301</v>
      </c>
      <c r="H25" s="67">
        <v>50</v>
      </c>
      <c r="I25" s="12" t="s">
        <v>20</v>
      </c>
      <c r="J25" s="61">
        <v>20362</v>
      </c>
      <c r="K25" s="71">
        <v>50</v>
      </c>
      <c r="L25" s="62" t="s">
        <v>637</v>
      </c>
      <c r="M25" s="75"/>
      <c r="N25" s="73"/>
      <c r="O25" s="15"/>
    </row>
    <row r="26" spans="1:15" x14ac:dyDescent="0.25">
      <c r="A26" s="16">
        <v>20117</v>
      </c>
      <c r="B26" s="49">
        <v>400</v>
      </c>
      <c r="C26" s="17"/>
      <c r="D26" s="13">
        <v>20210</v>
      </c>
      <c r="E26" s="70"/>
      <c r="F26" s="14" t="s">
        <v>59</v>
      </c>
      <c r="G26" s="11">
        <v>20302</v>
      </c>
      <c r="H26" s="67">
        <v>100</v>
      </c>
      <c r="I26" s="12" t="s">
        <v>627</v>
      </c>
      <c r="J26" s="61">
        <v>20363</v>
      </c>
      <c r="K26" s="71">
        <v>50</v>
      </c>
      <c r="L26" s="62" t="s">
        <v>637</v>
      </c>
      <c r="M26" s="75"/>
      <c r="N26" s="73"/>
      <c r="O26" s="15"/>
    </row>
    <row r="27" spans="1:15" x14ac:dyDescent="0.25">
      <c r="A27" s="16">
        <v>20118</v>
      </c>
      <c r="B27" s="49">
        <v>400</v>
      </c>
      <c r="C27" s="17" t="s">
        <v>490</v>
      </c>
      <c r="D27" s="13">
        <v>20211</v>
      </c>
      <c r="E27" s="70">
        <v>400</v>
      </c>
      <c r="F27" s="14"/>
      <c r="G27" s="11">
        <v>20303</v>
      </c>
      <c r="H27" s="67">
        <v>400</v>
      </c>
      <c r="I27" s="12"/>
      <c r="J27" s="61">
        <v>20364</v>
      </c>
      <c r="K27" s="71">
        <v>150</v>
      </c>
      <c r="L27" s="62" t="s">
        <v>638</v>
      </c>
      <c r="M27" s="75"/>
      <c r="N27" s="73"/>
      <c r="O27" s="15"/>
    </row>
    <row r="28" spans="1:15" x14ac:dyDescent="0.25">
      <c r="A28" s="16">
        <v>20119</v>
      </c>
      <c r="B28" s="49">
        <v>50</v>
      </c>
      <c r="C28" s="17" t="s">
        <v>20</v>
      </c>
      <c r="D28" s="13">
        <v>20212</v>
      </c>
      <c r="E28" s="70">
        <v>100</v>
      </c>
      <c r="F28" s="14" t="s">
        <v>589</v>
      </c>
      <c r="G28" s="11">
        <v>20304</v>
      </c>
      <c r="H28" s="67">
        <v>800</v>
      </c>
      <c r="I28" s="12" t="s">
        <v>430</v>
      </c>
      <c r="J28" s="61">
        <v>20365</v>
      </c>
      <c r="K28" s="71">
        <v>150</v>
      </c>
      <c r="L28" s="62" t="s">
        <v>638</v>
      </c>
      <c r="M28" s="75"/>
      <c r="N28" s="73"/>
      <c r="O28" s="15"/>
    </row>
    <row r="29" spans="1:15" x14ac:dyDescent="0.25">
      <c r="A29" s="16">
        <v>20120</v>
      </c>
      <c r="B29" s="49">
        <v>50</v>
      </c>
      <c r="C29" s="17" t="s">
        <v>20</v>
      </c>
      <c r="D29" s="13">
        <v>20213</v>
      </c>
      <c r="E29" s="70">
        <v>800</v>
      </c>
      <c r="F29" s="14" t="s">
        <v>494</v>
      </c>
      <c r="G29" s="11"/>
      <c r="H29" s="67"/>
      <c r="I29" s="12" t="s">
        <v>15</v>
      </c>
      <c r="J29" s="61">
        <v>20366</v>
      </c>
      <c r="K29" s="71">
        <v>50</v>
      </c>
      <c r="L29" s="62" t="s">
        <v>637</v>
      </c>
      <c r="M29" s="75"/>
      <c r="N29" s="73"/>
      <c r="O29" s="15"/>
    </row>
    <row r="30" spans="1:15" x14ac:dyDescent="0.25">
      <c r="A30" s="16">
        <v>20121</v>
      </c>
      <c r="B30" s="49">
        <v>1200</v>
      </c>
      <c r="C30" s="17" t="s">
        <v>465</v>
      </c>
      <c r="D30" s="13"/>
      <c r="E30" s="70"/>
      <c r="F30" s="14" t="s">
        <v>270</v>
      </c>
      <c r="G30" s="11">
        <v>20305</v>
      </c>
      <c r="H30" s="67">
        <v>400</v>
      </c>
      <c r="I30" s="12"/>
      <c r="J30" s="61">
        <v>20367</v>
      </c>
      <c r="K30" s="71">
        <v>150</v>
      </c>
      <c r="L30" s="62" t="s">
        <v>638</v>
      </c>
      <c r="M30" s="75"/>
      <c r="N30" s="73"/>
      <c r="O30" s="15"/>
    </row>
    <row r="31" spans="1:15" x14ac:dyDescent="0.25">
      <c r="A31" s="16"/>
      <c r="B31" s="49"/>
      <c r="C31" s="17" t="s">
        <v>572</v>
      </c>
      <c r="D31" s="13">
        <v>20214</v>
      </c>
      <c r="E31" s="70">
        <v>150</v>
      </c>
      <c r="F31" s="14" t="s">
        <v>278</v>
      </c>
      <c r="G31" s="11">
        <v>20306</v>
      </c>
      <c r="H31" s="67">
        <v>1000</v>
      </c>
      <c r="I31" s="12" t="s">
        <v>453</v>
      </c>
      <c r="J31" s="61">
        <v>20368</v>
      </c>
      <c r="K31" s="71">
        <v>900</v>
      </c>
      <c r="L31" s="62" t="s">
        <v>482</v>
      </c>
      <c r="M31" s="75"/>
      <c r="N31" s="73"/>
      <c r="O31" s="31"/>
    </row>
    <row r="32" spans="1:15" x14ac:dyDescent="0.25">
      <c r="A32" s="16">
        <v>20122</v>
      </c>
      <c r="B32" s="49"/>
      <c r="C32" s="17" t="s">
        <v>59</v>
      </c>
      <c r="D32" s="13">
        <v>20215</v>
      </c>
      <c r="E32" s="70">
        <v>400</v>
      </c>
      <c r="F32" s="14"/>
      <c r="G32" s="11"/>
      <c r="H32" s="67"/>
      <c r="I32" s="12" t="s">
        <v>625</v>
      </c>
      <c r="J32" s="61"/>
      <c r="K32" s="71"/>
      <c r="L32" s="62" t="s">
        <v>16</v>
      </c>
      <c r="M32" s="75"/>
      <c r="N32" s="73"/>
      <c r="O32" s="15"/>
    </row>
    <row r="33" spans="1:15" x14ac:dyDescent="0.25">
      <c r="A33" s="16">
        <v>20123</v>
      </c>
      <c r="B33" s="49">
        <v>400</v>
      </c>
      <c r="C33" s="17"/>
      <c r="D33" s="13">
        <v>20216</v>
      </c>
      <c r="E33" s="70">
        <v>300</v>
      </c>
      <c r="F33" s="14"/>
      <c r="G33" s="11"/>
      <c r="H33" s="67"/>
      <c r="I33" s="12" t="s">
        <v>628</v>
      </c>
      <c r="J33" s="61">
        <v>20369</v>
      </c>
      <c r="K33" s="71">
        <v>50</v>
      </c>
      <c r="L33" s="62" t="s">
        <v>637</v>
      </c>
      <c r="M33" s="75"/>
      <c r="N33" s="73"/>
      <c r="O33" s="15"/>
    </row>
    <row r="34" spans="1:15" x14ac:dyDescent="0.25">
      <c r="A34" s="16">
        <v>20124</v>
      </c>
      <c r="B34" s="49">
        <v>800</v>
      </c>
      <c r="C34" s="17" t="s">
        <v>422</v>
      </c>
      <c r="D34" s="13">
        <v>20217</v>
      </c>
      <c r="E34" s="70">
        <v>800</v>
      </c>
      <c r="F34" s="14" t="s">
        <v>430</v>
      </c>
      <c r="G34" s="11">
        <v>20307</v>
      </c>
      <c r="H34" s="67">
        <v>800</v>
      </c>
      <c r="I34" s="12" t="s">
        <v>494</v>
      </c>
      <c r="J34" s="61">
        <v>20370</v>
      </c>
      <c r="K34" s="71">
        <v>200</v>
      </c>
      <c r="L34" s="62" t="s">
        <v>641</v>
      </c>
      <c r="M34" s="75"/>
      <c r="N34" s="73"/>
      <c r="O34" s="15"/>
    </row>
    <row r="35" spans="1:15" x14ac:dyDescent="0.25">
      <c r="A35" s="16"/>
      <c r="B35" s="49"/>
      <c r="C35" s="17" t="s">
        <v>572</v>
      </c>
      <c r="D35" s="13"/>
      <c r="E35" s="70"/>
      <c r="F35" s="14" t="s">
        <v>270</v>
      </c>
      <c r="G35" s="11"/>
      <c r="H35" s="67"/>
      <c r="I35" s="12" t="s">
        <v>15</v>
      </c>
      <c r="J35" s="61">
        <v>20371</v>
      </c>
      <c r="K35" s="71">
        <v>150</v>
      </c>
      <c r="L35" s="62" t="s">
        <v>638</v>
      </c>
      <c r="M35" s="75"/>
      <c r="N35" s="73"/>
      <c r="O35" s="15"/>
    </row>
    <row r="36" spans="1:15" x14ac:dyDescent="0.25">
      <c r="A36" s="16">
        <v>20125</v>
      </c>
      <c r="B36" s="49">
        <v>250</v>
      </c>
      <c r="C36" s="17"/>
      <c r="D36" s="13">
        <v>20218</v>
      </c>
      <c r="E36" s="70">
        <v>50</v>
      </c>
      <c r="F36" s="14" t="s">
        <v>590</v>
      </c>
      <c r="G36" s="11">
        <v>20308</v>
      </c>
      <c r="H36" s="67">
        <v>600</v>
      </c>
      <c r="I36" s="12" t="s">
        <v>430</v>
      </c>
      <c r="J36" s="61">
        <v>20372</v>
      </c>
      <c r="K36" s="71">
        <v>50</v>
      </c>
      <c r="L36" s="62" t="s">
        <v>637</v>
      </c>
      <c r="M36" s="75"/>
      <c r="N36" s="73"/>
      <c r="O36" s="15"/>
    </row>
    <row r="37" spans="1:15" x14ac:dyDescent="0.25">
      <c r="A37" s="16">
        <v>20126</v>
      </c>
      <c r="B37" s="49">
        <v>50</v>
      </c>
      <c r="C37" s="17" t="s">
        <v>20</v>
      </c>
      <c r="D37" s="13">
        <v>20219</v>
      </c>
      <c r="E37" s="70">
        <v>5500</v>
      </c>
      <c r="F37" s="14" t="s">
        <v>591</v>
      </c>
      <c r="G37" s="11"/>
      <c r="H37" s="67"/>
      <c r="I37" s="12" t="s">
        <v>16</v>
      </c>
      <c r="J37" s="61">
        <v>20373</v>
      </c>
      <c r="K37" s="71">
        <v>150</v>
      </c>
      <c r="L37" s="62" t="s">
        <v>638</v>
      </c>
      <c r="M37" s="75"/>
      <c r="N37" s="73"/>
      <c r="O37" s="15"/>
    </row>
    <row r="38" spans="1:15" x14ac:dyDescent="0.25">
      <c r="A38" s="16">
        <v>20127</v>
      </c>
      <c r="B38" s="49">
        <v>100</v>
      </c>
      <c r="C38" s="17" t="s">
        <v>217</v>
      </c>
      <c r="D38" s="13"/>
      <c r="E38" s="70"/>
      <c r="F38" s="14" t="s">
        <v>592</v>
      </c>
      <c r="G38" s="11">
        <v>20309</v>
      </c>
      <c r="H38" s="67">
        <v>50</v>
      </c>
      <c r="I38" s="12" t="s">
        <v>20</v>
      </c>
      <c r="J38" s="61">
        <v>20374</v>
      </c>
      <c r="K38" s="71">
        <v>50</v>
      </c>
      <c r="L38" s="62" t="s">
        <v>637</v>
      </c>
      <c r="M38" s="75"/>
      <c r="N38" s="73"/>
      <c r="O38" s="15"/>
    </row>
    <row r="39" spans="1:15" x14ac:dyDescent="0.25">
      <c r="A39" s="16">
        <v>20128</v>
      </c>
      <c r="B39" s="49">
        <v>50</v>
      </c>
      <c r="C39" s="17" t="s">
        <v>20</v>
      </c>
      <c r="D39" s="13"/>
      <c r="E39" s="70"/>
      <c r="F39" s="14" t="s">
        <v>593</v>
      </c>
      <c r="G39" s="11">
        <v>20310</v>
      </c>
      <c r="H39" s="67">
        <v>200</v>
      </c>
      <c r="I39" s="12"/>
      <c r="J39" s="61">
        <v>20375</v>
      </c>
      <c r="K39" s="71">
        <v>50</v>
      </c>
      <c r="L39" s="62" t="s">
        <v>637</v>
      </c>
      <c r="M39" s="75"/>
      <c r="N39" s="73"/>
      <c r="O39" s="15"/>
    </row>
    <row r="40" spans="1:15" x14ac:dyDescent="0.25">
      <c r="A40" s="16">
        <v>20129</v>
      </c>
      <c r="B40" s="49">
        <v>400</v>
      </c>
      <c r="C40" s="17"/>
      <c r="D40" s="13"/>
      <c r="E40" s="70"/>
      <c r="F40" s="14" t="s">
        <v>591</v>
      </c>
      <c r="G40" s="11">
        <v>20311</v>
      </c>
      <c r="H40" s="67">
        <v>200</v>
      </c>
      <c r="I40" s="12"/>
      <c r="J40" s="61">
        <v>20376</v>
      </c>
      <c r="K40" s="71">
        <v>400</v>
      </c>
      <c r="L40" s="62" t="s">
        <v>494</v>
      </c>
      <c r="M40" s="75"/>
      <c r="N40" s="73"/>
      <c r="O40" s="15"/>
    </row>
    <row r="41" spans="1:15" x14ac:dyDescent="0.25">
      <c r="A41" s="16">
        <v>20130</v>
      </c>
      <c r="B41" s="49">
        <v>100</v>
      </c>
      <c r="C41" s="17" t="s">
        <v>217</v>
      </c>
      <c r="D41" s="13">
        <v>20220</v>
      </c>
      <c r="E41" s="70">
        <v>400</v>
      </c>
      <c r="F41" s="14" t="s">
        <v>494</v>
      </c>
      <c r="G41" s="11">
        <v>20312</v>
      </c>
      <c r="H41" s="67">
        <v>50</v>
      </c>
      <c r="I41" s="12" t="s">
        <v>20</v>
      </c>
      <c r="J41" s="61"/>
      <c r="K41" s="71"/>
      <c r="L41" s="62" t="s">
        <v>642</v>
      </c>
      <c r="M41" s="75"/>
      <c r="N41" s="73"/>
      <c r="O41" s="15"/>
    </row>
    <row r="42" spans="1:15" x14ac:dyDescent="0.25">
      <c r="A42" s="16">
        <v>20131</v>
      </c>
      <c r="B42" s="49">
        <v>400</v>
      </c>
      <c r="C42" s="17"/>
      <c r="D42" s="13"/>
      <c r="E42" s="70"/>
      <c r="F42" s="14" t="s">
        <v>14</v>
      </c>
      <c r="G42" s="11">
        <v>20313</v>
      </c>
      <c r="H42" s="67">
        <v>400</v>
      </c>
      <c r="I42" s="12"/>
      <c r="J42" s="61">
        <v>20377</v>
      </c>
      <c r="K42" s="71"/>
      <c r="L42" s="62" t="s">
        <v>59</v>
      </c>
      <c r="M42" s="75"/>
      <c r="N42" s="73"/>
      <c r="O42" s="15"/>
    </row>
    <row r="43" spans="1:15" x14ac:dyDescent="0.25">
      <c r="A43" s="16">
        <v>20132</v>
      </c>
      <c r="B43" s="49">
        <v>50</v>
      </c>
      <c r="C43" s="17" t="s">
        <v>20</v>
      </c>
      <c r="D43" s="13">
        <v>20221</v>
      </c>
      <c r="E43" s="70">
        <v>450</v>
      </c>
      <c r="F43" s="14" t="s">
        <v>594</v>
      </c>
      <c r="G43" s="11">
        <v>20314</v>
      </c>
      <c r="H43" s="67">
        <v>600</v>
      </c>
      <c r="I43" s="12" t="s">
        <v>629</v>
      </c>
      <c r="J43" s="61">
        <v>20378</v>
      </c>
      <c r="K43" s="71">
        <v>50</v>
      </c>
      <c r="L43" s="62" t="s">
        <v>637</v>
      </c>
      <c r="M43" s="75"/>
      <c r="N43" s="73"/>
      <c r="O43" s="15"/>
    </row>
    <row r="44" spans="1:15" x14ac:dyDescent="0.25">
      <c r="A44" s="16">
        <v>20133</v>
      </c>
      <c r="B44" s="49">
        <v>50</v>
      </c>
      <c r="C44" s="17" t="s">
        <v>20</v>
      </c>
      <c r="D44" s="13">
        <v>20222</v>
      </c>
      <c r="E44" s="70">
        <v>100</v>
      </c>
      <c r="F44" s="14" t="s">
        <v>595</v>
      </c>
      <c r="G44" s="11"/>
      <c r="H44" s="67"/>
      <c r="I44" s="12" t="s">
        <v>294</v>
      </c>
      <c r="J44" s="61">
        <v>20379</v>
      </c>
      <c r="K44" s="71">
        <v>50</v>
      </c>
      <c r="L44" s="62" t="s">
        <v>637</v>
      </c>
      <c r="M44" s="75"/>
      <c r="N44" s="73"/>
      <c r="O44" s="15"/>
    </row>
    <row r="45" spans="1:15" x14ac:dyDescent="0.25">
      <c r="A45" s="16">
        <v>20134</v>
      </c>
      <c r="B45" s="49">
        <v>350</v>
      </c>
      <c r="C45" s="17"/>
      <c r="D45" s="13">
        <v>20223</v>
      </c>
      <c r="E45" s="70">
        <v>400</v>
      </c>
      <c r="F45" s="14"/>
      <c r="G45" s="11">
        <v>20315</v>
      </c>
      <c r="H45" s="67">
        <v>400</v>
      </c>
      <c r="I45" s="12"/>
      <c r="J45" s="61">
        <v>20380</v>
      </c>
      <c r="K45" s="71">
        <v>50</v>
      </c>
      <c r="L45" s="62" t="s">
        <v>637</v>
      </c>
      <c r="M45" s="75"/>
      <c r="N45" s="73"/>
      <c r="O45" s="15"/>
    </row>
    <row r="46" spans="1:15" x14ac:dyDescent="0.25">
      <c r="A46" s="16">
        <v>20135</v>
      </c>
      <c r="B46" s="49">
        <v>150</v>
      </c>
      <c r="C46" s="17"/>
      <c r="D46" s="13">
        <v>20224</v>
      </c>
      <c r="E46" s="70">
        <v>400</v>
      </c>
      <c r="F46" s="14"/>
      <c r="G46" s="11">
        <v>20316</v>
      </c>
      <c r="H46" s="67">
        <v>600</v>
      </c>
      <c r="I46" s="12" t="s">
        <v>630</v>
      </c>
      <c r="J46" s="61">
        <v>20381</v>
      </c>
      <c r="K46" s="71">
        <v>100</v>
      </c>
      <c r="L46" s="62" t="s">
        <v>643</v>
      </c>
      <c r="M46" s="75"/>
      <c r="N46" s="73"/>
      <c r="O46" s="15"/>
    </row>
    <row r="47" spans="1:15" x14ac:dyDescent="0.25">
      <c r="A47" s="16">
        <v>20136</v>
      </c>
      <c r="B47" s="49">
        <v>400</v>
      </c>
      <c r="C47" s="17"/>
      <c r="D47" s="13">
        <v>20225</v>
      </c>
      <c r="E47" s="70">
        <v>400</v>
      </c>
      <c r="F47" s="14"/>
      <c r="G47" s="11"/>
      <c r="H47" s="67"/>
      <c r="I47" s="12" t="s">
        <v>631</v>
      </c>
      <c r="J47" s="61">
        <v>20382</v>
      </c>
      <c r="K47" s="71"/>
      <c r="L47" s="62" t="s">
        <v>59</v>
      </c>
      <c r="M47" s="75"/>
      <c r="N47" s="73"/>
      <c r="O47" s="15"/>
    </row>
    <row r="48" spans="1:15" x14ac:dyDescent="0.25">
      <c r="A48" s="16">
        <v>20137</v>
      </c>
      <c r="B48" s="49">
        <v>200</v>
      </c>
      <c r="C48" s="17"/>
      <c r="D48" s="13">
        <v>20226</v>
      </c>
      <c r="E48" s="70">
        <v>100</v>
      </c>
      <c r="F48" s="14" t="s">
        <v>595</v>
      </c>
      <c r="G48" s="11">
        <v>20317</v>
      </c>
      <c r="H48" s="67">
        <v>300</v>
      </c>
      <c r="I48" s="12" t="s">
        <v>455</v>
      </c>
      <c r="J48" s="61">
        <v>20383</v>
      </c>
      <c r="K48" s="71">
        <v>50</v>
      </c>
      <c r="L48" s="62" t="s">
        <v>644</v>
      </c>
      <c r="M48" s="75"/>
      <c r="N48" s="73"/>
      <c r="O48" s="15"/>
    </row>
    <row r="49" spans="1:15" x14ac:dyDescent="0.25">
      <c r="A49" s="16">
        <v>20138</v>
      </c>
      <c r="B49" s="49">
        <v>200</v>
      </c>
      <c r="C49" s="17"/>
      <c r="D49" s="13">
        <v>20227</v>
      </c>
      <c r="E49" s="70">
        <v>150</v>
      </c>
      <c r="F49" s="14" t="s">
        <v>278</v>
      </c>
      <c r="G49" s="11">
        <v>20318</v>
      </c>
      <c r="H49" s="67">
        <v>400</v>
      </c>
      <c r="I49" s="12"/>
      <c r="J49" s="61">
        <v>20384</v>
      </c>
      <c r="K49" s="71">
        <v>50</v>
      </c>
      <c r="L49" s="62" t="s">
        <v>644</v>
      </c>
      <c r="M49" s="75"/>
      <c r="N49" s="73"/>
      <c r="O49" s="15"/>
    </row>
    <row r="50" spans="1:15" x14ac:dyDescent="0.25">
      <c r="A50" s="16">
        <v>20139</v>
      </c>
      <c r="B50" s="49">
        <v>400</v>
      </c>
      <c r="C50" s="17"/>
      <c r="D50" s="13">
        <v>20228</v>
      </c>
      <c r="E50" s="70">
        <v>550</v>
      </c>
      <c r="F50" s="14" t="s">
        <v>596</v>
      </c>
      <c r="G50" s="11">
        <v>20319</v>
      </c>
      <c r="H50" s="67">
        <v>100</v>
      </c>
      <c r="I50" s="12" t="s">
        <v>632</v>
      </c>
      <c r="J50" s="61">
        <v>20385</v>
      </c>
      <c r="K50" s="71">
        <v>200</v>
      </c>
      <c r="L50" s="68" t="s">
        <v>641</v>
      </c>
      <c r="M50" s="75"/>
      <c r="N50" s="73"/>
      <c r="O50" s="15"/>
    </row>
    <row r="51" spans="1:15" x14ac:dyDescent="0.25">
      <c r="A51" s="16">
        <v>20140</v>
      </c>
      <c r="B51" s="49">
        <v>200</v>
      </c>
      <c r="C51" s="17" t="s">
        <v>573</v>
      </c>
      <c r="D51" s="13">
        <v>20229</v>
      </c>
      <c r="E51" s="70">
        <v>50</v>
      </c>
      <c r="F51" s="14" t="s">
        <v>20</v>
      </c>
      <c r="G51" s="11"/>
      <c r="H51" s="67"/>
      <c r="I51" s="12" t="s">
        <v>633</v>
      </c>
      <c r="J51" s="61">
        <v>20386</v>
      </c>
      <c r="K51" s="71">
        <v>50</v>
      </c>
      <c r="L51" s="62" t="s">
        <v>644</v>
      </c>
      <c r="M51" s="75"/>
      <c r="N51" s="73"/>
      <c r="O51" s="15"/>
    </row>
    <row r="52" spans="1:15" x14ac:dyDescent="0.25">
      <c r="A52" s="16">
        <v>20141</v>
      </c>
      <c r="B52" s="49">
        <v>50</v>
      </c>
      <c r="C52" s="17" t="s">
        <v>20</v>
      </c>
      <c r="D52" s="13">
        <v>20230</v>
      </c>
      <c r="E52" s="70">
        <v>450</v>
      </c>
      <c r="F52" s="14" t="s">
        <v>548</v>
      </c>
      <c r="G52" s="11">
        <v>20320</v>
      </c>
      <c r="H52" s="67">
        <v>400</v>
      </c>
      <c r="I52" s="12"/>
      <c r="J52" s="61">
        <v>20387</v>
      </c>
      <c r="K52" s="71">
        <v>450</v>
      </c>
      <c r="L52" s="62" t="s">
        <v>645</v>
      </c>
      <c r="M52" s="75"/>
      <c r="N52" s="73"/>
      <c r="O52" s="15"/>
    </row>
    <row r="53" spans="1:15" x14ac:dyDescent="0.25">
      <c r="A53" s="16">
        <v>20142</v>
      </c>
      <c r="B53" s="49">
        <v>900</v>
      </c>
      <c r="C53" s="17" t="s">
        <v>430</v>
      </c>
      <c r="D53" s="13">
        <v>20231</v>
      </c>
      <c r="E53" s="70">
        <v>300</v>
      </c>
      <c r="F53" s="14"/>
      <c r="G53" s="11">
        <v>20321</v>
      </c>
      <c r="H53" s="67">
        <v>600</v>
      </c>
      <c r="I53" s="12" t="s">
        <v>605</v>
      </c>
      <c r="J53" s="61"/>
      <c r="K53" s="71"/>
      <c r="L53" s="62" t="s">
        <v>646</v>
      </c>
      <c r="M53" s="75"/>
      <c r="N53" s="73"/>
      <c r="O53" s="15"/>
    </row>
    <row r="54" spans="1:15" x14ac:dyDescent="0.25">
      <c r="A54" s="16"/>
      <c r="B54" s="49"/>
      <c r="C54" s="17" t="s">
        <v>15</v>
      </c>
      <c r="D54" s="13">
        <v>20232</v>
      </c>
      <c r="E54" s="70">
        <v>600</v>
      </c>
      <c r="F54" s="14" t="s">
        <v>584</v>
      </c>
      <c r="G54" s="11"/>
      <c r="H54" s="67"/>
      <c r="I54" s="12" t="s">
        <v>14</v>
      </c>
      <c r="J54" s="61">
        <v>20388</v>
      </c>
      <c r="K54" s="71">
        <v>50</v>
      </c>
      <c r="L54" s="62" t="s">
        <v>644</v>
      </c>
      <c r="M54" s="75"/>
      <c r="N54" s="73"/>
      <c r="O54" s="15"/>
    </row>
    <row r="55" spans="1:15" x14ac:dyDescent="0.25">
      <c r="A55" s="16"/>
      <c r="B55" s="49"/>
      <c r="C55" s="17" t="s">
        <v>574</v>
      </c>
      <c r="D55" s="13"/>
      <c r="E55" s="70"/>
      <c r="F55" s="14" t="s">
        <v>16</v>
      </c>
      <c r="G55" s="11">
        <v>20322</v>
      </c>
      <c r="H55" s="67">
        <v>250</v>
      </c>
      <c r="I55" s="12" t="s">
        <v>634</v>
      </c>
      <c r="J55" s="61">
        <v>20389</v>
      </c>
      <c r="K55" s="71">
        <v>100</v>
      </c>
      <c r="L55" s="62" t="s">
        <v>640</v>
      </c>
      <c r="M55" s="75"/>
      <c r="N55" s="73"/>
      <c r="O55" s="15"/>
    </row>
    <row r="56" spans="1:15" x14ac:dyDescent="0.25">
      <c r="A56" s="16">
        <v>20143</v>
      </c>
      <c r="B56" s="49">
        <v>450</v>
      </c>
      <c r="C56" s="17" t="s">
        <v>548</v>
      </c>
      <c r="D56" s="13">
        <v>20233</v>
      </c>
      <c r="E56" s="70">
        <v>400</v>
      </c>
      <c r="F56" s="14"/>
      <c r="G56" s="11">
        <v>20323</v>
      </c>
      <c r="H56" s="67">
        <v>300</v>
      </c>
      <c r="I56" s="12"/>
      <c r="J56" s="61">
        <v>20390</v>
      </c>
      <c r="K56" s="71">
        <v>50</v>
      </c>
      <c r="L56" s="62" t="s">
        <v>644</v>
      </c>
      <c r="M56" s="75"/>
      <c r="N56" s="73"/>
      <c r="O56" s="15"/>
    </row>
    <row r="57" spans="1:15" x14ac:dyDescent="0.25">
      <c r="A57" s="16">
        <v>20144</v>
      </c>
      <c r="B57" s="49">
        <v>400</v>
      </c>
      <c r="C57" s="17"/>
      <c r="D57" s="13">
        <v>20234</v>
      </c>
      <c r="E57" s="70">
        <v>400</v>
      </c>
      <c r="F57" s="14" t="s">
        <v>430</v>
      </c>
      <c r="G57" s="11">
        <v>20324</v>
      </c>
      <c r="H57" s="67">
        <v>200</v>
      </c>
      <c r="I57" s="12" t="s">
        <v>553</v>
      </c>
      <c r="J57" s="61">
        <v>20391</v>
      </c>
      <c r="K57" s="71">
        <v>50</v>
      </c>
      <c r="L57" s="62" t="s">
        <v>644</v>
      </c>
      <c r="M57" s="75"/>
      <c r="N57" s="73"/>
      <c r="O57" s="15"/>
    </row>
    <row r="58" spans="1:15" x14ac:dyDescent="0.25">
      <c r="A58" s="16">
        <v>20145</v>
      </c>
      <c r="B58" s="49">
        <v>50</v>
      </c>
      <c r="C58" s="17" t="s">
        <v>20</v>
      </c>
      <c r="D58" s="13"/>
      <c r="E58" s="70"/>
      <c r="F58" s="14" t="s">
        <v>14</v>
      </c>
      <c r="G58" s="11">
        <v>20325</v>
      </c>
      <c r="H58" s="67">
        <v>200</v>
      </c>
      <c r="I58" s="12" t="s">
        <v>34</v>
      </c>
      <c r="J58" s="61">
        <v>20392</v>
      </c>
      <c r="K58" s="71">
        <v>100</v>
      </c>
      <c r="L58" s="62" t="s">
        <v>640</v>
      </c>
      <c r="M58" s="75"/>
      <c r="N58" s="73"/>
      <c r="O58" s="15"/>
    </row>
    <row r="59" spans="1:15" x14ac:dyDescent="0.25">
      <c r="A59" s="16">
        <v>20146</v>
      </c>
      <c r="B59" s="49">
        <v>1200</v>
      </c>
      <c r="C59" s="17" t="s">
        <v>482</v>
      </c>
      <c r="D59" s="13">
        <v>20235</v>
      </c>
      <c r="E59" s="70">
        <v>1200</v>
      </c>
      <c r="F59" s="14" t="s">
        <v>482</v>
      </c>
      <c r="G59" s="11">
        <v>20326</v>
      </c>
      <c r="H59" s="67">
        <v>200</v>
      </c>
      <c r="I59" s="12" t="s">
        <v>490</v>
      </c>
      <c r="J59" s="61">
        <v>20393</v>
      </c>
      <c r="K59" s="71">
        <v>50</v>
      </c>
      <c r="L59" s="62" t="s">
        <v>644</v>
      </c>
      <c r="M59" s="75"/>
      <c r="N59" s="73"/>
      <c r="O59" s="15"/>
    </row>
    <row r="60" spans="1:15" x14ac:dyDescent="0.25">
      <c r="A60" s="16"/>
      <c r="B60" s="49"/>
      <c r="C60" s="17" t="s">
        <v>15</v>
      </c>
      <c r="D60" s="13"/>
      <c r="E60" s="70"/>
      <c r="F60" s="14" t="s">
        <v>270</v>
      </c>
      <c r="G60" s="11">
        <v>20327</v>
      </c>
      <c r="H60" s="67">
        <v>600</v>
      </c>
      <c r="I60" s="12" t="s">
        <v>635</v>
      </c>
      <c r="J60" s="61">
        <v>20394</v>
      </c>
      <c r="K60" s="71">
        <v>50</v>
      </c>
      <c r="L60" s="62" t="s">
        <v>644</v>
      </c>
      <c r="M60" s="75"/>
      <c r="N60" s="73"/>
      <c r="O60" s="15"/>
    </row>
    <row r="61" spans="1:15" x14ac:dyDescent="0.25">
      <c r="A61" s="16">
        <v>20147</v>
      </c>
      <c r="B61" s="49">
        <v>400</v>
      </c>
      <c r="C61" s="17"/>
      <c r="D61" s="13">
        <v>20236</v>
      </c>
      <c r="E61" s="70">
        <v>4800</v>
      </c>
      <c r="F61" s="14" t="s">
        <v>597</v>
      </c>
      <c r="G61" s="11"/>
      <c r="H61" s="67"/>
      <c r="I61" s="12" t="s">
        <v>16</v>
      </c>
      <c r="J61" s="61">
        <v>20395</v>
      </c>
      <c r="K61" s="71">
        <v>50</v>
      </c>
      <c r="L61" s="62" t="s">
        <v>644</v>
      </c>
      <c r="M61" s="75"/>
      <c r="N61" s="73"/>
      <c r="O61" s="15"/>
    </row>
    <row r="62" spans="1:15" x14ac:dyDescent="0.25">
      <c r="A62" s="16">
        <v>20148</v>
      </c>
      <c r="B62" s="49">
        <v>400</v>
      </c>
      <c r="C62" s="17"/>
      <c r="D62" s="13"/>
      <c r="E62" s="70"/>
      <c r="F62" s="14" t="s">
        <v>270</v>
      </c>
      <c r="G62" s="11">
        <v>20328</v>
      </c>
      <c r="H62" s="67">
        <v>400</v>
      </c>
      <c r="I62" s="12" t="s">
        <v>494</v>
      </c>
      <c r="J62" s="61">
        <v>20396</v>
      </c>
      <c r="K62" s="71">
        <v>800</v>
      </c>
      <c r="L62" s="62" t="s">
        <v>605</v>
      </c>
      <c r="M62" s="75"/>
      <c r="N62" s="73"/>
      <c r="O62" s="15"/>
    </row>
    <row r="63" spans="1:15" x14ac:dyDescent="0.25">
      <c r="A63" s="16">
        <v>20149</v>
      </c>
      <c r="B63" s="49">
        <v>1200</v>
      </c>
      <c r="C63" s="17" t="s">
        <v>465</v>
      </c>
      <c r="D63" s="13">
        <v>20237</v>
      </c>
      <c r="E63" s="70">
        <v>6000</v>
      </c>
      <c r="F63" s="14" t="s">
        <v>598</v>
      </c>
      <c r="G63" s="11"/>
      <c r="H63" s="67"/>
      <c r="I63" s="12" t="s">
        <v>14</v>
      </c>
      <c r="J63" s="61"/>
      <c r="K63" s="71"/>
      <c r="L63" s="62" t="s">
        <v>647</v>
      </c>
      <c r="M63" s="75"/>
      <c r="N63" s="73"/>
      <c r="O63" s="15"/>
    </row>
    <row r="64" spans="1:15" x14ac:dyDescent="0.25">
      <c r="A64" s="16"/>
      <c r="B64" s="49"/>
      <c r="C64" s="17" t="s">
        <v>15</v>
      </c>
      <c r="D64" s="13"/>
      <c r="E64" s="70"/>
      <c r="F64" s="14" t="s">
        <v>592</v>
      </c>
      <c r="G64" s="11">
        <v>20329</v>
      </c>
      <c r="H64" s="67">
        <v>200</v>
      </c>
      <c r="I64" s="12" t="s">
        <v>553</v>
      </c>
      <c r="J64" s="61"/>
      <c r="K64" s="71"/>
      <c r="L64" s="62" t="s">
        <v>648</v>
      </c>
      <c r="M64" s="75"/>
      <c r="N64" s="73"/>
      <c r="O64" s="15"/>
    </row>
    <row r="65" spans="1:15" x14ac:dyDescent="0.25">
      <c r="A65" s="16">
        <v>20150</v>
      </c>
      <c r="B65" s="49">
        <v>800</v>
      </c>
      <c r="C65" s="17" t="s">
        <v>430</v>
      </c>
      <c r="D65" s="13">
        <v>20238</v>
      </c>
      <c r="E65" s="70">
        <v>550</v>
      </c>
      <c r="F65" s="14" t="s">
        <v>599</v>
      </c>
      <c r="G65" s="11">
        <v>20330</v>
      </c>
      <c r="H65" s="67">
        <v>700</v>
      </c>
      <c r="I65" s="12" t="s">
        <v>430</v>
      </c>
      <c r="J65" s="61">
        <v>20397</v>
      </c>
      <c r="K65" s="71">
        <v>400</v>
      </c>
      <c r="L65" s="62" t="s">
        <v>649</v>
      </c>
      <c r="M65" s="75"/>
      <c r="N65" s="73"/>
      <c r="O65" s="15"/>
    </row>
    <row r="66" spans="1:15" x14ac:dyDescent="0.25">
      <c r="A66" s="16"/>
      <c r="B66" s="49"/>
      <c r="C66" s="17" t="s">
        <v>15</v>
      </c>
      <c r="D66" s="13"/>
      <c r="E66" s="70"/>
      <c r="F66" s="14" t="s">
        <v>294</v>
      </c>
      <c r="G66" s="11"/>
      <c r="H66" s="67"/>
      <c r="I66" s="12" t="s">
        <v>18</v>
      </c>
      <c r="J66" s="61"/>
      <c r="K66" s="71"/>
      <c r="L66" s="62" t="s">
        <v>650</v>
      </c>
      <c r="M66" s="75"/>
      <c r="N66" s="73"/>
      <c r="O66" s="15"/>
    </row>
    <row r="67" spans="1:15" x14ac:dyDescent="0.25">
      <c r="A67" s="16">
        <v>20151</v>
      </c>
      <c r="B67" s="49">
        <v>1200</v>
      </c>
      <c r="C67" s="17" t="s">
        <v>396</v>
      </c>
      <c r="D67" s="13">
        <v>20239</v>
      </c>
      <c r="E67" s="70">
        <v>400</v>
      </c>
      <c r="F67" s="14"/>
      <c r="G67" s="11">
        <v>20331</v>
      </c>
      <c r="H67" s="67">
        <v>800</v>
      </c>
      <c r="I67" s="12" t="s">
        <v>494</v>
      </c>
      <c r="J67" s="61">
        <v>20398</v>
      </c>
      <c r="K67" s="71">
        <v>50</v>
      </c>
      <c r="L67" s="62" t="s">
        <v>644</v>
      </c>
      <c r="M67" s="75"/>
      <c r="N67" s="73"/>
      <c r="O67" s="15"/>
    </row>
    <row r="68" spans="1:15" x14ac:dyDescent="0.25">
      <c r="A68" s="16"/>
      <c r="B68" s="49"/>
      <c r="C68" s="17" t="s">
        <v>15</v>
      </c>
      <c r="D68" s="13">
        <v>20240</v>
      </c>
      <c r="E68" s="70">
        <v>400</v>
      </c>
      <c r="F68" s="14"/>
      <c r="G68" s="11"/>
      <c r="H68" s="67"/>
      <c r="I68" s="12" t="s">
        <v>15</v>
      </c>
      <c r="J68" s="61">
        <v>20399</v>
      </c>
      <c r="K68" s="71">
        <v>100</v>
      </c>
      <c r="L68" s="62" t="s">
        <v>640</v>
      </c>
      <c r="M68" s="75"/>
      <c r="N68" s="73"/>
      <c r="O68" s="15"/>
    </row>
    <row r="69" spans="1:15" x14ac:dyDescent="0.25">
      <c r="A69" s="16">
        <v>20152</v>
      </c>
      <c r="B69" s="49">
        <v>50</v>
      </c>
      <c r="C69" s="17" t="s">
        <v>20</v>
      </c>
      <c r="D69" s="13">
        <v>20241</v>
      </c>
      <c r="E69" s="70">
        <v>1050</v>
      </c>
      <c r="F69" s="14" t="s">
        <v>600</v>
      </c>
      <c r="G69" s="11">
        <v>20332</v>
      </c>
      <c r="H69" s="67">
        <v>400</v>
      </c>
      <c r="I69" s="12"/>
      <c r="J69" s="61">
        <v>20400</v>
      </c>
      <c r="K69" s="71">
        <v>50</v>
      </c>
      <c r="L69" s="62" t="s">
        <v>644</v>
      </c>
      <c r="M69" s="75"/>
      <c r="N69" s="73"/>
      <c r="O69" s="15"/>
    </row>
    <row r="70" spans="1:15" x14ac:dyDescent="0.25">
      <c r="A70" s="16">
        <v>20153</v>
      </c>
      <c r="B70" s="49">
        <v>400</v>
      </c>
      <c r="C70" s="17"/>
      <c r="D70" s="13"/>
      <c r="E70" s="70"/>
      <c r="F70" s="14" t="s">
        <v>601</v>
      </c>
      <c r="G70" s="11">
        <v>20333</v>
      </c>
      <c r="H70" s="67">
        <v>50</v>
      </c>
      <c r="I70" s="12" t="s">
        <v>20</v>
      </c>
      <c r="J70" s="61">
        <v>20401</v>
      </c>
      <c r="K70" s="71">
        <v>100</v>
      </c>
      <c r="L70" s="62" t="s">
        <v>640</v>
      </c>
      <c r="M70" s="75"/>
      <c r="N70" s="73"/>
      <c r="O70" s="15"/>
    </row>
    <row r="71" spans="1:15" x14ac:dyDescent="0.25">
      <c r="A71" s="16">
        <v>20154</v>
      </c>
      <c r="B71" s="49">
        <v>150</v>
      </c>
      <c r="C71" s="17" t="s">
        <v>278</v>
      </c>
      <c r="D71" s="13"/>
      <c r="E71" s="70"/>
      <c r="F71" s="14" t="s">
        <v>57</v>
      </c>
      <c r="G71" s="11">
        <v>20334</v>
      </c>
      <c r="H71" s="67">
        <v>1200</v>
      </c>
      <c r="I71" s="12" t="s">
        <v>465</v>
      </c>
      <c r="J71" s="61">
        <v>20402</v>
      </c>
      <c r="K71" s="71"/>
      <c r="L71" s="62" t="s">
        <v>59</v>
      </c>
      <c r="M71" s="75"/>
      <c r="N71" s="73"/>
      <c r="O71" s="15"/>
    </row>
    <row r="72" spans="1:15" x14ac:dyDescent="0.25">
      <c r="A72" s="16">
        <v>20155</v>
      </c>
      <c r="B72" s="49">
        <v>400</v>
      </c>
      <c r="C72" s="17"/>
      <c r="D72" s="13">
        <v>20242</v>
      </c>
      <c r="E72" s="70">
        <v>400</v>
      </c>
      <c r="F72" s="14" t="s">
        <v>584</v>
      </c>
      <c r="G72" s="11"/>
      <c r="H72" s="67"/>
      <c r="I72" s="12" t="s">
        <v>15</v>
      </c>
      <c r="J72" s="61">
        <v>20403</v>
      </c>
      <c r="K72" s="71">
        <v>50</v>
      </c>
      <c r="L72" s="62" t="s">
        <v>644</v>
      </c>
      <c r="M72" s="75"/>
      <c r="N72" s="73"/>
      <c r="O72" s="15"/>
    </row>
    <row r="73" spans="1:15" x14ac:dyDescent="0.25">
      <c r="A73" s="16">
        <v>20156</v>
      </c>
      <c r="B73" s="49">
        <v>100</v>
      </c>
      <c r="C73" s="17" t="s">
        <v>217</v>
      </c>
      <c r="D73" s="13"/>
      <c r="E73" s="70"/>
      <c r="F73" s="14" t="s">
        <v>14</v>
      </c>
      <c r="G73" s="11">
        <v>20335</v>
      </c>
      <c r="H73" s="67"/>
      <c r="I73" s="12" t="s">
        <v>59</v>
      </c>
      <c r="J73" s="61">
        <v>20404</v>
      </c>
      <c r="K73" s="71">
        <v>50</v>
      </c>
      <c r="L73" s="62" t="s">
        <v>644</v>
      </c>
      <c r="M73" s="75"/>
      <c r="N73" s="73"/>
      <c r="O73" s="15"/>
    </row>
    <row r="74" spans="1:15" x14ac:dyDescent="0.25">
      <c r="A74" s="16">
        <v>20157</v>
      </c>
      <c r="B74" s="49">
        <v>650</v>
      </c>
      <c r="C74" s="17" t="s">
        <v>575</v>
      </c>
      <c r="D74" s="13">
        <v>20243</v>
      </c>
      <c r="E74" s="70">
        <v>5500</v>
      </c>
      <c r="F74" s="14" t="s">
        <v>598</v>
      </c>
      <c r="G74" s="11">
        <v>20336</v>
      </c>
      <c r="H74" s="67">
        <v>600</v>
      </c>
      <c r="I74" s="12" t="s">
        <v>494</v>
      </c>
      <c r="J74" s="61">
        <v>20405</v>
      </c>
      <c r="K74" s="71">
        <v>50</v>
      </c>
      <c r="L74" s="62" t="s">
        <v>644</v>
      </c>
      <c r="M74" s="75"/>
      <c r="N74" s="73"/>
      <c r="O74" s="15"/>
    </row>
    <row r="75" spans="1:15" x14ac:dyDescent="0.25">
      <c r="A75" s="16"/>
      <c r="B75" s="49"/>
      <c r="C75" s="17" t="s">
        <v>309</v>
      </c>
      <c r="D75" s="13"/>
      <c r="E75" s="70"/>
      <c r="F75" s="14" t="s">
        <v>592</v>
      </c>
      <c r="G75" s="11"/>
      <c r="H75" s="67"/>
      <c r="I75" s="12" t="s">
        <v>16</v>
      </c>
      <c r="J75" s="61">
        <v>20406</v>
      </c>
      <c r="K75" s="71">
        <v>50</v>
      </c>
      <c r="L75" s="62" t="s">
        <v>644</v>
      </c>
      <c r="M75" s="75"/>
      <c r="N75" s="73"/>
      <c r="O75" s="15"/>
    </row>
    <row r="76" spans="1:15" x14ac:dyDescent="0.25">
      <c r="A76" s="16">
        <v>20158</v>
      </c>
      <c r="B76" s="49">
        <v>50</v>
      </c>
      <c r="C76" s="17" t="s">
        <v>20</v>
      </c>
      <c r="D76" s="13">
        <v>20244</v>
      </c>
      <c r="E76" s="70">
        <v>50</v>
      </c>
      <c r="F76" s="14" t="s">
        <v>590</v>
      </c>
      <c r="G76" s="11">
        <v>20337</v>
      </c>
      <c r="H76" s="67">
        <v>100</v>
      </c>
      <c r="I76" s="12" t="s">
        <v>627</v>
      </c>
      <c r="J76" s="61">
        <v>20407</v>
      </c>
      <c r="K76" s="71">
        <v>50</v>
      </c>
      <c r="L76" s="62" t="s">
        <v>644</v>
      </c>
      <c r="M76" s="75"/>
      <c r="N76" s="73"/>
      <c r="O76" s="15"/>
    </row>
    <row r="77" spans="1:15" x14ac:dyDescent="0.25">
      <c r="A77" s="16">
        <v>20159</v>
      </c>
      <c r="B77" s="49">
        <v>400</v>
      </c>
      <c r="C77" s="17"/>
      <c r="D77" s="13">
        <v>20245</v>
      </c>
      <c r="E77" s="70">
        <v>800</v>
      </c>
      <c r="F77" s="14" t="s">
        <v>602</v>
      </c>
      <c r="G77" s="11">
        <v>20338</v>
      </c>
      <c r="H77" s="67">
        <v>400</v>
      </c>
      <c r="I77" s="12" t="s">
        <v>315</v>
      </c>
      <c r="J77" s="61">
        <v>20408</v>
      </c>
      <c r="K77" s="71">
        <v>150</v>
      </c>
      <c r="L77" s="62" t="s">
        <v>651</v>
      </c>
      <c r="M77" s="75"/>
      <c r="N77" s="73"/>
      <c r="O77" s="15"/>
    </row>
    <row r="78" spans="1:15" x14ac:dyDescent="0.25">
      <c r="A78" s="16">
        <v>20160</v>
      </c>
      <c r="B78" s="49">
        <v>300</v>
      </c>
      <c r="C78" s="17"/>
      <c r="D78" s="13"/>
      <c r="E78" s="70"/>
      <c r="F78" s="14" t="s">
        <v>270</v>
      </c>
      <c r="G78" s="11"/>
      <c r="H78" s="67"/>
      <c r="I78" s="12" t="s">
        <v>14</v>
      </c>
      <c r="J78" s="61">
        <v>20409</v>
      </c>
      <c r="K78" s="71">
        <v>400</v>
      </c>
      <c r="L78" s="62" t="s">
        <v>490</v>
      </c>
      <c r="M78" s="75"/>
      <c r="N78" s="73"/>
      <c r="O78" s="15"/>
    </row>
    <row r="79" spans="1:15" x14ac:dyDescent="0.25">
      <c r="A79" s="16">
        <v>20161</v>
      </c>
      <c r="B79" s="49"/>
      <c r="C79" s="17" t="s">
        <v>59</v>
      </c>
      <c r="D79" s="13">
        <v>20246</v>
      </c>
      <c r="E79" s="70">
        <v>450</v>
      </c>
      <c r="F79" s="14" t="s">
        <v>548</v>
      </c>
      <c r="G79" s="11">
        <v>20339</v>
      </c>
      <c r="H79" s="67">
        <v>850</v>
      </c>
      <c r="I79" s="12" t="s">
        <v>494</v>
      </c>
      <c r="J79" s="61">
        <v>20410</v>
      </c>
      <c r="K79" s="71">
        <v>50</v>
      </c>
      <c r="L79" s="62" t="s">
        <v>644</v>
      </c>
      <c r="M79" s="75"/>
      <c r="N79" s="73"/>
      <c r="O79" s="15"/>
    </row>
    <row r="80" spans="1:15" x14ac:dyDescent="0.25">
      <c r="A80" s="16">
        <v>20162</v>
      </c>
      <c r="B80" s="49">
        <v>100</v>
      </c>
      <c r="C80" s="17" t="s">
        <v>217</v>
      </c>
      <c r="D80" s="13">
        <v>20247</v>
      </c>
      <c r="E80" s="70">
        <v>100</v>
      </c>
      <c r="F80" s="14"/>
      <c r="G80" s="11"/>
      <c r="H80" s="67"/>
      <c r="I80" s="12" t="s">
        <v>636</v>
      </c>
      <c r="J80" s="61">
        <v>20411</v>
      </c>
      <c r="K80" s="71">
        <v>50</v>
      </c>
      <c r="L80" s="62" t="s">
        <v>644</v>
      </c>
      <c r="M80" s="75"/>
      <c r="N80" s="73"/>
      <c r="O80" s="15"/>
    </row>
    <row r="81" spans="1:15" x14ac:dyDescent="0.25">
      <c r="A81" s="16">
        <v>20163</v>
      </c>
      <c r="B81" s="49">
        <v>100</v>
      </c>
      <c r="C81" s="17" t="s">
        <v>217</v>
      </c>
      <c r="D81" s="13">
        <v>20248</v>
      </c>
      <c r="E81" s="70">
        <v>400</v>
      </c>
      <c r="F81" s="14" t="s">
        <v>430</v>
      </c>
      <c r="G81" s="11">
        <v>20340</v>
      </c>
      <c r="H81" s="67">
        <v>250</v>
      </c>
      <c r="I81" s="12" t="s">
        <v>634</v>
      </c>
      <c r="J81" s="61">
        <v>20412</v>
      </c>
      <c r="K81" s="71">
        <v>50</v>
      </c>
      <c r="L81" s="62" t="s">
        <v>644</v>
      </c>
      <c r="M81" s="75"/>
      <c r="N81" s="73"/>
      <c r="O81" s="15"/>
    </row>
    <row r="82" spans="1:15" x14ac:dyDescent="0.25">
      <c r="A82" s="16">
        <v>20164</v>
      </c>
      <c r="B82" s="49">
        <v>800</v>
      </c>
      <c r="C82" s="17" t="s">
        <v>453</v>
      </c>
      <c r="D82" s="13"/>
      <c r="E82" s="70"/>
      <c r="F82" s="14" t="s">
        <v>14</v>
      </c>
      <c r="G82" s="11">
        <v>20341</v>
      </c>
      <c r="H82" s="67">
        <v>200</v>
      </c>
      <c r="I82" s="12" t="s">
        <v>490</v>
      </c>
      <c r="J82" s="61">
        <v>20413</v>
      </c>
      <c r="K82" s="71">
        <v>50</v>
      </c>
      <c r="L82" s="62" t="s">
        <v>644</v>
      </c>
      <c r="M82" s="75"/>
      <c r="N82" s="73"/>
      <c r="O82" s="15"/>
    </row>
    <row r="83" spans="1:15" x14ac:dyDescent="0.25">
      <c r="A83" s="16"/>
      <c r="B83" s="49"/>
      <c r="C83" s="17" t="s">
        <v>15</v>
      </c>
      <c r="D83" s="13">
        <v>20249</v>
      </c>
      <c r="E83" s="70">
        <v>500</v>
      </c>
      <c r="F83" s="14" t="s">
        <v>603</v>
      </c>
      <c r="G83" s="11">
        <v>20342</v>
      </c>
      <c r="H83" s="67">
        <v>50</v>
      </c>
      <c r="I83" s="12" t="s">
        <v>20</v>
      </c>
      <c r="J83" s="61">
        <v>20414</v>
      </c>
      <c r="K83" s="71">
        <v>100</v>
      </c>
      <c r="L83" s="62" t="s">
        <v>640</v>
      </c>
      <c r="M83" s="75"/>
      <c r="N83" s="73"/>
      <c r="O83" s="15"/>
    </row>
    <row r="84" spans="1:15" x14ac:dyDescent="0.25">
      <c r="A84" s="16">
        <v>20165</v>
      </c>
      <c r="B84" s="49"/>
      <c r="C84" s="17" t="s">
        <v>59</v>
      </c>
      <c r="D84" s="13"/>
      <c r="E84" s="70"/>
      <c r="F84" s="14" t="s">
        <v>294</v>
      </c>
      <c r="G84" s="11"/>
      <c r="H84" s="67"/>
      <c r="I84" s="12"/>
      <c r="J84" s="61">
        <v>20415</v>
      </c>
      <c r="K84" s="71">
        <v>50</v>
      </c>
      <c r="L84" s="62" t="s">
        <v>644</v>
      </c>
      <c r="M84" s="75"/>
      <c r="N84" s="73"/>
      <c r="O84" s="15"/>
    </row>
    <row r="85" spans="1:15" x14ac:dyDescent="0.25">
      <c r="A85" s="16">
        <v>20166</v>
      </c>
      <c r="B85" s="49">
        <v>200</v>
      </c>
      <c r="C85" s="17" t="s">
        <v>34</v>
      </c>
      <c r="D85" s="13">
        <v>20250</v>
      </c>
      <c r="E85" s="70">
        <v>600</v>
      </c>
      <c r="F85" s="14" t="s">
        <v>604</v>
      </c>
      <c r="G85" s="11"/>
      <c r="H85" s="67"/>
      <c r="I85" s="12"/>
      <c r="J85" s="61">
        <v>20416</v>
      </c>
      <c r="K85" s="71">
        <v>50</v>
      </c>
      <c r="L85" s="62" t="s">
        <v>644</v>
      </c>
      <c r="M85" s="75"/>
      <c r="N85" s="73"/>
      <c r="O85" s="15"/>
    </row>
    <row r="86" spans="1:15" x14ac:dyDescent="0.25">
      <c r="A86" s="16">
        <v>20167</v>
      </c>
      <c r="B86" s="49">
        <v>400</v>
      </c>
      <c r="C86" s="17"/>
      <c r="D86" s="13"/>
      <c r="E86" s="70"/>
      <c r="F86" s="14" t="s">
        <v>14</v>
      </c>
      <c r="G86" s="11"/>
      <c r="H86" s="67"/>
      <c r="I86" s="12"/>
      <c r="J86" s="61">
        <v>20417</v>
      </c>
      <c r="K86" s="71">
        <v>50</v>
      </c>
      <c r="L86" s="62" t="s">
        <v>644</v>
      </c>
      <c r="M86" s="75"/>
      <c r="N86" s="73"/>
      <c r="O86" s="15"/>
    </row>
    <row r="87" spans="1:15" x14ac:dyDescent="0.25">
      <c r="A87" s="16">
        <v>20168</v>
      </c>
      <c r="B87" s="49">
        <v>600</v>
      </c>
      <c r="C87" s="17" t="s">
        <v>465</v>
      </c>
      <c r="D87" s="13">
        <v>20251</v>
      </c>
      <c r="E87" s="70">
        <v>1250</v>
      </c>
      <c r="F87" s="14" t="s">
        <v>605</v>
      </c>
      <c r="G87" s="11"/>
      <c r="H87" s="67"/>
      <c r="I87" s="12"/>
      <c r="J87" s="61">
        <v>20418</v>
      </c>
      <c r="K87" s="71">
        <v>100</v>
      </c>
      <c r="L87" s="62" t="s">
        <v>640</v>
      </c>
      <c r="M87" s="75"/>
      <c r="N87" s="73"/>
      <c r="O87" s="15"/>
    </row>
    <row r="88" spans="1:15" x14ac:dyDescent="0.25">
      <c r="A88" s="16"/>
      <c r="B88" s="49"/>
      <c r="C88" s="17" t="s">
        <v>14</v>
      </c>
      <c r="D88" s="13"/>
      <c r="E88" s="70"/>
      <c r="F88" s="14" t="s">
        <v>581</v>
      </c>
      <c r="G88" s="11"/>
      <c r="H88" s="67"/>
      <c r="I88" s="12"/>
      <c r="J88" s="61">
        <v>20419</v>
      </c>
      <c r="K88" s="71">
        <v>50</v>
      </c>
      <c r="L88" s="62" t="s">
        <v>644</v>
      </c>
      <c r="M88" s="75"/>
      <c r="N88" s="73"/>
      <c r="O88" s="15"/>
    </row>
    <row r="89" spans="1:15" x14ac:dyDescent="0.25">
      <c r="A89" s="16">
        <v>20169</v>
      </c>
      <c r="B89" s="49">
        <v>450</v>
      </c>
      <c r="C89" s="17" t="s">
        <v>482</v>
      </c>
      <c r="D89" s="13">
        <v>20252</v>
      </c>
      <c r="E89" s="70">
        <v>1250</v>
      </c>
      <c r="F89" s="14" t="s">
        <v>606</v>
      </c>
      <c r="G89" s="11"/>
      <c r="H89" s="67"/>
      <c r="I89" s="12"/>
      <c r="J89" s="61">
        <v>20420</v>
      </c>
      <c r="K89" s="71">
        <v>100</v>
      </c>
      <c r="L89" s="62" t="s">
        <v>640</v>
      </c>
      <c r="M89" s="75"/>
      <c r="N89" s="73"/>
      <c r="O89" s="15"/>
    </row>
    <row r="90" spans="1:15" x14ac:dyDescent="0.25">
      <c r="A90" s="16"/>
      <c r="B90" s="49"/>
      <c r="C90" s="17" t="s">
        <v>57</v>
      </c>
      <c r="D90" s="13"/>
      <c r="E90" s="70"/>
      <c r="F90" s="14" t="s">
        <v>607</v>
      </c>
      <c r="G90" s="11"/>
      <c r="H90" s="67"/>
      <c r="I90" s="12"/>
      <c r="J90" s="61">
        <v>20421</v>
      </c>
      <c r="K90" s="71">
        <v>50</v>
      </c>
      <c r="L90" s="62" t="s">
        <v>644</v>
      </c>
      <c r="M90" s="75"/>
      <c r="N90" s="73"/>
      <c r="O90" s="15"/>
    </row>
    <row r="91" spans="1:15" x14ac:dyDescent="0.25">
      <c r="A91" s="16">
        <v>20170</v>
      </c>
      <c r="B91" s="49">
        <v>50</v>
      </c>
      <c r="C91" s="17" t="s">
        <v>20</v>
      </c>
      <c r="D91" s="13">
        <v>20253</v>
      </c>
      <c r="E91" s="70">
        <v>200</v>
      </c>
      <c r="F91" s="14" t="s">
        <v>609</v>
      </c>
      <c r="G91" s="11"/>
      <c r="H91" s="67"/>
      <c r="I91" s="12"/>
      <c r="J91" s="61">
        <v>20422</v>
      </c>
      <c r="K91" s="71">
        <v>50</v>
      </c>
      <c r="L91" s="62" t="s">
        <v>644</v>
      </c>
      <c r="M91" s="75"/>
      <c r="N91" s="73"/>
      <c r="O91" s="15"/>
    </row>
    <row r="92" spans="1:15" x14ac:dyDescent="0.25">
      <c r="A92" s="16">
        <v>20171</v>
      </c>
      <c r="B92" s="49">
        <v>300</v>
      </c>
      <c r="C92" s="17"/>
      <c r="D92" s="13">
        <v>20254</v>
      </c>
      <c r="E92" s="70">
        <v>200</v>
      </c>
      <c r="F92" s="14" t="s">
        <v>608</v>
      </c>
      <c r="G92" s="11"/>
      <c r="H92" s="67"/>
      <c r="I92" s="12"/>
      <c r="J92" s="61">
        <v>20423</v>
      </c>
      <c r="K92" s="71">
        <v>50</v>
      </c>
      <c r="L92" s="62" t="s">
        <v>644</v>
      </c>
      <c r="M92" s="58"/>
      <c r="N92" s="58"/>
      <c r="O92" s="58"/>
    </row>
    <row r="93" spans="1:15" x14ac:dyDescent="0.25">
      <c r="A93" s="16">
        <v>20172</v>
      </c>
      <c r="B93" s="49">
        <v>400</v>
      </c>
      <c r="C93" s="17"/>
      <c r="D93" s="13">
        <v>20255</v>
      </c>
      <c r="E93" s="70">
        <v>50</v>
      </c>
      <c r="F93" s="14" t="s">
        <v>20</v>
      </c>
      <c r="G93" s="11"/>
      <c r="H93" s="67"/>
      <c r="I93" s="12"/>
      <c r="J93" s="61">
        <v>20424</v>
      </c>
      <c r="K93" s="71">
        <v>200</v>
      </c>
      <c r="L93" s="62" t="s">
        <v>641</v>
      </c>
      <c r="M93" s="58"/>
      <c r="N93" s="58"/>
      <c r="O93" s="58"/>
    </row>
    <row r="94" spans="1:15" x14ac:dyDescent="0.25">
      <c r="A94" s="16">
        <v>20173</v>
      </c>
      <c r="B94" s="49">
        <v>2000</v>
      </c>
      <c r="C94" s="17" t="s">
        <v>576</v>
      </c>
      <c r="D94" s="13">
        <v>20256</v>
      </c>
      <c r="E94" s="70">
        <v>250</v>
      </c>
      <c r="F94" s="14" t="s">
        <v>610</v>
      </c>
      <c r="G94" s="11"/>
      <c r="H94" s="67"/>
      <c r="I94" s="12"/>
      <c r="J94" s="61">
        <v>20425</v>
      </c>
      <c r="K94" s="71">
        <v>200</v>
      </c>
      <c r="L94" s="62" t="s">
        <v>641</v>
      </c>
      <c r="M94" s="58"/>
      <c r="N94" s="58"/>
      <c r="O94" s="58"/>
    </row>
    <row r="95" spans="1:15" x14ac:dyDescent="0.25">
      <c r="A95" s="16"/>
      <c r="B95" s="49"/>
      <c r="C95" s="17" t="s">
        <v>15</v>
      </c>
      <c r="D95" s="13"/>
      <c r="E95" s="70"/>
      <c r="F95" s="14" t="s">
        <v>99</v>
      </c>
      <c r="G95" s="11"/>
      <c r="H95" s="67"/>
      <c r="I95" s="12"/>
      <c r="J95" s="61">
        <v>20426</v>
      </c>
      <c r="K95" s="71">
        <v>50</v>
      </c>
      <c r="L95" s="62" t="s">
        <v>644</v>
      </c>
      <c r="M95" s="58"/>
      <c r="N95" s="58"/>
      <c r="O95" s="58"/>
    </row>
    <row r="96" spans="1:15" x14ac:dyDescent="0.25">
      <c r="A96" s="16">
        <v>20174</v>
      </c>
      <c r="B96" s="49">
        <v>3400</v>
      </c>
      <c r="C96" s="17" t="s">
        <v>576</v>
      </c>
      <c r="D96" s="13">
        <v>20257</v>
      </c>
      <c r="E96" s="70">
        <v>1200</v>
      </c>
      <c r="F96" s="14" t="s">
        <v>611</v>
      </c>
      <c r="G96" s="11"/>
      <c r="H96" s="67"/>
      <c r="I96" s="12"/>
      <c r="J96" s="61">
        <v>20427</v>
      </c>
      <c r="K96" s="71">
        <v>100</v>
      </c>
      <c r="L96" s="62" t="s">
        <v>640</v>
      </c>
      <c r="M96" s="58"/>
      <c r="N96" s="58"/>
      <c r="O96" s="58"/>
    </row>
    <row r="97" spans="1:15" x14ac:dyDescent="0.25">
      <c r="A97" s="16"/>
      <c r="B97" s="49"/>
      <c r="C97" s="17" t="s">
        <v>577</v>
      </c>
      <c r="D97" s="13"/>
      <c r="E97" s="70"/>
      <c r="F97" s="14" t="s">
        <v>15</v>
      </c>
      <c r="G97" s="11"/>
      <c r="H97" s="67"/>
      <c r="I97" s="12"/>
      <c r="J97" s="61">
        <v>20428</v>
      </c>
      <c r="K97" s="71">
        <v>50</v>
      </c>
      <c r="L97" s="62" t="s">
        <v>644</v>
      </c>
      <c r="M97" s="58"/>
      <c r="N97" s="58"/>
      <c r="O97" s="58"/>
    </row>
    <row r="98" spans="1:15" x14ac:dyDescent="0.25">
      <c r="A98" s="16"/>
      <c r="B98" s="49"/>
      <c r="C98" s="17" t="s">
        <v>578</v>
      </c>
      <c r="D98" s="13">
        <v>20258</v>
      </c>
      <c r="E98" s="70">
        <v>700</v>
      </c>
      <c r="F98" s="14" t="s">
        <v>612</v>
      </c>
      <c r="G98" s="11"/>
      <c r="H98" s="67"/>
      <c r="I98" s="12"/>
      <c r="J98" s="61">
        <v>20429</v>
      </c>
      <c r="K98" s="71">
        <v>50</v>
      </c>
      <c r="L98" s="62" t="s">
        <v>644</v>
      </c>
      <c r="M98" s="58"/>
      <c r="N98" s="58"/>
      <c r="O98" s="58"/>
    </row>
    <row r="99" spans="1:15" x14ac:dyDescent="0.25">
      <c r="A99" s="16">
        <v>20175</v>
      </c>
      <c r="B99" s="49">
        <v>500</v>
      </c>
      <c r="C99" s="17" t="s">
        <v>579</v>
      </c>
      <c r="D99" s="13">
        <v>20259</v>
      </c>
      <c r="E99" s="70">
        <v>700</v>
      </c>
      <c r="F99" s="14" t="s">
        <v>613</v>
      </c>
      <c r="G99" s="11"/>
      <c r="H99" s="67"/>
      <c r="I99" s="12"/>
      <c r="J99" s="61">
        <v>20430</v>
      </c>
      <c r="K99" s="71">
        <v>150</v>
      </c>
      <c r="L99" s="62" t="s">
        <v>638</v>
      </c>
      <c r="M99" s="58"/>
      <c r="N99" s="58"/>
      <c r="O99" s="58"/>
    </row>
    <row r="100" spans="1:15" x14ac:dyDescent="0.25">
      <c r="A100" s="16">
        <v>20176</v>
      </c>
      <c r="B100" s="49">
        <v>1200</v>
      </c>
      <c r="C100" s="17" t="s">
        <v>465</v>
      </c>
      <c r="D100" s="13">
        <v>20260</v>
      </c>
      <c r="E100" s="70">
        <v>100</v>
      </c>
      <c r="F100" s="14" t="s">
        <v>595</v>
      </c>
      <c r="G100" s="11"/>
      <c r="H100" s="67"/>
      <c r="I100" s="12"/>
      <c r="J100" s="61">
        <v>20431</v>
      </c>
      <c r="K100" s="71">
        <v>350</v>
      </c>
      <c r="L100" s="62" t="s">
        <v>552</v>
      </c>
      <c r="M100" s="58"/>
      <c r="N100" s="58"/>
      <c r="O100" s="58"/>
    </row>
    <row r="101" spans="1:15" x14ac:dyDescent="0.25">
      <c r="A101" s="16"/>
      <c r="B101" s="49"/>
      <c r="C101" s="17" t="s">
        <v>15</v>
      </c>
      <c r="D101" s="13">
        <v>20261</v>
      </c>
      <c r="E101" s="70">
        <v>200</v>
      </c>
      <c r="F101" s="14" t="s">
        <v>614</v>
      </c>
      <c r="G101" s="11"/>
      <c r="H101" s="67"/>
      <c r="I101" s="12"/>
      <c r="J101" s="61">
        <v>20432</v>
      </c>
      <c r="K101" s="71">
        <v>100</v>
      </c>
      <c r="L101" s="62" t="s">
        <v>640</v>
      </c>
      <c r="M101" s="58"/>
      <c r="N101" s="58"/>
      <c r="O101" s="58"/>
    </row>
    <row r="102" spans="1:15" x14ac:dyDescent="0.25">
      <c r="A102" s="16">
        <v>20177</v>
      </c>
      <c r="B102" s="49">
        <v>50</v>
      </c>
      <c r="C102" s="17" t="s">
        <v>20</v>
      </c>
      <c r="D102" s="13">
        <v>20262</v>
      </c>
      <c r="E102" s="70">
        <v>400</v>
      </c>
      <c r="F102" s="14" t="s">
        <v>584</v>
      </c>
      <c r="G102" s="11"/>
      <c r="H102" s="67"/>
      <c r="I102" s="12"/>
      <c r="J102" s="61">
        <v>20433</v>
      </c>
      <c r="K102" s="71">
        <v>150</v>
      </c>
      <c r="L102" s="62" t="s">
        <v>638</v>
      </c>
      <c r="M102" s="58"/>
      <c r="N102" s="58"/>
      <c r="O102" s="58"/>
    </row>
    <row r="103" spans="1:15" x14ac:dyDescent="0.25">
      <c r="A103" s="16">
        <v>20178</v>
      </c>
      <c r="B103" s="49">
        <v>400</v>
      </c>
      <c r="C103" s="17" t="s">
        <v>494</v>
      </c>
      <c r="D103" s="13"/>
      <c r="E103" s="70"/>
      <c r="F103" s="14" t="s">
        <v>14</v>
      </c>
      <c r="G103" s="11"/>
      <c r="H103" s="67"/>
      <c r="I103" s="12"/>
      <c r="J103" s="61">
        <v>20434</v>
      </c>
      <c r="K103" s="71">
        <v>50</v>
      </c>
      <c r="L103" s="62" t="s">
        <v>644</v>
      </c>
      <c r="M103" s="58"/>
      <c r="N103" s="58"/>
      <c r="O103" s="58"/>
    </row>
    <row r="104" spans="1:15" x14ac:dyDescent="0.25">
      <c r="A104" s="16"/>
      <c r="B104" s="49"/>
      <c r="C104" s="17" t="s">
        <v>14</v>
      </c>
      <c r="D104" s="13">
        <v>20263</v>
      </c>
      <c r="E104" s="70"/>
      <c r="F104" s="14" t="s">
        <v>59</v>
      </c>
      <c r="G104" s="11"/>
      <c r="H104" s="67"/>
      <c r="I104" s="12"/>
      <c r="J104" s="61">
        <v>20435</v>
      </c>
      <c r="K104" s="71">
        <v>150</v>
      </c>
      <c r="L104" s="62" t="s">
        <v>638</v>
      </c>
      <c r="M104" s="58"/>
      <c r="N104" s="58"/>
      <c r="O104" s="58"/>
    </row>
    <row r="105" spans="1:15" x14ac:dyDescent="0.25">
      <c r="A105" s="16">
        <v>20179</v>
      </c>
      <c r="B105" s="49">
        <v>1600</v>
      </c>
      <c r="C105" s="17" t="s">
        <v>274</v>
      </c>
      <c r="D105" s="13">
        <v>20264</v>
      </c>
      <c r="E105" s="70">
        <v>650</v>
      </c>
      <c r="F105" s="14" t="s">
        <v>520</v>
      </c>
      <c r="G105" s="11"/>
      <c r="H105" s="67"/>
      <c r="I105" s="12"/>
      <c r="J105" s="61">
        <v>20436</v>
      </c>
      <c r="K105" s="71">
        <v>100</v>
      </c>
      <c r="L105" s="62" t="s">
        <v>640</v>
      </c>
      <c r="M105" s="58"/>
      <c r="N105" s="58"/>
      <c r="O105" s="58"/>
    </row>
    <row r="106" spans="1:15" x14ac:dyDescent="0.25">
      <c r="A106" s="16"/>
      <c r="B106" s="49"/>
      <c r="C106" s="17" t="s">
        <v>15</v>
      </c>
      <c r="D106" s="13"/>
      <c r="E106" s="70"/>
      <c r="F106" s="14" t="s">
        <v>510</v>
      </c>
      <c r="G106" s="11"/>
      <c r="H106" s="67"/>
      <c r="I106" s="12"/>
      <c r="J106" s="61">
        <v>20437</v>
      </c>
      <c r="K106" s="71">
        <v>50</v>
      </c>
      <c r="L106" s="62" t="s">
        <v>644</v>
      </c>
      <c r="M106" s="58"/>
      <c r="N106" s="58"/>
      <c r="O106" s="58"/>
    </row>
    <row r="107" spans="1:15" x14ac:dyDescent="0.25">
      <c r="A107" s="16">
        <v>20180</v>
      </c>
      <c r="B107" s="49">
        <v>400</v>
      </c>
      <c r="C107" s="17" t="s">
        <v>490</v>
      </c>
      <c r="D107" s="13">
        <v>20265</v>
      </c>
      <c r="E107" s="70">
        <v>400</v>
      </c>
      <c r="F107" s="14"/>
      <c r="G107" s="11"/>
      <c r="H107" s="67"/>
      <c r="I107" s="12"/>
      <c r="J107" s="61">
        <v>20438</v>
      </c>
      <c r="K107" s="71"/>
      <c r="L107" s="62" t="s">
        <v>59</v>
      </c>
      <c r="M107" s="58"/>
      <c r="N107" s="58"/>
      <c r="O107" s="58"/>
    </row>
    <row r="108" spans="1:15" x14ac:dyDescent="0.25">
      <c r="A108" s="16">
        <v>20181</v>
      </c>
      <c r="B108" s="49">
        <v>800</v>
      </c>
      <c r="C108" s="17" t="s">
        <v>580</v>
      </c>
      <c r="D108" s="13">
        <v>20266</v>
      </c>
      <c r="E108" s="70">
        <v>50</v>
      </c>
      <c r="F108" s="14" t="s">
        <v>20</v>
      </c>
      <c r="G108" s="11"/>
      <c r="H108" s="67"/>
      <c r="I108" s="12"/>
      <c r="J108" s="61">
        <v>20439</v>
      </c>
      <c r="K108" s="71">
        <v>150</v>
      </c>
      <c r="L108" s="62" t="s">
        <v>638</v>
      </c>
      <c r="M108" s="58"/>
      <c r="N108" s="58"/>
      <c r="O108" s="58"/>
    </row>
    <row r="109" spans="1:15" x14ac:dyDescent="0.25">
      <c r="A109" s="16"/>
      <c r="B109" s="49"/>
      <c r="C109" s="17" t="s">
        <v>14</v>
      </c>
      <c r="D109" s="13">
        <v>20267</v>
      </c>
      <c r="E109" s="70">
        <v>50</v>
      </c>
      <c r="F109" s="14" t="s">
        <v>20</v>
      </c>
      <c r="G109" s="11"/>
      <c r="H109" s="67"/>
      <c r="I109" s="12"/>
      <c r="J109" s="61">
        <v>20440</v>
      </c>
      <c r="K109" s="71">
        <v>100</v>
      </c>
      <c r="L109" s="62" t="s">
        <v>640</v>
      </c>
      <c r="M109" s="58"/>
      <c r="N109" s="58"/>
      <c r="O109" s="58"/>
    </row>
    <row r="110" spans="1:15" x14ac:dyDescent="0.25">
      <c r="A110" s="16">
        <v>20182</v>
      </c>
      <c r="B110" s="49">
        <v>1250</v>
      </c>
      <c r="C110" s="17" t="s">
        <v>482</v>
      </c>
      <c r="D110" s="13">
        <v>20268</v>
      </c>
      <c r="E110" s="70">
        <v>300</v>
      </c>
      <c r="F110" s="14"/>
      <c r="G110" s="11"/>
      <c r="H110" s="67"/>
      <c r="I110" s="12"/>
      <c r="J110" s="61">
        <v>20441</v>
      </c>
      <c r="K110" s="71">
        <v>100</v>
      </c>
      <c r="L110" s="62" t="s">
        <v>640</v>
      </c>
      <c r="M110" s="58"/>
      <c r="N110" s="58"/>
      <c r="O110" s="58"/>
    </row>
    <row r="111" spans="1:15" x14ac:dyDescent="0.25">
      <c r="A111" s="16"/>
      <c r="B111" s="49"/>
      <c r="C111" s="17" t="s">
        <v>581</v>
      </c>
      <c r="D111" s="13">
        <v>20269</v>
      </c>
      <c r="E111" s="70">
        <v>1600</v>
      </c>
      <c r="F111" s="14" t="s">
        <v>615</v>
      </c>
      <c r="G111" s="11"/>
      <c r="H111" s="67"/>
      <c r="I111" s="12"/>
      <c r="J111" s="61">
        <v>20442</v>
      </c>
      <c r="K111" s="71">
        <v>300</v>
      </c>
      <c r="L111" s="62" t="s">
        <v>652</v>
      </c>
      <c r="M111" s="58"/>
      <c r="N111" s="58"/>
      <c r="O111" s="58"/>
    </row>
    <row r="112" spans="1:15" x14ac:dyDescent="0.25">
      <c r="A112" s="16">
        <v>20183</v>
      </c>
      <c r="B112" s="49">
        <v>400</v>
      </c>
      <c r="C112" s="17"/>
      <c r="D112" s="13"/>
      <c r="E112" s="70"/>
      <c r="F112" s="14" t="s">
        <v>616</v>
      </c>
      <c r="G112" s="11"/>
      <c r="H112" s="67"/>
      <c r="I112" s="12"/>
      <c r="J112" s="61"/>
      <c r="K112" s="71"/>
      <c r="L112" s="62" t="s">
        <v>653</v>
      </c>
      <c r="M112" s="58"/>
      <c r="N112" s="58"/>
      <c r="O112" s="58"/>
    </row>
    <row r="113" spans="1:15" x14ac:dyDescent="0.25">
      <c r="A113" s="16">
        <v>20184</v>
      </c>
      <c r="B113" s="49">
        <v>500</v>
      </c>
      <c r="C113" s="17" t="s">
        <v>579</v>
      </c>
      <c r="D113" s="13">
        <v>20270</v>
      </c>
      <c r="E113" s="70">
        <v>400</v>
      </c>
      <c r="F113" s="14"/>
      <c r="G113" s="11"/>
      <c r="H113" s="67"/>
      <c r="I113" s="12"/>
      <c r="J113" s="61">
        <v>20443</v>
      </c>
      <c r="K113" s="71">
        <v>100</v>
      </c>
      <c r="L113" s="62" t="s">
        <v>640</v>
      </c>
      <c r="M113" s="58"/>
      <c r="N113" s="58"/>
      <c r="O113" s="58"/>
    </row>
    <row r="114" spans="1:15" x14ac:dyDescent="0.25">
      <c r="A114" s="16">
        <v>20185</v>
      </c>
      <c r="B114" s="49">
        <v>350</v>
      </c>
      <c r="C114" s="17"/>
      <c r="D114" s="13">
        <v>20271</v>
      </c>
      <c r="E114" s="70">
        <v>600</v>
      </c>
      <c r="F114" s="14" t="s">
        <v>494</v>
      </c>
      <c r="G114" s="11"/>
      <c r="H114" s="67"/>
      <c r="I114" s="12"/>
      <c r="J114" s="61">
        <v>20444</v>
      </c>
      <c r="K114" s="71">
        <v>50</v>
      </c>
      <c r="L114" s="62" t="s">
        <v>644</v>
      </c>
      <c r="M114" s="58"/>
      <c r="N114" s="58"/>
      <c r="O114" s="58"/>
    </row>
    <row r="115" spans="1:15" x14ac:dyDescent="0.25">
      <c r="A115" s="16">
        <v>20186</v>
      </c>
      <c r="B115" s="49">
        <v>800</v>
      </c>
      <c r="C115" s="17" t="s">
        <v>453</v>
      </c>
      <c r="D115" s="13"/>
      <c r="E115" s="70"/>
      <c r="F115" s="14" t="s">
        <v>16</v>
      </c>
      <c r="G115" s="11"/>
      <c r="H115" s="67"/>
      <c r="I115" s="12"/>
      <c r="J115" s="61">
        <v>20445</v>
      </c>
      <c r="K115" s="71">
        <v>50</v>
      </c>
      <c r="L115" s="62" t="s">
        <v>644</v>
      </c>
      <c r="M115" s="58"/>
      <c r="N115" s="58"/>
      <c r="O115" s="58"/>
    </row>
    <row r="116" spans="1:15" x14ac:dyDescent="0.25">
      <c r="A116" s="16"/>
      <c r="B116" s="49"/>
      <c r="C116" s="17" t="s">
        <v>15</v>
      </c>
      <c r="D116" s="13">
        <v>20272</v>
      </c>
      <c r="E116" s="70">
        <v>200</v>
      </c>
      <c r="F116" s="14" t="s">
        <v>617</v>
      </c>
      <c r="G116" s="11"/>
      <c r="H116" s="67"/>
      <c r="I116" s="12"/>
      <c r="J116" s="61">
        <v>20446</v>
      </c>
      <c r="K116" s="71">
        <v>50</v>
      </c>
      <c r="L116" s="62" t="s">
        <v>644</v>
      </c>
      <c r="M116" s="58"/>
      <c r="N116" s="58"/>
      <c r="O116" s="58"/>
    </row>
    <row r="117" spans="1:15" x14ac:dyDescent="0.25">
      <c r="A117" s="16">
        <v>20187</v>
      </c>
      <c r="B117" s="49">
        <v>250</v>
      </c>
      <c r="C117" s="17"/>
      <c r="D117" s="13">
        <v>20273</v>
      </c>
      <c r="E117" s="70">
        <v>200</v>
      </c>
      <c r="F117" s="14" t="s">
        <v>618</v>
      </c>
      <c r="G117" s="11"/>
      <c r="H117" s="67"/>
      <c r="I117" s="12"/>
      <c r="J117" s="61">
        <v>20447</v>
      </c>
      <c r="K117" s="71"/>
      <c r="L117" s="62" t="s">
        <v>59</v>
      </c>
      <c r="M117" s="58"/>
      <c r="N117" s="58"/>
      <c r="O117" s="58"/>
    </row>
    <row r="118" spans="1:15" x14ac:dyDescent="0.25">
      <c r="A118" s="16">
        <v>20188</v>
      </c>
      <c r="B118" s="49">
        <v>400</v>
      </c>
      <c r="C118" s="17"/>
      <c r="D118" s="13">
        <v>20274</v>
      </c>
      <c r="E118" s="70">
        <v>400</v>
      </c>
      <c r="F118" s="14"/>
      <c r="G118" s="11"/>
      <c r="H118" s="67"/>
      <c r="I118" s="12"/>
      <c r="J118" s="61">
        <v>20448</v>
      </c>
      <c r="K118" s="71">
        <v>100</v>
      </c>
      <c r="L118" s="62" t="s">
        <v>640</v>
      </c>
      <c r="M118" s="58"/>
      <c r="N118" s="58"/>
      <c r="O118" s="58"/>
    </row>
    <row r="119" spans="1:15" x14ac:dyDescent="0.25">
      <c r="A119" s="16">
        <v>20189</v>
      </c>
      <c r="B119" s="49">
        <v>400</v>
      </c>
      <c r="C119" s="17"/>
      <c r="D119" s="13">
        <v>20275</v>
      </c>
      <c r="E119" s="70">
        <v>400</v>
      </c>
      <c r="F119" s="14" t="s">
        <v>490</v>
      </c>
      <c r="G119" s="11"/>
      <c r="H119" s="67"/>
      <c r="I119" s="12"/>
      <c r="J119" s="61">
        <v>20449</v>
      </c>
      <c r="K119" s="71">
        <v>50</v>
      </c>
      <c r="L119" s="62" t="s">
        <v>644</v>
      </c>
      <c r="M119" s="58"/>
      <c r="N119" s="58"/>
      <c r="O119" s="58"/>
    </row>
    <row r="120" spans="1:15" x14ac:dyDescent="0.25">
      <c r="A120" s="16">
        <v>20190</v>
      </c>
      <c r="B120" s="49">
        <v>450</v>
      </c>
      <c r="C120" s="17" t="s">
        <v>490</v>
      </c>
      <c r="D120" s="13">
        <v>20276</v>
      </c>
      <c r="E120" s="70"/>
      <c r="F120" s="14" t="s">
        <v>59</v>
      </c>
      <c r="G120" s="11"/>
      <c r="H120" s="67"/>
      <c r="I120" s="12"/>
      <c r="J120" s="61">
        <v>20450</v>
      </c>
      <c r="K120" s="71">
        <v>100</v>
      </c>
      <c r="L120" s="62" t="s">
        <v>640</v>
      </c>
      <c r="M120" s="58"/>
      <c r="N120" s="58"/>
      <c r="O120" s="58"/>
    </row>
    <row r="121" spans="1:15" x14ac:dyDescent="0.25">
      <c r="A121" s="16"/>
      <c r="B121" s="49"/>
      <c r="C121" s="17" t="s">
        <v>180</v>
      </c>
      <c r="D121" s="13">
        <v>20277</v>
      </c>
      <c r="E121" s="70">
        <v>1200</v>
      </c>
      <c r="F121" s="14" t="s">
        <v>605</v>
      </c>
      <c r="G121" s="11"/>
      <c r="H121" s="67"/>
      <c r="I121" s="12"/>
      <c r="J121" s="61">
        <v>20451</v>
      </c>
      <c r="K121" s="71">
        <v>100</v>
      </c>
      <c r="L121" s="62" t="s">
        <v>640</v>
      </c>
      <c r="M121" s="58"/>
      <c r="N121" s="58"/>
      <c r="O121" s="58"/>
    </row>
    <row r="122" spans="1:15" x14ac:dyDescent="0.25">
      <c r="A122" s="16">
        <v>20191</v>
      </c>
      <c r="B122" s="49">
        <v>400</v>
      </c>
      <c r="C122" s="17"/>
      <c r="D122" s="13"/>
      <c r="E122" s="70"/>
      <c r="F122" s="14" t="s">
        <v>15</v>
      </c>
      <c r="G122" s="11"/>
      <c r="H122" s="67"/>
      <c r="I122" s="12"/>
      <c r="J122" s="61">
        <v>20452</v>
      </c>
      <c r="K122" s="71">
        <v>100</v>
      </c>
      <c r="L122" s="62" t="s">
        <v>640</v>
      </c>
      <c r="M122" s="58"/>
      <c r="N122" s="58"/>
      <c r="O122" s="58"/>
    </row>
    <row r="123" spans="1:15" x14ac:dyDescent="0.25">
      <c r="A123" s="16">
        <v>20192</v>
      </c>
      <c r="B123" s="49">
        <v>100</v>
      </c>
      <c r="C123" s="17" t="s">
        <v>217</v>
      </c>
      <c r="D123" s="13">
        <v>20278</v>
      </c>
      <c r="E123" s="70">
        <v>200</v>
      </c>
      <c r="F123" s="14" t="s">
        <v>619</v>
      </c>
      <c r="G123" s="11"/>
      <c r="H123" s="67"/>
      <c r="I123" s="12"/>
      <c r="J123" s="61">
        <v>20453</v>
      </c>
      <c r="K123" s="71">
        <v>150</v>
      </c>
      <c r="L123" s="62" t="s">
        <v>638</v>
      </c>
      <c r="M123" s="58"/>
      <c r="N123" s="58"/>
      <c r="O123" s="58"/>
    </row>
    <row r="124" spans="1:15" x14ac:dyDescent="0.25">
      <c r="A124" s="16"/>
      <c r="B124" s="49"/>
      <c r="C124" s="17"/>
      <c r="D124" s="13">
        <v>20279</v>
      </c>
      <c r="E124" s="70">
        <v>50</v>
      </c>
      <c r="F124" s="14" t="s">
        <v>20</v>
      </c>
      <c r="G124" s="11"/>
      <c r="H124" s="67"/>
      <c r="I124" s="12"/>
      <c r="J124" s="61">
        <v>20454</v>
      </c>
      <c r="K124" s="71">
        <v>150</v>
      </c>
      <c r="L124" s="62" t="s">
        <v>638</v>
      </c>
      <c r="M124" s="58"/>
      <c r="N124" s="58"/>
      <c r="O124" s="58"/>
    </row>
    <row r="125" spans="1:15" x14ac:dyDescent="0.25">
      <c r="A125" s="16"/>
      <c r="B125" s="49"/>
      <c r="C125" s="17"/>
      <c r="D125" s="13">
        <v>20280</v>
      </c>
      <c r="E125" s="70">
        <v>100</v>
      </c>
      <c r="F125" s="14" t="s">
        <v>589</v>
      </c>
      <c r="G125" s="11"/>
      <c r="H125" s="67"/>
      <c r="I125" s="12"/>
      <c r="J125" s="61">
        <v>20455</v>
      </c>
      <c r="K125" s="71">
        <v>150</v>
      </c>
      <c r="L125" s="62" t="s">
        <v>638</v>
      </c>
      <c r="M125" s="58"/>
      <c r="N125" s="58"/>
      <c r="O125" s="58"/>
    </row>
    <row r="126" spans="1:15" x14ac:dyDescent="0.25">
      <c r="A126" s="16"/>
      <c r="B126" s="49"/>
      <c r="C126" s="17"/>
      <c r="D126" s="13">
        <v>20281</v>
      </c>
      <c r="E126" s="70">
        <v>150</v>
      </c>
      <c r="F126" s="14" t="s">
        <v>278</v>
      </c>
      <c r="G126" s="11"/>
      <c r="H126" s="67"/>
      <c r="I126" s="12"/>
      <c r="J126" s="61">
        <v>20456</v>
      </c>
      <c r="K126" s="71">
        <v>50</v>
      </c>
      <c r="L126" s="62" t="s">
        <v>644</v>
      </c>
      <c r="M126" s="58"/>
      <c r="N126" s="58"/>
      <c r="O126" s="58"/>
    </row>
    <row r="127" spans="1:15" x14ac:dyDescent="0.25">
      <c r="A127" s="16"/>
      <c r="B127" s="49"/>
      <c r="C127" s="17"/>
      <c r="D127" s="13">
        <v>20282</v>
      </c>
      <c r="E127" s="70">
        <v>50</v>
      </c>
      <c r="F127" s="14" t="s">
        <v>20</v>
      </c>
      <c r="G127" s="11"/>
      <c r="H127" s="67"/>
      <c r="I127" s="12"/>
      <c r="J127" s="61">
        <v>20457</v>
      </c>
      <c r="K127" s="71">
        <v>250</v>
      </c>
      <c r="L127" s="62" t="s">
        <v>655</v>
      </c>
      <c r="M127" s="58"/>
      <c r="N127" s="58"/>
      <c r="O127" s="58"/>
    </row>
    <row r="128" spans="1:15" x14ac:dyDescent="0.25">
      <c r="A128" s="16"/>
      <c r="B128" s="49"/>
      <c r="C128" s="17"/>
      <c r="D128" s="13">
        <v>20283</v>
      </c>
      <c r="E128" s="70">
        <v>50</v>
      </c>
      <c r="F128" s="14" t="s">
        <v>20</v>
      </c>
      <c r="G128" s="11"/>
      <c r="H128" s="67"/>
      <c r="I128" s="12"/>
      <c r="J128" s="61"/>
      <c r="K128" s="71"/>
      <c r="L128" s="62" t="s">
        <v>644</v>
      </c>
      <c r="M128" s="58"/>
      <c r="N128" s="58"/>
      <c r="O128" s="58"/>
    </row>
    <row r="129" spans="1:15" x14ac:dyDescent="0.25">
      <c r="A129" s="16"/>
      <c r="B129" s="49"/>
      <c r="C129" s="17"/>
      <c r="D129" s="13">
        <v>20284</v>
      </c>
      <c r="E129" s="70">
        <v>900</v>
      </c>
      <c r="F129" s="14" t="s">
        <v>353</v>
      </c>
      <c r="G129" s="11"/>
      <c r="H129" s="67"/>
      <c r="I129" s="12"/>
      <c r="J129" s="61">
        <v>20458</v>
      </c>
      <c r="K129" s="71">
        <v>100</v>
      </c>
      <c r="L129" s="62" t="s">
        <v>640</v>
      </c>
      <c r="M129" s="58"/>
      <c r="N129" s="58"/>
      <c r="O129" s="58"/>
    </row>
    <row r="130" spans="1:15" x14ac:dyDescent="0.25">
      <c r="A130" s="16"/>
      <c r="B130" s="49"/>
      <c r="C130" s="17"/>
      <c r="D130" s="13"/>
      <c r="E130" s="70"/>
      <c r="F130" s="14" t="s">
        <v>16</v>
      </c>
      <c r="G130" s="11"/>
      <c r="H130" s="67"/>
      <c r="I130" s="12"/>
      <c r="J130" s="61">
        <v>20459</v>
      </c>
      <c r="K130" s="71">
        <v>200</v>
      </c>
      <c r="L130" s="62" t="s">
        <v>656</v>
      </c>
      <c r="M130" s="58"/>
      <c r="N130" s="58"/>
      <c r="O130" s="58"/>
    </row>
    <row r="131" spans="1:15" x14ac:dyDescent="0.25">
      <c r="A131" s="16"/>
      <c r="B131" s="49"/>
      <c r="C131" s="17"/>
      <c r="D131" s="13">
        <v>20285</v>
      </c>
      <c r="E131" s="70">
        <v>100</v>
      </c>
      <c r="F131" s="14" t="s">
        <v>490</v>
      </c>
      <c r="G131" s="11"/>
      <c r="H131" s="67"/>
      <c r="I131" s="12"/>
      <c r="J131" s="61">
        <v>20460</v>
      </c>
      <c r="K131" s="71">
        <v>100</v>
      </c>
      <c r="L131" s="62" t="s">
        <v>640</v>
      </c>
      <c r="M131" s="58"/>
      <c r="N131" s="58"/>
      <c r="O131" s="58"/>
    </row>
    <row r="132" spans="1:15" x14ac:dyDescent="0.25">
      <c r="A132" s="16"/>
      <c r="B132" s="49"/>
      <c r="C132" s="17"/>
      <c r="D132" s="13">
        <v>20286</v>
      </c>
      <c r="E132" s="70">
        <v>1200</v>
      </c>
      <c r="F132" s="14" t="s">
        <v>482</v>
      </c>
      <c r="G132" s="11"/>
      <c r="H132" s="67"/>
      <c r="I132" s="12"/>
      <c r="J132" s="61">
        <v>20461</v>
      </c>
      <c r="K132" s="71">
        <v>200</v>
      </c>
      <c r="L132" s="62" t="s">
        <v>656</v>
      </c>
      <c r="M132" s="58"/>
      <c r="N132" s="58"/>
      <c r="O132" s="58"/>
    </row>
    <row r="133" spans="1:15" x14ac:dyDescent="0.25">
      <c r="A133" s="16"/>
      <c r="B133" s="49"/>
      <c r="C133" s="17"/>
      <c r="D133" s="13"/>
      <c r="E133" s="70"/>
      <c r="F133" s="14" t="s">
        <v>620</v>
      </c>
      <c r="G133" s="11"/>
      <c r="H133" s="67"/>
      <c r="I133" s="12"/>
      <c r="J133" s="61">
        <v>20462</v>
      </c>
      <c r="K133" s="71">
        <v>50</v>
      </c>
      <c r="L133" s="62" t="s">
        <v>644</v>
      </c>
      <c r="M133" s="58"/>
      <c r="N133" s="58"/>
      <c r="O133" s="58"/>
    </row>
    <row r="134" spans="1:15" x14ac:dyDescent="0.25">
      <c r="A134" s="16"/>
      <c r="B134" s="49"/>
      <c r="C134" s="17"/>
      <c r="D134" s="13">
        <v>20287</v>
      </c>
      <c r="E134" s="70">
        <v>50</v>
      </c>
      <c r="F134" s="14" t="s">
        <v>20</v>
      </c>
      <c r="G134" s="11"/>
      <c r="H134" s="67"/>
      <c r="I134" s="12"/>
      <c r="J134" s="61">
        <v>20463</v>
      </c>
      <c r="K134" s="71">
        <v>100</v>
      </c>
      <c r="L134" s="62" t="s">
        <v>640</v>
      </c>
      <c r="M134" s="58"/>
      <c r="N134" s="58"/>
      <c r="O134" s="58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>
        <v>20464</v>
      </c>
      <c r="K135" s="71">
        <v>250</v>
      </c>
      <c r="L135" s="62" t="s">
        <v>656</v>
      </c>
      <c r="M135" s="58"/>
      <c r="N135" s="58"/>
      <c r="O135" s="58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>
        <v>20465</v>
      </c>
      <c r="K136" s="71">
        <v>50</v>
      </c>
      <c r="L136" s="62" t="s">
        <v>644</v>
      </c>
      <c r="M136" s="58"/>
      <c r="N136" s="58"/>
      <c r="O136" s="58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61">
        <v>20466</v>
      </c>
      <c r="K137" s="71">
        <v>50</v>
      </c>
      <c r="L137" s="62" t="s">
        <v>644</v>
      </c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11"/>
      <c r="H138" s="67"/>
      <c r="I138" s="12"/>
      <c r="J138" s="61">
        <v>20467</v>
      </c>
      <c r="K138" s="71">
        <v>100</v>
      </c>
      <c r="L138" s="62" t="s">
        <v>640</v>
      </c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61">
        <v>20468</v>
      </c>
      <c r="K139" s="71">
        <v>50</v>
      </c>
      <c r="L139" s="62" t="s">
        <v>644</v>
      </c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61">
        <v>20469</v>
      </c>
      <c r="K140" s="71">
        <v>100</v>
      </c>
      <c r="L140" s="62" t="s">
        <v>640</v>
      </c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61">
        <v>20470</v>
      </c>
      <c r="K141" s="71">
        <v>200</v>
      </c>
      <c r="L141" s="62" t="s">
        <v>641</v>
      </c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61">
        <v>20471</v>
      </c>
      <c r="K142" s="71">
        <v>150</v>
      </c>
      <c r="L142" s="62" t="s">
        <v>638</v>
      </c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61">
        <v>20472</v>
      </c>
      <c r="K143" s="71">
        <v>100</v>
      </c>
      <c r="L143" s="62" t="s">
        <v>640</v>
      </c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61">
        <v>20473</v>
      </c>
      <c r="K144" s="71">
        <v>100</v>
      </c>
      <c r="L144" s="62" t="s">
        <v>640</v>
      </c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61">
        <v>20474</v>
      </c>
      <c r="K145" s="71">
        <v>50</v>
      </c>
      <c r="L145" s="62" t="s">
        <v>644</v>
      </c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61">
        <v>20475</v>
      </c>
      <c r="K146" s="71">
        <v>250</v>
      </c>
      <c r="L146" s="62" t="s">
        <v>656</v>
      </c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61">
        <v>20476</v>
      </c>
      <c r="K147" s="71">
        <v>400</v>
      </c>
      <c r="L147" s="62" t="s">
        <v>490</v>
      </c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61"/>
      <c r="K148" s="71"/>
      <c r="L148" s="62" t="s">
        <v>657</v>
      </c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61">
        <v>20477</v>
      </c>
      <c r="K149" s="71">
        <v>50</v>
      </c>
      <c r="L149" s="62" t="s">
        <v>644</v>
      </c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61">
        <v>20478</v>
      </c>
      <c r="K150" s="71">
        <v>50</v>
      </c>
      <c r="L150" s="62" t="s">
        <v>644</v>
      </c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61">
        <v>20479</v>
      </c>
      <c r="K151" s="71">
        <v>100</v>
      </c>
      <c r="L151" s="62" t="s">
        <v>640</v>
      </c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61">
        <v>20480</v>
      </c>
      <c r="K152" s="71">
        <v>150</v>
      </c>
      <c r="L152" s="62" t="s">
        <v>638</v>
      </c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61">
        <v>20481</v>
      </c>
      <c r="K153" s="71">
        <v>500</v>
      </c>
      <c r="L153" s="62" t="s">
        <v>658</v>
      </c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61"/>
      <c r="K154" s="71"/>
      <c r="L154" s="62" t="s">
        <v>659</v>
      </c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61">
        <v>20482</v>
      </c>
      <c r="K155" s="71">
        <v>50</v>
      </c>
      <c r="L155" s="62" t="s">
        <v>644</v>
      </c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61">
        <v>20483</v>
      </c>
      <c r="K156" s="71">
        <v>250</v>
      </c>
      <c r="L156" s="62" t="s">
        <v>656</v>
      </c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61">
        <v>20484</v>
      </c>
      <c r="K157" s="71">
        <v>50</v>
      </c>
      <c r="L157" s="62" t="s">
        <v>644</v>
      </c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61">
        <v>20485</v>
      </c>
      <c r="K158" s="71">
        <v>250</v>
      </c>
      <c r="L158" s="62" t="s">
        <v>654</v>
      </c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61">
        <v>20486</v>
      </c>
      <c r="K159" s="71">
        <v>150</v>
      </c>
      <c r="L159" s="62" t="s">
        <v>638</v>
      </c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61">
        <v>20487</v>
      </c>
      <c r="K160" s="71">
        <v>50</v>
      </c>
      <c r="L160" s="62" t="s">
        <v>644</v>
      </c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61">
        <v>20488</v>
      </c>
      <c r="K161" s="71">
        <v>50</v>
      </c>
      <c r="L161" s="62" t="s">
        <v>644</v>
      </c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61">
        <v>20489</v>
      </c>
      <c r="K162" s="71">
        <v>100</v>
      </c>
      <c r="L162" s="62" t="s">
        <v>640</v>
      </c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61">
        <v>20490</v>
      </c>
      <c r="K163" s="71">
        <v>250</v>
      </c>
      <c r="L163" s="62" t="s">
        <v>656</v>
      </c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61">
        <v>20491</v>
      </c>
      <c r="K164" s="71">
        <v>150</v>
      </c>
      <c r="L164" s="62" t="s">
        <v>638</v>
      </c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61">
        <v>20492</v>
      </c>
      <c r="K165" s="71">
        <v>100</v>
      </c>
      <c r="L165" s="62" t="s">
        <v>640</v>
      </c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61">
        <v>20493</v>
      </c>
      <c r="K166" s="71">
        <v>50</v>
      </c>
      <c r="L166" s="62" t="s">
        <v>644</v>
      </c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61">
        <v>20494</v>
      </c>
      <c r="K167" s="71">
        <v>50</v>
      </c>
      <c r="L167" s="62" t="s">
        <v>644</v>
      </c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61">
        <v>20495</v>
      </c>
      <c r="K168" s="71">
        <v>200</v>
      </c>
      <c r="L168" s="62" t="s">
        <v>641</v>
      </c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61">
        <v>20496</v>
      </c>
      <c r="K169" s="71">
        <v>50</v>
      </c>
      <c r="L169" s="62" t="s">
        <v>644</v>
      </c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61">
        <v>20497</v>
      </c>
      <c r="K170" s="71">
        <v>100</v>
      </c>
      <c r="L170" s="62" t="s">
        <v>640</v>
      </c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61">
        <v>20498</v>
      </c>
      <c r="K171" s="71">
        <v>1200</v>
      </c>
      <c r="L171" s="62" t="s">
        <v>272</v>
      </c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61"/>
      <c r="K172" s="71"/>
      <c r="L172" s="62" t="s">
        <v>642</v>
      </c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61">
        <v>20499</v>
      </c>
      <c r="K173" s="71">
        <v>500</v>
      </c>
      <c r="L173" s="62" t="s">
        <v>660</v>
      </c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61">
        <v>20500</v>
      </c>
      <c r="K174" s="71">
        <v>150</v>
      </c>
      <c r="L174" s="62" t="s">
        <v>638</v>
      </c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61">
        <v>20501</v>
      </c>
      <c r="K175" s="71">
        <v>50</v>
      </c>
      <c r="L175" s="62" t="s">
        <v>644</v>
      </c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61">
        <v>20502</v>
      </c>
      <c r="K176" s="71">
        <v>50</v>
      </c>
      <c r="L176" s="62" t="s">
        <v>644</v>
      </c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61">
        <v>20501</v>
      </c>
      <c r="K177" s="71">
        <v>50</v>
      </c>
      <c r="L177" s="62" t="s">
        <v>644</v>
      </c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61">
        <v>20502</v>
      </c>
      <c r="K178" s="71">
        <v>50</v>
      </c>
      <c r="L178" s="62" t="s">
        <v>644</v>
      </c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61">
        <v>20503</v>
      </c>
      <c r="K179" s="71">
        <v>100</v>
      </c>
      <c r="L179" s="62" t="s">
        <v>638</v>
      </c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61">
        <v>20504</v>
      </c>
      <c r="K180" s="71">
        <v>50</v>
      </c>
      <c r="L180" s="62" t="s">
        <v>644</v>
      </c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61">
        <v>20505</v>
      </c>
      <c r="K181" s="71">
        <v>100</v>
      </c>
      <c r="L181" s="62" t="s">
        <v>640</v>
      </c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61">
        <v>20506</v>
      </c>
      <c r="K182" s="71">
        <v>50</v>
      </c>
      <c r="L182" s="62" t="s">
        <v>644</v>
      </c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61">
        <v>20507</v>
      </c>
      <c r="K183" s="71">
        <v>50</v>
      </c>
      <c r="L183" s="62" t="s">
        <v>644</v>
      </c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61">
        <v>20508</v>
      </c>
      <c r="K184" s="71">
        <v>50</v>
      </c>
      <c r="L184" s="62" t="s">
        <v>644</v>
      </c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61">
        <v>20509</v>
      </c>
      <c r="K185" s="71">
        <v>1000</v>
      </c>
      <c r="L185" s="62" t="s">
        <v>661</v>
      </c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61"/>
      <c r="K186" s="71"/>
      <c r="L186" s="62" t="s">
        <v>662</v>
      </c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61"/>
      <c r="K187" s="71"/>
      <c r="L187" s="62" t="s">
        <v>650</v>
      </c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61">
        <v>20510</v>
      </c>
      <c r="K188" s="71">
        <v>100</v>
      </c>
      <c r="L188" s="62" t="s">
        <v>640</v>
      </c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61">
        <v>20511</v>
      </c>
      <c r="K189" s="71">
        <v>50</v>
      </c>
      <c r="L189" s="62" t="s">
        <v>644</v>
      </c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61">
        <v>20512</v>
      </c>
      <c r="K190" s="71">
        <v>150</v>
      </c>
      <c r="L190" s="62" t="s">
        <v>638</v>
      </c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61">
        <v>20513</v>
      </c>
      <c r="K191" s="71">
        <v>50</v>
      </c>
      <c r="L191" s="62" t="s">
        <v>644</v>
      </c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61">
        <v>20514</v>
      </c>
      <c r="K192" s="71">
        <v>100</v>
      </c>
      <c r="L192" s="62" t="s">
        <v>640</v>
      </c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61">
        <v>20515</v>
      </c>
      <c r="K193" s="71">
        <v>50</v>
      </c>
      <c r="L193" s="62" t="s">
        <v>644</v>
      </c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61">
        <v>20516</v>
      </c>
      <c r="K194" s="71">
        <v>50</v>
      </c>
      <c r="L194" s="62" t="s">
        <v>644</v>
      </c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61">
        <v>20517</v>
      </c>
      <c r="K195" s="71">
        <v>100</v>
      </c>
      <c r="L195" s="62" t="s">
        <v>640</v>
      </c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61">
        <v>20518</v>
      </c>
      <c r="K196" s="71">
        <v>400</v>
      </c>
      <c r="L196" s="62" t="s">
        <v>540</v>
      </c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61">
        <v>20519</v>
      </c>
      <c r="K197" s="71">
        <v>50</v>
      </c>
      <c r="L197" s="62" t="s">
        <v>644</v>
      </c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61">
        <v>20520</v>
      </c>
      <c r="K198" s="71">
        <v>250</v>
      </c>
      <c r="L198" s="62" t="s">
        <v>656</v>
      </c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61">
        <v>20521</v>
      </c>
      <c r="K199" s="71">
        <v>150</v>
      </c>
      <c r="L199" s="62" t="s">
        <v>638</v>
      </c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61">
        <v>20522</v>
      </c>
      <c r="K200" s="71">
        <v>1450</v>
      </c>
      <c r="L200" s="62" t="s">
        <v>443</v>
      </c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61"/>
      <c r="K201" s="71"/>
      <c r="L201" s="62" t="s">
        <v>663</v>
      </c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61">
        <v>20523</v>
      </c>
      <c r="K202" s="71">
        <v>50</v>
      </c>
      <c r="L202" s="62" t="s">
        <v>644</v>
      </c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61">
        <v>20524</v>
      </c>
      <c r="K203" s="71">
        <v>50</v>
      </c>
      <c r="L203" s="62" t="s">
        <v>644</v>
      </c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61">
        <v>20525</v>
      </c>
      <c r="K204" s="71">
        <v>50</v>
      </c>
      <c r="L204" s="62" t="s">
        <v>644</v>
      </c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61">
        <v>20526</v>
      </c>
      <c r="K205" s="71">
        <v>50</v>
      </c>
      <c r="L205" s="62" t="s">
        <v>644</v>
      </c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61">
        <v>20527</v>
      </c>
      <c r="K206" s="71">
        <v>50</v>
      </c>
      <c r="L206" s="62" t="s">
        <v>644</v>
      </c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61">
        <v>20528</v>
      </c>
      <c r="K207" s="71">
        <v>50</v>
      </c>
      <c r="L207" s="62" t="s">
        <v>644</v>
      </c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61">
        <v>20529</v>
      </c>
      <c r="K208" s="71">
        <v>50</v>
      </c>
      <c r="L208" s="62" t="s">
        <v>644</v>
      </c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61">
        <v>20530</v>
      </c>
      <c r="K209" s="71">
        <v>500</v>
      </c>
      <c r="L209" s="62" t="s">
        <v>664</v>
      </c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61"/>
      <c r="K210" s="71"/>
      <c r="L210" s="62" t="s">
        <v>665</v>
      </c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61">
        <v>20531</v>
      </c>
      <c r="K211" s="71">
        <v>50</v>
      </c>
      <c r="L211" s="62" t="s">
        <v>644</v>
      </c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61">
        <v>20532</v>
      </c>
      <c r="K212" s="71">
        <v>200</v>
      </c>
      <c r="L212" s="62" t="s">
        <v>656</v>
      </c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61">
        <v>20533</v>
      </c>
      <c r="K213" s="71"/>
      <c r="L213" s="62" t="s">
        <v>59</v>
      </c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61">
        <v>20534</v>
      </c>
      <c r="K214" s="71">
        <v>100</v>
      </c>
      <c r="L214" s="62" t="s">
        <v>640</v>
      </c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61">
        <v>20535</v>
      </c>
      <c r="K215" s="71">
        <v>200</v>
      </c>
      <c r="L215" s="62" t="s">
        <v>641</v>
      </c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61">
        <v>20536</v>
      </c>
      <c r="K216" s="71">
        <v>50</v>
      </c>
      <c r="L216" s="62" t="s">
        <v>644</v>
      </c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61">
        <v>20537</v>
      </c>
      <c r="K217" s="71">
        <v>50</v>
      </c>
      <c r="L217" s="62" t="s">
        <v>644</v>
      </c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61">
        <v>20538</v>
      </c>
      <c r="K218" s="71">
        <v>50</v>
      </c>
      <c r="L218" s="62" t="s">
        <v>644</v>
      </c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61">
        <v>20539</v>
      </c>
      <c r="K219" s="71">
        <v>100</v>
      </c>
      <c r="L219" s="62" t="s">
        <v>640</v>
      </c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61">
        <v>20540</v>
      </c>
      <c r="K220" s="71">
        <v>100</v>
      </c>
      <c r="L220" s="62" t="s">
        <v>640</v>
      </c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61">
        <v>20541</v>
      </c>
      <c r="K221" s="71">
        <v>50</v>
      </c>
      <c r="L221" s="62" t="s">
        <v>644</v>
      </c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61">
        <v>20542</v>
      </c>
      <c r="K222" s="71"/>
      <c r="L222" s="62" t="s">
        <v>59</v>
      </c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61">
        <v>20543</v>
      </c>
      <c r="K223" s="71">
        <v>150</v>
      </c>
      <c r="L223" s="62" t="s">
        <v>638</v>
      </c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61">
        <v>20544</v>
      </c>
      <c r="K224" s="71">
        <v>50</v>
      </c>
      <c r="L224" s="62" t="s">
        <v>644</v>
      </c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61">
        <v>20545</v>
      </c>
      <c r="K225" s="71">
        <v>50</v>
      </c>
      <c r="L225" s="62" t="s">
        <v>644</v>
      </c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61">
        <v>20546</v>
      </c>
      <c r="K226" s="71">
        <v>50</v>
      </c>
      <c r="L226" s="62" t="s">
        <v>644</v>
      </c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61">
        <v>20547</v>
      </c>
      <c r="K227" s="71">
        <v>100</v>
      </c>
      <c r="L227" s="62" t="s">
        <v>640</v>
      </c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61">
        <v>20548</v>
      </c>
      <c r="K228" s="71">
        <v>200</v>
      </c>
      <c r="L228" s="62" t="s">
        <v>540</v>
      </c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61">
        <v>20549</v>
      </c>
      <c r="K229" s="71">
        <v>50</v>
      </c>
      <c r="L229" s="62" t="s">
        <v>644</v>
      </c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61">
        <v>20550</v>
      </c>
      <c r="K230" s="71">
        <v>400</v>
      </c>
      <c r="L230" s="62" t="s">
        <v>540</v>
      </c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61">
        <v>20551</v>
      </c>
      <c r="K231" s="71">
        <v>500</v>
      </c>
      <c r="L231" s="62" t="s">
        <v>660</v>
      </c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61">
        <v>20552</v>
      </c>
      <c r="K232" s="71">
        <v>100</v>
      </c>
      <c r="L232" s="62" t="s">
        <v>640</v>
      </c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61">
        <v>20553</v>
      </c>
      <c r="K233" s="71">
        <v>150</v>
      </c>
      <c r="L233" s="62" t="s">
        <v>638</v>
      </c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61">
        <v>20554</v>
      </c>
      <c r="K234" s="71">
        <v>50</v>
      </c>
      <c r="L234" s="62" t="s">
        <v>644</v>
      </c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61">
        <v>20555</v>
      </c>
      <c r="K235" s="71">
        <v>50</v>
      </c>
      <c r="L235" s="62" t="s">
        <v>644</v>
      </c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61">
        <v>20556</v>
      </c>
      <c r="K236" s="71">
        <v>100</v>
      </c>
      <c r="L236" s="62" t="s">
        <v>640</v>
      </c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61">
        <v>20557</v>
      </c>
      <c r="K237" s="71">
        <v>50</v>
      </c>
      <c r="L237" s="62" t="s">
        <v>644</v>
      </c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61">
        <v>20558</v>
      </c>
      <c r="K238" s="71">
        <v>50</v>
      </c>
      <c r="L238" s="62" t="s">
        <v>644</v>
      </c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61">
        <v>20559</v>
      </c>
      <c r="K239" s="71">
        <v>50</v>
      </c>
      <c r="L239" s="62" t="s">
        <v>644</v>
      </c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61">
        <v>20560</v>
      </c>
      <c r="K240" s="71">
        <v>150</v>
      </c>
      <c r="L240" s="62" t="s">
        <v>638</v>
      </c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61">
        <v>20561</v>
      </c>
      <c r="K241" s="71">
        <v>50</v>
      </c>
      <c r="L241" s="62" t="s">
        <v>644</v>
      </c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61">
        <v>20562</v>
      </c>
      <c r="K242" s="71">
        <v>1200</v>
      </c>
      <c r="L242" s="62" t="s">
        <v>666</v>
      </c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61"/>
      <c r="K243" s="71"/>
      <c r="L243" s="62" t="s">
        <v>667</v>
      </c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61">
        <v>20563</v>
      </c>
      <c r="K244" s="71">
        <v>300</v>
      </c>
      <c r="L244" s="62" t="s">
        <v>668</v>
      </c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61"/>
      <c r="K245" s="71"/>
      <c r="L245" s="62" t="s">
        <v>644</v>
      </c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61">
        <v>20564</v>
      </c>
      <c r="K246" s="71"/>
      <c r="L246" s="62" t="s">
        <v>59</v>
      </c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61">
        <v>20565</v>
      </c>
      <c r="K247" s="71">
        <v>50</v>
      </c>
      <c r="L247" s="62" t="s">
        <v>644</v>
      </c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61">
        <v>20566</v>
      </c>
      <c r="K248" s="71">
        <v>50</v>
      </c>
      <c r="L248" s="62" t="s">
        <v>644</v>
      </c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61">
        <v>20567</v>
      </c>
      <c r="K249" s="71">
        <v>50</v>
      </c>
      <c r="L249" s="62" t="s">
        <v>644</v>
      </c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61">
        <v>20568</v>
      </c>
      <c r="K250" s="71">
        <v>100</v>
      </c>
      <c r="L250" s="62" t="s">
        <v>640</v>
      </c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61">
        <v>20569</v>
      </c>
      <c r="K251" s="71">
        <v>50</v>
      </c>
      <c r="L251" s="62" t="s">
        <v>644</v>
      </c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61">
        <v>20570</v>
      </c>
      <c r="K252" s="71">
        <v>400</v>
      </c>
      <c r="L252" s="62" t="s">
        <v>540</v>
      </c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61">
        <v>20571</v>
      </c>
      <c r="K253" s="71">
        <v>100</v>
      </c>
      <c r="L253" s="62" t="s">
        <v>640</v>
      </c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61">
        <v>20572</v>
      </c>
      <c r="K254" s="71">
        <v>100</v>
      </c>
      <c r="L254" s="62" t="s">
        <v>640</v>
      </c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61">
        <v>20573</v>
      </c>
      <c r="K255" s="71">
        <v>150</v>
      </c>
      <c r="L255" s="62" t="s">
        <v>638</v>
      </c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61">
        <v>20574</v>
      </c>
      <c r="K256" s="71">
        <v>50</v>
      </c>
      <c r="L256" s="62" t="s">
        <v>644</v>
      </c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61">
        <v>20575</v>
      </c>
      <c r="K257" s="71">
        <v>400</v>
      </c>
      <c r="L257" s="62" t="s">
        <v>669</v>
      </c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61">
        <v>20576</v>
      </c>
      <c r="K258" s="71">
        <v>400</v>
      </c>
      <c r="L258" s="62" t="s">
        <v>490</v>
      </c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61">
        <v>20577</v>
      </c>
      <c r="K259" s="71">
        <v>250</v>
      </c>
      <c r="L259" s="62" t="s">
        <v>656</v>
      </c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61">
        <v>20578</v>
      </c>
      <c r="K260" s="71">
        <v>50</v>
      </c>
      <c r="L260" s="62" t="s">
        <v>670</v>
      </c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61">
        <v>20579</v>
      </c>
      <c r="K261" s="71">
        <v>100</v>
      </c>
      <c r="L261" s="62" t="s">
        <v>640</v>
      </c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61">
        <v>20580</v>
      </c>
      <c r="K262" s="71">
        <v>400</v>
      </c>
      <c r="L262" s="62" t="s">
        <v>656</v>
      </c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61"/>
      <c r="K263" s="71"/>
      <c r="L263" s="62" t="s">
        <v>671</v>
      </c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61">
        <v>20581</v>
      </c>
      <c r="K264" s="71">
        <v>50</v>
      </c>
      <c r="L264" s="62" t="s">
        <v>644</v>
      </c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61">
        <v>20582</v>
      </c>
      <c r="K265" s="71">
        <v>400</v>
      </c>
      <c r="L265" s="62" t="s">
        <v>540</v>
      </c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61">
        <v>20583</v>
      </c>
      <c r="K266" s="71">
        <v>50</v>
      </c>
      <c r="L266" s="62" t="s">
        <v>644</v>
      </c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61">
        <v>20584</v>
      </c>
      <c r="K267" s="71">
        <v>50</v>
      </c>
      <c r="L267" s="62" t="s">
        <v>644</v>
      </c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61">
        <v>20585</v>
      </c>
      <c r="K268" s="71">
        <v>50</v>
      </c>
      <c r="L268" s="62" t="s">
        <v>644</v>
      </c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61">
        <v>20586</v>
      </c>
      <c r="K269" s="71">
        <v>100</v>
      </c>
      <c r="L269" s="62" t="s">
        <v>640</v>
      </c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61">
        <v>20587</v>
      </c>
      <c r="K270" s="71">
        <v>50</v>
      </c>
      <c r="L270" s="62" t="s">
        <v>644</v>
      </c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61">
        <v>20588</v>
      </c>
      <c r="K271" s="71">
        <v>100</v>
      </c>
      <c r="L271" s="62" t="s">
        <v>644</v>
      </c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61">
        <v>20589</v>
      </c>
      <c r="K272" s="71">
        <v>150</v>
      </c>
      <c r="L272" s="62" t="s">
        <v>638</v>
      </c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61">
        <v>20590</v>
      </c>
      <c r="K273" s="71">
        <v>300</v>
      </c>
      <c r="L273" s="62" t="s">
        <v>656</v>
      </c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61"/>
      <c r="K274" s="71"/>
      <c r="L274" s="62" t="s">
        <v>657</v>
      </c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61">
        <v>20591</v>
      </c>
      <c r="K275" s="71">
        <v>300</v>
      </c>
      <c r="L275" s="62" t="s">
        <v>540</v>
      </c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61">
        <v>20592</v>
      </c>
      <c r="K276" s="71">
        <v>50</v>
      </c>
      <c r="L276" s="62" t="s">
        <v>644</v>
      </c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61">
        <v>20593</v>
      </c>
      <c r="K277" s="71">
        <v>350</v>
      </c>
      <c r="L277" s="62" t="s">
        <v>656</v>
      </c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61"/>
      <c r="K278" s="71"/>
      <c r="L278" s="62" t="s">
        <v>672</v>
      </c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61">
        <v>20594</v>
      </c>
      <c r="K279" s="71">
        <v>50</v>
      </c>
      <c r="L279" s="62" t="s">
        <v>644</v>
      </c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61">
        <v>20595</v>
      </c>
      <c r="K280" s="71">
        <v>800</v>
      </c>
      <c r="L280" s="62" t="s">
        <v>494</v>
      </c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61"/>
      <c r="K281" s="71"/>
      <c r="L281" s="62" t="s">
        <v>642</v>
      </c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61">
        <v>20596</v>
      </c>
      <c r="K282" s="71">
        <v>1200</v>
      </c>
      <c r="L282" s="62" t="s">
        <v>673</v>
      </c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61"/>
      <c r="K283" s="71"/>
      <c r="L283" s="62" t="s">
        <v>15</v>
      </c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61">
        <v>20597</v>
      </c>
      <c r="K284" s="71">
        <v>250</v>
      </c>
      <c r="L284" s="62" t="s">
        <v>656</v>
      </c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61">
        <v>20598</v>
      </c>
      <c r="K285" s="71">
        <v>50</v>
      </c>
      <c r="L285" s="62" t="s">
        <v>644</v>
      </c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61">
        <v>20599</v>
      </c>
      <c r="K286" s="71">
        <v>50</v>
      </c>
      <c r="L286" s="62" t="s">
        <v>644</v>
      </c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61">
        <v>20600</v>
      </c>
      <c r="K287" s="71">
        <v>300</v>
      </c>
      <c r="L287" s="62" t="s">
        <v>674</v>
      </c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61">
        <v>20601</v>
      </c>
      <c r="K288" s="71">
        <v>50</v>
      </c>
      <c r="L288" s="62" t="s">
        <v>675</v>
      </c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61">
        <v>20602</v>
      </c>
      <c r="K289" s="71">
        <v>100</v>
      </c>
      <c r="L289" s="62" t="s">
        <v>640</v>
      </c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61">
        <v>20603</v>
      </c>
      <c r="K290" s="71">
        <v>100</v>
      </c>
      <c r="L290" s="62" t="s">
        <v>640</v>
      </c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61">
        <v>20604</v>
      </c>
      <c r="K291" s="71">
        <v>50</v>
      </c>
      <c r="L291" s="62" t="s">
        <v>644</v>
      </c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61">
        <v>20605</v>
      </c>
      <c r="K292" s="71">
        <v>200</v>
      </c>
      <c r="L292" s="62" t="s">
        <v>676</v>
      </c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61">
        <v>20606</v>
      </c>
      <c r="K293" s="71">
        <v>400</v>
      </c>
      <c r="L293" s="62" t="s">
        <v>494</v>
      </c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61"/>
      <c r="K294" s="71"/>
      <c r="L294" s="62" t="s">
        <v>14</v>
      </c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61">
        <v>20607</v>
      </c>
      <c r="K295" s="71">
        <v>800</v>
      </c>
      <c r="L295" s="62" t="s">
        <v>677</v>
      </c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61"/>
      <c r="K296" s="71"/>
      <c r="L296" s="62" t="s">
        <v>678</v>
      </c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61"/>
      <c r="K297" s="71"/>
      <c r="L297" s="62" t="s">
        <v>403</v>
      </c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61">
        <v>20608</v>
      </c>
      <c r="K298" s="71">
        <v>800</v>
      </c>
      <c r="L298" s="62" t="s">
        <v>422</v>
      </c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61"/>
      <c r="K299" s="71"/>
      <c r="L299" s="62" t="s">
        <v>678</v>
      </c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61"/>
      <c r="K300" s="71"/>
      <c r="L300" s="62" t="s">
        <v>403</v>
      </c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61">
        <v>20609</v>
      </c>
      <c r="K301" s="71">
        <v>1200</v>
      </c>
      <c r="L301" s="62" t="s">
        <v>422</v>
      </c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61"/>
      <c r="K302" s="71"/>
      <c r="L302" s="62" t="s">
        <v>678</v>
      </c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61"/>
      <c r="K303" s="71"/>
      <c r="L303" s="62" t="s">
        <v>403</v>
      </c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61">
        <v>20610</v>
      </c>
      <c r="K304" s="71">
        <v>300</v>
      </c>
      <c r="L304" s="62" t="s">
        <v>668</v>
      </c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61"/>
      <c r="K305" s="71"/>
      <c r="L305" s="62" t="s">
        <v>679</v>
      </c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61">
        <v>20611</v>
      </c>
      <c r="K306" s="71">
        <v>50</v>
      </c>
      <c r="L306" s="62" t="s">
        <v>644</v>
      </c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61">
        <v>20612</v>
      </c>
      <c r="K307" s="71">
        <v>300</v>
      </c>
      <c r="L307" s="62" t="s">
        <v>656</v>
      </c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61"/>
      <c r="K308" s="71"/>
      <c r="L308" s="62" t="s">
        <v>657</v>
      </c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61">
        <v>20613</v>
      </c>
      <c r="K309" s="71">
        <v>200</v>
      </c>
      <c r="L309" s="62" t="s">
        <v>641</v>
      </c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61">
        <v>20614</v>
      </c>
      <c r="K310" s="71">
        <v>150</v>
      </c>
      <c r="L310" s="62" t="s">
        <v>638</v>
      </c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61">
        <v>20615</v>
      </c>
      <c r="K311" s="71">
        <v>350</v>
      </c>
      <c r="L311" s="62" t="s">
        <v>680</v>
      </c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61"/>
      <c r="K312" s="71"/>
      <c r="L312" s="62" t="s">
        <v>640</v>
      </c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61">
        <v>20616</v>
      </c>
      <c r="K313" s="71">
        <v>200</v>
      </c>
      <c r="L313" s="62" t="s">
        <v>540</v>
      </c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61">
        <v>20617</v>
      </c>
      <c r="K314" s="71">
        <v>50</v>
      </c>
      <c r="L314" s="62" t="s">
        <v>644</v>
      </c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61">
        <v>20618</v>
      </c>
      <c r="K315" s="71">
        <v>50</v>
      </c>
      <c r="L315" s="62" t="s">
        <v>644</v>
      </c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61">
        <v>20619</v>
      </c>
      <c r="K316" s="71">
        <v>100</v>
      </c>
      <c r="L316" s="62" t="s">
        <v>640</v>
      </c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61">
        <v>20620</v>
      </c>
      <c r="K317" s="71">
        <v>100</v>
      </c>
      <c r="L317" s="62" t="s">
        <v>640</v>
      </c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61">
        <v>20621</v>
      </c>
      <c r="K318" s="71">
        <v>50</v>
      </c>
      <c r="L318" s="62" t="s">
        <v>644</v>
      </c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61">
        <v>20622</v>
      </c>
      <c r="K319" s="71">
        <v>100</v>
      </c>
      <c r="L319" s="62" t="s">
        <v>640</v>
      </c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61">
        <v>20623</v>
      </c>
      <c r="K320" s="71">
        <v>400</v>
      </c>
      <c r="L320" s="62" t="s">
        <v>540</v>
      </c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61">
        <v>20624</v>
      </c>
      <c r="K321" s="71">
        <v>100</v>
      </c>
      <c r="L321" s="62" t="s">
        <v>640</v>
      </c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61">
        <v>20625</v>
      </c>
      <c r="K322" s="71">
        <v>250</v>
      </c>
      <c r="L322" s="62" t="s">
        <v>656</v>
      </c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61">
        <v>20626</v>
      </c>
      <c r="K323" s="71">
        <v>250</v>
      </c>
      <c r="L323" s="62" t="s">
        <v>656</v>
      </c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61">
        <v>20627</v>
      </c>
      <c r="K324" s="71">
        <v>50</v>
      </c>
      <c r="L324" s="62" t="s">
        <v>644</v>
      </c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61">
        <v>20628</v>
      </c>
      <c r="K325" s="71">
        <v>100</v>
      </c>
      <c r="L325" s="62" t="s">
        <v>640</v>
      </c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61">
        <v>20629</v>
      </c>
      <c r="K326" s="71">
        <v>1200</v>
      </c>
      <c r="L326" s="62" t="s">
        <v>482</v>
      </c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61"/>
      <c r="K327" s="71"/>
      <c r="L327" s="62" t="s">
        <v>15</v>
      </c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61">
        <v>20630</v>
      </c>
      <c r="K328" s="71">
        <v>50</v>
      </c>
      <c r="L328" s="62" t="s">
        <v>644</v>
      </c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61">
        <v>20631</v>
      </c>
      <c r="K329" s="71">
        <v>300</v>
      </c>
      <c r="L329" s="62" t="s">
        <v>656</v>
      </c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61"/>
      <c r="K330" s="71"/>
      <c r="L330" s="62" t="s">
        <v>657</v>
      </c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61">
        <v>20632</v>
      </c>
      <c r="K331" s="71">
        <v>300</v>
      </c>
      <c r="L331" s="62" t="s">
        <v>540</v>
      </c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61">
        <v>20633</v>
      </c>
      <c r="K332" s="71">
        <v>50</v>
      </c>
      <c r="L332" s="62" t="s">
        <v>644</v>
      </c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61">
        <v>20634</v>
      </c>
      <c r="K333" s="71">
        <v>50</v>
      </c>
      <c r="L333" s="62" t="s">
        <v>644</v>
      </c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61">
        <v>20635</v>
      </c>
      <c r="K334" s="71">
        <v>50</v>
      </c>
      <c r="L334" s="62" t="s">
        <v>644</v>
      </c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61">
        <v>20636</v>
      </c>
      <c r="K335" s="71">
        <v>300</v>
      </c>
      <c r="L335" s="62" t="s">
        <v>504</v>
      </c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61">
        <v>20637</v>
      </c>
      <c r="K336" s="71">
        <v>50</v>
      </c>
      <c r="L336" s="62" t="s">
        <v>644</v>
      </c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61">
        <v>20638</v>
      </c>
      <c r="K337" s="71">
        <v>400</v>
      </c>
      <c r="L337" s="62" t="s">
        <v>540</v>
      </c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61">
        <v>20639</v>
      </c>
      <c r="K338" s="71">
        <v>150</v>
      </c>
      <c r="L338" s="62" t="s">
        <v>638</v>
      </c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61">
        <v>20640</v>
      </c>
      <c r="K339" s="71">
        <v>50</v>
      </c>
      <c r="L339" s="62" t="s">
        <v>644</v>
      </c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61">
        <v>20641</v>
      </c>
      <c r="K340" s="71">
        <v>400</v>
      </c>
      <c r="L340" s="62" t="s">
        <v>540</v>
      </c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61">
        <v>20642</v>
      </c>
      <c r="K341" s="71">
        <v>350</v>
      </c>
      <c r="L341" s="62" t="s">
        <v>656</v>
      </c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61"/>
      <c r="K342" s="71"/>
      <c r="L342" s="62" t="s">
        <v>640</v>
      </c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61">
        <v>20643</v>
      </c>
      <c r="K343" s="71">
        <v>200</v>
      </c>
      <c r="L343" s="62" t="s">
        <v>504</v>
      </c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61">
        <v>20644</v>
      </c>
      <c r="K344" s="71">
        <v>100</v>
      </c>
      <c r="L344" s="62" t="s">
        <v>640</v>
      </c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61">
        <v>20645</v>
      </c>
      <c r="K345" s="71">
        <v>400</v>
      </c>
      <c r="L345" s="62" t="s">
        <v>494</v>
      </c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61"/>
      <c r="K346" s="71"/>
      <c r="L346" s="62" t="s">
        <v>14</v>
      </c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61">
        <v>20646</v>
      </c>
      <c r="K347" s="71">
        <v>50</v>
      </c>
      <c r="L347" s="62" t="s">
        <v>644</v>
      </c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61">
        <v>20647</v>
      </c>
      <c r="K348" s="71"/>
      <c r="L348" s="62" t="s">
        <v>59</v>
      </c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61">
        <v>20648</v>
      </c>
      <c r="K349" s="71">
        <v>100</v>
      </c>
      <c r="L349" s="62" t="s">
        <v>640</v>
      </c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61">
        <v>20649</v>
      </c>
      <c r="K350" s="71">
        <v>300</v>
      </c>
      <c r="L350" s="62" t="s">
        <v>681</v>
      </c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61">
        <v>20650</v>
      </c>
      <c r="K351" s="71">
        <v>400</v>
      </c>
      <c r="L351" s="62" t="s">
        <v>540</v>
      </c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61">
        <v>20651</v>
      </c>
      <c r="K352" s="71">
        <v>50</v>
      </c>
      <c r="L352" s="62" t="s">
        <v>644</v>
      </c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61">
        <v>20652</v>
      </c>
      <c r="K353" s="71">
        <v>100</v>
      </c>
      <c r="L353" s="62" t="s">
        <v>640</v>
      </c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61">
        <v>20653</v>
      </c>
      <c r="K354" s="71">
        <v>50</v>
      </c>
      <c r="L354" s="62" t="s">
        <v>644</v>
      </c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61">
        <v>20654</v>
      </c>
      <c r="K355" s="71">
        <v>150</v>
      </c>
      <c r="L355" s="62" t="s">
        <v>638</v>
      </c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61">
        <v>20655</v>
      </c>
      <c r="K356" s="71">
        <v>50</v>
      </c>
      <c r="L356" s="62" t="s">
        <v>644</v>
      </c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61">
        <v>20656</v>
      </c>
      <c r="K357" s="71">
        <v>50</v>
      </c>
      <c r="L357" s="62" t="s">
        <v>644</v>
      </c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61">
        <v>20657</v>
      </c>
      <c r="K358" s="71">
        <v>50</v>
      </c>
      <c r="L358" s="62" t="s">
        <v>644</v>
      </c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61">
        <v>20658</v>
      </c>
      <c r="K359" s="71">
        <v>100</v>
      </c>
      <c r="L359" s="62" t="s">
        <v>640</v>
      </c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61">
        <v>20659</v>
      </c>
      <c r="K360" s="71">
        <v>150</v>
      </c>
      <c r="L360" s="62" t="s">
        <v>638</v>
      </c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61">
        <v>20660</v>
      </c>
      <c r="K361" s="71">
        <v>350</v>
      </c>
      <c r="L361" s="62" t="s">
        <v>656</v>
      </c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61"/>
      <c r="K362" s="71"/>
      <c r="L362" s="62" t="s">
        <v>640</v>
      </c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61">
        <v>20661</v>
      </c>
      <c r="K363" s="71">
        <v>50</v>
      </c>
      <c r="L363" s="62" t="s">
        <v>644</v>
      </c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61">
        <v>20662</v>
      </c>
      <c r="K364" s="71">
        <v>300</v>
      </c>
      <c r="L364" s="62" t="s">
        <v>656</v>
      </c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61"/>
      <c r="K365" s="71"/>
      <c r="L365" s="62" t="s">
        <v>644</v>
      </c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61">
        <v>20663</v>
      </c>
      <c r="K366" s="71">
        <v>400</v>
      </c>
      <c r="L366" s="62" t="s">
        <v>490</v>
      </c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61">
        <v>20664</v>
      </c>
      <c r="K367" s="71">
        <v>200</v>
      </c>
      <c r="L367" s="62" t="s">
        <v>504</v>
      </c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61">
        <v>20665</v>
      </c>
      <c r="K368" s="71">
        <v>50</v>
      </c>
      <c r="L368" s="62" t="s">
        <v>644</v>
      </c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61">
        <v>20666</v>
      </c>
      <c r="K369" s="71">
        <v>100</v>
      </c>
      <c r="L369" s="62" t="s">
        <v>640</v>
      </c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61">
        <v>20667</v>
      </c>
      <c r="K370" s="71">
        <v>50</v>
      </c>
      <c r="L370" s="62" t="s">
        <v>644</v>
      </c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61">
        <v>20668</v>
      </c>
      <c r="K371" s="71">
        <v>100</v>
      </c>
      <c r="L371" s="62" t="s">
        <v>640</v>
      </c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61">
        <v>20669</v>
      </c>
      <c r="K372" s="71">
        <v>150</v>
      </c>
      <c r="L372" s="62" t="s">
        <v>638</v>
      </c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61">
        <v>20670</v>
      </c>
      <c r="K373" s="71">
        <v>50</v>
      </c>
      <c r="L373" s="62" t="s">
        <v>644</v>
      </c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61">
        <v>20671</v>
      </c>
      <c r="K374" s="71">
        <v>250</v>
      </c>
      <c r="L374" s="62" t="s">
        <v>656</v>
      </c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61">
        <v>20672</v>
      </c>
      <c r="K375" s="71">
        <v>400</v>
      </c>
      <c r="L375" s="62" t="s">
        <v>540</v>
      </c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61">
        <v>20673</v>
      </c>
      <c r="K376" s="71">
        <v>300</v>
      </c>
      <c r="L376" s="62" t="s">
        <v>656</v>
      </c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61"/>
      <c r="K377" s="71"/>
      <c r="L377" s="62" t="s">
        <v>657</v>
      </c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61">
        <v>20674</v>
      </c>
      <c r="K378" s="71">
        <v>100</v>
      </c>
      <c r="L378" s="62" t="s">
        <v>640</v>
      </c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61">
        <v>20675</v>
      </c>
      <c r="K379" s="71">
        <v>100</v>
      </c>
      <c r="L379" s="62" t="s">
        <v>640</v>
      </c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61">
        <v>20676</v>
      </c>
      <c r="K380" s="71">
        <v>150</v>
      </c>
      <c r="L380" s="62" t="s">
        <v>638</v>
      </c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61">
        <v>20677</v>
      </c>
      <c r="K381" s="71">
        <v>50</v>
      </c>
      <c r="L381" s="62" t="s">
        <v>644</v>
      </c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61">
        <v>20678</v>
      </c>
      <c r="K382" s="71">
        <v>250</v>
      </c>
      <c r="L382" s="62" t="s">
        <v>656</v>
      </c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61">
        <v>20679</v>
      </c>
      <c r="K383" s="71">
        <v>50</v>
      </c>
      <c r="L383" s="62" t="s">
        <v>644</v>
      </c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61">
        <v>20680</v>
      </c>
      <c r="K384" s="71">
        <v>50</v>
      </c>
      <c r="L384" s="62" t="s">
        <v>644</v>
      </c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61">
        <v>20681</v>
      </c>
      <c r="K385" s="71">
        <v>50</v>
      </c>
      <c r="L385" s="62" t="s">
        <v>644</v>
      </c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61">
        <v>20682</v>
      </c>
      <c r="K386" s="71">
        <v>150</v>
      </c>
      <c r="L386" s="62" t="s">
        <v>638</v>
      </c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61">
        <v>20683</v>
      </c>
      <c r="K387" s="71">
        <v>350</v>
      </c>
      <c r="L387" s="62" t="s">
        <v>682</v>
      </c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61"/>
      <c r="K388" s="71"/>
      <c r="L388" s="62" t="s">
        <v>99</v>
      </c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61">
        <v>20684</v>
      </c>
      <c r="K389" s="71">
        <v>250</v>
      </c>
      <c r="L389" s="62" t="s">
        <v>683</v>
      </c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61">
        <v>20685</v>
      </c>
      <c r="K390" s="71">
        <v>350</v>
      </c>
      <c r="L390" s="62" t="s">
        <v>656</v>
      </c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61"/>
      <c r="K391" s="71"/>
      <c r="L391" s="62" t="s">
        <v>640</v>
      </c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61">
        <v>20686</v>
      </c>
      <c r="K392" s="71">
        <v>50</v>
      </c>
      <c r="L392" s="62" t="s">
        <v>644</v>
      </c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61">
        <v>20687</v>
      </c>
      <c r="K393" s="71">
        <v>250</v>
      </c>
      <c r="L393" s="62" t="s">
        <v>656</v>
      </c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61">
        <v>20688</v>
      </c>
      <c r="K394" s="71">
        <v>250</v>
      </c>
      <c r="L394" s="62" t="s">
        <v>656</v>
      </c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61">
        <v>20689</v>
      </c>
      <c r="K395" s="71">
        <v>100</v>
      </c>
      <c r="L395" s="62" t="s">
        <v>684</v>
      </c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61">
        <v>20690</v>
      </c>
      <c r="K396" s="71">
        <v>50</v>
      </c>
      <c r="L396" s="62" t="s">
        <v>644</v>
      </c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61">
        <v>20691</v>
      </c>
      <c r="K397" s="71">
        <v>100</v>
      </c>
      <c r="L397" s="62" t="s">
        <v>640</v>
      </c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61">
        <v>20692</v>
      </c>
      <c r="K398" s="71">
        <v>800</v>
      </c>
      <c r="L398" s="62" t="s">
        <v>422</v>
      </c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61"/>
      <c r="K399" s="71"/>
      <c r="L399" s="62" t="s">
        <v>15</v>
      </c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61">
        <v>20693</v>
      </c>
      <c r="K400" s="71">
        <v>300</v>
      </c>
      <c r="L400" s="62" t="s">
        <v>656</v>
      </c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61"/>
      <c r="K401" s="71"/>
      <c r="L401" s="62" t="s">
        <v>691</v>
      </c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61">
        <v>20694</v>
      </c>
      <c r="K402" s="71">
        <v>50</v>
      </c>
      <c r="L402" s="62" t="s">
        <v>644</v>
      </c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61">
        <v>20695</v>
      </c>
      <c r="K403" s="71">
        <v>800</v>
      </c>
      <c r="L403" s="62" t="s">
        <v>685</v>
      </c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61"/>
      <c r="K404" s="71"/>
      <c r="L404" s="62" t="s">
        <v>686</v>
      </c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61">
        <v>20696</v>
      </c>
      <c r="K405" s="71">
        <v>50</v>
      </c>
      <c r="L405" s="62" t="s">
        <v>644</v>
      </c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61">
        <v>20697</v>
      </c>
      <c r="K406" s="71">
        <v>50</v>
      </c>
      <c r="L406" s="62" t="s">
        <v>644</v>
      </c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61">
        <v>20698</v>
      </c>
      <c r="K407" s="71">
        <v>100</v>
      </c>
      <c r="L407" s="62" t="s">
        <v>640</v>
      </c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61">
        <v>20699</v>
      </c>
      <c r="K408" s="71">
        <v>100</v>
      </c>
      <c r="L408" s="62" t="s">
        <v>640</v>
      </c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61">
        <v>20700</v>
      </c>
      <c r="K409" s="71">
        <v>150</v>
      </c>
      <c r="L409" s="62" t="s">
        <v>638</v>
      </c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61">
        <v>20701</v>
      </c>
      <c r="K410" s="71">
        <v>50</v>
      </c>
      <c r="L410" s="62" t="s">
        <v>687</v>
      </c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61">
        <v>20702</v>
      </c>
      <c r="K411" s="71">
        <v>100</v>
      </c>
      <c r="L411" s="62" t="s">
        <v>688</v>
      </c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61">
        <v>20703</v>
      </c>
      <c r="K412" s="71"/>
      <c r="L412" s="62" t="s">
        <v>59</v>
      </c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61">
        <v>20704</v>
      </c>
      <c r="K413" s="71"/>
      <c r="L413" s="62" t="s">
        <v>59</v>
      </c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61">
        <v>20705</v>
      </c>
      <c r="K414" s="71">
        <v>100</v>
      </c>
      <c r="L414" s="62" t="s">
        <v>640</v>
      </c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61">
        <v>20706</v>
      </c>
      <c r="K415" s="71">
        <v>600</v>
      </c>
      <c r="L415" s="62" t="s">
        <v>660</v>
      </c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61"/>
      <c r="K416" s="71"/>
      <c r="L416" s="62" t="s">
        <v>689</v>
      </c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61">
        <v>20707</v>
      </c>
      <c r="K417" s="71">
        <v>800</v>
      </c>
      <c r="L417" s="62" t="s">
        <v>422</v>
      </c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61"/>
      <c r="K418" s="71"/>
      <c r="L418" s="62" t="s">
        <v>15</v>
      </c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61">
        <v>20708</v>
      </c>
      <c r="K419" s="71">
        <v>250</v>
      </c>
      <c r="L419" s="62" t="s">
        <v>656</v>
      </c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61">
        <v>20709</v>
      </c>
      <c r="K420" s="71">
        <v>400</v>
      </c>
      <c r="L420" s="62" t="s">
        <v>540</v>
      </c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61">
        <v>20710</v>
      </c>
      <c r="K421" s="71">
        <v>50</v>
      </c>
      <c r="L421" s="62" t="s">
        <v>644</v>
      </c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61">
        <v>20711</v>
      </c>
      <c r="K422" s="71">
        <v>50</v>
      </c>
      <c r="L422" s="62" t="s">
        <v>675</v>
      </c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61">
        <v>20712</v>
      </c>
      <c r="K423" s="71">
        <v>100</v>
      </c>
      <c r="L423" s="62" t="s">
        <v>640</v>
      </c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61">
        <v>20713</v>
      </c>
      <c r="K424" s="71">
        <v>100</v>
      </c>
      <c r="L424" s="62" t="s">
        <v>640</v>
      </c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61">
        <v>20714</v>
      </c>
      <c r="K425" s="71">
        <v>100</v>
      </c>
      <c r="L425" s="62" t="s">
        <v>644</v>
      </c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61">
        <v>20715</v>
      </c>
      <c r="K426" s="71">
        <v>150</v>
      </c>
      <c r="L426" s="62" t="s">
        <v>638</v>
      </c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61">
        <v>20716</v>
      </c>
      <c r="K427" s="71">
        <v>400</v>
      </c>
      <c r="L427" s="62" t="s">
        <v>540</v>
      </c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61">
        <v>20717</v>
      </c>
      <c r="K428" s="71">
        <v>100</v>
      </c>
      <c r="L428" s="62" t="s">
        <v>640</v>
      </c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61">
        <v>20718</v>
      </c>
      <c r="K429" s="71">
        <v>50</v>
      </c>
      <c r="L429" s="62" t="s">
        <v>644</v>
      </c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61">
        <v>20719</v>
      </c>
      <c r="K430" s="71">
        <v>150</v>
      </c>
      <c r="L430" s="62" t="s">
        <v>638</v>
      </c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61">
        <v>20720</v>
      </c>
      <c r="K431" s="71">
        <v>50</v>
      </c>
      <c r="L431" s="62" t="s">
        <v>644</v>
      </c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61">
        <v>20721</v>
      </c>
      <c r="K432" s="71">
        <v>50</v>
      </c>
      <c r="L432" s="62" t="s">
        <v>644</v>
      </c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61">
        <v>20722</v>
      </c>
      <c r="K433" s="71">
        <v>100</v>
      </c>
      <c r="L433" s="62" t="s">
        <v>684</v>
      </c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61">
        <v>20723</v>
      </c>
      <c r="K434" s="71">
        <v>250</v>
      </c>
      <c r="L434" s="62" t="s">
        <v>656</v>
      </c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61">
        <v>20724</v>
      </c>
      <c r="K435" s="71">
        <v>100</v>
      </c>
      <c r="L435" s="62" t="s">
        <v>640</v>
      </c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61">
        <v>20725</v>
      </c>
      <c r="K436" s="71">
        <v>200</v>
      </c>
      <c r="L436" s="62" t="s">
        <v>641</v>
      </c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61">
        <v>20726</v>
      </c>
      <c r="K437" s="71">
        <v>200</v>
      </c>
      <c r="L437" s="62" t="s">
        <v>490</v>
      </c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61">
        <v>20727</v>
      </c>
      <c r="K438" s="71">
        <v>250</v>
      </c>
      <c r="L438" s="62" t="s">
        <v>656</v>
      </c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61">
        <v>20728</v>
      </c>
      <c r="K439" s="71">
        <v>50</v>
      </c>
      <c r="L439" s="62" t="s">
        <v>687</v>
      </c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61">
        <v>20729</v>
      </c>
      <c r="K440" s="71">
        <v>400</v>
      </c>
      <c r="L440" s="62" t="s">
        <v>504</v>
      </c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61">
        <v>20730</v>
      </c>
      <c r="K441" s="71">
        <v>100</v>
      </c>
      <c r="L441" s="62" t="s">
        <v>640</v>
      </c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61">
        <v>20731</v>
      </c>
      <c r="K442" s="71">
        <v>250</v>
      </c>
      <c r="L442" s="62" t="s">
        <v>656</v>
      </c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61">
        <v>20732</v>
      </c>
      <c r="K443" s="71"/>
      <c r="L443" s="62" t="s">
        <v>59</v>
      </c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61">
        <v>20733</v>
      </c>
      <c r="K444" s="71">
        <v>50</v>
      </c>
      <c r="L444" s="62" t="s">
        <v>644</v>
      </c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61">
        <v>20734</v>
      </c>
      <c r="K445" s="71">
        <v>100</v>
      </c>
      <c r="L445" s="62" t="s">
        <v>640</v>
      </c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61">
        <v>20735</v>
      </c>
      <c r="K446" s="71">
        <v>200</v>
      </c>
      <c r="L446" s="62" t="s">
        <v>640</v>
      </c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61">
        <v>20736</v>
      </c>
      <c r="K447" s="71">
        <v>250</v>
      </c>
      <c r="L447" s="62" t="s">
        <v>656</v>
      </c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61">
        <v>20737</v>
      </c>
      <c r="K448" s="71">
        <v>50</v>
      </c>
      <c r="L448" s="62" t="s">
        <v>644</v>
      </c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61">
        <v>20738</v>
      </c>
      <c r="K449" s="71">
        <v>50</v>
      </c>
      <c r="L449" s="62" t="s">
        <v>644</v>
      </c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61">
        <v>20739</v>
      </c>
      <c r="K450" s="71"/>
      <c r="L450" s="62" t="s">
        <v>59</v>
      </c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61">
        <v>20740</v>
      </c>
      <c r="K451" s="71">
        <v>300</v>
      </c>
      <c r="L451" s="62" t="s">
        <v>656</v>
      </c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61"/>
      <c r="K452" s="71"/>
      <c r="L452" s="62" t="s">
        <v>657</v>
      </c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61">
        <v>20741</v>
      </c>
      <c r="K453" s="71">
        <v>50</v>
      </c>
      <c r="L453" s="62" t="s">
        <v>644</v>
      </c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61">
        <v>20742</v>
      </c>
      <c r="K454" s="71">
        <v>400</v>
      </c>
      <c r="L454" s="62" t="s">
        <v>644</v>
      </c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61">
        <v>20743</v>
      </c>
      <c r="K455" s="71">
        <v>50</v>
      </c>
      <c r="L455" s="62" t="s">
        <v>490</v>
      </c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61">
        <v>20744</v>
      </c>
      <c r="K456" s="71">
        <v>450</v>
      </c>
      <c r="L456" s="62" t="s">
        <v>644</v>
      </c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61"/>
      <c r="K457" s="71"/>
      <c r="L457" s="62" t="s">
        <v>682</v>
      </c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61"/>
      <c r="K458" s="71"/>
      <c r="L458" s="62" t="s">
        <v>690</v>
      </c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61">
        <v>20745</v>
      </c>
      <c r="K459" s="71">
        <v>50</v>
      </c>
      <c r="L459" s="62" t="s">
        <v>644</v>
      </c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61">
        <v>20746</v>
      </c>
      <c r="K460" s="71">
        <v>50</v>
      </c>
      <c r="L460" s="62" t="s">
        <v>644</v>
      </c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61">
        <v>20747</v>
      </c>
      <c r="K461" s="71">
        <v>200</v>
      </c>
      <c r="L461" s="62" t="s">
        <v>490</v>
      </c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61">
        <v>20748</v>
      </c>
      <c r="K462" s="71">
        <v>100</v>
      </c>
      <c r="L462" s="62" t="s">
        <v>652</v>
      </c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61"/>
      <c r="K463" s="71"/>
      <c r="L463" s="62" t="s">
        <v>214</v>
      </c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61">
        <v>20749</v>
      </c>
      <c r="K464" s="71">
        <v>50</v>
      </c>
      <c r="L464" s="62" t="s">
        <v>644</v>
      </c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61">
        <v>20750</v>
      </c>
      <c r="K465" s="71">
        <v>50</v>
      </c>
      <c r="L465" s="62" t="s">
        <v>644</v>
      </c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61">
        <v>20751</v>
      </c>
      <c r="K466" s="71">
        <v>50</v>
      </c>
      <c r="L466" s="62" t="s">
        <v>644</v>
      </c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61">
        <v>20752</v>
      </c>
      <c r="K467" s="71">
        <v>100</v>
      </c>
      <c r="L467" s="62" t="s">
        <v>644</v>
      </c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61"/>
      <c r="K468" s="71"/>
      <c r="L468" s="62" t="s">
        <v>640</v>
      </c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61">
        <v>20753</v>
      </c>
      <c r="K469" s="71">
        <v>50</v>
      </c>
      <c r="L469" s="62" t="s">
        <v>644</v>
      </c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61">
        <v>20754</v>
      </c>
      <c r="K470" s="71">
        <v>50</v>
      </c>
      <c r="L470" s="62" t="s">
        <v>644</v>
      </c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61">
        <v>20755</v>
      </c>
      <c r="K471" s="71">
        <v>150</v>
      </c>
      <c r="L471" s="62" t="s">
        <v>675</v>
      </c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61">
        <v>20756</v>
      </c>
      <c r="K472" s="71"/>
      <c r="L472" s="62" t="s">
        <v>638</v>
      </c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61">
        <v>20757</v>
      </c>
      <c r="K473" s="71">
        <v>50</v>
      </c>
      <c r="L473" s="62" t="s">
        <v>59</v>
      </c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61">
        <v>20758</v>
      </c>
      <c r="K474" s="71">
        <v>50</v>
      </c>
      <c r="L474" s="62" t="s">
        <v>644</v>
      </c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61">
        <v>20759</v>
      </c>
      <c r="K475" s="71">
        <v>550</v>
      </c>
      <c r="L475" s="62" t="s">
        <v>644</v>
      </c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61"/>
      <c r="K476" s="71"/>
      <c r="L476" s="62" t="s">
        <v>660</v>
      </c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61">
        <v>20760</v>
      </c>
      <c r="K477" s="71">
        <v>50</v>
      </c>
      <c r="L477" s="62" t="s">
        <v>692</v>
      </c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61">
        <v>20761</v>
      </c>
      <c r="K478" s="71">
        <v>50</v>
      </c>
      <c r="L478" s="62" t="s">
        <v>644</v>
      </c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61">
        <v>20762</v>
      </c>
      <c r="K479" s="71">
        <v>50</v>
      </c>
      <c r="L479" s="62" t="s">
        <v>644</v>
      </c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61">
        <v>20763</v>
      </c>
      <c r="K480" s="71">
        <v>100</v>
      </c>
      <c r="L480" s="62" t="s">
        <v>644</v>
      </c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61">
        <v>20764</v>
      </c>
      <c r="K481" s="71">
        <v>50</v>
      </c>
      <c r="L481" s="62" t="s">
        <v>640</v>
      </c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61">
        <v>20765</v>
      </c>
      <c r="K482" s="71">
        <v>50</v>
      </c>
      <c r="L482" s="62" t="s">
        <v>644</v>
      </c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61">
        <v>20766</v>
      </c>
      <c r="K483" s="71">
        <v>300</v>
      </c>
      <c r="L483" s="62" t="s">
        <v>644</v>
      </c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61"/>
      <c r="K484" s="71"/>
      <c r="L484" s="62" t="s">
        <v>693</v>
      </c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61">
        <v>20767</v>
      </c>
      <c r="K485" s="71">
        <v>200</v>
      </c>
      <c r="L485" s="62" t="s">
        <v>641</v>
      </c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61">
        <v>20768</v>
      </c>
      <c r="K486" s="71">
        <v>50</v>
      </c>
      <c r="L486" s="62" t="s">
        <v>644</v>
      </c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61">
        <v>20769</v>
      </c>
      <c r="K487" s="71">
        <v>50</v>
      </c>
      <c r="L487" s="62" t="s">
        <v>644</v>
      </c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61">
        <v>20770</v>
      </c>
      <c r="K488" s="71">
        <v>100</v>
      </c>
      <c r="L488" s="62" t="s">
        <v>640</v>
      </c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61">
        <v>20771</v>
      </c>
      <c r="K489" s="71">
        <v>250</v>
      </c>
      <c r="L489" s="62" t="s">
        <v>694</v>
      </c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61"/>
      <c r="K490" s="71"/>
      <c r="L490" s="62" t="s">
        <v>99</v>
      </c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61">
        <v>20772</v>
      </c>
      <c r="K491" s="71">
        <v>300</v>
      </c>
      <c r="L491" s="62" t="s">
        <v>656</v>
      </c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61"/>
      <c r="K492" s="71"/>
      <c r="L492" s="62" t="s">
        <v>657</v>
      </c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61">
        <v>20773</v>
      </c>
      <c r="K493" s="71">
        <v>100</v>
      </c>
      <c r="L493" s="62" t="s">
        <v>640</v>
      </c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61">
        <v>20774</v>
      </c>
      <c r="K494" s="71">
        <v>250</v>
      </c>
      <c r="L494" s="62" t="s">
        <v>656</v>
      </c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61">
        <v>20775</v>
      </c>
      <c r="K495" s="71">
        <v>150</v>
      </c>
      <c r="L495" s="62" t="s">
        <v>638</v>
      </c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61">
        <v>20776</v>
      </c>
      <c r="K496" s="71">
        <v>50</v>
      </c>
      <c r="L496" s="62" t="s">
        <v>644</v>
      </c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61">
        <v>20777</v>
      </c>
      <c r="K497" s="71">
        <v>500</v>
      </c>
      <c r="L497" s="62" t="s">
        <v>494</v>
      </c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61"/>
      <c r="K498" s="71"/>
      <c r="L498" s="62" t="s">
        <v>19</v>
      </c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61">
        <v>20778</v>
      </c>
      <c r="K499" s="71">
        <v>50</v>
      </c>
      <c r="L499" s="62" t="s">
        <v>644</v>
      </c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61">
        <v>20779</v>
      </c>
      <c r="K500" s="71">
        <v>200</v>
      </c>
      <c r="L500" s="62" t="s">
        <v>652</v>
      </c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61"/>
      <c r="K501" s="71"/>
      <c r="L501" s="62" t="s">
        <v>214</v>
      </c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61">
        <v>20780</v>
      </c>
      <c r="K502" s="71">
        <v>50</v>
      </c>
      <c r="L502" s="62" t="s">
        <v>644</v>
      </c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61">
        <v>20781</v>
      </c>
      <c r="K503" s="71">
        <v>250</v>
      </c>
      <c r="L503" s="62" t="s">
        <v>695</v>
      </c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61"/>
      <c r="K504" s="71"/>
      <c r="L504" s="62" t="s">
        <v>690</v>
      </c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61">
        <v>20782</v>
      </c>
      <c r="K505" s="71">
        <v>250</v>
      </c>
      <c r="L505" s="62" t="s">
        <v>656</v>
      </c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61">
        <v>20783</v>
      </c>
      <c r="K506" s="71">
        <v>550</v>
      </c>
      <c r="L506" s="62" t="s">
        <v>696</v>
      </c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61"/>
      <c r="K507" s="71"/>
      <c r="L507" s="62" t="s">
        <v>697</v>
      </c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61"/>
      <c r="K508" s="71"/>
      <c r="L508" s="62" t="s">
        <v>690</v>
      </c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61">
        <v>20784</v>
      </c>
      <c r="K509" s="71"/>
      <c r="L509" s="62" t="s">
        <v>59</v>
      </c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61">
        <v>20785</v>
      </c>
      <c r="K510" s="71">
        <v>900</v>
      </c>
      <c r="L510" s="62" t="s">
        <v>698</v>
      </c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61"/>
      <c r="K511" s="71"/>
      <c r="L511" s="62" t="s">
        <v>650</v>
      </c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61">
        <v>20786</v>
      </c>
      <c r="K512" s="71">
        <v>5500</v>
      </c>
      <c r="L512" s="62" t="s">
        <v>538</v>
      </c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61"/>
      <c r="K513" s="71"/>
      <c r="L513" s="62" t="s">
        <v>111</v>
      </c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61"/>
      <c r="K514" s="71"/>
      <c r="L514" s="62" t="s">
        <v>42</v>
      </c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61">
        <v>20787</v>
      </c>
      <c r="K515" s="71">
        <v>50</v>
      </c>
      <c r="L515" s="62" t="s">
        <v>644</v>
      </c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61">
        <v>20788</v>
      </c>
      <c r="K516" s="71">
        <v>50</v>
      </c>
      <c r="L516" s="62" t="s">
        <v>644</v>
      </c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61">
        <v>20789</v>
      </c>
      <c r="K517" s="71">
        <v>100</v>
      </c>
      <c r="L517" s="62" t="s">
        <v>640</v>
      </c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61">
        <v>20790</v>
      </c>
      <c r="K518" s="71">
        <v>450</v>
      </c>
      <c r="L518" s="62" t="s">
        <v>699</v>
      </c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61"/>
      <c r="K519" s="71"/>
      <c r="L519" s="62" t="s">
        <v>690</v>
      </c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61">
        <v>20791</v>
      </c>
      <c r="K520" s="71">
        <v>50</v>
      </c>
      <c r="L520" s="62" t="s">
        <v>644</v>
      </c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61">
        <v>20792</v>
      </c>
      <c r="K521" s="71">
        <v>5500</v>
      </c>
      <c r="L521" s="62" t="s">
        <v>538</v>
      </c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61"/>
      <c r="K522" s="71"/>
      <c r="L522" s="62" t="s">
        <v>111</v>
      </c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61"/>
      <c r="K523" s="71"/>
      <c r="L523" s="62" t="s">
        <v>42</v>
      </c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61">
        <v>20793</v>
      </c>
      <c r="K524" s="71">
        <v>550</v>
      </c>
      <c r="L524" s="62" t="s">
        <v>660</v>
      </c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61"/>
      <c r="K525" s="71"/>
      <c r="L525" s="62" t="s">
        <v>657</v>
      </c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61">
        <v>20794</v>
      </c>
      <c r="K526" s="71">
        <v>50</v>
      </c>
      <c r="L526" s="62" t="s">
        <v>644</v>
      </c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61">
        <v>20795</v>
      </c>
      <c r="K527" s="71">
        <v>200</v>
      </c>
      <c r="L527" s="62" t="s">
        <v>504</v>
      </c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61">
        <v>20796</v>
      </c>
      <c r="K528" s="71">
        <v>50</v>
      </c>
      <c r="L528" s="62" t="s">
        <v>644</v>
      </c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61">
        <v>20797</v>
      </c>
      <c r="K529" s="71">
        <v>250</v>
      </c>
      <c r="L529" s="62" t="s">
        <v>658</v>
      </c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61"/>
      <c r="K530" s="71"/>
      <c r="L530" s="62" t="s">
        <v>690</v>
      </c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61">
        <v>20798</v>
      </c>
      <c r="K531" s="71">
        <v>100</v>
      </c>
      <c r="L531" s="62" t="s">
        <v>640</v>
      </c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61">
        <v>20799</v>
      </c>
      <c r="K532" s="71">
        <v>100</v>
      </c>
      <c r="L532" s="62" t="s">
        <v>640</v>
      </c>
      <c r="M532" s="58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61">
        <v>20800</v>
      </c>
      <c r="K533" s="71"/>
      <c r="L533" s="62" t="s">
        <v>59</v>
      </c>
    </row>
    <row r="534" spans="1:15" x14ac:dyDescent="0.25">
      <c r="A534" s="26"/>
      <c r="B534" s="66"/>
      <c r="C534" s="58"/>
      <c r="J534" s="61">
        <v>20801</v>
      </c>
      <c r="K534" s="71">
        <v>50</v>
      </c>
      <c r="L534" s="62" t="s">
        <v>644</v>
      </c>
    </row>
    <row r="535" spans="1:15" x14ac:dyDescent="0.25">
      <c r="A535" s="26"/>
      <c r="B535" s="66"/>
      <c r="C535" s="58"/>
      <c r="J535" s="61">
        <v>20802</v>
      </c>
      <c r="K535" s="71">
        <v>50</v>
      </c>
      <c r="L535" s="62" t="s">
        <v>644</v>
      </c>
    </row>
    <row r="536" spans="1:15" x14ac:dyDescent="0.25">
      <c r="A536" s="26"/>
      <c r="B536" s="66"/>
      <c r="C536" s="58"/>
      <c r="J536" s="61">
        <v>20803</v>
      </c>
      <c r="K536" s="71"/>
      <c r="L536" s="62" t="s">
        <v>59</v>
      </c>
    </row>
    <row r="537" spans="1:15" x14ac:dyDescent="0.25">
      <c r="J537" s="61">
        <v>20804</v>
      </c>
      <c r="K537" s="71">
        <v>100</v>
      </c>
      <c r="L537" s="62" t="s">
        <v>640</v>
      </c>
    </row>
    <row r="538" spans="1:15" x14ac:dyDescent="0.25">
      <c r="J538" s="61">
        <v>20805</v>
      </c>
      <c r="K538" s="71">
        <v>100</v>
      </c>
      <c r="L538" s="62" t="s">
        <v>640</v>
      </c>
    </row>
    <row r="539" spans="1:15" x14ac:dyDescent="0.25">
      <c r="J539" s="61">
        <v>20806</v>
      </c>
      <c r="K539" s="71">
        <v>100</v>
      </c>
      <c r="L539" s="62" t="s">
        <v>640</v>
      </c>
    </row>
    <row r="540" spans="1:15" x14ac:dyDescent="0.25">
      <c r="J540" s="61">
        <v>20807</v>
      </c>
      <c r="K540" s="71">
        <v>50</v>
      </c>
      <c r="L540" s="62" t="s">
        <v>644</v>
      </c>
    </row>
    <row r="541" spans="1:15" x14ac:dyDescent="0.25">
      <c r="J541" s="61">
        <v>20808</v>
      </c>
      <c r="K541" s="71">
        <v>50</v>
      </c>
      <c r="L541" s="62" t="s">
        <v>700</v>
      </c>
    </row>
    <row r="542" spans="1:15" x14ac:dyDescent="0.25">
      <c r="J542" s="61">
        <v>20809</v>
      </c>
      <c r="K542" s="71">
        <v>100</v>
      </c>
      <c r="L542" s="62" t="s">
        <v>640</v>
      </c>
    </row>
    <row r="543" spans="1:15" x14ac:dyDescent="0.25">
      <c r="J543" s="61">
        <v>20810</v>
      </c>
      <c r="K543" s="71">
        <v>50</v>
      </c>
      <c r="L543" s="62" t="s">
        <v>644</v>
      </c>
    </row>
    <row r="544" spans="1:15" x14ac:dyDescent="0.25">
      <c r="J544" s="61">
        <v>20811</v>
      </c>
      <c r="K544" s="71">
        <v>50</v>
      </c>
      <c r="L544" s="62" t="s">
        <v>644</v>
      </c>
    </row>
    <row r="545" spans="10:12" x14ac:dyDescent="0.25">
      <c r="J545" s="61">
        <v>20812</v>
      </c>
      <c r="K545" s="71">
        <v>900</v>
      </c>
      <c r="L545" s="62" t="s">
        <v>661</v>
      </c>
    </row>
    <row r="546" spans="10:12" x14ac:dyDescent="0.25">
      <c r="J546" s="61"/>
      <c r="K546" s="71"/>
      <c r="L546" s="62" t="s">
        <v>702</v>
      </c>
    </row>
    <row r="547" spans="10:12" x14ac:dyDescent="0.25">
      <c r="J547" s="61"/>
      <c r="K547" s="71"/>
      <c r="L547" s="62" t="s">
        <v>703</v>
      </c>
    </row>
    <row r="548" spans="10:12" x14ac:dyDescent="0.25">
      <c r="J548" s="61">
        <v>20813</v>
      </c>
      <c r="K548" s="71">
        <v>50</v>
      </c>
      <c r="L548" s="62" t="s">
        <v>644</v>
      </c>
    </row>
    <row r="549" spans="10:12" x14ac:dyDescent="0.25">
      <c r="J549" s="61">
        <v>20814</v>
      </c>
      <c r="K549" s="71">
        <v>50</v>
      </c>
      <c r="L549" s="62" t="s">
        <v>644</v>
      </c>
    </row>
    <row r="550" spans="10:12" x14ac:dyDescent="0.25">
      <c r="J550" s="61">
        <v>20815</v>
      </c>
      <c r="K550" s="71">
        <v>100</v>
      </c>
      <c r="L550" s="62" t="s">
        <v>640</v>
      </c>
    </row>
    <row r="551" spans="10:12" x14ac:dyDescent="0.25">
      <c r="J551" s="61"/>
      <c r="K551" s="71"/>
      <c r="L551" s="62"/>
    </row>
    <row r="552" spans="10:12" x14ac:dyDescent="0.25">
      <c r="J552" s="61"/>
      <c r="K552" s="71"/>
      <c r="L552" s="62"/>
    </row>
    <row r="553" spans="10:12" x14ac:dyDescent="0.25">
      <c r="J553" s="61"/>
      <c r="K553" s="71"/>
      <c r="L553" s="62"/>
    </row>
    <row r="554" spans="10:12" x14ac:dyDescent="0.25">
      <c r="J554" s="61"/>
      <c r="K554" s="71"/>
      <c r="L554" s="62"/>
    </row>
    <row r="555" spans="10:12" x14ac:dyDescent="0.25">
      <c r="J555" s="61"/>
      <c r="K555" s="71"/>
      <c r="L555" s="62"/>
    </row>
    <row r="556" spans="10:12" x14ac:dyDescent="0.25">
      <c r="J556" s="61"/>
      <c r="K556" s="71"/>
      <c r="L556" s="62"/>
    </row>
    <row r="557" spans="10:12" x14ac:dyDescent="0.25">
      <c r="J557" s="61"/>
      <c r="K557" s="71"/>
      <c r="L557" s="62"/>
    </row>
    <row r="558" spans="10:12" x14ac:dyDescent="0.25">
      <c r="J558" s="61"/>
      <c r="K558" s="71"/>
      <c r="L558" s="62"/>
    </row>
    <row r="559" spans="10:12" x14ac:dyDescent="0.25">
      <c r="J559" s="61"/>
      <c r="K559" s="71"/>
      <c r="L559" s="62"/>
    </row>
    <row r="560" spans="10:12" x14ac:dyDescent="0.25">
      <c r="L560" s="62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36"/>
  <sheetViews>
    <sheetView tabSelected="1" topLeftCell="D5" workbookViewId="0">
      <pane ySplit="3" topLeftCell="A64" activePane="bottomLeft" state="frozen"/>
      <selection activeCell="A5" sqref="A5"/>
      <selection pane="bottomLeft" activeCell="O80" sqref="O80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855468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570312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 t="s">
        <v>11</v>
      </c>
      <c r="M1" s="127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8" t="s">
        <v>8</v>
      </c>
      <c r="D3" s="128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9" t="s">
        <v>0</v>
      </c>
      <c r="B5" s="129"/>
      <c r="C5" s="129"/>
      <c r="D5" s="130" t="s">
        <v>4</v>
      </c>
      <c r="E5" s="130"/>
      <c r="F5" s="130"/>
      <c r="G5" s="131" t="s">
        <v>5</v>
      </c>
      <c r="H5" s="131"/>
      <c r="I5" s="131"/>
      <c r="J5" s="136" t="s">
        <v>6</v>
      </c>
      <c r="K5" s="136"/>
      <c r="L5" s="136"/>
      <c r="M5" s="124" t="s">
        <v>12</v>
      </c>
      <c r="N5" s="124"/>
      <c r="O5" s="124"/>
      <c r="Q5" s="133" t="s">
        <v>13</v>
      </c>
      <c r="R5" s="133"/>
    </row>
    <row r="6" spans="1:18" x14ac:dyDescent="0.25">
      <c r="A6" s="8">
        <f>SUBTOTAL(3,A8:A122)</f>
        <v>99</v>
      </c>
      <c r="B6" s="8">
        <f>SUBTOTAL(9,B8:B122)</f>
        <v>36600</v>
      </c>
      <c r="C6" s="35">
        <v>43800</v>
      </c>
      <c r="D6" s="8">
        <f>SUBTOTAL(3,D8:D120)</f>
        <v>76</v>
      </c>
      <c r="E6" s="1">
        <f>SUBTOTAL(9,E8:E124)</f>
        <v>77650</v>
      </c>
      <c r="F6" s="38">
        <v>43807</v>
      </c>
      <c r="G6" s="8">
        <f>SUBTOTAL(3,G8:G121)</f>
        <v>49</v>
      </c>
      <c r="H6" s="1">
        <f>SUBTOTAL(9,H8:H121)</f>
        <v>43450</v>
      </c>
      <c r="I6" s="39">
        <v>43814</v>
      </c>
      <c r="J6" s="8">
        <f>SUBTOTAL(3,J8:J110)</f>
        <v>33</v>
      </c>
      <c r="K6" s="1">
        <f>SUBTOTAL(9,K8:K110)</f>
        <v>23300</v>
      </c>
      <c r="L6" s="63">
        <v>43821</v>
      </c>
      <c r="M6" s="1">
        <f>SUBTOTAL(3,M8:M120)</f>
        <v>47</v>
      </c>
      <c r="N6" s="1">
        <f>SUBTOTAL(9,N8:N120)</f>
        <v>36200</v>
      </c>
      <c r="O6" s="85">
        <v>43828</v>
      </c>
      <c r="Q6" s="30">
        <f>+A6+D6+G6+J6+M6</f>
        <v>304</v>
      </c>
      <c r="R6" s="29">
        <f>+B6+E6+H6+K6+N6</f>
        <v>217200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20816</v>
      </c>
      <c r="B8" s="49">
        <v>50</v>
      </c>
      <c r="C8" s="17" t="s">
        <v>644</v>
      </c>
      <c r="D8" s="13">
        <v>20914</v>
      </c>
      <c r="E8" s="104">
        <v>250</v>
      </c>
      <c r="F8" s="14" t="s">
        <v>711</v>
      </c>
      <c r="G8" s="11">
        <v>20992</v>
      </c>
      <c r="H8" s="67"/>
      <c r="I8" s="12" t="s">
        <v>59</v>
      </c>
      <c r="J8" s="61">
        <v>21041</v>
      </c>
      <c r="K8" s="72">
        <v>400</v>
      </c>
      <c r="L8" s="62"/>
      <c r="M8" s="75">
        <v>21074</v>
      </c>
      <c r="N8" s="73">
        <v>300</v>
      </c>
      <c r="O8" s="15"/>
      <c r="Q8" s="32"/>
      <c r="R8" s="32"/>
    </row>
    <row r="9" spans="1:18" x14ac:dyDescent="0.25">
      <c r="A9" s="16">
        <v>20817</v>
      </c>
      <c r="B9" s="49">
        <v>50</v>
      </c>
      <c r="C9" s="17" t="s">
        <v>644</v>
      </c>
      <c r="D9" s="13">
        <v>20915</v>
      </c>
      <c r="E9" s="104">
        <v>250</v>
      </c>
      <c r="F9" s="14"/>
      <c r="G9" s="11">
        <v>20993</v>
      </c>
      <c r="H9" s="67">
        <v>300</v>
      </c>
      <c r="I9" s="12" t="s">
        <v>732</v>
      </c>
      <c r="J9" s="61">
        <v>21042</v>
      </c>
      <c r="K9" s="72">
        <v>1050</v>
      </c>
      <c r="L9" s="62" t="s">
        <v>482</v>
      </c>
      <c r="M9" s="75">
        <v>21075</v>
      </c>
      <c r="N9" s="73">
        <v>250</v>
      </c>
      <c r="O9" s="15" t="s">
        <v>752</v>
      </c>
    </row>
    <row r="10" spans="1:18" x14ac:dyDescent="0.25">
      <c r="A10" s="16">
        <v>20818</v>
      </c>
      <c r="B10" s="49">
        <v>700</v>
      </c>
      <c r="C10" s="17" t="s">
        <v>704</v>
      </c>
      <c r="D10" s="13">
        <v>20916</v>
      </c>
      <c r="E10" s="104">
        <v>250</v>
      </c>
      <c r="F10" s="14" t="s">
        <v>711</v>
      </c>
      <c r="G10" s="11"/>
      <c r="H10" s="67"/>
      <c r="I10" s="12" t="s">
        <v>691</v>
      </c>
      <c r="J10" s="61"/>
      <c r="K10" s="72"/>
      <c r="L10" s="62" t="s">
        <v>18</v>
      </c>
      <c r="M10" s="75">
        <v>21076</v>
      </c>
      <c r="N10" s="73">
        <v>700</v>
      </c>
      <c r="O10" s="15" t="s">
        <v>753</v>
      </c>
    </row>
    <row r="11" spans="1:18" x14ac:dyDescent="0.25">
      <c r="A11" s="16"/>
      <c r="B11" s="49"/>
      <c r="C11" s="17" t="s">
        <v>705</v>
      </c>
      <c r="D11" s="13">
        <v>20917</v>
      </c>
      <c r="E11" s="104">
        <v>250</v>
      </c>
      <c r="F11" s="14" t="s">
        <v>711</v>
      </c>
      <c r="G11" s="11">
        <v>20994</v>
      </c>
      <c r="H11" s="67"/>
      <c r="I11" s="12" t="s">
        <v>59</v>
      </c>
      <c r="J11" s="61">
        <v>21043</v>
      </c>
      <c r="K11" s="72">
        <v>400</v>
      </c>
      <c r="L11" s="62"/>
      <c r="M11" s="75">
        <v>21077</v>
      </c>
      <c r="N11" s="73">
        <v>50</v>
      </c>
      <c r="O11" s="15" t="s">
        <v>20</v>
      </c>
    </row>
    <row r="12" spans="1:18" x14ac:dyDescent="0.25">
      <c r="A12" s="16">
        <v>20819</v>
      </c>
      <c r="B12" s="49">
        <v>100</v>
      </c>
      <c r="C12" s="17" t="s">
        <v>640</v>
      </c>
      <c r="D12" s="13">
        <v>20918</v>
      </c>
      <c r="E12" s="104">
        <v>250</v>
      </c>
      <c r="F12" s="14" t="s">
        <v>711</v>
      </c>
      <c r="G12" s="11">
        <v>20995</v>
      </c>
      <c r="H12" s="67">
        <v>250</v>
      </c>
      <c r="I12" s="12" t="s">
        <v>718</v>
      </c>
      <c r="J12" s="61">
        <v>21044</v>
      </c>
      <c r="K12" s="72">
        <v>300</v>
      </c>
      <c r="L12" s="62" t="s">
        <v>34</v>
      </c>
      <c r="M12" s="75">
        <v>21078</v>
      </c>
      <c r="N12" s="73">
        <v>800</v>
      </c>
      <c r="O12" s="15" t="s">
        <v>494</v>
      </c>
    </row>
    <row r="13" spans="1:18" x14ac:dyDescent="0.25">
      <c r="A13" s="16">
        <v>20820</v>
      </c>
      <c r="B13" s="49">
        <v>50</v>
      </c>
      <c r="C13" s="17" t="s">
        <v>644</v>
      </c>
      <c r="D13" s="13">
        <v>20919</v>
      </c>
      <c r="E13" s="104">
        <v>250</v>
      </c>
      <c r="F13" s="14" t="s">
        <v>711</v>
      </c>
      <c r="G13" s="11">
        <v>20996</v>
      </c>
      <c r="H13" s="67">
        <v>800</v>
      </c>
      <c r="I13" s="12" t="s">
        <v>494</v>
      </c>
      <c r="J13" s="61">
        <v>21045</v>
      </c>
      <c r="K13" s="72">
        <v>400</v>
      </c>
      <c r="L13" s="62"/>
      <c r="M13" s="75"/>
      <c r="N13" s="73"/>
      <c r="O13" s="15" t="s">
        <v>15</v>
      </c>
    </row>
    <row r="14" spans="1:18" x14ac:dyDescent="0.25">
      <c r="A14" s="16">
        <v>20821</v>
      </c>
      <c r="B14" s="49">
        <v>50</v>
      </c>
      <c r="C14" s="17" t="s">
        <v>644</v>
      </c>
      <c r="D14" s="13">
        <v>20920</v>
      </c>
      <c r="E14" s="104"/>
      <c r="F14" s="14" t="s">
        <v>602</v>
      </c>
      <c r="G14" s="11"/>
      <c r="H14" s="67"/>
      <c r="I14" s="12" t="s">
        <v>270</v>
      </c>
      <c r="J14" s="61">
        <v>21046</v>
      </c>
      <c r="K14" s="72">
        <v>500</v>
      </c>
      <c r="L14" s="62" t="s">
        <v>741</v>
      </c>
      <c r="M14" s="75">
        <v>21079</v>
      </c>
      <c r="N14" s="73">
        <v>800</v>
      </c>
      <c r="O14" s="31" t="s">
        <v>494</v>
      </c>
    </row>
    <row r="15" spans="1:18" x14ac:dyDescent="0.25">
      <c r="A15" s="16">
        <v>20822</v>
      </c>
      <c r="B15" s="49">
        <v>300</v>
      </c>
      <c r="C15" s="17" t="s">
        <v>644</v>
      </c>
      <c r="D15" s="13"/>
      <c r="E15" s="104"/>
      <c r="F15" s="14" t="s">
        <v>270</v>
      </c>
      <c r="G15" s="11">
        <v>20997</v>
      </c>
      <c r="H15" s="67">
        <v>5500</v>
      </c>
      <c r="I15" s="12" t="s">
        <v>538</v>
      </c>
      <c r="J15" s="61">
        <v>21047</v>
      </c>
      <c r="K15" s="72">
        <v>400</v>
      </c>
      <c r="L15" s="62"/>
      <c r="M15" s="75"/>
      <c r="N15" s="73"/>
      <c r="O15" s="15" t="s">
        <v>15</v>
      </c>
    </row>
    <row r="16" spans="1:18" x14ac:dyDescent="0.25">
      <c r="A16" s="16"/>
      <c r="B16" s="49"/>
      <c r="C16" s="17" t="s">
        <v>705</v>
      </c>
      <c r="D16" s="13">
        <v>20921</v>
      </c>
      <c r="E16" s="104">
        <v>600</v>
      </c>
      <c r="F16" s="14" t="s">
        <v>575</v>
      </c>
      <c r="G16" s="11"/>
      <c r="H16" s="67"/>
      <c r="I16" s="12" t="s">
        <v>592</v>
      </c>
      <c r="J16" s="61">
        <v>21048</v>
      </c>
      <c r="K16" s="72">
        <v>900</v>
      </c>
      <c r="L16" s="62" t="s">
        <v>494</v>
      </c>
      <c r="M16" s="75">
        <v>21080</v>
      </c>
      <c r="N16" s="73">
        <v>250</v>
      </c>
      <c r="O16" s="15" t="s">
        <v>754</v>
      </c>
    </row>
    <row r="17" spans="1:15" x14ac:dyDescent="0.25">
      <c r="A17" s="16">
        <v>20823</v>
      </c>
      <c r="B17" s="49">
        <v>50</v>
      </c>
      <c r="C17" s="17" t="s">
        <v>644</v>
      </c>
      <c r="D17" s="13"/>
      <c r="E17" s="104"/>
      <c r="F17" s="14" t="s">
        <v>151</v>
      </c>
      <c r="G17" s="11"/>
      <c r="H17" s="67"/>
      <c r="I17" s="12" t="s">
        <v>86</v>
      </c>
      <c r="J17" s="61"/>
      <c r="K17" s="72"/>
      <c r="L17" s="62" t="s">
        <v>742</v>
      </c>
      <c r="M17" s="75">
        <v>21081</v>
      </c>
      <c r="N17" s="73">
        <v>300</v>
      </c>
      <c r="O17" s="15"/>
    </row>
    <row r="18" spans="1:15" x14ac:dyDescent="0.25">
      <c r="A18" s="16">
        <v>20824</v>
      </c>
      <c r="B18" s="49">
        <v>50</v>
      </c>
      <c r="C18" s="17" t="s">
        <v>644</v>
      </c>
      <c r="D18" s="13">
        <v>20922</v>
      </c>
      <c r="E18" s="104">
        <v>500</v>
      </c>
      <c r="F18" s="33" t="s">
        <v>713</v>
      </c>
      <c r="G18" s="11">
        <v>20998</v>
      </c>
      <c r="H18" s="67">
        <v>250</v>
      </c>
      <c r="I18" s="12" t="s">
        <v>718</v>
      </c>
      <c r="J18" s="61">
        <v>21049</v>
      </c>
      <c r="K18" s="72">
        <v>50</v>
      </c>
      <c r="L18" s="62" t="s">
        <v>20</v>
      </c>
      <c r="M18" s="75">
        <v>21082</v>
      </c>
      <c r="N18" s="73">
        <v>200</v>
      </c>
      <c r="O18" s="15" t="s">
        <v>755</v>
      </c>
    </row>
    <row r="19" spans="1:15" x14ac:dyDescent="0.25">
      <c r="A19" s="16">
        <v>20825</v>
      </c>
      <c r="B19" s="49">
        <v>50</v>
      </c>
      <c r="C19" s="17" t="s">
        <v>644</v>
      </c>
      <c r="D19" s="13">
        <v>20923</v>
      </c>
      <c r="E19" s="104">
        <v>300</v>
      </c>
      <c r="F19" s="14" t="s">
        <v>714</v>
      </c>
      <c r="G19" s="11">
        <v>20999</v>
      </c>
      <c r="H19" s="67">
        <v>100</v>
      </c>
      <c r="I19" s="12" t="s">
        <v>217</v>
      </c>
      <c r="J19" s="61">
        <v>21050</v>
      </c>
      <c r="K19" s="72">
        <v>800</v>
      </c>
      <c r="L19" s="62" t="s">
        <v>494</v>
      </c>
      <c r="M19" s="75">
        <v>21083</v>
      </c>
      <c r="N19" s="73">
        <v>400</v>
      </c>
      <c r="O19" s="15"/>
    </row>
    <row r="20" spans="1:15" x14ac:dyDescent="0.25">
      <c r="A20" s="16">
        <v>20826</v>
      </c>
      <c r="B20" s="49">
        <v>50</v>
      </c>
      <c r="C20" s="17" t="s">
        <v>644</v>
      </c>
      <c r="D20" s="13"/>
      <c r="E20" s="104"/>
      <c r="F20" s="14" t="s">
        <v>715</v>
      </c>
      <c r="G20" s="11">
        <v>21000</v>
      </c>
      <c r="H20" s="67">
        <v>1000</v>
      </c>
      <c r="I20" s="12" t="s">
        <v>733</v>
      </c>
      <c r="J20" s="61"/>
      <c r="K20" s="72"/>
      <c r="L20" s="62" t="s">
        <v>15</v>
      </c>
      <c r="M20" s="75">
        <v>21084</v>
      </c>
      <c r="N20" s="73">
        <v>800</v>
      </c>
      <c r="O20" s="15" t="s">
        <v>494</v>
      </c>
    </row>
    <row r="21" spans="1:15" x14ac:dyDescent="0.25">
      <c r="A21" s="16">
        <v>20827</v>
      </c>
      <c r="B21" s="49">
        <v>150</v>
      </c>
      <c r="C21" s="17" t="s">
        <v>638</v>
      </c>
      <c r="D21" s="13">
        <v>20924</v>
      </c>
      <c r="E21" s="104">
        <v>850</v>
      </c>
      <c r="F21" s="14" t="s">
        <v>716</v>
      </c>
      <c r="G21" s="11"/>
      <c r="H21" s="67"/>
      <c r="I21" s="12" t="s">
        <v>734</v>
      </c>
      <c r="J21" s="61">
        <v>21051</v>
      </c>
      <c r="K21" s="72">
        <v>1200</v>
      </c>
      <c r="L21" s="62" t="s">
        <v>482</v>
      </c>
      <c r="M21" s="75"/>
      <c r="N21" s="73"/>
      <c r="O21" s="15" t="s">
        <v>15</v>
      </c>
    </row>
    <row r="22" spans="1:15" x14ac:dyDescent="0.25">
      <c r="A22" s="16">
        <v>20828</v>
      </c>
      <c r="B22" s="49">
        <v>400</v>
      </c>
      <c r="C22" s="17"/>
      <c r="D22" s="13"/>
      <c r="E22" s="104"/>
      <c r="F22" s="14" t="s">
        <v>717</v>
      </c>
      <c r="G22" s="11">
        <v>21001</v>
      </c>
      <c r="H22" s="67">
        <v>400</v>
      </c>
      <c r="I22" s="12"/>
      <c r="J22" s="61"/>
      <c r="K22" s="72"/>
      <c r="L22" s="62" t="s">
        <v>15</v>
      </c>
      <c r="M22" s="75">
        <v>21085</v>
      </c>
      <c r="N22" s="73">
        <v>400</v>
      </c>
      <c r="O22" s="15" t="s">
        <v>494</v>
      </c>
    </row>
    <row r="23" spans="1:15" x14ac:dyDescent="0.25">
      <c r="A23" s="16">
        <v>20829</v>
      </c>
      <c r="B23" s="49">
        <v>400</v>
      </c>
      <c r="C23" s="17"/>
      <c r="D23" s="13">
        <v>20925</v>
      </c>
      <c r="E23" s="104">
        <v>200</v>
      </c>
      <c r="F23" s="14" t="s">
        <v>718</v>
      </c>
      <c r="G23" s="11">
        <v>21002</v>
      </c>
      <c r="H23" s="67">
        <v>2250</v>
      </c>
      <c r="I23" s="12" t="s">
        <v>735</v>
      </c>
      <c r="J23" s="61">
        <v>21052</v>
      </c>
      <c r="K23" s="72">
        <v>400</v>
      </c>
      <c r="L23" s="62"/>
      <c r="M23" s="75"/>
      <c r="N23" s="73"/>
      <c r="O23" s="15" t="s">
        <v>14</v>
      </c>
    </row>
    <row r="24" spans="1:15" x14ac:dyDescent="0.25">
      <c r="A24" s="16">
        <v>20830</v>
      </c>
      <c r="B24" s="49">
        <v>400</v>
      </c>
      <c r="C24" s="17"/>
      <c r="D24" s="13">
        <v>20926</v>
      </c>
      <c r="E24" s="104">
        <v>3200</v>
      </c>
      <c r="F24" s="14" t="s">
        <v>532</v>
      </c>
      <c r="G24" s="11"/>
      <c r="H24" s="67"/>
      <c r="I24" s="12" t="s">
        <v>705</v>
      </c>
      <c r="J24" s="61">
        <v>21053</v>
      </c>
      <c r="K24" s="72">
        <v>5500</v>
      </c>
      <c r="L24" s="62" t="s">
        <v>538</v>
      </c>
      <c r="M24" s="75">
        <v>21086</v>
      </c>
      <c r="N24" s="73">
        <v>400</v>
      </c>
      <c r="O24" s="15" t="s">
        <v>494</v>
      </c>
    </row>
    <row r="25" spans="1:15" x14ac:dyDescent="0.25">
      <c r="A25" s="16">
        <v>20831</v>
      </c>
      <c r="B25" s="49">
        <v>400</v>
      </c>
      <c r="C25" s="17" t="s">
        <v>494</v>
      </c>
      <c r="D25" s="13"/>
      <c r="E25" s="104"/>
      <c r="F25" s="14" t="s">
        <v>270</v>
      </c>
      <c r="G25" s="11">
        <v>21003</v>
      </c>
      <c r="H25" s="67"/>
      <c r="I25" s="12" t="s">
        <v>59</v>
      </c>
      <c r="J25" s="61"/>
      <c r="K25" s="72"/>
      <c r="L25" s="62" t="s">
        <v>111</v>
      </c>
      <c r="M25" s="75"/>
      <c r="N25" s="73"/>
      <c r="O25" s="15" t="s">
        <v>14</v>
      </c>
    </row>
    <row r="26" spans="1:15" x14ac:dyDescent="0.25">
      <c r="A26" s="16"/>
      <c r="B26" s="49"/>
      <c r="C26" s="17" t="s">
        <v>14</v>
      </c>
      <c r="D26" s="13">
        <v>20927</v>
      </c>
      <c r="E26" s="104">
        <v>150</v>
      </c>
      <c r="F26" s="14" t="s">
        <v>719</v>
      </c>
      <c r="G26" s="11">
        <v>21004</v>
      </c>
      <c r="H26" s="67">
        <v>900</v>
      </c>
      <c r="I26" s="12" t="s">
        <v>736</v>
      </c>
      <c r="J26" s="61"/>
      <c r="K26" s="72"/>
      <c r="L26" s="62" t="s">
        <v>86</v>
      </c>
      <c r="M26" s="75">
        <v>21087</v>
      </c>
      <c r="N26" s="73">
        <v>5500</v>
      </c>
      <c r="O26" s="15" t="s">
        <v>538</v>
      </c>
    </row>
    <row r="27" spans="1:15" x14ac:dyDescent="0.25">
      <c r="A27" s="16">
        <v>20832</v>
      </c>
      <c r="B27" s="49">
        <v>200</v>
      </c>
      <c r="C27" s="17"/>
      <c r="D27" s="13">
        <v>20928</v>
      </c>
      <c r="E27" s="104">
        <v>2100</v>
      </c>
      <c r="F27" s="14" t="s">
        <v>720</v>
      </c>
      <c r="G27" s="11"/>
      <c r="H27" s="67"/>
      <c r="I27" s="119">
        <v>500</v>
      </c>
      <c r="J27" s="61">
        <v>21054</v>
      </c>
      <c r="K27" s="72">
        <v>3850</v>
      </c>
      <c r="L27" s="62" t="s">
        <v>538</v>
      </c>
      <c r="M27" s="75"/>
      <c r="N27" s="73"/>
      <c r="O27" s="31" t="s">
        <v>111</v>
      </c>
    </row>
    <row r="28" spans="1:15" x14ac:dyDescent="0.25">
      <c r="A28" s="16">
        <v>20833</v>
      </c>
      <c r="B28" s="49">
        <v>400</v>
      </c>
      <c r="C28" s="17" t="s">
        <v>540</v>
      </c>
      <c r="D28" s="13"/>
      <c r="E28" s="104"/>
      <c r="F28" s="95" t="s">
        <v>16</v>
      </c>
      <c r="G28" s="11">
        <v>21005</v>
      </c>
      <c r="H28" s="67">
        <v>400</v>
      </c>
      <c r="I28" s="12"/>
      <c r="J28" s="61"/>
      <c r="K28" s="72"/>
      <c r="L28" s="62" t="s">
        <v>18</v>
      </c>
      <c r="M28" s="75"/>
      <c r="N28" s="73"/>
      <c r="O28" s="15" t="s">
        <v>42</v>
      </c>
    </row>
    <row r="29" spans="1:15" x14ac:dyDescent="0.25">
      <c r="A29" s="16">
        <v>20834</v>
      </c>
      <c r="B29" s="49">
        <v>400</v>
      </c>
      <c r="C29" s="17"/>
      <c r="D29" s="13">
        <v>20929</v>
      </c>
      <c r="E29" s="104">
        <v>50</v>
      </c>
      <c r="F29" s="14" t="s">
        <v>708</v>
      </c>
      <c r="G29" s="11">
        <v>21006</v>
      </c>
      <c r="H29" s="67">
        <v>400</v>
      </c>
      <c r="I29" s="12"/>
      <c r="J29" s="61"/>
      <c r="K29" s="72"/>
      <c r="L29" s="62" t="s">
        <v>86</v>
      </c>
      <c r="M29" s="75">
        <v>21088</v>
      </c>
      <c r="N29" s="73">
        <v>250</v>
      </c>
      <c r="O29" s="15" t="s">
        <v>756</v>
      </c>
    </row>
    <row r="30" spans="1:15" x14ac:dyDescent="0.25">
      <c r="A30" s="16">
        <v>20835</v>
      </c>
      <c r="B30" s="49">
        <v>400</v>
      </c>
      <c r="C30" s="17"/>
      <c r="D30" s="13">
        <v>20930</v>
      </c>
      <c r="E30" s="104">
        <v>400</v>
      </c>
      <c r="F30" s="14" t="s">
        <v>721</v>
      </c>
      <c r="G30" s="11">
        <v>21007</v>
      </c>
      <c r="H30" s="67">
        <v>400</v>
      </c>
      <c r="I30" s="12" t="s">
        <v>494</v>
      </c>
      <c r="J30" s="61">
        <v>21055</v>
      </c>
      <c r="K30" s="72">
        <v>400</v>
      </c>
      <c r="L30" s="62"/>
      <c r="M30" s="75">
        <v>21089</v>
      </c>
      <c r="N30" s="73">
        <v>100</v>
      </c>
      <c r="O30" s="15" t="s">
        <v>217</v>
      </c>
    </row>
    <row r="31" spans="1:15" x14ac:dyDescent="0.25">
      <c r="A31" s="16">
        <v>20836</v>
      </c>
      <c r="B31" s="49">
        <v>400</v>
      </c>
      <c r="C31" s="17"/>
      <c r="D31" s="13"/>
      <c r="E31" s="104"/>
      <c r="F31" s="14" t="s">
        <v>44</v>
      </c>
      <c r="G31" s="11"/>
      <c r="H31" s="67"/>
      <c r="I31" s="12" t="s">
        <v>14</v>
      </c>
      <c r="J31" s="61">
        <v>21056</v>
      </c>
      <c r="K31" s="72">
        <v>200</v>
      </c>
      <c r="L31" s="62"/>
      <c r="M31" s="75">
        <v>21090</v>
      </c>
      <c r="N31" s="73">
        <v>400</v>
      </c>
      <c r="O31" s="15" t="s">
        <v>741</v>
      </c>
    </row>
    <row r="32" spans="1:15" x14ac:dyDescent="0.25">
      <c r="A32" s="16">
        <v>20837</v>
      </c>
      <c r="B32" s="49">
        <v>400</v>
      </c>
      <c r="C32" s="17"/>
      <c r="D32" s="13">
        <v>20931</v>
      </c>
      <c r="E32" s="104">
        <v>4400</v>
      </c>
      <c r="F32" s="14" t="s">
        <v>722</v>
      </c>
      <c r="G32" s="11">
        <v>21008</v>
      </c>
      <c r="H32" s="67">
        <v>400</v>
      </c>
      <c r="I32" s="12"/>
      <c r="J32" s="61">
        <v>21057</v>
      </c>
      <c r="K32" s="72">
        <v>300</v>
      </c>
      <c r="L32" s="62"/>
      <c r="M32" s="75">
        <v>21091</v>
      </c>
      <c r="N32" s="73">
        <v>200</v>
      </c>
      <c r="O32" s="15"/>
    </row>
    <row r="33" spans="1:15" x14ac:dyDescent="0.25">
      <c r="A33" s="16">
        <v>20838</v>
      </c>
      <c r="B33" s="49">
        <v>400</v>
      </c>
      <c r="C33" s="17"/>
      <c r="D33" s="13"/>
      <c r="E33" s="104"/>
      <c r="F33" s="14" t="s">
        <v>44</v>
      </c>
      <c r="G33" s="11">
        <v>21009</v>
      </c>
      <c r="H33" s="67">
        <v>300</v>
      </c>
      <c r="I33" s="12"/>
      <c r="J33" s="61">
        <v>21058</v>
      </c>
      <c r="K33" s="72">
        <v>400</v>
      </c>
      <c r="L33" s="62"/>
      <c r="M33" s="75">
        <v>21092</v>
      </c>
      <c r="N33" s="73">
        <v>400</v>
      </c>
      <c r="O33" s="15" t="s">
        <v>494</v>
      </c>
    </row>
    <row r="34" spans="1:15" x14ac:dyDescent="0.25">
      <c r="A34" s="16">
        <v>20839</v>
      </c>
      <c r="B34" s="49">
        <v>200</v>
      </c>
      <c r="C34" s="17" t="s">
        <v>656</v>
      </c>
      <c r="D34" s="13"/>
      <c r="E34" s="104"/>
      <c r="F34" s="14" t="s">
        <v>42</v>
      </c>
      <c r="G34" s="11">
        <v>21010</v>
      </c>
      <c r="H34" s="67">
        <v>200</v>
      </c>
      <c r="I34" s="12" t="s">
        <v>737</v>
      </c>
      <c r="J34" s="61">
        <v>21059</v>
      </c>
      <c r="K34" s="72">
        <v>50</v>
      </c>
      <c r="L34" s="62" t="s">
        <v>20</v>
      </c>
      <c r="M34" s="75"/>
      <c r="N34" s="73"/>
      <c r="O34" s="31" t="s">
        <v>14</v>
      </c>
    </row>
    <row r="35" spans="1:15" x14ac:dyDescent="0.25">
      <c r="A35" s="16">
        <v>20840</v>
      </c>
      <c r="B35" s="49">
        <v>400</v>
      </c>
      <c r="C35" s="17"/>
      <c r="D35" s="13">
        <v>20932</v>
      </c>
      <c r="E35" s="104">
        <v>5500</v>
      </c>
      <c r="F35" s="14" t="s">
        <v>722</v>
      </c>
      <c r="G35" s="11">
        <v>21011</v>
      </c>
      <c r="H35" s="67">
        <v>400</v>
      </c>
      <c r="I35" s="12" t="s">
        <v>737</v>
      </c>
      <c r="J35" s="61">
        <v>21060</v>
      </c>
      <c r="K35" s="72">
        <v>250</v>
      </c>
      <c r="L35" s="62" t="s">
        <v>743</v>
      </c>
      <c r="M35" s="75">
        <v>21093</v>
      </c>
      <c r="N35" s="73">
        <v>900</v>
      </c>
      <c r="O35" s="15" t="s">
        <v>757</v>
      </c>
    </row>
    <row r="36" spans="1:15" x14ac:dyDescent="0.25">
      <c r="A36" s="16">
        <v>20841</v>
      </c>
      <c r="B36" s="49">
        <v>800</v>
      </c>
      <c r="C36" s="17" t="s">
        <v>494</v>
      </c>
      <c r="D36" s="13"/>
      <c r="E36" s="104"/>
      <c r="F36" s="14" t="s">
        <v>44</v>
      </c>
      <c r="G36" s="11">
        <v>21012</v>
      </c>
      <c r="H36" s="67">
        <v>300</v>
      </c>
      <c r="I36" s="12" t="s">
        <v>34</v>
      </c>
      <c r="J36" s="61">
        <v>21061</v>
      </c>
      <c r="K36" s="72">
        <v>50</v>
      </c>
      <c r="L36" s="62" t="s">
        <v>20</v>
      </c>
      <c r="M36" s="75"/>
      <c r="N36" s="73"/>
      <c r="O36" s="15" t="s">
        <v>758</v>
      </c>
    </row>
    <row r="37" spans="1:15" x14ac:dyDescent="0.25">
      <c r="A37" s="16"/>
      <c r="B37" s="49"/>
      <c r="C37" s="17" t="s">
        <v>15</v>
      </c>
      <c r="D37" s="13"/>
      <c r="E37" s="104"/>
      <c r="F37" s="14" t="s">
        <v>42</v>
      </c>
      <c r="G37" s="11">
        <v>21013</v>
      </c>
      <c r="H37" s="67">
        <v>500</v>
      </c>
      <c r="I37" s="12" t="s">
        <v>738</v>
      </c>
      <c r="J37" s="61">
        <v>21062</v>
      </c>
      <c r="K37" s="72">
        <v>300</v>
      </c>
      <c r="L37" s="62"/>
      <c r="M37" s="75">
        <v>21094</v>
      </c>
      <c r="N37" s="73">
        <v>100</v>
      </c>
      <c r="O37" s="15" t="s">
        <v>217</v>
      </c>
    </row>
    <row r="38" spans="1:15" x14ac:dyDescent="0.25">
      <c r="A38" s="16">
        <v>20842</v>
      </c>
      <c r="B38" s="49">
        <v>400</v>
      </c>
      <c r="C38" s="17"/>
      <c r="D38" s="13">
        <v>20933</v>
      </c>
      <c r="E38" s="104">
        <v>400</v>
      </c>
      <c r="F38" s="14" t="s">
        <v>723</v>
      </c>
      <c r="G38" s="11">
        <v>21014</v>
      </c>
      <c r="H38" s="67">
        <v>400</v>
      </c>
      <c r="I38" s="12"/>
      <c r="J38" s="61">
        <v>21063</v>
      </c>
      <c r="K38" s="72">
        <v>300</v>
      </c>
      <c r="L38" s="62" t="s">
        <v>540</v>
      </c>
      <c r="M38" s="75">
        <v>21095</v>
      </c>
      <c r="N38" s="73">
        <v>200</v>
      </c>
      <c r="O38" s="15" t="s">
        <v>741</v>
      </c>
    </row>
    <row r="39" spans="1:15" x14ac:dyDescent="0.25">
      <c r="A39" s="16">
        <v>20843</v>
      </c>
      <c r="B39" s="49">
        <v>50</v>
      </c>
      <c r="C39" s="17" t="s">
        <v>644</v>
      </c>
      <c r="D39" s="13">
        <v>20934</v>
      </c>
      <c r="E39" s="104">
        <v>500</v>
      </c>
      <c r="F39" s="14" t="s">
        <v>713</v>
      </c>
      <c r="G39" s="11">
        <v>21015</v>
      </c>
      <c r="H39" s="67">
        <v>400</v>
      </c>
      <c r="I39" s="12"/>
      <c r="J39" s="61">
        <v>21064</v>
      </c>
      <c r="K39" s="72">
        <v>400</v>
      </c>
      <c r="L39" s="62" t="s">
        <v>744</v>
      </c>
      <c r="M39" s="75">
        <v>21096</v>
      </c>
      <c r="N39" s="73">
        <v>400</v>
      </c>
      <c r="O39" s="15"/>
    </row>
    <row r="40" spans="1:15" x14ac:dyDescent="0.25">
      <c r="A40" s="16">
        <v>20844</v>
      </c>
      <c r="B40" s="49">
        <v>300</v>
      </c>
      <c r="C40" s="17"/>
      <c r="D40" s="13">
        <v>20935</v>
      </c>
      <c r="E40" s="104">
        <v>300</v>
      </c>
      <c r="F40" s="14"/>
      <c r="G40" s="11">
        <v>21016</v>
      </c>
      <c r="H40" s="67">
        <v>400</v>
      </c>
      <c r="I40" s="12"/>
      <c r="J40" s="61">
        <v>21065</v>
      </c>
      <c r="K40" s="72">
        <v>250</v>
      </c>
      <c r="L40" s="62" t="s">
        <v>745</v>
      </c>
      <c r="M40" s="75">
        <v>21097</v>
      </c>
      <c r="N40" s="73">
        <v>650</v>
      </c>
      <c r="O40" s="15" t="s">
        <v>757</v>
      </c>
    </row>
    <row r="41" spans="1:15" x14ac:dyDescent="0.25">
      <c r="A41" s="16">
        <v>20845</v>
      </c>
      <c r="B41" s="49">
        <v>400</v>
      </c>
      <c r="C41" s="17" t="s">
        <v>540</v>
      </c>
      <c r="D41" s="13">
        <v>20936</v>
      </c>
      <c r="E41" s="104">
        <v>300</v>
      </c>
      <c r="F41" s="14"/>
      <c r="G41" s="11">
        <v>21017</v>
      </c>
      <c r="H41" s="67"/>
      <c r="I41" s="12" t="s">
        <v>59</v>
      </c>
      <c r="J41" s="61">
        <v>21066</v>
      </c>
      <c r="K41" s="72">
        <v>450</v>
      </c>
      <c r="L41" s="62" t="s">
        <v>494</v>
      </c>
      <c r="M41" s="75"/>
      <c r="N41" s="73"/>
      <c r="O41" s="15" t="s">
        <v>759</v>
      </c>
    </row>
    <row r="42" spans="1:15" x14ac:dyDescent="0.25">
      <c r="A42" s="16">
        <v>20846</v>
      </c>
      <c r="B42" s="49">
        <v>350</v>
      </c>
      <c r="C42" s="17"/>
      <c r="D42" s="13">
        <v>20937</v>
      </c>
      <c r="E42" s="104">
        <v>600</v>
      </c>
      <c r="F42" s="14" t="s">
        <v>724</v>
      </c>
      <c r="G42" s="11">
        <v>21018</v>
      </c>
      <c r="H42" s="67">
        <v>750</v>
      </c>
      <c r="I42" s="12" t="s">
        <v>482</v>
      </c>
      <c r="J42" s="61"/>
      <c r="K42" s="72"/>
      <c r="L42" s="62" t="s">
        <v>746</v>
      </c>
      <c r="M42" s="75">
        <v>21098</v>
      </c>
      <c r="N42" s="73">
        <v>250</v>
      </c>
      <c r="O42" s="15" t="s">
        <v>741</v>
      </c>
    </row>
    <row r="43" spans="1:15" x14ac:dyDescent="0.25">
      <c r="A43" s="16">
        <v>20847</v>
      </c>
      <c r="B43" s="49">
        <v>400</v>
      </c>
      <c r="C43" s="17"/>
      <c r="D43" s="13"/>
      <c r="E43" s="104"/>
      <c r="F43" s="14" t="s">
        <v>16</v>
      </c>
      <c r="G43" s="11"/>
      <c r="H43" s="67"/>
      <c r="I43" s="12" t="s">
        <v>19</v>
      </c>
      <c r="J43" s="61">
        <v>21067</v>
      </c>
      <c r="K43" s="72">
        <v>100</v>
      </c>
      <c r="L43" s="62" t="s">
        <v>747</v>
      </c>
      <c r="M43" s="75">
        <v>21099</v>
      </c>
      <c r="N43" s="73"/>
      <c r="O43" s="15" t="s">
        <v>59</v>
      </c>
    </row>
    <row r="44" spans="1:15" x14ac:dyDescent="0.25">
      <c r="A44" s="16">
        <v>20848</v>
      </c>
      <c r="B44" s="49">
        <v>400</v>
      </c>
      <c r="C44" s="17"/>
      <c r="D44" s="13">
        <v>20938</v>
      </c>
      <c r="E44" s="104">
        <v>50</v>
      </c>
      <c r="F44" s="14" t="s">
        <v>725</v>
      </c>
      <c r="G44" s="11">
        <v>21019</v>
      </c>
      <c r="H44" s="67">
        <v>400</v>
      </c>
      <c r="I44" s="12" t="s">
        <v>494</v>
      </c>
      <c r="J44" s="61">
        <v>21068</v>
      </c>
      <c r="K44" s="72">
        <v>400</v>
      </c>
      <c r="L44" s="62"/>
      <c r="M44" s="75">
        <v>21100</v>
      </c>
      <c r="N44" s="73">
        <v>500</v>
      </c>
      <c r="O44" s="15" t="s">
        <v>741</v>
      </c>
    </row>
    <row r="45" spans="1:15" x14ac:dyDescent="0.25">
      <c r="A45" s="16">
        <v>20849</v>
      </c>
      <c r="B45" s="49">
        <v>400</v>
      </c>
      <c r="C45" s="17"/>
      <c r="D45" s="13">
        <v>20939</v>
      </c>
      <c r="E45" s="104">
        <v>800</v>
      </c>
      <c r="F45" s="14" t="s">
        <v>494</v>
      </c>
      <c r="G45" s="11"/>
      <c r="H45" s="67"/>
      <c r="I45" s="12" t="s">
        <v>14</v>
      </c>
      <c r="J45" s="61">
        <v>21069</v>
      </c>
      <c r="K45" s="72">
        <v>400</v>
      </c>
      <c r="L45" s="62"/>
      <c r="M45" s="75">
        <v>21101</v>
      </c>
      <c r="N45" s="73">
        <v>300</v>
      </c>
      <c r="O45" s="15" t="s">
        <v>540</v>
      </c>
    </row>
    <row r="46" spans="1:15" x14ac:dyDescent="0.25">
      <c r="A46" s="16">
        <v>20850</v>
      </c>
      <c r="B46" s="49">
        <v>400</v>
      </c>
      <c r="C46" s="17"/>
      <c r="D46" s="13"/>
      <c r="E46" s="104"/>
      <c r="F46" s="14" t="s">
        <v>270</v>
      </c>
      <c r="G46" s="11">
        <v>21020</v>
      </c>
      <c r="H46" s="67">
        <v>800</v>
      </c>
      <c r="I46" s="12" t="s">
        <v>739</v>
      </c>
      <c r="J46" s="61">
        <v>21070</v>
      </c>
      <c r="K46" s="72">
        <v>400</v>
      </c>
      <c r="L46" s="62"/>
      <c r="M46" s="75">
        <v>21102</v>
      </c>
      <c r="N46" s="73">
        <v>250</v>
      </c>
      <c r="O46" s="15" t="s">
        <v>760</v>
      </c>
    </row>
    <row r="47" spans="1:15" x14ac:dyDescent="0.25">
      <c r="A47" s="16">
        <v>20851</v>
      </c>
      <c r="B47" s="49">
        <v>100</v>
      </c>
      <c r="C47" s="17" t="s">
        <v>640</v>
      </c>
      <c r="D47" s="13">
        <v>20940</v>
      </c>
      <c r="E47" s="104">
        <v>250</v>
      </c>
      <c r="F47" s="14" t="s">
        <v>718</v>
      </c>
      <c r="G47" s="11"/>
      <c r="H47" s="67"/>
      <c r="I47" s="12" t="s">
        <v>270</v>
      </c>
      <c r="J47" s="61">
        <v>21071</v>
      </c>
      <c r="K47" s="72">
        <v>650</v>
      </c>
      <c r="L47" s="62" t="s">
        <v>658</v>
      </c>
      <c r="M47" s="75">
        <v>21103</v>
      </c>
      <c r="N47" s="73">
        <v>500</v>
      </c>
      <c r="O47" s="15" t="s">
        <v>761</v>
      </c>
    </row>
    <row r="48" spans="1:15" x14ac:dyDescent="0.25">
      <c r="A48" s="16">
        <v>20852</v>
      </c>
      <c r="B48" s="49">
        <v>50</v>
      </c>
      <c r="C48" s="17" t="s">
        <v>644</v>
      </c>
      <c r="D48" s="13">
        <v>20941</v>
      </c>
      <c r="E48" s="104">
        <v>5500</v>
      </c>
      <c r="F48" s="14" t="s">
        <v>722</v>
      </c>
      <c r="G48" s="11">
        <v>21021</v>
      </c>
      <c r="H48" s="67">
        <v>400</v>
      </c>
      <c r="I48" s="12"/>
      <c r="J48" s="61"/>
      <c r="K48" s="72"/>
      <c r="L48" s="62" t="s">
        <v>748</v>
      </c>
      <c r="M48" s="75">
        <v>21104</v>
      </c>
      <c r="N48" s="73">
        <v>800</v>
      </c>
      <c r="O48" s="15" t="s">
        <v>494</v>
      </c>
    </row>
    <row r="49" spans="1:15" x14ac:dyDescent="0.25">
      <c r="A49" s="16">
        <v>20853</v>
      </c>
      <c r="B49" s="49">
        <v>450</v>
      </c>
      <c r="C49" s="17" t="s">
        <v>644</v>
      </c>
      <c r="D49" s="13"/>
      <c r="E49" s="104"/>
      <c r="F49" s="14" t="s">
        <v>111</v>
      </c>
      <c r="G49" s="11">
        <v>21022</v>
      </c>
      <c r="H49" s="67">
        <v>400</v>
      </c>
      <c r="I49" s="12"/>
      <c r="J49" s="61">
        <v>21072</v>
      </c>
      <c r="K49" s="72">
        <v>1600</v>
      </c>
      <c r="L49" s="62" t="s">
        <v>749</v>
      </c>
      <c r="M49" s="75"/>
      <c r="N49" s="73"/>
      <c r="O49" s="15" t="s">
        <v>15</v>
      </c>
    </row>
    <row r="50" spans="1:15" x14ac:dyDescent="0.25">
      <c r="A50" s="16"/>
      <c r="B50" s="49"/>
      <c r="C50" s="17" t="s">
        <v>705</v>
      </c>
      <c r="D50" s="13"/>
      <c r="E50" s="104"/>
      <c r="F50" s="14" t="s">
        <v>42</v>
      </c>
      <c r="G50" s="11">
        <v>21023</v>
      </c>
      <c r="H50" s="67">
        <v>250</v>
      </c>
      <c r="I50" s="12" t="s">
        <v>740</v>
      </c>
      <c r="J50" s="61"/>
      <c r="K50" s="72"/>
      <c r="L50" s="62" t="s">
        <v>750</v>
      </c>
      <c r="M50" s="75">
        <v>21105</v>
      </c>
      <c r="N50" s="73">
        <v>800</v>
      </c>
      <c r="O50" s="15" t="s">
        <v>494</v>
      </c>
    </row>
    <row r="51" spans="1:15" x14ac:dyDescent="0.25">
      <c r="A51" s="16">
        <v>20854</v>
      </c>
      <c r="B51" s="49">
        <v>200</v>
      </c>
      <c r="C51" s="17" t="s">
        <v>644</v>
      </c>
      <c r="D51" s="13">
        <v>20942</v>
      </c>
      <c r="E51" s="104">
        <v>400</v>
      </c>
      <c r="F51" s="14" t="s">
        <v>726</v>
      </c>
      <c r="G51" s="11">
        <v>21024</v>
      </c>
      <c r="H51" s="67">
        <v>5500</v>
      </c>
      <c r="I51" s="12" t="s">
        <v>538</v>
      </c>
      <c r="J51" s="61">
        <v>21073</v>
      </c>
      <c r="K51" s="72">
        <v>250</v>
      </c>
      <c r="L51" s="62" t="s">
        <v>751</v>
      </c>
      <c r="M51" s="75"/>
      <c r="N51" s="73"/>
      <c r="O51" s="15" t="s">
        <v>15</v>
      </c>
    </row>
    <row r="52" spans="1:15" x14ac:dyDescent="0.25">
      <c r="A52" s="16">
        <v>20855</v>
      </c>
      <c r="B52" s="49">
        <v>50</v>
      </c>
      <c r="C52" s="17" t="s">
        <v>675</v>
      </c>
      <c r="D52" s="13"/>
      <c r="E52" s="104"/>
      <c r="F52" s="14" t="s">
        <v>14</v>
      </c>
      <c r="G52" s="11"/>
      <c r="H52" s="67"/>
      <c r="I52" s="12" t="s">
        <v>592</v>
      </c>
      <c r="J52" s="61"/>
      <c r="K52" s="72"/>
      <c r="L52" s="62"/>
      <c r="M52" s="75">
        <v>21106</v>
      </c>
      <c r="N52" s="73">
        <v>50</v>
      </c>
      <c r="O52" s="15" t="s">
        <v>20</v>
      </c>
    </row>
    <row r="53" spans="1:15" x14ac:dyDescent="0.25">
      <c r="A53" s="16">
        <v>20856</v>
      </c>
      <c r="B53" s="49">
        <v>400</v>
      </c>
      <c r="C53" s="17"/>
      <c r="D53" s="13">
        <v>20943</v>
      </c>
      <c r="E53" s="104">
        <v>300</v>
      </c>
      <c r="F53" s="14" t="s">
        <v>34</v>
      </c>
      <c r="G53" s="11"/>
      <c r="H53" s="67"/>
      <c r="I53" s="12" t="s">
        <v>86</v>
      </c>
      <c r="J53" s="61"/>
      <c r="K53" s="72"/>
      <c r="L53" s="62"/>
      <c r="M53" s="75">
        <v>21107</v>
      </c>
      <c r="N53" s="73">
        <v>400</v>
      </c>
      <c r="O53" s="15"/>
    </row>
    <row r="54" spans="1:15" x14ac:dyDescent="0.25">
      <c r="A54" s="16">
        <v>20857</v>
      </c>
      <c r="B54" s="49">
        <v>250</v>
      </c>
      <c r="C54" s="17" t="s">
        <v>656</v>
      </c>
      <c r="D54" s="13">
        <v>20944</v>
      </c>
      <c r="E54" s="104">
        <v>400</v>
      </c>
      <c r="F54" s="14"/>
      <c r="G54" s="11">
        <v>21025</v>
      </c>
      <c r="H54" s="67">
        <v>4400</v>
      </c>
      <c r="I54" s="12" t="s">
        <v>538</v>
      </c>
      <c r="J54" s="61"/>
      <c r="K54" s="72"/>
      <c r="L54" s="62"/>
      <c r="M54" s="75">
        <v>21108</v>
      </c>
      <c r="N54" s="73">
        <v>300</v>
      </c>
      <c r="O54" s="15" t="s">
        <v>762</v>
      </c>
    </row>
    <row r="55" spans="1:15" x14ac:dyDescent="0.25">
      <c r="A55" s="16">
        <v>20858</v>
      </c>
      <c r="B55" s="49">
        <v>400</v>
      </c>
      <c r="C55" s="17"/>
      <c r="D55" s="13">
        <v>20945</v>
      </c>
      <c r="E55" s="104">
        <v>450</v>
      </c>
      <c r="F55" s="14" t="s">
        <v>682</v>
      </c>
      <c r="G55" s="11"/>
      <c r="H55" s="67"/>
      <c r="I55" s="12" t="s">
        <v>270</v>
      </c>
      <c r="J55" s="61"/>
      <c r="K55" s="72"/>
      <c r="L55" s="62"/>
      <c r="M55" s="75"/>
      <c r="N55" s="73"/>
      <c r="O55" s="15" t="s">
        <v>214</v>
      </c>
    </row>
    <row r="56" spans="1:15" x14ac:dyDescent="0.25">
      <c r="A56" s="16">
        <v>20859</v>
      </c>
      <c r="B56" s="49">
        <v>100</v>
      </c>
      <c r="C56" s="17" t="s">
        <v>640</v>
      </c>
      <c r="D56" s="13"/>
      <c r="E56" s="104"/>
      <c r="F56" s="14" t="s">
        <v>690</v>
      </c>
      <c r="G56" s="11"/>
      <c r="H56" s="67"/>
      <c r="I56" s="12" t="s">
        <v>86</v>
      </c>
      <c r="J56" s="61"/>
      <c r="K56" s="72"/>
      <c r="L56" s="62"/>
      <c r="M56" s="75">
        <v>21109</v>
      </c>
      <c r="N56" s="73">
        <v>500</v>
      </c>
      <c r="O56" s="15"/>
    </row>
    <row r="57" spans="1:15" x14ac:dyDescent="0.25">
      <c r="A57" s="16">
        <v>20860</v>
      </c>
      <c r="B57" s="49">
        <v>350</v>
      </c>
      <c r="C57" s="17"/>
      <c r="D57" s="13">
        <v>20946</v>
      </c>
      <c r="E57" s="104">
        <v>400</v>
      </c>
      <c r="F57" s="14"/>
      <c r="G57" s="11">
        <v>21026</v>
      </c>
      <c r="H57" s="67">
        <v>400</v>
      </c>
      <c r="I57" s="12" t="s">
        <v>660</v>
      </c>
      <c r="J57" s="61"/>
      <c r="K57" s="72"/>
      <c r="L57" s="62"/>
      <c r="M57" s="75">
        <v>21110</v>
      </c>
      <c r="N57" s="73">
        <v>800</v>
      </c>
      <c r="O57" s="15" t="s">
        <v>494</v>
      </c>
    </row>
    <row r="58" spans="1:15" x14ac:dyDescent="0.25">
      <c r="A58" s="16">
        <v>20861</v>
      </c>
      <c r="B58" s="49">
        <v>3000</v>
      </c>
      <c r="C58" s="17" t="s">
        <v>54</v>
      </c>
      <c r="D58" s="13">
        <v>20947</v>
      </c>
      <c r="E58" s="104">
        <v>400</v>
      </c>
      <c r="F58" s="14"/>
      <c r="G58" s="11">
        <v>21027</v>
      </c>
      <c r="H58" s="67">
        <v>250</v>
      </c>
      <c r="I58" s="12" t="s">
        <v>718</v>
      </c>
      <c r="J58" s="61"/>
      <c r="K58" s="72"/>
      <c r="L58" s="62"/>
      <c r="M58" s="75"/>
      <c r="N58" s="73"/>
      <c r="O58" s="15" t="s">
        <v>15</v>
      </c>
    </row>
    <row r="59" spans="1:15" x14ac:dyDescent="0.25">
      <c r="A59" s="16"/>
      <c r="B59" s="49"/>
      <c r="C59" s="17" t="s">
        <v>706</v>
      </c>
      <c r="D59" s="13">
        <v>20948</v>
      </c>
      <c r="E59" s="104">
        <v>200</v>
      </c>
      <c r="F59" s="14"/>
      <c r="G59" s="11">
        <v>21028</v>
      </c>
      <c r="H59" s="67">
        <v>4400</v>
      </c>
      <c r="I59" s="12" t="s">
        <v>538</v>
      </c>
      <c r="J59" s="61"/>
      <c r="K59" s="72"/>
      <c r="L59" s="62"/>
      <c r="M59" s="75">
        <v>21111</v>
      </c>
      <c r="N59" s="73">
        <v>1200</v>
      </c>
      <c r="O59" s="15" t="s">
        <v>763</v>
      </c>
    </row>
    <row r="60" spans="1:15" x14ac:dyDescent="0.25">
      <c r="A60" s="16">
        <v>20862</v>
      </c>
      <c r="B60" s="49">
        <v>400</v>
      </c>
      <c r="C60" s="17" t="s">
        <v>707</v>
      </c>
      <c r="D60" s="13">
        <v>20949</v>
      </c>
      <c r="E60" s="104">
        <v>350</v>
      </c>
      <c r="F60" s="14"/>
      <c r="G60" s="11"/>
      <c r="H60" s="67"/>
      <c r="I60" s="12" t="s">
        <v>270</v>
      </c>
      <c r="J60" s="61"/>
      <c r="K60" s="72"/>
      <c r="L60" s="62"/>
      <c r="M60" s="75"/>
      <c r="N60" s="73"/>
      <c r="O60" s="15" t="s">
        <v>764</v>
      </c>
    </row>
    <row r="61" spans="1:15" x14ac:dyDescent="0.25">
      <c r="A61" s="16">
        <v>20863</v>
      </c>
      <c r="B61" s="49">
        <v>300</v>
      </c>
      <c r="C61" s="17"/>
      <c r="D61" s="13">
        <v>20950</v>
      </c>
      <c r="E61" s="104">
        <v>400</v>
      </c>
      <c r="F61" s="14"/>
      <c r="G61" s="11"/>
      <c r="H61" s="67"/>
      <c r="I61" s="12" t="s">
        <v>86</v>
      </c>
      <c r="J61" s="61"/>
      <c r="K61" s="72"/>
      <c r="L61" s="62"/>
      <c r="M61" s="75"/>
      <c r="N61" s="73"/>
      <c r="O61" s="15" t="s">
        <v>765</v>
      </c>
    </row>
    <row r="62" spans="1:15" x14ac:dyDescent="0.25">
      <c r="A62" s="16">
        <v>20864</v>
      </c>
      <c r="B62" s="49">
        <v>250</v>
      </c>
      <c r="C62" s="17"/>
      <c r="D62" s="13">
        <v>20951</v>
      </c>
      <c r="E62" s="104">
        <v>5500</v>
      </c>
      <c r="F62" s="14" t="s">
        <v>722</v>
      </c>
      <c r="G62" s="11">
        <v>21029</v>
      </c>
      <c r="H62" s="67">
        <v>400</v>
      </c>
      <c r="I62" s="12"/>
      <c r="J62" s="61"/>
      <c r="K62" s="72"/>
      <c r="L62" s="62"/>
      <c r="M62" s="75"/>
      <c r="N62" s="73"/>
      <c r="O62" s="15" t="s">
        <v>766</v>
      </c>
    </row>
    <row r="63" spans="1:15" x14ac:dyDescent="0.25">
      <c r="A63" s="16">
        <v>20865</v>
      </c>
      <c r="B63" s="49">
        <v>50</v>
      </c>
      <c r="C63" s="17" t="s">
        <v>708</v>
      </c>
      <c r="D63" s="13"/>
      <c r="E63" s="104"/>
      <c r="F63" s="14" t="s">
        <v>111</v>
      </c>
      <c r="G63" s="11">
        <v>21030</v>
      </c>
      <c r="H63" s="67">
        <v>400</v>
      </c>
      <c r="I63" s="12"/>
      <c r="J63" s="61"/>
      <c r="K63" s="72"/>
      <c r="L63" s="62"/>
      <c r="M63" s="75">
        <v>21112</v>
      </c>
      <c r="N63" s="73">
        <v>800</v>
      </c>
      <c r="O63" s="15" t="s">
        <v>494</v>
      </c>
    </row>
    <row r="64" spans="1:15" x14ac:dyDescent="0.25">
      <c r="A64" s="16">
        <v>20866</v>
      </c>
      <c r="B64" s="49">
        <v>200</v>
      </c>
      <c r="C64" s="17"/>
      <c r="D64" s="13"/>
      <c r="E64" s="104"/>
      <c r="F64" s="14" t="s">
        <v>42</v>
      </c>
      <c r="G64" s="11">
        <v>21031</v>
      </c>
      <c r="H64" s="67">
        <v>400</v>
      </c>
      <c r="I64" s="12"/>
      <c r="J64" s="61"/>
      <c r="K64" s="72"/>
      <c r="L64" s="62"/>
      <c r="M64" s="75"/>
      <c r="N64" s="73"/>
      <c r="O64" s="15" t="s">
        <v>15</v>
      </c>
    </row>
    <row r="65" spans="1:15" x14ac:dyDescent="0.25">
      <c r="A65" s="16">
        <v>20867</v>
      </c>
      <c r="B65" s="49">
        <v>300</v>
      </c>
      <c r="C65" s="17" t="s">
        <v>34</v>
      </c>
      <c r="D65" s="13">
        <v>20952</v>
      </c>
      <c r="E65" s="104">
        <v>250</v>
      </c>
      <c r="F65" s="14" t="s">
        <v>718</v>
      </c>
      <c r="G65" s="11">
        <v>21032</v>
      </c>
      <c r="H65" s="67">
        <v>800</v>
      </c>
      <c r="I65" s="12" t="s">
        <v>494</v>
      </c>
      <c r="J65" s="61"/>
      <c r="K65" s="72"/>
      <c r="L65" s="62"/>
      <c r="M65" s="75">
        <v>21113</v>
      </c>
      <c r="N65" s="73">
        <v>5500</v>
      </c>
      <c r="O65" s="15" t="s">
        <v>538</v>
      </c>
    </row>
    <row r="66" spans="1:15" x14ac:dyDescent="0.25">
      <c r="A66" s="16">
        <v>20868</v>
      </c>
      <c r="B66" s="49">
        <v>5500</v>
      </c>
      <c r="C66" s="17" t="s">
        <v>96</v>
      </c>
      <c r="D66" s="13">
        <v>20953</v>
      </c>
      <c r="E66" s="104">
        <v>400</v>
      </c>
      <c r="F66" s="14"/>
      <c r="G66" s="11"/>
      <c r="H66" s="67"/>
      <c r="I66" s="12" t="s">
        <v>270</v>
      </c>
      <c r="J66" s="61"/>
      <c r="K66" s="72"/>
      <c r="L66" s="62"/>
      <c r="M66" s="75"/>
      <c r="N66" s="73"/>
      <c r="O66" s="15" t="s">
        <v>111</v>
      </c>
    </row>
    <row r="67" spans="1:15" x14ac:dyDescent="0.25">
      <c r="A67" s="16"/>
      <c r="B67" s="49"/>
      <c r="C67" s="17" t="s">
        <v>592</v>
      </c>
      <c r="D67" s="13">
        <v>20954</v>
      </c>
      <c r="E67" s="104">
        <v>5500</v>
      </c>
      <c r="F67" s="14" t="s">
        <v>722</v>
      </c>
      <c r="G67" s="11">
        <v>21033</v>
      </c>
      <c r="H67" s="67">
        <v>400</v>
      </c>
      <c r="I67" s="12"/>
      <c r="J67" s="61"/>
      <c r="K67" s="72"/>
      <c r="L67" s="62"/>
      <c r="M67" s="75"/>
      <c r="N67" s="73"/>
      <c r="O67" s="15" t="s">
        <v>42</v>
      </c>
    </row>
    <row r="68" spans="1:15" x14ac:dyDescent="0.25">
      <c r="A68" s="16"/>
      <c r="B68" s="49"/>
      <c r="C68" s="17" t="s">
        <v>86</v>
      </c>
      <c r="D68" s="13"/>
      <c r="E68" s="104"/>
      <c r="F68" s="14" t="s">
        <v>111</v>
      </c>
      <c r="G68" s="11">
        <v>21034</v>
      </c>
      <c r="H68" s="67">
        <v>4400</v>
      </c>
      <c r="I68" s="12" t="s">
        <v>32</v>
      </c>
      <c r="J68" s="61"/>
      <c r="K68" s="72"/>
      <c r="L68" s="62"/>
      <c r="M68" s="75">
        <v>21114</v>
      </c>
      <c r="N68" s="73">
        <v>400</v>
      </c>
      <c r="O68" s="15" t="s">
        <v>494</v>
      </c>
    </row>
    <row r="69" spans="1:15" x14ac:dyDescent="0.25">
      <c r="A69" s="16">
        <v>20869</v>
      </c>
      <c r="B69" s="49">
        <v>100</v>
      </c>
      <c r="C69" s="17" t="s">
        <v>640</v>
      </c>
      <c r="D69" s="13"/>
      <c r="E69" s="104"/>
      <c r="F69" s="14" t="s">
        <v>42</v>
      </c>
      <c r="G69" s="11"/>
      <c r="H69" s="67"/>
      <c r="I69" s="12" t="s">
        <v>270</v>
      </c>
      <c r="J69" s="61"/>
      <c r="K69" s="72"/>
      <c r="L69" s="62"/>
      <c r="M69" s="75"/>
      <c r="N69" s="73"/>
      <c r="O69" s="15" t="s">
        <v>14</v>
      </c>
    </row>
    <row r="70" spans="1:15" x14ac:dyDescent="0.25">
      <c r="A70" s="16">
        <v>20870</v>
      </c>
      <c r="B70" s="49">
        <v>400</v>
      </c>
      <c r="C70" s="17" t="s">
        <v>540</v>
      </c>
      <c r="D70" s="13">
        <v>20955</v>
      </c>
      <c r="E70" s="104">
        <v>250</v>
      </c>
      <c r="F70" s="14" t="s">
        <v>718</v>
      </c>
      <c r="G70" s="11"/>
      <c r="H70" s="67"/>
      <c r="I70" s="12" t="s">
        <v>86</v>
      </c>
      <c r="J70" s="61"/>
      <c r="K70" s="72"/>
      <c r="L70" s="62"/>
      <c r="M70" s="75">
        <v>21115</v>
      </c>
      <c r="N70" s="73">
        <v>400</v>
      </c>
      <c r="O70" s="15"/>
    </row>
    <row r="71" spans="1:15" x14ac:dyDescent="0.25">
      <c r="A71" s="16">
        <v>20871</v>
      </c>
      <c r="B71" s="49">
        <v>1200</v>
      </c>
      <c r="C71" s="17" t="s">
        <v>611</v>
      </c>
      <c r="D71" s="13">
        <v>20956</v>
      </c>
      <c r="E71" s="104">
        <v>50</v>
      </c>
      <c r="F71" s="14" t="s">
        <v>644</v>
      </c>
      <c r="G71" s="11">
        <v>21035</v>
      </c>
      <c r="H71" s="67">
        <v>200</v>
      </c>
      <c r="I71" s="12"/>
      <c r="J71" s="61"/>
      <c r="K71" s="72"/>
      <c r="L71" s="62"/>
      <c r="M71" s="75">
        <v>21116</v>
      </c>
      <c r="N71" s="73">
        <v>300</v>
      </c>
      <c r="O71" s="15"/>
    </row>
    <row r="72" spans="1:15" x14ac:dyDescent="0.25">
      <c r="A72" s="16"/>
      <c r="B72" s="49"/>
      <c r="C72" s="17" t="s">
        <v>15</v>
      </c>
      <c r="D72" s="13">
        <v>20957</v>
      </c>
      <c r="E72" s="104">
        <v>250</v>
      </c>
      <c r="F72" s="14"/>
      <c r="G72" s="11">
        <v>21036</v>
      </c>
      <c r="H72" s="67">
        <v>400</v>
      </c>
      <c r="I72" s="12"/>
      <c r="J72" s="61"/>
      <c r="K72" s="72"/>
      <c r="L72" s="62"/>
      <c r="M72" s="75">
        <v>21117</v>
      </c>
      <c r="N72" s="73">
        <v>5500</v>
      </c>
      <c r="O72" s="15" t="s">
        <v>538</v>
      </c>
    </row>
    <row r="73" spans="1:15" x14ac:dyDescent="0.25">
      <c r="A73" s="16">
        <v>20872</v>
      </c>
      <c r="B73" s="49">
        <v>250</v>
      </c>
      <c r="C73" s="17" t="s">
        <v>656</v>
      </c>
      <c r="D73" s="13">
        <v>20958</v>
      </c>
      <c r="E73" s="104">
        <v>250</v>
      </c>
      <c r="F73" s="14" t="s">
        <v>690</v>
      </c>
      <c r="G73" s="11">
        <v>21037</v>
      </c>
      <c r="H73" s="67">
        <v>250</v>
      </c>
      <c r="I73" s="12" t="s">
        <v>718</v>
      </c>
      <c r="J73" s="61"/>
      <c r="K73" s="72"/>
      <c r="L73" s="62"/>
      <c r="M73" s="75"/>
      <c r="N73" s="73"/>
      <c r="O73" s="15" t="s">
        <v>111</v>
      </c>
    </row>
    <row r="74" spans="1:15" x14ac:dyDescent="0.25">
      <c r="A74" s="16">
        <v>20873</v>
      </c>
      <c r="B74" s="49">
        <v>800</v>
      </c>
      <c r="C74" s="17" t="s">
        <v>494</v>
      </c>
      <c r="D74" s="13">
        <v>20959</v>
      </c>
      <c r="E74" s="104">
        <v>400</v>
      </c>
      <c r="F74" s="14"/>
      <c r="G74" s="11">
        <v>21038</v>
      </c>
      <c r="H74" s="67">
        <v>400</v>
      </c>
      <c r="I74" s="12" t="s">
        <v>494</v>
      </c>
      <c r="J74" s="61"/>
      <c r="K74" s="72"/>
      <c r="L74" s="62"/>
      <c r="M74" s="75"/>
      <c r="N74" s="73"/>
      <c r="O74" s="15" t="s">
        <v>42</v>
      </c>
    </row>
    <row r="75" spans="1:15" x14ac:dyDescent="0.25">
      <c r="A75" s="16"/>
      <c r="B75" s="49"/>
      <c r="C75" s="17" t="s">
        <v>15</v>
      </c>
      <c r="D75" s="13">
        <v>20960</v>
      </c>
      <c r="E75" s="104">
        <v>400</v>
      </c>
      <c r="F75" s="14"/>
      <c r="G75" s="11"/>
      <c r="H75" s="67"/>
      <c r="I75" s="12" t="s">
        <v>14</v>
      </c>
      <c r="J75" s="61"/>
      <c r="K75" s="72"/>
      <c r="L75" s="62"/>
      <c r="M75" s="75">
        <v>21118</v>
      </c>
      <c r="N75" s="73">
        <v>650</v>
      </c>
      <c r="O75" s="15" t="s">
        <v>767</v>
      </c>
    </row>
    <row r="76" spans="1:15" x14ac:dyDescent="0.25">
      <c r="A76" s="16">
        <v>20874</v>
      </c>
      <c r="B76" s="49">
        <v>400</v>
      </c>
      <c r="C76" s="17"/>
      <c r="D76" s="13">
        <v>20961</v>
      </c>
      <c r="E76" s="104">
        <v>600</v>
      </c>
      <c r="F76" s="14" t="s">
        <v>482</v>
      </c>
      <c r="G76" s="11">
        <v>21039</v>
      </c>
      <c r="H76" s="67">
        <v>400</v>
      </c>
      <c r="I76" s="12" t="s">
        <v>494</v>
      </c>
      <c r="J76" s="61"/>
      <c r="K76" s="72"/>
      <c r="L76" s="62"/>
      <c r="M76" s="75"/>
      <c r="N76" s="73"/>
      <c r="O76" s="15" t="s">
        <v>768</v>
      </c>
    </row>
    <row r="77" spans="1:15" x14ac:dyDescent="0.25">
      <c r="A77" s="16">
        <v>20875</v>
      </c>
      <c r="B77" s="49">
        <v>400</v>
      </c>
      <c r="C77" s="17"/>
      <c r="D77" s="13"/>
      <c r="E77" s="104"/>
      <c r="F77" s="14" t="s">
        <v>14</v>
      </c>
      <c r="G77" s="11"/>
      <c r="H77" s="67"/>
      <c r="I77" s="12" t="s">
        <v>14</v>
      </c>
      <c r="J77" s="61"/>
      <c r="K77" s="72"/>
      <c r="L77" s="62"/>
      <c r="M77" s="75">
        <v>21119</v>
      </c>
      <c r="N77" s="73">
        <v>1050</v>
      </c>
      <c r="O77" s="15" t="s">
        <v>741</v>
      </c>
    </row>
    <row r="78" spans="1:15" x14ac:dyDescent="0.25">
      <c r="A78" s="16">
        <v>20876</v>
      </c>
      <c r="B78" s="49">
        <v>500</v>
      </c>
      <c r="C78" s="17"/>
      <c r="D78" s="13">
        <v>20962</v>
      </c>
      <c r="E78" s="104">
        <v>5500</v>
      </c>
      <c r="F78" s="14" t="s">
        <v>722</v>
      </c>
      <c r="G78" s="11">
        <v>21040</v>
      </c>
      <c r="H78" s="67">
        <v>800</v>
      </c>
      <c r="I78" s="12" t="s">
        <v>494</v>
      </c>
      <c r="J78" s="61"/>
      <c r="K78" s="72"/>
      <c r="L78" s="62"/>
      <c r="M78" s="75"/>
      <c r="N78" s="73"/>
      <c r="O78" s="15" t="s">
        <v>769</v>
      </c>
    </row>
    <row r="79" spans="1:15" x14ac:dyDescent="0.25">
      <c r="A79" s="16">
        <v>20877</v>
      </c>
      <c r="B79" s="49">
        <v>400</v>
      </c>
      <c r="C79" s="17"/>
      <c r="D79" s="13"/>
      <c r="E79" s="104"/>
      <c r="F79" s="14" t="s">
        <v>111</v>
      </c>
      <c r="G79" s="11"/>
      <c r="H79" s="67"/>
      <c r="I79" s="12" t="s">
        <v>270</v>
      </c>
      <c r="J79" s="61"/>
      <c r="K79" s="72"/>
      <c r="L79" s="62"/>
      <c r="M79" s="75">
        <v>21120</v>
      </c>
      <c r="N79" s="73">
        <v>200</v>
      </c>
      <c r="O79" s="15" t="s">
        <v>770</v>
      </c>
    </row>
    <row r="80" spans="1:15" x14ac:dyDescent="0.25">
      <c r="A80" s="16">
        <v>20878</v>
      </c>
      <c r="B80" s="49">
        <v>250</v>
      </c>
      <c r="C80" s="17" t="s">
        <v>540</v>
      </c>
      <c r="D80" s="13"/>
      <c r="E80" s="104"/>
      <c r="F80" s="14" t="s">
        <v>42</v>
      </c>
      <c r="G80" s="11"/>
      <c r="H80" s="67"/>
      <c r="I80" s="12"/>
      <c r="J80" s="61"/>
      <c r="K80" s="72"/>
      <c r="L80" s="62"/>
      <c r="M80" s="75"/>
      <c r="N80" s="73"/>
      <c r="O80" s="15"/>
    </row>
    <row r="81" spans="1:19" x14ac:dyDescent="0.25">
      <c r="A81" s="16">
        <v>20879</v>
      </c>
      <c r="B81" s="49">
        <v>50</v>
      </c>
      <c r="C81" s="17" t="s">
        <v>644</v>
      </c>
      <c r="D81" s="13">
        <v>20963</v>
      </c>
      <c r="E81" s="104">
        <v>1550</v>
      </c>
      <c r="F81" s="14" t="s">
        <v>727</v>
      </c>
      <c r="G81" s="11"/>
      <c r="H81" s="67"/>
      <c r="I81" s="12"/>
      <c r="J81" s="61"/>
      <c r="K81" s="72"/>
      <c r="L81" s="62"/>
      <c r="M81" s="75"/>
      <c r="N81" s="73"/>
      <c r="O81" s="15"/>
    </row>
    <row r="82" spans="1:19" x14ac:dyDescent="0.25">
      <c r="A82" s="16">
        <v>20880</v>
      </c>
      <c r="B82" s="49">
        <v>50</v>
      </c>
      <c r="C82" s="17" t="s">
        <v>644</v>
      </c>
      <c r="D82" s="13"/>
      <c r="E82" s="104"/>
      <c r="F82" s="14" t="s">
        <v>728</v>
      </c>
      <c r="G82" s="11"/>
      <c r="H82" s="67"/>
      <c r="I82" s="12"/>
      <c r="J82" s="61"/>
      <c r="K82" s="72"/>
      <c r="L82" s="62"/>
      <c r="M82" s="75"/>
      <c r="N82" s="73"/>
      <c r="O82" s="15"/>
    </row>
    <row r="83" spans="1:19" x14ac:dyDescent="0.25">
      <c r="A83" s="16">
        <v>20881</v>
      </c>
      <c r="B83" s="49"/>
      <c r="C83" s="17" t="s">
        <v>59</v>
      </c>
      <c r="D83" s="13"/>
      <c r="E83" s="104"/>
      <c r="F83" s="14" t="s">
        <v>729</v>
      </c>
      <c r="G83" s="11"/>
      <c r="H83" s="67"/>
      <c r="I83" s="12"/>
      <c r="J83" s="61"/>
      <c r="K83" s="72"/>
      <c r="L83" s="62"/>
      <c r="M83" s="75"/>
      <c r="N83" s="73"/>
      <c r="O83" s="15"/>
    </row>
    <row r="84" spans="1:19" x14ac:dyDescent="0.25">
      <c r="A84" s="16">
        <v>20882</v>
      </c>
      <c r="B84" s="49">
        <v>200</v>
      </c>
      <c r="C84" s="17" t="s">
        <v>641</v>
      </c>
      <c r="D84" s="13">
        <v>20964</v>
      </c>
      <c r="E84" s="104">
        <v>600</v>
      </c>
      <c r="F84" s="14" t="s">
        <v>638</v>
      </c>
      <c r="G84" s="11"/>
      <c r="H84" s="67"/>
      <c r="I84" s="12"/>
      <c r="J84" s="61"/>
      <c r="K84" s="72"/>
      <c r="L84" s="62"/>
      <c r="M84" s="75"/>
      <c r="N84" s="73"/>
      <c r="O84" s="15"/>
    </row>
    <row r="85" spans="1:19" x14ac:dyDescent="0.25">
      <c r="A85" s="16">
        <v>20883</v>
      </c>
      <c r="B85" s="49"/>
      <c r="C85" s="17" t="s">
        <v>59</v>
      </c>
      <c r="D85" s="13">
        <v>20965</v>
      </c>
      <c r="E85" s="104">
        <v>3600</v>
      </c>
      <c r="F85" s="14" t="s">
        <v>722</v>
      </c>
      <c r="G85" s="11"/>
      <c r="H85" s="67"/>
      <c r="I85" s="12"/>
      <c r="J85" s="61"/>
      <c r="K85" s="72"/>
      <c r="L85" s="62"/>
      <c r="M85" s="75"/>
      <c r="N85" s="73"/>
      <c r="O85" s="15"/>
    </row>
    <row r="86" spans="1:19" x14ac:dyDescent="0.25">
      <c r="A86" s="16">
        <v>20884</v>
      </c>
      <c r="B86" s="49">
        <v>400</v>
      </c>
      <c r="C86" s="17" t="s">
        <v>709</v>
      </c>
      <c r="D86" s="13"/>
      <c r="E86" s="104"/>
      <c r="F86" s="14" t="s">
        <v>16</v>
      </c>
      <c r="G86" s="11"/>
      <c r="H86" s="67"/>
      <c r="I86" s="12"/>
      <c r="J86" s="61"/>
      <c r="K86" s="72"/>
      <c r="L86" s="62"/>
      <c r="M86" s="75"/>
      <c r="N86" s="73"/>
      <c r="O86" s="15"/>
    </row>
    <row r="87" spans="1:19" x14ac:dyDescent="0.25">
      <c r="A87" s="16"/>
      <c r="B87" s="49"/>
      <c r="C87" s="17" t="s">
        <v>547</v>
      </c>
      <c r="D87" s="13">
        <v>20966</v>
      </c>
      <c r="E87" s="104">
        <v>300</v>
      </c>
      <c r="F87" s="14" t="s">
        <v>540</v>
      </c>
      <c r="G87" s="11"/>
      <c r="H87" s="67"/>
      <c r="I87" s="12"/>
      <c r="J87" s="61"/>
      <c r="K87" s="72"/>
      <c r="L87" s="62"/>
      <c r="M87" s="75"/>
      <c r="N87" s="73"/>
      <c r="O87" s="15"/>
    </row>
    <row r="88" spans="1:19" x14ac:dyDescent="0.25">
      <c r="A88" s="16">
        <v>20885</v>
      </c>
      <c r="B88" s="49">
        <v>50</v>
      </c>
      <c r="C88" s="17" t="s">
        <v>644</v>
      </c>
      <c r="D88" s="13">
        <v>20967</v>
      </c>
      <c r="E88" s="104">
        <v>400</v>
      </c>
      <c r="F88" s="14"/>
      <c r="G88" s="11"/>
      <c r="H88" s="67"/>
      <c r="I88" s="12"/>
      <c r="J88" s="61"/>
      <c r="K88" s="72"/>
      <c r="L88" s="62"/>
      <c r="M88" s="75"/>
      <c r="N88" s="73"/>
      <c r="O88" s="15"/>
    </row>
    <row r="89" spans="1:19" x14ac:dyDescent="0.25">
      <c r="A89" s="16">
        <v>20886</v>
      </c>
      <c r="B89" s="49"/>
      <c r="C89" s="17" t="s">
        <v>59</v>
      </c>
      <c r="D89" s="13">
        <v>20968</v>
      </c>
      <c r="E89" s="104">
        <v>50</v>
      </c>
      <c r="F89" s="14" t="s">
        <v>675</v>
      </c>
      <c r="G89" s="11"/>
      <c r="H89" s="67"/>
      <c r="I89" s="12"/>
      <c r="J89" s="61"/>
      <c r="K89" s="72"/>
      <c r="L89" s="62"/>
      <c r="M89" s="75"/>
      <c r="N89" s="73"/>
      <c r="O89" s="15"/>
    </row>
    <row r="90" spans="1:19" x14ac:dyDescent="0.25">
      <c r="A90" s="16">
        <v>20887</v>
      </c>
      <c r="B90" s="49">
        <v>250</v>
      </c>
      <c r="C90" s="17" t="s">
        <v>656</v>
      </c>
      <c r="D90" s="13">
        <v>20969</v>
      </c>
      <c r="E90" s="104">
        <v>650</v>
      </c>
      <c r="F90" s="14" t="s">
        <v>730</v>
      </c>
      <c r="G90" s="11"/>
      <c r="H90" s="67"/>
      <c r="I90" s="12"/>
      <c r="J90" s="61"/>
      <c r="K90" s="72"/>
      <c r="L90" s="62"/>
      <c r="M90" s="75"/>
      <c r="N90" s="73"/>
      <c r="O90" s="15"/>
    </row>
    <row r="91" spans="1:19" x14ac:dyDescent="0.25">
      <c r="A91" s="16">
        <v>20888</v>
      </c>
      <c r="B91" s="49">
        <v>500</v>
      </c>
      <c r="C91" s="17" t="s">
        <v>660</v>
      </c>
      <c r="D91" s="13"/>
      <c r="E91" s="104"/>
      <c r="F91" s="14" t="s">
        <v>718</v>
      </c>
      <c r="G91" s="11"/>
      <c r="H91" s="67"/>
      <c r="I91" s="12"/>
      <c r="J91" s="61"/>
      <c r="K91" s="72"/>
      <c r="L91" s="62"/>
      <c r="M91" s="75"/>
      <c r="N91" s="73"/>
      <c r="O91" s="15"/>
    </row>
    <row r="92" spans="1:19" x14ac:dyDescent="0.25">
      <c r="A92" s="16">
        <v>20889</v>
      </c>
      <c r="B92" s="49">
        <v>50</v>
      </c>
      <c r="C92" s="17" t="s">
        <v>644</v>
      </c>
      <c r="D92" s="13">
        <v>20970</v>
      </c>
      <c r="E92" s="104">
        <v>800</v>
      </c>
      <c r="F92" s="14" t="s">
        <v>464</v>
      </c>
      <c r="G92" s="11"/>
      <c r="H92" s="67"/>
      <c r="I92" s="12"/>
      <c r="J92" s="61"/>
      <c r="K92" s="72"/>
      <c r="L92" s="62"/>
      <c r="M92" s="75"/>
      <c r="N92" s="73"/>
      <c r="O92" s="15"/>
    </row>
    <row r="93" spans="1:19" x14ac:dyDescent="0.25">
      <c r="A93" s="16">
        <v>20890</v>
      </c>
      <c r="B93" s="49">
        <v>300</v>
      </c>
      <c r="C93" s="17" t="s">
        <v>656</v>
      </c>
      <c r="D93" s="13"/>
      <c r="E93" s="104"/>
      <c r="F93" s="14" t="s">
        <v>14</v>
      </c>
      <c r="G93" s="26"/>
      <c r="H93" s="74"/>
      <c r="I93" s="58"/>
      <c r="J93" s="26"/>
      <c r="K93" s="58"/>
      <c r="L93" s="58"/>
      <c r="M93" s="58"/>
      <c r="N93" s="58"/>
      <c r="O93" s="58"/>
      <c r="P93" s="58"/>
      <c r="Q93" s="58"/>
      <c r="R93" s="58"/>
      <c r="S93" s="58"/>
    </row>
    <row r="94" spans="1:19" x14ac:dyDescent="0.25">
      <c r="A94" s="16"/>
      <c r="B94" s="49"/>
      <c r="C94" s="17" t="s">
        <v>657</v>
      </c>
      <c r="D94" s="13">
        <v>20971</v>
      </c>
      <c r="E94" s="104">
        <v>500</v>
      </c>
      <c r="F94" s="14" t="s">
        <v>713</v>
      </c>
      <c r="G94" s="26"/>
      <c r="H94" s="74"/>
      <c r="I94" s="58"/>
      <c r="J94" s="26"/>
      <c r="K94" s="58"/>
      <c r="L94" s="58"/>
      <c r="M94" s="58"/>
      <c r="N94" s="58"/>
      <c r="O94" s="58"/>
      <c r="P94" s="58"/>
      <c r="Q94" s="58"/>
      <c r="R94" s="58"/>
      <c r="S94" s="58"/>
    </row>
    <row r="95" spans="1:19" x14ac:dyDescent="0.25">
      <c r="A95" s="16">
        <v>20891</v>
      </c>
      <c r="B95" s="49">
        <v>250</v>
      </c>
      <c r="C95" s="17" t="s">
        <v>656</v>
      </c>
      <c r="D95" s="13">
        <v>20972</v>
      </c>
      <c r="E95" s="104">
        <v>200</v>
      </c>
      <c r="F95" s="14" t="s">
        <v>690</v>
      </c>
      <c r="G95" s="26"/>
      <c r="H95" s="58"/>
      <c r="I95" s="58"/>
      <c r="J95" s="26"/>
      <c r="K95" s="58"/>
      <c r="L95" s="58"/>
      <c r="M95" s="58"/>
      <c r="N95" s="58"/>
      <c r="O95" s="58"/>
      <c r="P95" s="58"/>
      <c r="Q95" s="58"/>
      <c r="R95" s="58"/>
      <c r="S95" s="58"/>
    </row>
    <row r="96" spans="1:19" x14ac:dyDescent="0.25">
      <c r="A96" s="16">
        <v>20892</v>
      </c>
      <c r="B96" s="49">
        <v>400</v>
      </c>
      <c r="C96" s="17"/>
      <c r="D96" s="13">
        <v>20973</v>
      </c>
      <c r="E96" s="104">
        <v>5500</v>
      </c>
      <c r="F96" s="14" t="s">
        <v>722</v>
      </c>
      <c r="G96" s="26"/>
      <c r="H96" s="58"/>
      <c r="I96" s="58"/>
      <c r="J96" s="26"/>
      <c r="K96" s="58"/>
      <c r="L96" s="58"/>
      <c r="M96" s="58"/>
      <c r="N96" s="58"/>
      <c r="O96" s="58"/>
      <c r="P96" s="58"/>
      <c r="Q96" s="58"/>
      <c r="R96" s="58"/>
      <c r="S96" s="58"/>
    </row>
    <row r="97" spans="1:19" x14ac:dyDescent="0.25">
      <c r="A97" s="16">
        <v>20893</v>
      </c>
      <c r="B97" s="49">
        <v>250</v>
      </c>
      <c r="C97" s="17" t="s">
        <v>656</v>
      </c>
      <c r="D97" s="13"/>
      <c r="E97" s="104"/>
      <c r="F97" s="14" t="s">
        <v>111</v>
      </c>
      <c r="G97" s="26"/>
      <c r="H97" s="58"/>
      <c r="I97" s="58"/>
      <c r="J97" s="26"/>
      <c r="K97" s="58"/>
      <c r="L97" s="58"/>
      <c r="M97" s="58"/>
      <c r="N97" s="58"/>
      <c r="O97" s="58"/>
      <c r="P97" s="58"/>
      <c r="Q97" s="58"/>
      <c r="R97" s="58"/>
      <c r="S97" s="58"/>
    </row>
    <row r="98" spans="1:19" x14ac:dyDescent="0.25">
      <c r="A98" s="16">
        <v>20894</v>
      </c>
      <c r="B98" s="49">
        <v>50</v>
      </c>
      <c r="C98" s="17" t="s">
        <v>675</v>
      </c>
      <c r="D98" s="13"/>
      <c r="E98" s="104"/>
      <c r="F98" s="14" t="s">
        <v>42</v>
      </c>
      <c r="G98" s="26"/>
      <c r="H98" s="58"/>
      <c r="I98" s="58"/>
      <c r="J98" s="26"/>
      <c r="K98" s="58"/>
      <c r="L98" s="58"/>
      <c r="M98" s="58"/>
      <c r="N98" s="58"/>
      <c r="O98" s="58"/>
      <c r="P98" s="58"/>
      <c r="Q98" s="58"/>
      <c r="R98" s="58"/>
      <c r="S98" s="58"/>
    </row>
    <row r="99" spans="1:19" x14ac:dyDescent="0.25">
      <c r="A99" s="16">
        <v>20895</v>
      </c>
      <c r="B99" s="49">
        <v>400</v>
      </c>
      <c r="C99" s="17"/>
      <c r="D99" s="13">
        <v>20974</v>
      </c>
      <c r="E99" s="104">
        <v>50</v>
      </c>
      <c r="F99" s="14" t="s">
        <v>690</v>
      </c>
      <c r="G99" s="26"/>
      <c r="H99" s="58"/>
      <c r="I99" s="58"/>
      <c r="J99" s="26"/>
      <c r="K99" s="58"/>
      <c r="L99" s="58"/>
      <c r="M99" s="58"/>
      <c r="N99" s="58"/>
      <c r="O99" s="58"/>
      <c r="P99" s="58"/>
      <c r="Q99" s="58"/>
      <c r="R99" s="58"/>
      <c r="S99" s="58"/>
    </row>
    <row r="100" spans="1:19" x14ac:dyDescent="0.25">
      <c r="A100" s="16">
        <v>20896</v>
      </c>
      <c r="B100" s="49">
        <v>300</v>
      </c>
      <c r="C100" s="17"/>
      <c r="D100" s="13">
        <v>20975</v>
      </c>
      <c r="E100" s="104">
        <v>400</v>
      </c>
      <c r="F100" s="14" t="s">
        <v>494</v>
      </c>
      <c r="G100" s="26"/>
      <c r="H100" s="58"/>
      <c r="I100" s="58"/>
      <c r="J100" s="26"/>
      <c r="K100" s="58"/>
      <c r="L100" s="58"/>
      <c r="M100" s="58"/>
      <c r="N100" s="58"/>
      <c r="O100" s="58"/>
      <c r="P100" s="58"/>
      <c r="Q100" s="58"/>
      <c r="R100" s="58"/>
      <c r="S100" s="58"/>
    </row>
    <row r="101" spans="1:19" x14ac:dyDescent="0.25">
      <c r="A101" s="16">
        <v>20897</v>
      </c>
      <c r="B101" s="49">
        <v>400</v>
      </c>
      <c r="C101" s="17" t="s">
        <v>490</v>
      </c>
      <c r="D101" s="13"/>
      <c r="E101" s="104"/>
      <c r="F101" s="14" t="s">
        <v>14</v>
      </c>
      <c r="G101" s="26"/>
      <c r="H101" s="58"/>
      <c r="I101" s="58"/>
      <c r="J101" s="26"/>
      <c r="K101" s="58"/>
      <c r="L101" s="58"/>
      <c r="M101" s="58"/>
      <c r="N101" s="58"/>
      <c r="O101" s="58"/>
      <c r="P101" s="58"/>
      <c r="Q101" s="58"/>
      <c r="R101" s="58"/>
      <c r="S101" s="58"/>
    </row>
    <row r="102" spans="1:19" x14ac:dyDescent="0.25">
      <c r="A102" s="16">
        <v>20898</v>
      </c>
      <c r="B102" s="49">
        <v>600</v>
      </c>
      <c r="C102" s="17" t="s">
        <v>482</v>
      </c>
      <c r="D102" s="13">
        <v>20976</v>
      </c>
      <c r="E102" s="104">
        <v>300</v>
      </c>
      <c r="F102" s="14"/>
      <c r="G102" s="26"/>
      <c r="H102" s="58"/>
      <c r="I102" s="58"/>
      <c r="J102" s="26"/>
      <c r="K102" s="58"/>
      <c r="L102" s="58"/>
      <c r="M102" s="58"/>
      <c r="N102" s="58"/>
      <c r="O102" s="58"/>
      <c r="P102" s="58"/>
      <c r="Q102" s="58"/>
      <c r="R102" s="58"/>
      <c r="S102" s="58"/>
    </row>
    <row r="103" spans="1:19" x14ac:dyDescent="0.25">
      <c r="A103" s="16"/>
      <c r="B103" s="49"/>
      <c r="C103" s="17" t="s">
        <v>14</v>
      </c>
      <c r="D103" s="13">
        <v>20977</v>
      </c>
      <c r="E103" s="104">
        <v>1450</v>
      </c>
      <c r="F103" s="14" t="s">
        <v>482</v>
      </c>
      <c r="G103" s="26"/>
      <c r="H103" s="58"/>
      <c r="I103" s="58"/>
      <c r="J103" s="26"/>
      <c r="K103" s="58"/>
      <c r="L103" s="58"/>
      <c r="M103" s="58"/>
      <c r="N103" s="58"/>
      <c r="O103" s="58"/>
      <c r="P103" s="58"/>
      <c r="Q103" s="58"/>
      <c r="R103" s="58"/>
      <c r="S103" s="58"/>
    </row>
    <row r="104" spans="1:19" x14ac:dyDescent="0.25">
      <c r="A104" s="16">
        <v>20899</v>
      </c>
      <c r="B104" s="49">
        <v>250</v>
      </c>
      <c r="C104" s="17" t="s">
        <v>656</v>
      </c>
      <c r="D104" s="13"/>
      <c r="E104" s="104"/>
      <c r="F104" s="14" t="s">
        <v>270</v>
      </c>
      <c r="G104" s="26"/>
      <c r="H104" s="58"/>
      <c r="I104" s="58"/>
      <c r="J104" s="26"/>
      <c r="K104" s="58"/>
      <c r="L104" s="58"/>
      <c r="M104" s="58"/>
      <c r="N104" s="58"/>
      <c r="O104" s="58"/>
      <c r="P104" s="58"/>
      <c r="Q104" s="58"/>
      <c r="R104" s="58"/>
      <c r="S104" s="58"/>
    </row>
    <row r="105" spans="1:19" x14ac:dyDescent="0.25">
      <c r="A105" s="16">
        <v>20900</v>
      </c>
      <c r="B105" s="49">
        <v>100</v>
      </c>
      <c r="C105" s="17" t="s">
        <v>640</v>
      </c>
      <c r="D105" s="13"/>
      <c r="E105" s="104"/>
      <c r="F105" s="14" t="s">
        <v>731</v>
      </c>
      <c r="G105" s="26"/>
      <c r="H105" s="58"/>
      <c r="I105" s="58"/>
      <c r="J105" s="26"/>
      <c r="K105" s="58"/>
      <c r="L105" s="58"/>
      <c r="M105" s="58"/>
      <c r="N105" s="58"/>
      <c r="O105" s="58"/>
      <c r="P105" s="58"/>
      <c r="Q105" s="58"/>
      <c r="R105" s="58"/>
      <c r="S105" s="58"/>
    </row>
    <row r="106" spans="1:19" x14ac:dyDescent="0.25">
      <c r="A106" s="16">
        <v>20901</v>
      </c>
      <c r="B106" s="49">
        <v>400</v>
      </c>
      <c r="C106" s="17"/>
      <c r="D106" s="13">
        <v>20978</v>
      </c>
      <c r="E106" s="104"/>
      <c r="F106" s="14" t="s">
        <v>183</v>
      </c>
      <c r="G106" s="26"/>
      <c r="H106" s="58"/>
      <c r="I106" s="58"/>
      <c r="J106" s="26"/>
      <c r="K106" s="58"/>
      <c r="L106" s="58"/>
      <c r="M106" s="58"/>
      <c r="N106" s="58"/>
      <c r="O106" s="58"/>
      <c r="P106" s="58"/>
      <c r="Q106" s="58"/>
      <c r="R106" s="58"/>
      <c r="S106" s="58"/>
    </row>
    <row r="107" spans="1:19" x14ac:dyDescent="0.25">
      <c r="A107" s="16">
        <v>20902</v>
      </c>
      <c r="B107" s="49">
        <v>400</v>
      </c>
      <c r="C107" s="17"/>
      <c r="D107" s="13">
        <v>20979</v>
      </c>
      <c r="E107" s="104">
        <v>100</v>
      </c>
      <c r="F107" s="14" t="s">
        <v>640</v>
      </c>
      <c r="G107" s="26"/>
      <c r="H107" s="58"/>
      <c r="I107" s="58"/>
      <c r="J107" s="26"/>
      <c r="K107" s="58"/>
      <c r="L107" s="58"/>
      <c r="M107" s="58"/>
      <c r="N107" s="58"/>
      <c r="O107" s="58"/>
      <c r="P107" s="58"/>
      <c r="Q107" s="58"/>
      <c r="R107" s="58"/>
      <c r="S107" s="58"/>
    </row>
    <row r="108" spans="1:19" x14ac:dyDescent="0.25">
      <c r="A108" s="16">
        <v>20903</v>
      </c>
      <c r="B108" s="49">
        <v>50</v>
      </c>
      <c r="C108" s="17" t="s">
        <v>675</v>
      </c>
      <c r="D108" s="13">
        <v>20980</v>
      </c>
      <c r="E108" s="104">
        <v>250</v>
      </c>
      <c r="F108" s="14" t="s">
        <v>718</v>
      </c>
      <c r="G108" s="26"/>
      <c r="H108" s="58"/>
      <c r="I108" s="58"/>
      <c r="J108" s="26"/>
      <c r="K108" s="58"/>
      <c r="L108" s="58"/>
      <c r="M108" s="58"/>
      <c r="N108" s="58"/>
      <c r="O108" s="58"/>
      <c r="P108" s="58"/>
      <c r="Q108" s="58"/>
      <c r="R108" s="58"/>
      <c r="S108" s="58"/>
    </row>
    <row r="109" spans="1:19" x14ac:dyDescent="0.25">
      <c r="A109" s="16">
        <v>20904</v>
      </c>
      <c r="B109" s="49">
        <v>300</v>
      </c>
      <c r="C109" s="17"/>
      <c r="D109" s="13">
        <v>20981</v>
      </c>
      <c r="E109" s="104">
        <v>150</v>
      </c>
      <c r="F109" s="14"/>
      <c r="G109" s="26"/>
      <c r="H109" s="58"/>
      <c r="I109" s="58"/>
      <c r="J109" s="26"/>
      <c r="K109" s="58"/>
      <c r="L109" s="58"/>
      <c r="M109" s="58"/>
      <c r="N109" s="58"/>
      <c r="O109" s="58"/>
      <c r="P109" s="58"/>
      <c r="Q109" s="58"/>
      <c r="R109" s="58"/>
      <c r="S109" s="58"/>
    </row>
    <row r="110" spans="1:19" x14ac:dyDescent="0.25">
      <c r="A110" s="16">
        <v>20905</v>
      </c>
      <c r="B110" s="49">
        <v>400</v>
      </c>
      <c r="C110" s="17" t="s">
        <v>490</v>
      </c>
      <c r="D110" s="13">
        <v>20982</v>
      </c>
      <c r="E110" s="104">
        <v>250</v>
      </c>
      <c r="F110" s="14" t="s">
        <v>718</v>
      </c>
      <c r="G110" s="26"/>
      <c r="H110" s="58"/>
      <c r="I110" s="58"/>
      <c r="J110" s="26"/>
      <c r="K110" s="58"/>
      <c r="L110" s="58"/>
      <c r="M110" s="58"/>
      <c r="N110" s="58"/>
      <c r="O110" s="58"/>
      <c r="P110" s="58"/>
      <c r="Q110" s="58"/>
      <c r="R110" s="58"/>
      <c r="S110" s="58"/>
    </row>
    <row r="111" spans="1:19" x14ac:dyDescent="0.25">
      <c r="A111" s="16">
        <v>20906</v>
      </c>
      <c r="B111" s="49">
        <v>400</v>
      </c>
      <c r="C111" s="17"/>
      <c r="D111" s="13">
        <v>20983</v>
      </c>
      <c r="E111" s="104">
        <v>250</v>
      </c>
      <c r="F111" s="14" t="s">
        <v>718</v>
      </c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9" x14ac:dyDescent="0.25">
      <c r="A112" s="16">
        <v>20907</v>
      </c>
      <c r="B112" s="49">
        <v>400</v>
      </c>
      <c r="C112" s="17"/>
      <c r="D112" s="13">
        <v>20984</v>
      </c>
      <c r="E112" s="104">
        <v>400</v>
      </c>
      <c r="F112" s="14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16">
        <v>20908</v>
      </c>
      <c r="B113" s="49">
        <v>400</v>
      </c>
      <c r="C113" s="17"/>
      <c r="D113" s="13">
        <v>20985</v>
      </c>
      <c r="E113" s="104">
        <v>600</v>
      </c>
      <c r="F113" s="14" t="s">
        <v>638</v>
      </c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16">
        <v>20909</v>
      </c>
      <c r="B114" s="49">
        <v>50</v>
      </c>
      <c r="C114" s="17" t="s">
        <v>644</v>
      </c>
      <c r="D114" s="13">
        <v>20986</v>
      </c>
      <c r="E114" s="104">
        <v>900</v>
      </c>
      <c r="F114" s="14" t="s">
        <v>658</v>
      </c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16">
        <v>20910</v>
      </c>
      <c r="B115" s="49">
        <v>450</v>
      </c>
      <c r="C115" s="17" t="s">
        <v>710</v>
      </c>
      <c r="D115" s="13"/>
      <c r="E115" s="104"/>
      <c r="F115" s="14" t="s">
        <v>713</v>
      </c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16">
        <v>20911</v>
      </c>
      <c r="B116" s="49">
        <v>250</v>
      </c>
      <c r="C116" s="17" t="s">
        <v>656</v>
      </c>
      <c r="D116" s="13">
        <v>20987</v>
      </c>
      <c r="E116" s="104">
        <v>300</v>
      </c>
      <c r="F116" s="14" t="s">
        <v>34</v>
      </c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16">
        <v>20912</v>
      </c>
      <c r="B117" s="49"/>
      <c r="C117" s="17" t="s">
        <v>59</v>
      </c>
      <c r="D117" s="13">
        <v>20988</v>
      </c>
      <c r="E117" s="104">
        <v>1000</v>
      </c>
      <c r="F117" s="14" t="s">
        <v>494</v>
      </c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16">
        <v>20913</v>
      </c>
      <c r="B118" s="49">
        <v>50</v>
      </c>
      <c r="C118" s="17" t="s">
        <v>644</v>
      </c>
      <c r="D118" s="13"/>
      <c r="E118" s="104"/>
      <c r="F118" s="14" t="s">
        <v>270</v>
      </c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16">
        <v>20920</v>
      </c>
      <c r="B119" s="49">
        <v>800</v>
      </c>
      <c r="C119" s="17" t="s">
        <v>712</v>
      </c>
      <c r="D119" s="13"/>
      <c r="E119" s="104"/>
      <c r="F119" s="14" t="s">
        <v>690</v>
      </c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13">
        <v>20989</v>
      </c>
      <c r="E120" s="104">
        <v>400</v>
      </c>
      <c r="F120" s="14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13">
        <v>20990</v>
      </c>
      <c r="E121" s="104">
        <v>5500</v>
      </c>
      <c r="F121" s="14" t="s">
        <v>722</v>
      </c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13"/>
      <c r="E122" s="104"/>
      <c r="F122" s="14" t="s">
        <v>111</v>
      </c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13"/>
      <c r="E123" s="104"/>
      <c r="F123" s="14" t="s">
        <v>42</v>
      </c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13">
        <v>20991</v>
      </c>
      <c r="E124" s="104">
        <v>100</v>
      </c>
      <c r="F124" s="14" t="s">
        <v>684</v>
      </c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13"/>
      <c r="E125" s="104"/>
      <c r="F125" s="14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13"/>
      <c r="E126" s="104"/>
      <c r="F126" s="14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C C Aportaciones ENE 19</vt:lpstr>
      <vt:lpstr>C C Aportaciones FEB 19</vt:lpstr>
      <vt:lpstr>C C Aportacines MAR 19</vt:lpstr>
      <vt:lpstr>C C Aportaciones ABR 19   </vt:lpstr>
      <vt:lpstr>C C Aportaciones MAY 19</vt:lpstr>
      <vt:lpstr>C C Aportaciones JUN 19</vt:lpstr>
      <vt:lpstr>C C Aportaciones JUL 19   </vt:lpstr>
      <vt:lpstr>C C Aportaciones AGO 19   </vt:lpstr>
      <vt:lpstr>C C Aportaciones SEP 19</vt:lpstr>
      <vt:lpstr>C C Aportaciones OCT 19 </vt:lpstr>
      <vt:lpstr>C C Aportaciones NOV 19   </vt:lpstr>
      <vt:lpstr>C C Aportaciones DIC 19  </vt:lpstr>
      <vt:lpstr>'C C Aportacines MAR 19'!Área_de_impresión</vt:lpstr>
      <vt:lpstr>'C C Aportaciones ABR 19   '!Área_de_impresión</vt:lpstr>
      <vt:lpstr>'C C Aportaciones AGO 19   '!Área_de_impresión</vt:lpstr>
      <vt:lpstr>'C C Aportaciones DIC 19  '!Área_de_impresión</vt:lpstr>
      <vt:lpstr>'C C Aportaciones ENE 19'!Área_de_impresión</vt:lpstr>
      <vt:lpstr>'C C Aportaciones FEB 19'!Área_de_impresión</vt:lpstr>
      <vt:lpstr>'C C Aportaciones JUL 19   '!Área_de_impresión</vt:lpstr>
      <vt:lpstr>'C C Aportaciones JUN 19'!Área_de_impresión</vt:lpstr>
      <vt:lpstr>'C C Aportaciones MAY 19'!Área_de_impresión</vt:lpstr>
      <vt:lpstr>'C C Aportaciones NOV 19   '!Área_de_impresión</vt:lpstr>
      <vt:lpstr>'C C Aportaciones OCT 19 '!Área_de_impresión</vt:lpstr>
      <vt:lpstr>'C C Aportaciones SEP 19'!Área_de_impresión</vt:lpstr>
      <vt:lpstr>'C C Aportacines MAR 19'!Títulos_a_imprimir</vt:lpstr>
      <vt:lpstr>'C C Aportaciones ABR 19   '!Títulos_a_imprimir</vt:lpstr>
      <vt:lpstr>'C C Aportaciones AGO 19   '!Títulos_a_imprimir</vt:lpstr>
      <vt:lpstr>'C C Aportaciones DIC 19  '!Títulos_a_imprimir</vt:lpstr>
      <vt:lpstr>'C C Aportaciones ENE 19'!Títulos_a_imprimir</vt:lpstr>
      <vt:lpstr>'C C Aportaciones FEB 19'!Títulos_a_imprimir</vt:lpstr>
      <vt:lpstr>'C C Aportaciones JUL 19   '!Títulos_a_imprimir</vt:lpstr>
      <vt:lpstr>'C C Aportaciones JUN 19'!Títulos_a_imprimir</vt:lpstr>
      <vt:lpstr>'C C Aportaciones MAY 19'!Títulos_a_imprimir</vt:lpstr>
      <vt:lpstr>'C C Aportaciones NOV 19   '!Títulos_a_imprimir</vt:lpstr>
      <vt:lpstr>'C C Aportaciones OCT 19 '!Títulos_a_imprimir</vt:lpstr>
      <vt:lpstr>'C C Aportaciones SEP 19'!Títulos_a_imprimir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Usuario</cp:lastModifiedBy>
  <cp:lastPrinted>2016-11-10T23:00:47Z</cp:lastPrinted>
  <dcterms:created xsi:type="dcterms:W3CDTF">2013-12-30T22:30:56Z</dcterms:created>
  <dcterms:modified xsi:type="dcterms:W3CDTF">2020-01-07T04:28:33Z</dcterms:modified>
</cp:coreProperties>
</file>