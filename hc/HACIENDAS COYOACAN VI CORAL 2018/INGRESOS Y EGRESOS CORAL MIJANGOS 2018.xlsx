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1 (2)" sheetId="4" r:id="rId2"/>
    <sheet name="Hoja2" sheetId="2" r:id="rId3"/>
    <sheet name="Hoja3" sheetId="3" r:id="rId4"/>
  </sheets>
  <definedNames>
    <definedName name="_xlnm.Print_Area" localSheetId="0">Hoja1!$A$1:$G$124</definedName>
    <definedName name="_xlnm.Print_Area" localSheetId="1">'Hoja1 (2)'!$A$1:$F$115</definedName>
  </definedNames>
  <calcPr calcId="144525"/>
</workbook>
</file>

<file path=xl/calcChain.xml><?xml version="1.0" encoding="utf-8"?>
<calcChain xmlns="http://schemas.openxmlformats.org/spreadsheetml/2006/main">
  <c r="F117" i="1" l="1"/>
  <c r="E117" i="1"/>
  <c r="D117" i="1"/>
  <c r="C117" i="1" l="1"/>
  <c r="F115" i="4"/>
  <c r="E115" i="4" l="1"/>
  <c r="F117" i="4" s="1"/>
  <c r="D115" i="4"/>
  <c r="C115" i="4"/>
  <c r="D117" i="4" s="1"/>
  <c r="L1" i="4"/>
</calcChain>
</file>

<file path=xl/sharedStrings.xml><?xml version="1.0" encoding="utf-8"?>
<sst xmlns="http://schemas.openxmlformats.org/spreadsheetml/2006/main" count="252" uniqueCount="115">
  <si>
    <t>INGRESOS</t>
  </si>
  <si>
    <t>EFECTIVO</t>
  </si>
  <si>
    <t>INGRESO</t>
  </si>
  <si>
    <t>CHEQUE</t>
  </si>
  <si>
    <t xml:space="preserve">EGRESO </t>
  </si>
  <si>
    <t xml:space="preserve">                                                                  S E P T I E M B R E </t>
  </si>
  <si>
    <t>Advanced Servicio CCTV y Cómputo, pago de mano de obra en instalción de cableado aereo frac</t>
  </si>
  <si>
    <t xml:space="preserve">Advanced Servicio CCTV y Cómputo, compra de 1 bobina de cable UTP categoria 6 </t>
  </si>
  <si>
    <t>Proyectos Recperaciones e Inspecciones de Mexico, reparación de pluma de salida del fracc</t>
  </si>
  <si>
    <t>Asunción Dominguez, compensación en apoyo de mantenimiento puerta vehicular Landero</t>
  </si>
  <si>
    <t xml:space="preserve">Advanced Servicio CCTV y Cómputo, compra de lincencia windows 7 para nueva presidenta </t>
  </si>
  <si>
    <t>Advanced Servicio CCTV y Cómputo, pago de instación de software windows 7 para presidencia</t>
  </si>
  <si>
    <t>Gloria Mazzón Soto, pago de honorarios por captura de datos del 28 de agosto al 01 de sep/17</t>
  </si>
  <si>
    <t>Constantino Cabrera, pago poda pasto del parque del 29 de ago al 02 de sep/17</t>
  </si>
  <si>
    <t>Gloria Mazzón Soto, pago en apoyo de junta cambio de mesa directiva sabado 02 sep/17</t>
  </si>
  <si>
    <t>Entrega a Grisela Peralta cobranza del 01 de septiembre/17</t>
  </si>
  <si>
    <t>Entrega a Dolores Mijangos Peralta, cobranza del 1er domingo de septiembre/17</t>
  </si>
  <si>
    <t>Entrega a Dolores Mijangos Peralta, cobranza 1er domingo cheque 0229 HSBC</t>
  </si>
  <si>
    <t>Cadena Comercial Oxxo, S.A. de C.V. compra de café y refrescos para mesa de cobranza y vigilan</t>
  </si>
  <si>
    <t>Pedro Bazzan, pago por recolección de pasto podado entre semana</t>
  </si>
  <si>
    <t>Pedro Bazzan, pago por recolección de basura en fines de semana</t>
  </si>
  <si>
    <t>Electropura, S. de R.L. de C.V. compra de 8 garrafones de agua para casetas del fraccionamiento</t>
  </si>
  <si>
    <t>Copifaz Digital, pago de 1 enmicado de listo de pagos figos del mes para presidencia</t>
  </si>
  <si>
    <t>Radiomovil Dipsa, S.A. de C.V. compra de telefono para mesa directiva</t>
  </si>
  <si>
    <t>Radiomovil Dipsa, S.A. de C.V. compra de chip para telefono de mesa directiva</t>
  </si>
  <si>
    <t>Estacionamiento Cuemanco, compra de telefono y chip para presidencia</t>
  </si>
  <si>
    <t>Nueva Walmart de México, S. de R.L. de C.V. compra de material de limpieza para casetas</t>
  </si>
  <si>
    <t>Estacionamiento Cuemanco, compra de materiales para limpieza</t>
  </si>
  <si>
    <t>Estacionamiento, reunión de mesa directiva con comité vecinal</t>
  </si>
  <si>
    <t>Nueva Walmart de México, S. de R.L. de C.V. compra de Impresora y 2 tintas para tesoreria</t>
  </si>
  <si>
    <t>Office Depot de México, S. de R.L. de C.V. compra de papelería para Presidencia y Tesoreria</t>
  </si>
  <si>
    <t>Estacionamiento Cuemanco compra de impresora y papapelería</t>
  </si>
  <si>
    <t>Nueva Walmart de México, S. de R.L. de C.V. compra de agua para personal de mesa directiva</t>
  </si>
  <si>
    <t>Advanced Servicio CCTV y Cómputo, pago mano de obra en intalación de cableado aereo UP</t>
  </si>
  <si>
    <t>Guardías y Custodías Prívadas Gama, S.A. de C.V. pago a/c de la 1er quincena de septiembre/17</t>
  </si>
  <si>
    <t>Mercado Villa Coapa, compra de adornos para fraccionamiento fiestas patrías</t>
  </si>
  <si>
    <t>Gloria Mazzón Soto, pago de honorarios por captura de datos del 04 al 08 de septiembre/17</t>
  </si>
  <si>
    <t>Pedro Bazzan, pago por recolecciòn de basura en fin de semana del fraccionamiento</t>
  </si>
  <si>
    <t>Entrega a Dolores Mijangos del 2ª domingo de cobranza</t>
  </si>
  <si>
    <t>Centro de Copiado y Papelerìa Omega, pago de copias informe al fraccionamiento</t>
  </si>
  <si>
    <t>SAT Servicio de Administración Tributaría, pago retención IVA colegio Carmel jun/17 Ch. # 98</t>
  </si>
  <si>
    <t>Contador Carlos Siegrist Hernández, pago de honorarios del mes de junio/17 Ch. # 98</t>
  </si>
  <si>
    <t>Estacionamiento, pago de estacionamiento visita Contador Siegrist</t>
  </si>
  <si>
    <t>Patrulla 007, compensaciòn en rondines en el fraccionamiento entre semana</t>
  </si>
  <si>
    <t>Servicio el Hueso, S.A. de C.V., compra de gasolina para personal delegaciòn poda parque</t>
  </si>
  <si>
    <t>Distribuidora el Bollo Cafetales, S.A. de .CV. Compra de bolillo para tortas personal delegaciòn</t>
  </si>
  <si>
    <t xml:space="preserve">Cadena Comercial Oxxo, S.A. de C.V., compra de refrescos y vasos cuadrilla delegaciòn poda </t>
  </si>
  <si>
    <t>Carniceria Xotepinco, S.A. de C.V. compra de jamon y queso para tortas cuadrilla delegaciòn</t>
  </si>
  <si>
    <t>Telefonos de Mèxico, SAB De Mèxico, S.A. de C.V. pago del mes de agosto/17 fraccionamiento</t>
  </si>
  <si>
    <t>Cadena Comercial Oxxo, S.A. de C.V. compra de refrescos para cuadrilla delegaciòn poda pasto</t>
  </si>
  <si>
    <t>Gloria Mazzòn, compra de 1 cangujera para guardar documentos y dinero para presidenta</t>
  </si>
  <si>
    <t>Dolores Mijangos Peralta, compra de tacos de canasta para cuadrilla delegaciòn poda pasto</t>
  </si>
  <si>
    <t>Dolores Mijangos Peralta, compra de gorditas para vigilantes noche del 15 de septiembre</t>
  </si>
  <si>
    <t>Estacionamiento, pago estacionamiento junta mesa directiva y comité vecinal</t>
  </si>
  <si>
    <t>Tienda, compra de vasos de plastico y servilletas para vigilancia 15 de septiembre</t>
  </si>
  <si>
    <t>Servicio El Hueso, S.A. de C.V., pago de gasolina para presidenta varias diligencia del fracciona</t>
  </si>
  <si>
    <t>7 Eleven Mèxico, S.A. de C.V., compra de refrescos para vigilancia 15 de septiembre/17</t>
  </si>
  <si>
    <t xml:space="preserve">Roberto Miranda, pago 1er quincena por barrer todo el fraccionamiento entre semana </t>
  </si>
  <si>
    <t>Maria De Lourdes Osorio, pago por varios trabajos realizados en el fraccionamiento</t>
  </si>
  <si>
    <t>Guardìas y Custodìas Privada Gama, S.A. de C.V. pago liq. De la 1er quincena de septiembre/17</t>
  </si>
  <si>
    <t>Entrega a Dolores Mijangos Peralta, cobranza del 3ª domingo de sep/17 2 cheques de$1,200.00</t>
  </si>
  <si>
    <t>SEP</t>
  </si>
  <si>
    <t>Advanced Servicio CCTV y Còmputo, compra de material para reparacilòn de camaras y plumas</t>
  </si>
  <si>
    <t>Advanced Servicio CCTV Y Còmputo, pago de mano de obra de reparaciòn de pluma y ajuste</t>
  </si>
  <si>
    <t>Cadena Comercial Oxxo, S.A. de C.V., compra de tiempo aire para telefono tesorera</t>
  </si>
  <si>
    <t>Bicicletas Benotto, S.A. de C.V., compra de camara para bicicleta del fraccionamiento</t>
  </si>
  <si>
    <t>Seven Eleven México S.A. de C.V. refrescos para trabajadores de la Delegación poda de parque</t>
  </si>
  <si>
    <t>Compra de gorditas a cuadrilla de Delegación por poda de pasto del fraccionamiento</t>
  </si>
  <si>
    <t>Israel Galán Quintín, duplicados de llaves</t>
  </si>
  <si>
    <t>Estacionamiento Don José para trámite de Notaría</t>
  </si>
  <si>
    <t>Compra de huaraches a cuadrilla de Delegación por poda de pasto del fraccionamiento</t>
  </si>
  <si>
    <t>Compra de tacos de canasta para cuadrilla de Delegación por poda de pasto</t>
  </si>
  <si>
    <t>Office Depot de México, S. de R.L. de C.V. enmicado</t>
  </si>
  <si>
    <t>122.00</t>
  </si>
  <si>
    <t>Entrega a Dolores Mijangos Cheque Banamex  0023 Alberto Salazar</t>
  </si>
  <si>
    <t>118.90</t>
  </si>
  <si>
    <t>13.50</t>
  </si>
  <si>
    <t>Gloria Mazzón Soto, pago de honorarios del 25 al 29 de septiembre 17</t>
  </si>
  <si>
    <t>Depósito cheque Colegio Carmel pago de mantenimiento del mes de septiembre</t>
  </si>
  <si>
    <t>Guardias y Custodias Privadas Gama, S.A. de C.V. pago liq. 2° quincena de agosto/17 ch. #97</t>
  </si>
  <si>
    <t xml:space="preserve">Pedro Bazzan, pago 1er quincena por recolección de basura entre semana </t>
  </si>
  <si>
    <t>Gloria Mazzón Soto, pago de honorarios del 11 al 15 de septiembre/17</t>
  </si>
  <si>
    <t>Gloria Mazzón, pago de honorarios por captura de datos del 18 al 22 de septiembre</t>
  </si>
  <si>
    <t>El Globlo, pastelería tradicional, S.A. de C.V. junta de la nueva mesa directiva</t>
  </si>
  <si>
    <t>Pizza Plaza, compra de pizza para personal de Comisión Federal de Electricidad</t>
  </si>
  <si>
    <t>Cadena Comercial Oxxo S,A.de C,V. compra de café y refrescos para mesa de cobranza y vigilancia</t>
  </si>
  <si>
    <t>Advanced Servicio CCTV y Cómputo, pago de mano de obra en colocación de luz pluma</t>
  </si>
  <si>
    <t>Cadena Comercial Oxxo, S.A. de C.V. compra de café y refrescos para mesa de cobranza y vigilancia</t>
  </si>
  <si>
    <t>Office Depot de México, S. de R.L. de C.V. compra de TONER BROTHER para impresora</t>
  </si>
  <si>
    <t>Nueva Walmart de México, S. de R.L. de C.V. caja de plástico para meterial</t>
  </si>
  <si>
    <t>Estacionamiento Cuemanco compra de toner para impresora</t>
  </si>
  <si>
    <t>Tiendas Chedraui S.A. de C.V Insecticida Raid para personal de vigilancia</t>
  </si>
  <si>
    <t>Papelería "El Grillito" copias fotostáticas</t>
  </si>
  <si>
    <t>Guardías y Custodías Prívadas Gama, S.A. de C.V. pago a/c de la 2a quincena de septiembre/17</t>
  </si>
  <si>
    <t>Ingreso Mesa de cobranza</t>
  </si>
  <si>
    <t>Compra de cámara p/bicicleta de vigilancia</t>
  </si>
  <si>
    <t>Tranferencia bancaria (5 sept) Upacuaro # 46</t>
  </si>
  <si>
    <t>Pago a cerrajero por compostura de chapa de Upácuaro</t>
  </si>
  <si>
    <t>Panaderías La Esperanza S.A. de C.V pollos rostizados para cuadrilla de la delegación poda de parque</t>
  </si>
  <si>
    <t>Tortillas para personal de delegación por poda de parque</t>
  </si>
  <si>
    <t>Dolores Mijangos Peralta, pago de la 1er quincena del mes de septiembre/17</t>
  </si>
  <si>
    <t>Dolores Mijangos Peralta, pago de la 2a quincena del mes de septiembre/17</t>
  </si>
  <si>
    <t xml:space="preserve">Pedro Bazzan, pago 2a quincena por recolección de basura entre semana </t>
  </si>
  <si>
    <t xml:space="preserve">Roberto Miranda, pago 2a quincena por barrer todo el fraccionamiento entre semana </t>
  </si>
  <si>
    <t>Cuadrilla Delegaciòn, compra de tacos de canasta por poda de pasto fraccionamiento</t>
  </si>
  <si>
    <t>Roberto Miranda, pago por trabajos extras en el fraccionamiento</t>
  </si>
  <si>
    <t>Pedro Bazan pago por recoleccion de basura fin de semana del fraccionamiento</t>
  </si>
  <si>
    <t>Cadena Comercial Oxxo,S.A. de C.V. compra de café y refrescos para mesa de cobranza y vigilancia</t>
  </si>
  <si>
    <t xml:space="preserve">196.70 </t>
  </si>
  <si>
    <t>450.90</t>
  </si>
  <si>
    <t>SUMA</t>
  </si>
  <si>
    <t>CAJA</t>
  </si>
  <si>
    <t>caja</t>
  </si>
  <si>
    <t>BANCO</t>
  </si>
  <si>
    <t>AL 31 DE AGOSTO EN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</si>
</sst>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0" fillId="2" borderId="1" xfId="0" applyFill="1" applyBorder="1"/>
    <xf numFmtId="0" fontId="0" fillId="2" borderId="2" xfId="0" applyFill="1" applyBorder="1"/>
    <xf numFmtId="0" fontId="0" fillId="0" borderId="0" xfId="0"/>
    <xf numFmtId="0" fontId="0" fillId="0" borderId="1" xfId="0" applyFont="1" applyBorder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1" xfId="0" applyFont="1" applyBorder="1" applyAlignment="1">
      <alignment horizontal="left"/>
    </xf>
    <xf numFmtId="0" fontId="0" fillId="0" borderId="1" xfId="0" applyBorder="1"/>
    <xf numFmtId="15" fontId="0" fillId="0" borderId="8" xfId="0" applyNumberFormat="1" applyFill="1" applyBorder="1" applyAlignment="1">
      <alignment vertical="center"/>
    </xf>
    <xf numFmtId="15" fontId="0" fillId="0" borderId="1" xfId="0" applyNumberFormat="1" applyFill="1" applyBorder="1" applyAlignment="1">
      <alignment vertical="center"/>
    </xf>
    <xf numFmtId="0" fontId="0" fillId="0" borderId="0" xfId="0"/>
    <xf numFmtId="4" fontId="0" fillId="0" borderId="1" xfId="0" applyNumberFormat="1" applyBorder="1" applyAlignment="1">
      <alignment horizontal="right"/>
    </xf>
    <xf numFmtId="4" fontId="0" fillId="0" borderId="1" xfId="0" applyNumberFormat="1" applyBorder="1"/>
    <xf numFmtId="4" fontId="0" fillId="0" borderId="7" xfId="0" applyNumberFormat="1" applyBorder="1" applyAlignment="1">
      <alignment horizontal="right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ill="1" applyBorder="1" applyAlignment="1">
      <alignment horizontal="right"/>
    </xf>
    <xf numFmtId="4" fontId="0" fillId="0" borderId="7" xfId="0" applyNumberFormat="1" applyBorder="1"/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11" xfId="0" applyBorder="1"/>
    <xf numFmtId="4" fontId="1" fillId="0" borderId="9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Border="1"/>
    <xf numFmtId="15" fontId="0" fillId="0" borderId="8" xfId="0" applyNumberFormat="1" applyFill="1" applyBorder="1" applyAlignment="1">
      <alignment vertical="center"/>
    </xf>
    <xf numFmtId="15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/>
    </xf>
    <xf numFmtId="15" fontId="0" fillId="0" borderId="12" xfId="0" applyNumberFormat="1" applyFill="1" applyBorder="1" applyAlignment="1">
      <alignment vertical="center"/>
    </xf>
    <xf numFmtId="0" fontId="0" fillId="0" borderId="2" xfId="0" applyFont="1" applyBorder="1" applyAlignment="1">
      <alignment horizontal="left"/>
    </xf>
    <xf numFmtId="4" fontId="0" fillId="0" borderId="0" xfId="0" applyNumberFormat="1"/>
    <xf numFmtId="4" fontId="0" fillId="2" borderId="14" xfId="0" applyNumberFormat="1" applyFill="1" applyBorder="1"/>
    <xf numFmtId="0" fontId="1" fillId="0" borderId="13" xfId="0" applyFont="1" applyBorder="1" applyAlignment="1">
      <alignment horizontal="center"/>
    </xf>
    <xf numFmtId="4" fontId="1" fillId="0" borderId="13" xfId="0" applyNumberFormat="1" applyFont="1" applyBorder="1"/>
    <xf numFmtId="4" fontId="0" fillId="2" borderId="15" xfId="0" applyNumberFormat="1" applyFill="1" applyBorder="1"/>
    <xf numFmtId="0" fontId="0" fillId="2" borderId="0" xfId="0" applyFill="1" applyBorder="1"/>
    <xf numFmtId="4" fontId="0" fillId="2" borderId="0" xfId="0" applyNumberFormat="1" applyFill="1" applyBorder="1"/>
    <xf numFmtId="0" fontId="0" fillId="0" borderId="1" xfId="0" applyFill="1" applyBorder="1"/>
    <xf numFmtId="0" fontId="0" fillId="0" borderId="2" xfId="0" applyFill="1" applyBorder="1"/>
    <xf numFmtId="4" fontId="0" fillId="0" borderId="1" xfId="0" applyNumberFormat="1" applyFill="1" applyBorder="1"/>
    <xf numFmtId="4" fontId="1" fillId="0" borderId="13" xfId="0" applyNumberFormat="1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9"/>
  <sheetViews>
    <sheetView tabSelected="1" view="pageBreakPreview" topLeftCell="A110" zoomScale="90" zoomScaleNormal="100" zoomScaleSheetLayoutView="90" workbookViewId="0">
      <selection activeCell="D129" sqref="D129"/>
    </sheetView>
  </sheetViews>
  <sheetFormatPr baseColWidth="10" defaultRowHeight="15" x14ac:dyDescent="0.25"/>
  <cols>
    <col min="1" max="1" width="6.85546875" customWidth="1"/>
    <col min="2" max="2" width="89.42578125" customWidth="1"/>
    <col min="3" max="3" width="11.42578125" style="16"/>
    <col min="4" max="4" width="11.85546875" style="16" bestFit="1" customWidth="1"/>
    <col min="5" max="6" width="11.42578125" style="16"/>
  </cols>
  <sheetData>
    <row r="1" spans="1:6" s="16" customFormat="1" ht="15.75" thickBot="1" x14ac:dyDescent="0.3"/>
    <row r="2" spans="1:6" ht="15.75" thickBot="1" x14ac:dyDescent="0.3">
      <c r="A2" s="2"/>
      <c r="D2" s="3"/>
      <c r="E2" s="3"/>
      <c r="F2" s="4"/>
    </row>
    <row r="3" spans="1:6" x14ac:dyDescent="0.25">
      <c r="A3" s="23" t="s">
        <v>61</v>
      </c>
      <c r="B3" s="5" t="s">
        <v>5</v>
      </c>
      <c r="C3" s="23" t="s">
        <v>0</v>
      </c>
      <c r="D3" s="23" t="s">
        <v>2</v>
      </c>
      <c r="E3" s="23" t="s">
        <v>4</v>
      </c>
      <c r="F3" s="23" t="s">
        <v>4</v>
      </c>
    </row>
    <row r="4" spans="1:6" ht="15.75" thickBot="1" x14ac:dyDescent="0.3">
      <c r="A4" s="11"/>
      <c r="B4" s="26"/>
      <c r="C4" s="24" t="s">
        <v>1</v>
      </c>
      <c r="D4" s="24" t="s">
        <v>3</v>
      </c>
      <c r="E4" s="24" t="s">
        <v>3</v>
      </c>
      <c r="F4" s="24" t="s">
        <v>1</v>
      </c>
    </row>
    <row r="5" spans="1:6" s="16" customFormat="1" x14ac:dyDescent="0.25">
      <c r="A5" s="33"/>
      <c r="B5" s="47" t="s">
        <v>114</v>
      </c>
      <c r="C5" s="18"/>
      <c r="D5" s="18"/>
      <c r="E5" s="18"/>
      <c r="F5" s="18">
        <v>14396.8</v>
      </c>
    </row>
    <row r="6" spans="1:6" x14ac:dyDescent="0.25">
      <c r="A6" s="28">
        <v>1</v>
      </c>
      <c r="B6" s="25" t="s">
        <v>79</v>
      </c>
      <c r="C6" s="27"/>
      <c r="D6" s="22"/>
      <c r="E6" s="19">
        <v>12000</v>
      </c>
      <c r="F6" s="19"/>
    </row>
    <row r="7" spans="1:6" x14ac:dyDescent="0.25">
      <c r="A7" s="33">
        <v>1</v>
      </c>
      <c r="B7" s="10" t="s">
        <v>6</v>
      </c>
      <c r="C7" s="17"/>
      <c r="D7" s="18"/>
      <c r="E7" s="17"/>
      <c r="F7" s="17">
        <v>4073</v>
      </c>
    </row>
    <row r="8" spans="1:6" x14ac:dyDescent="0.25">
      <c r="A8" s="33">
        <v>1</v>
      </c>
      <c r="B8" s="9" t="s">
        <v>7</v>
      </c>
      <c r="C8" s="17"/>
      <c r="D8" s="18"/>
      <c r="E8" s="17"/>
      <c r="F8" s="21">
        <v>4000</v>
      </c>
    </row>
    <row r="9" spans="1:6" x14ac:dyDescent="0.25">
      <c r="A9" s="33">
        <v>1</v>
      </c>
      <c r="B9" s="10" t="s">
        <v>8</v>
      </c>
      <c r="C9" s="17"/>
      <c r="D9" s="18"/>
      <c r="E9" s="17"/>
      <c r="F9" s="17">
        <v>1040</v>
      </c>
    </row>
    <row r="10" spans="1:6" x14ac:dyDescent="0.25">
      <c r="A10" s="33">
        <v>1</v>
      </c>
      <c r="B10" s="9" t="s">
        <v>9</v>
      </c>
      <c r="C10" s="17"/>
      <c r="D10" s="18"/>
      <c r="E10" s="17"/>
      <c r="F10" s="21">
        <v>150</v>
      </c>
    </row>
    <row r="11" spans="1:6" x14ac:dyDescent="0.25">
      <c r="A11" s="33">
        <v>1</v>
      </c>
      <c r="B11" s="9" t="s">
        <v>10</v>
      </c>
      <c r="C11" s="17"/>
      <c r="D11" s="18"/>
      <c r="E11" s="17"/>
      <c r="F11" s="17">
        <v>500</v>
      </c>
    </row>
    <row r="12" spans="1:6" x14ac:dyDescent="0.25">
      <c r="A12" s="33">
        <v>1</v>
      </c>
      <c r="B12" s="9" t="s">
        <v>11</v>
      </c>
      <c r="C12" s="17"/>
      <c r="D12" s="18"/>
      <c r="E12" s="17"/>
      <c r="F12" s="17">
        <v>350</v>
      </c>
    </row>
    <row r="13" spans="1:6" x14ac:dyDescent="0.25">
      <c r="A13" s="33">
        <v>1</v>
      </c>
      <c r="B13" s="9" t="s">
        <v>12</v>
      </c>
      <c r="C13" s="17"/>
      <c r="D13" s="18"/>
      <c r="E13" s="17"/>
      <c r="F13" s="17">
        <v>1000</v>
      </c>
    </row>
    <row r="14" spans="1:6" x14ac:dyDescent="0.25">
      <c r="A14" s="33">
        <v>2</v>
      </c>
      <c r="B14" s="9" t="s">
        <v>13</v>
      </c>
      <c r="C14" s="17"/>
      <c r="D14" s="18"/>
      <c r="E14" s="17"/>
      <c r="F14" s="21">
        <v>500</v>
      </c>
    </row>
    <row r="15" spans="1:6" x14ac:dyDescent="0.25">
      <c r="A15" s="33">
        <v>2</v>
      </c>
      <c r="B15" s="9" t="s">
        <v>14</v>
      </c>
      <c r="C15" s="17"/>
      <c r="D15" s="18"/>
      <c r="E15" s="17"/>
      <c r="F15" s="17">
        <v>400</v>
      </c>
    </row>
    <row r="16" spans="1:6" x14ac:dyDescent="0.25">
      <c r="A16" s="33">
        <v>3</v>
      </c>
      <c r="B16" s="9" t="s">
        <v>15</v>
      </c>
      <c r="C16" s="17">
        <v>800</v>
      </c>
      <c r="D16" s="18"/>
      <c r="E16" s="17"/>
      <c r="F16" s="21"/>
    </row>
    <row r="17" spans="1:6" x14ac:dyDescent="0.25">
      <c r="A17" s="33">
        <v>3</v>
      </c>
      <c r="B17" s="9" t="s">
        <v>16</v>
      </c>
      <c r="C17" s="17">
        <v>22875</v>
      </c>
      <c r="D17" s="18"/>
      <c r="E17" s="17"/>
      <c r="F17" s="17"/>
    </row>
    <row r="18" spans="1:6" x14ac:dyDescent="0.25">
      <c r="A18" s="33">
        <v>3</v>
      </c>
      <c r="B18" s="9" t="s">
        <v>17</v>
      </c>
      <c r="C18" s="17">
        <v>4450</v>
      </c>
      <c r="D18" s="18"/>
      <c r="E18" s="17"/>
      <c r="F18" s="17"/>
    </row>
    <row r="19" spans="1:6" x14ac:dyDescent="0.25">
      <c r="A19" s="33">
        <v>3</v>
      </c>
      <c r="B19" s="9" t="s">
        <v>87</v>
      </c>
      <c r="C19" s="17"/>
      <c r="D19" s="18"/>
      <c r="E19" s="17"/>
      <c r="F19" s="17">
        <v>186</v>
      </c>
    </row>
    <row r="20" spans="1:6" x14ac:dyDescent="0.25">
      <c r="A20" s="33">
        <v>3</v>
      </c>
      <c r="B20" s="9" t="s">
        <v>19</v>
      </c>
      <c r="C20" s="17"/>
      <c r="D20" s="18"/>
      <c r="E20" s="17"/>
      <c r="F20" s="17">
        <v>150</v>
      </c>
    </row>
    <row r="21" spans="1:6" x14ac:dyDescent="0.25">
      <c r="A21" s="33">
        <v>4</v>
      </c>
      <c r="B21" s="9" t="s">
        <v>20</v>
      </c>
      <c r="C21" s="17"/>
      <c r="D21" s="18"/>
      <c r="E21" s="17"/>
      <c r="F21" s="17">
        <v>120</v>
      </c>
    </row>
    <row r="22" spans="1:6" x14ac:dyDescent="0.25">
      <c r="A22" s="33">
        <v>4</v>
      </c>
      <c r="B22" s="9" t="s">
        <v>21</v>
      </c>
      <c r="C22" s="17"/>
      <c r="D22" s="18"/>
      <c r="E22" s="17"/>
      <c r="F22" s="17">
        <v>310</v>
      </c>
    </row>
    <row r="23" spans="1:6" x14ac:dyDescent="0.25">
      <c r="A23" s="33">
        <v>5</v>
      </c>
      <c r="B23" s="9" t="s">
        <v>22</v>
      </c>
      <c r="C23" s="17"/>
      <c r="D23" s="18"/>
      <c r="E23" s="17"/>
      <c r="F23" s="21">
        <v>15</v>
      </c>
    </row>
    <row r="24" spans="1:6" x14ac:dyDescent="0.25">
      <c r="A24" s="33">
        <v>5</v>
      </c>
      <c r="B24" s="9" t="s">
        <v>23</v>
      </c>
      <c r="C24" s="17"/>
      <c r="D24" s="18"/>
      <c r="E24" s="17"/>
      <c r="F24" s="21">
        <v>2279.0100000000002</v>
      </c>
    </row>
    <row r="25" spans="1:6" x14ac:dyDescent="0.25">
      <c r="A25" s="33">
        <v>5</v>
      </c>
      <c r="B25" s="9" t="s">
        <v>24</v>
      </c>
      <c r="C25" s="17"/>
      <c r="D25" s="18"/>
      <c r="E25" s="17"/>
      <c r="F25" s="17">
        <v>79</v>
      </c>
    </row>
    <row r="26" spans="1:6" x14ac:dyDescent="0.25">
      <c r="A26" s="33">
        <v>5</v>
      </c>
      <c r="B26" s="9" t="s">
        <v>25</v>
      </c>
      <c r="C26" s="17"/>
      <c r="D26" s="18"/>
      <c r="E26" s="17"/>
      <c r="F26" s="17">
        <v>5</v>
      </c>
    </row>
    <row r="27" spans="1:6" x14ac:dyDescent="0.25">
      <c r="A27" s="33">
        <v>5</v>
      </c>
      <c r="B27" s="9" t="s">
        <v>26</v>
      </c>
      <c r="C27" s="17"/>
      <c r="D27" s="18"/>
      <c r="E27" s="17"/>
      <c r="F27" s="17">
        <v>1121.96</v>
      </c>
    </row>
    <row r="28" spans="1:6" x14ac:dyDescent="0.25">
      <c r="A28" s="33">
        <v>5</v>
      </c>
      <c r="B28" s="9" t="s">
        <v>27</v>
      </c>
      <c r="C28" s="17"/>
      <c r="D28" s="18"/>
      <c r="E28" s="17"/>
      <c r="F28" s="17">
        <v>5</v>
      </c>
    </row>
    <row r="29" spans="1:6" x14ac:dyDescent="0.25">
      <c r="A29" s="33">
        <v>6</v>
      </c>
      <c r="B29" s="9" t="s">
        <v>28</v>
      </c>
      <c r="C29" s="17"/>
      <c r="D29" s="18"/>
      <c r="E29" s="17"/>
      <c r="F29" s="17">
        <v>61</v>
      </c>
    </row>
    <row r="30" spans="1:6" x14ac:dyDescent="0.25">
      <c r="A30" s="33">
        <v>6</v>
      </c>
      <c r="B30" s="9" t="s">
        <v>29</v>
      </c>
      <c r="C30" s="17"/>
      <c r="D30" s="18"/>
      <c r="E30" s="17"/>
      <c r="F30" s="17">
        <v>2704.16</v>
      </c>
    </row>
    <row r="31" spans="1:6" x14ac:dyDescent="0.25">
      <c r="A31" s="33">
        <v>6</v>
      </c>
      <c r="B31" s="9" t="s">
        <v>30</v>
      </c>
      <c r="C31" s="17"/>
      <c r="D31" s="18"/>
      <c r="E31" s="17"/>
      <c r="F31" s="17">
        <v>1230.8699999999999</v>
      </c>
    </row>
    <row r="32" spans="1:6" x14ac:dyDescent="0.25">
      <c r="A32" s="33">
        <v>6</v>
      </c>
      <c r="B32" s="9" t="s">
        <v>31</v>
      </c>
      <c r="C32" s="17"/>
      <c r="D32" s="18"/>
      <c r="E32" s="17"/>
      <c r="F32" s="21">
        <v>5</v>
      </c>
    </row>
    <row r="33" spans="1:6" x14ac:dyDescent="0.25">
      <c r="A33" s="33">
        <v>6</v>
      </c>
      <c r="B33" s="9" t="s">
        <v>32</v>
      </c>
      <c r="C33" s="17"/>
      <c r="D33" s="18"/>
      <c r="E33" s="17"/>
      <c r="F33" s="17">
        <v>87</v>
      </c>
    </row>
    <row r="34" spans="1:6" x14ac:dyDescent="0.25">
      <c r="A34" s="33">
        <v>6</v>
      </c>
      <c r="B34" s="9" t="s">
        <v>33</v>
      </c>
      <c r="C34" s="17"/>
      <c r="D34" s="18"/>
      <c r="E34" s="17"/>
      <c r="F34" s="17">
        <v>800</v>
      </c>
    </row>
    <row r="35" spans="1:6" x14ac:dyDescent="0.25">
      <c r="A35" s="33">
        <v>7</v>
      </c>
      <c r="B35" s="9" t="s">
        <v>34</v>
      </c>
      <c r="C35" s="17"/>
      <c r="D35" s="18"/>
      <c r="E35" s="17"/>
      <c r="F35" s="17">
        <v>10100</v>
      </c>
    </row>
    <row r="36" spans="1:6" x14ac:dyDescent="0.25">
      <c r="A36" s="33">
        <v>7</v>
      </c>
      <c r="B36" s="9" t="s">
        <v>35</v>
      </c>
      <c r="C36" s="17"/>
      <c r="D36" s="18"/>
      <c r="E36" s="17"/>
      <c r="F36" s="17">
        <v>401</v>
      </c>
    </row>
    <row r="37" spans="1:6" x14ac:dyDescent="0.25">
      <c r="A37" s="33">
        <v>7</v>
      </c>
      <c r="B37" s="9" t="s">
        <v>35</v>
      </c>
      <c r="C37" s="17"/>
      <c r="D37" s="18"/>
      <c r="E37" s="17"/>
      <c r="F37" s="17">
        <v>39</v>
      </c>
    </row>
    <row r="38" spans="1:6" x14ac:dyDescent="0.25">
      <c r="A38" s="33">
        <v>8</v>
      </c>
      <c r="B38" s="9" t="s">
        <v>36</v>
      </c>
      <c r="C38" s="17"/>
      <c r="D38" s="18"/>
      <c r="E38" s="17"/>
      <c r="F38" s="17">
        <v>1250</v>
      </c>
    </row>
    <row r="39" spans="1:6" x14ac:dyDescent="0.25">
      <c r="A39" s="33">
        <v>8</v>
      </c>
      <c r="B39" s="9" t="s">
        <v>83</v>
      </c>
      <c r="C39" s="17"/>
      <c r="D39" s="18"/>
      <c r="E39" s="17"/>
      <c r="F39" s="17">
        <v>252</v>
      </c>
    </row>
    <row r="40" spans="1:6" x14ac:dyDescent="0.25">
      <c r="A40" s="33">
        <v>8</v>
      </c>
      <c r="B40" s="9" t="s">
        <v>84</v>
      </c>
      <c r="C40" s="17"/>
      <c r="D40" s="18"/>
      <c r="E40" s="17"/>
      <c r="F40" s="17">
        <v>358</v>
      </c>
    </row>
    <row r="41" spans="1:6" x14ac:dyDescent="0.25">
      <c r="A41" s="33">
        <v>8</v>
      </c>
      <c r="B41" s="9" t="s">
        <v>35</v>
      </c>
      <c r="C41" s="17"/>
      <c r="D41" s="18"/>
      <c r="E41" s="17"/>
      <c r="F41" s="17">
        <v>145</v>
      </c>
    </row>
    <row r="42" spans="1:6" x14ac:dyDescent="0.25">
      <c r="A42" s="33">
        <v>10</v>
      </c>
      <c r="B42" s="9" t="s">
        <v>18</v>
      </c>
      <c r="C42" s="17"/>
      <c r="D42" s="18"/>
      <c r="E42" s="17"/>
      <c r="F42" s="17">
        <v>155</v>
      </c>
    </row>
    <row r="43" spans="1:6" x14ac:dyDescent="0.25">
      <c r="A43" s="33">
        <v>10</v>
      </c>
      <c r="B43" s="9" t="s">
        <v>21</v>
      </c>
      <c r="C43" s="17"/>
      <c r="D43" s="18"/>
      <c r="E43" s="17"/>
      <c r="F43" s="21">
        <v>310</v>
      </c>
    </row>
    <row r="44" spans="1:6" x14ac:dyDescent="0.25">
      <c r="A44" s="33">
        <v>10</v>
      </c>
      <c r="B44" s="9" t="s">
        <v>37</v>
      </c>
      <c r="C44" s="17"/>
      <c r="D44" s="18"/>
      <c r="E44" s="17"/>
      <c r="F44" s="21">
        <v>120</v>
      </c>
    </row>
    <row r="45" spans="1:6" x14ac:dyDescent="0.25">
      <c r="A45" s="33">
        <v>12</v>
      </c>
      <c r="B45" s="9" t="s">
        <v>38</v>
      </c>
      <c r="C45" s="17">
        <v>26250</v>
      </c>
      <c r="D45" s="18"/>
      <c r="E45" s="17"/>
      <c r="F45" s="21"/>
    </row>
    <row r="46" spans="1:6" x14ac:dyDescent="0.25">
      <c r="A46" s="33">
        <v>12</v>
      </c>
      <c r="B46" s="9" t="s">
        <v>39</v>
      </c>
      <c r="C46" s="17"/>
      <c r="D46" s="18"/>
      <c r="E46" s="17"/>
      <c r="F46" s="21">
        <v>53</v>
      </c>
    </row>
    <row r="47" spans="1:6" x14ac:dyDescent="0.25">
      <c r="A47" s="33">
        <v>12</v>
      </c>
      <c r="B47" s="9" t="s">
        <v>39</v>
      </c>
      <c r="C47" s="17"/>
      <c r="D47" s="18"/>
      <c r="E47" s="17"/>
      <c r="F47" s="21">
        <v>120</v>
      </c>
    </row>
    <row r="48" spans="1:6" x14ac:dyDescent="0.25">
      <c r="A48" s="33">
        <v>12</v>
      </c>
      <c r="B48" s="10" t="s">
        <v>40</v>
      </c>
      <c r="C48" s="17"/>
      <c r="D48" s="18"/>
      <c r="E48" s="17">
        <v>1760</v>
      </c>
      <c r="F48" s="17"/>
    </row>
    <row r="49" spans="1:6" x14ac:dyDescent="0.25">
      <c r="A49" s="33">
        <v>12</v>
      </c>
      <c r="B49" s="9" t="s">
        <v>41</v>
      </c>
      <c r="C49" s="17"/>
      <c r="D49" s="18"/>
      <c r="E49" s="17">
        <v>1300</v>
      </c>
      <c r="F49" s="17"/>
    </row>
    <row r="50" spans="1:6" x14ac:dyDescent="0.25">
      <c r="A50" s="33">
        <v>12</v>
      </c>
      <c r="B50" s="10" t="s">
        <v>42</v>
      </c>
      <c r="C50" s="17"/>
      <c r="D50" s="18"/>
      <c r="E50" s="20"/>
      <c r="F50" s="17">
        <v>60</v>
      </c>
    </row>
    <row r="51" spans="1:6" x14ac:dyDescent="0.25">
      <c r="A51" s="33">
        <v>12</v>
      </c>
      <c r="B51" s="10" t="s">
        <v>43</v>
      </c>
      <c r="C51" s="20"/>
      <c r="D51" s="18"/>
      <c r="E51" s="17"/>
      <c r="F51" s="17">
        <v>300</v>
      </c>
    </row>
    <row r="52" spans="1:6" x14ac:dyDescent="0.25">
      <c r="A52" s="33">
        <v>13</v>
      </c>
      <c r="B52" s="10" t="s">
        <v>44</v>
      </c>
      <c r="C52" s="17"/>
      <c r="D52" s="18"/>
      <c r="E52" s="17"/>
      <c r="F52" s="17">
        <v>75.12</v>
      </c>
    </row>
    <row r="53" spans="1:6" x14ac:dyDescent="0.25">
      <c r="A53" s="33">
        <v>13</v>
      </c>
      <c r="B53" s="10" t="s">
        <v>45</v>
      </c>
      <c r="C53" s="17"/>
      <c r="D53" s="18"/>
      <c r="E53" s="17"/>
      <c r="F53" s="17">
        <v>21</v>
      </c>
    </row>
    <row r="54" spans="1:6" x14ac:dyDescent="0.25">
      <c r="A54" s="33">
        <v>13</v>
      </c>
      <c r="B54" s="10" t="s">
        <v>46</v>
      </c>
      <c r="C54" s="17"/>
      <c r="D54" s="18"/>
      <c r="E54" s="17"/>
      <c r="F54" s="17">
        <v>141</v>
      </c>
    </row>
    <row r="55" spans="1:6" x14ac:dyDescent="0.25">
      <c r="A55" s="33">
        <v>13</v>
      </c>
      <c r="B55" s="10" t="s">
        <v>47</v>
      </c>
      <c r="C55" s="17"/>
      <c r="D55" s="18"/>
      <c r="E55" s="17"/>
      <c r="F55" s="17">
        <v>114.38</v>
      </c>
    </row>
    <row r="56" spans="1:6" x14ac:dyDescent="0.25">
      <c r="A56" s="33">
        <v>14</v>
      </c>
      <c r="B56" s="10" t="s">
        <v>48</v>
      </c>
      <c r="C56" s="17"/>
      <c r="D56" s="18"/>
      <c r="E56" s="17"/>
      <c r="F56" s="17">
        <v>778</v>
      </c>
    </row>
    <row r="57" spans="1:6" x14ac:dyDescent="0.25">
      <c r="A57" s="33">
        <v>14</v>
      </c>
      <c r="B57" s="9" t="s">
        <v>49</v>
      </c>
      <c r="C57" s="17"/>
      <c r="D57" s="18"/>
      <c r="E57" s="17"/>
      <c r="F57" s="17">
        <v>33</v>
      </c>
    </row>
    <row r="58" spans="1:6" s="8" customFormat="1" x14ac:dyDescent="0.25">
      <c r="A58" s="33">
        <v>14</v>
      </c>
      <c r="B58" s="13" t="s">
        <v>50</v>
      </c>
      <c r="C58" s="17"/>
      <c r="D58" s="18"/>
      <c r="E58" s="18"/>
      <c r="F58" s="17">
        <v>350</v>
      </c>
    </row>
    <row r="59" spans="1:6" s="8" customFormat="1" x14ac:dyDescent="0.25">
      <c r="A59" s="33">
        <v>15</v>
      </c>
      <c r="B59" s="12" t="s">
        <v>51</v>
      </c>
      <c r="C59" s="18"/>
      <c r="D59" s="18"/>
      <c r="E59" s="18"/>
      <c r="F59" s="21">
        <v>180</v>
      </c>
    </row>
    <row r="60" spans="1:6" s="8" customFormat="1" x14ac:dyDescent="0.25">
      <c r="A60" s="33">
        <v>15</v>
      </c>
      <c r="B60" s="12" t="s">
        <v>52</v>
      </c>
      <c r="C60" s="18"/>
      <c r="D60" s="18"/>
      <c r="E60" s="18"/>
      <c r="F60" s="21">
        <v>187</v>
      </c>
    </row>
    <row r="61" spans="1:6" s="8" customFormat="1" x14ac:dyDescent="0.25">
      <c r="A61" s="33">
        <v>15</v>
      </c>
      <c r="B61" s="12" t="s">
        <v>53</v>
      </c>
      <c r="C61" s="18"/>
      <c r="D61" s="18"/>
      <c r="E61" s="18"/>
      <c r="F61" s="21">
        <v>75</v>
      </c>
    </row>
    <row r="62" spans="1:6" s="8" customFormat="1" x14ac:dyDescent="0.25">
      <c r="A62" s="33">
        <v>15</v>
      </c>
      <c r="B62" s="12" t="s">
        <v>54</v>
      </c>
      <c r="C62" s="18"/>
      <c r="D62" s="18"/>
      <c r="E62" s="18"/>
      <c r="F62" s="21">
        <v>28</v>
      </c>
    </row>
    <row r="63" spans="1:6" s="8" customFormat="1" x14ac:dyDescent="0.25">
      <c r="A63" s="33">
        <v>15</v>
      </c>
      <c r="B63" s="13" t="s">
        <v>55</v>
      </c>
      <c r="C63" s="18"/>
      <c r="D63" s="18"/>
      <c r="E63" s="18"/>
      <c r="F63" s="17">
        <v>322.60000000000002</v>
      </c>
    </row>
    <row r="64" spans="1:6" s="8" customFormat="1" x14ac:dyDescent="0.25">
      <c r="A64" s="33">
        <v>15</v>
      </c>
      <c r="B64" s="13" t="s">
        <v>56</v>
      </c>
      <c r="C64" s="18"/>
      <c r="D64" s="18"/>
      <c r="E64" s="18"/>
      <c r="F64" s="17">
        <v>104</v>
      </c>
    </row>
    <row r="65" spans="1:6" s="8" customFormat="1" x14ac:dyDescent="0.25">
      <c r="A65" s="33">
        <v>15</v>
      </c>
      <c r="B65" s="13" t="s">
        <v>80</v>
      </c>
      <c r="C65" s="18"/>
      <c r="D65" s="18"/>
      <c r="E65" s="18"/>
      <c r="F65" s="17">
        <v>350</v>
      </c>
    </row>
    <row r="66" spans="1:6" s="8" customFormat="1" x14ac:dyDescent="0.25">
      <c r="A66" s="33">
        <v>15</v>
      </c>
      <c r="B66" s="13" t="s">
        <v>57</v>
      </c>
      <c r="C66" s="18"/>
      <c r="D66" s="18"/>
      <c r="E66" s="18"/>
      <c r="F66" s="17">
        <v>450</v>
      </c>
    </row>
    <row r="67" spans="1:6" s="8" customFormat="1" x14ac:dyDescent="0.25">
      <c r="A67" s="33">
        <v>15</v>
      </c>
      <c r="B67" s="13" t="s">
        <v>81</v>
      </c>
      <c r="C67" s="18"/>
      <c r="D67" s="18"/>
      <c r="E67" s="18"/>
      <c r="F67" s="17">
        <v>1250</v>
      </c>
    </row>
    <row r="68" spans="1:6" s="8" customFormat="1" x14ac:dyDescent="0.25">
      <c r="A68" s="33">
        <v>15</v>
      </c>
      <c r="B68" s="13" t="s">
        <v>100</v>
      </c>
      <c r="C68" s="18"/>
      <c r="D68" s="18"/>
      <c r="E68" s="18"/>
      <c r="F68" s="17">
        <v>4000</v>
      </c>
    </row>
    <row r="69" spans="1:6" s="8" customFormat="1" x14ac:dyDescent="0.25">
      <c r="A69" s="33">
        <v>15</v>
      </c>
      <c r="B69" s="13" t="s">
        <v>58</v>
      </c>
      <c r="C69" s="18"/>
      <c r="D69" s="18"/>
      <c r="E69" s="18"/>
      <c r="F69" s="17">
        <v>1000</v>
      </c>
    </row>
    <row r="70" spans="1:6" s="8" customFormat="1" x14ac:dyDescent="0.25">
      <c r="A70" s="33">
        <v>15</v>
      </c>
      <c r="B70" s="13" t="s">
        <v>59</v>
      </c>
      <c r="C70" s="18"/>
      <c r="D70" s="18"/>
      <c r="E70" s="18"/>
      <c r="F70" s="17">
        <v>20000</v>
      </c>
    </row>
    <row r="71" spans="1:6" s="8" customFormat="1" x14ac:dyDescent="0.25">
      <c r="A71" s="33">
        <v>17</v>
      </c>
      <c r="B71" s="15" t="s">
        <v>60</v>
      </c>
      <c r="C71" s="18">
        <v>17950</v>
      </c>
      <c r="D71" s="18"/>
      <c r="E71" s="18"/>
      <c r="F71" s="17"/>
    </row>
    <row r="72" spans="1:6" s="16" customFormat="1" x14ac:dyDescent="0.25">
      <c r="A72" s="33">
        <v>17</v>
      </c>
      <c r="B72" s="34" t="s">
        <v>85</v>
      </c>
      <c r="C72" s="18"/>
      <c r="D72" s="18"/>
      <c r="E72" s="18"/>
      <c r="F72" s="17">
        <v>122</v>
      </c>
    </row>
    <row r="73" spans="1:6" x14ac:dyDescent="0.25">
      <c r="A73" s="33">
        <v>17</v>
      </c>
      <c r="B73" s="14" t="s">
        <v>37</v>
      </c>
      <c r="C73" s="18"/>
      <c r="D73" s="18"/>
      <c r="E73" s="18"/>
      <c r="F73" s="17">
        <v>120</v>
      </c>
    </row>
    <row r="74" spans="1:6" x14ac:dyDescent="0.25">
      <c r="A74" s="33">
        <v>18</v>
      </c>
      <c r="B74" s="12" t="s">
        <v>21</v>
      </c>
      <c r="C74" s="18"/>
      <c r="D74" s="18"/>
      <c r="E74" s="18"/>
      <c r="F74" s="17">
        <v>310</v>
      </c>
    </row>
    <row r="75" spans="1:6" s="16" customFormat="1" x14ac:dyDescent="0.25">
      <c r="A75" s="33">
        <v>19</v>
      </c>
      <c r="B75" s="29" t="s">
        <v>104</v>
      </c>
      <c r="C75" s="18"/>
      <c r="D75" s="18"/>
      <c r="E75" s="18"/>
      <c r="F75" s="17">
        <v>100</v>
      </c>
    </row>
    <row r="76" spans="1:6" s="16" customFormat="1" x14ac:dyDescent="0.25">
      <c r="A76" s="33">
        <v>19</v>
      </c>
      <c r="B76" s="29" t="s">
        <v>62</v>
      </c>
      <c r="C76" s="18"/>
      <c r="D76" s="18"/>
      <c r="E76" s="18"/>
      <c r="F76" s="17">
        <v>590</v>
      </c>
    </row>
    <row r="77" spans="1:6" s="16" customFormat="1" x14ac:dyDescent="0.25">
      <c r="A77" s="33">
        <v>19</v>
      </c>
      <c r="B77" s="32" t="s">
        <v>63</v>
      </c>
      <c r="C77" s="18"/>
      <c r="D77" s="18"/>
      <c r="E77" s="18"/>
      <c r="F77" s="17">
        <v>400</v>
      </c>
    </row>
    <row r="78" spans="1:6" s="16" customFormat="1" x14ac:dyDescent="0.25">
      <c r="A78" s="33">
        <v>19</v>
      </c>
      <c r="B78" s="31" t="s">
        <v>64</v>
      </c>
      <c r="C78" s="18"/>
      <c r="D78" s="18"/>
      <c r="E78" s="18"/>
      <c r="F78" s="17">
        <v>50</v>
      </c>
    </row>
    <row r="79" spans="1:6" s="16" customFormat="1" x14ac:dyDescent="0.25">
      <c r="A79" s="33">
        <v>19</v>
      </c>
      <c r="B79" s="32" t="s">
        <v>49</v>
      </c>
      <c r="C79" s="18"/>
      <c r="D79" s="18"/>
      <c r="E79" s="18"/>
      <c r="F79" s="17">
        <v>50</v>
      </c>
    </row>
    <row r="80" spans="1:6" s="16" customFormat="1" x14ac:dyDescent="0.25">
      <c r="A80" s="33">
        <v>19</v>
      </c>
      <c r="B80" s="31" t="s">
        <v>65</v>
      </c>
      <c r="C80" s="18"/>
      <c r="D80" s="18"/>
      <c r="E80" s="18"/>
      <c r="F80" s="17">
        <v>120</v>
      </c>
    </row>
    <row r="81" spans="1:6" s="16" customFormat="1" x14ac:dyDescent="0.25">
      <c r="A81" s="33">
        <v>19</v>
      </c>
      <c r="B81" s="30" t="s">
        <v>86</v>
      </c>
      <c r="C81" s="18"/>
      <c r="D81" s="18"/>
      <c r="E81" s="18"/>
      <c r="F81" s="17">
        <v>850</v>
      </c>
    </row>
    <row r="82" spans="1:6" s="16" customFormat="1" x14ac:dyDescent="0.25">
      <c r="A82" s="33">
        <v>22</v>
      </c>
      <c r="B82" s="29" t="s">
        <v>82</v>
      </c>
      <c r="C82" s="18"/>
      <c r="D82" s="18"/>
      <c r="E82" s="18"/>
      <c r="F82" s="17">
        <v>1250</v>
      </c>
    </row>
    <row r="83" spans="1:6" s="16" customFormat="1" x14ac:dyDescent="0.25">
      <c r="A83" s="33">
        <v>22</v>
      </c>
      <c r="B83" s="35" t="s">
        <v>88</v>
      </c>
      <c r="C83" s="18"/>
      <c r="D83" s="18"/>
      <c r="E83" s="18"/>
      <c r="F83" s="17">
        <v>828</v>
      </c>
    </row>
    <row r="84" spans="1:6" s="16" customFormat="1" x14ac:dyDescent="0.25">
      <c r="A84" s="33">
        <v>22</v>
      </c>
      <c r="B84" s="29" t="s">
        <v>89</v>
      </c>
      <c r="C84" s="18"/>
      <c r="D84" s="18"/>
      <c r="E84" s="18"/>
      <c r="F84" s="17">
        <v>118.9</v>
      </c>
    </row>
    <row r="85" spans="1:6" s="16" customFormat="1" x14ac:dyDescent="0.25">
      <c r="A85" s="33">
        <v>22</v>
      </c>
      <c r="B85" s="29" t="s">
        <v>90</v>
      </c>
      <c r="C85" s="18"/>
      <c r="D85" s="18"/>
      <c r="E85" s="18"/>
      <c r="F85" s="17">
        <v>5</v>
      </c>
    </row>
    <row r="86" spans="1:6" s="16" customFormat="1" x14ac:dyDescent="0.25">
      <c r="A86" s="33">
        <v>22</v>
      </c>
      <c r="B86" s="35" t="s">
        <v>91</v>
      </c>
      <c r="C86" s="18"/>
      <c r="D86" s="18"/>
      <c r="E86" s="18"/>
      <c r="F86" s="17">
        <v>13.5</v>
      </c>
    </row>
    <row r="87" spans="1:6" s="16" customFormat="1" x14ac:dyDescent="0.25">
      <c r="A87" s="33">
        <v>23</v>
      </c>
      <c r="B87" s="35" t="s">
        <v>92</v>
      </c>
      <c r="C87" s="18"/>
      <c r="D87" s="18"/>
      <c r="E87" s="18"/>
      <c r="F87" s="17">
        <v>280</v>
      </c>
    </row>
    <row r="88" spans="1:6" x14ac:dyDescent="0.25">
      <c r="A88" s="33">
        <v>24</v>
      </c>
      <c r="B88" s="1" t="s">
        <v>74</v>
      </c>
      <c r="C88" s="18">
        <v>8250</v>
      </c>
      <c r="D88" s="18"/>
      <c r="E88" s="18"/>
      <c r="F88" s="18"/>
    </row>
    <row r="89" spans="1:6" s="16" customFormat="1" x14ac:dyDescent="0.25">
      <c r="A89" s="33">
        <v>24</v>
      </c>
      <c r="B89" s="1" t="s">
        <v>106</v>
      </c>
      <c r="C89" s="18"/>
      <c r="D89" s="18"/>
      <c r="E89" s="18"/>
      <c r="F89" s="18">
        <v>120</v>
      </c>
    </row>
    <row r="90" spans="1:6" s="16" customFormat="1" x14ac:dyDescent="0.25">
      <c r="A90" s="33">
        <v>24</v>
      </c>
      <c r="B90" s="1" t="s">
        <v>107</v>
      </c>
      <c r="C90" s="18"/>
      <c r="D90" s="18"/>
      <c r="E90" s="18"/>
      <c r="F90" s="18">
        <v>196.7</v>
      </c>
    </row>
    <row r="91" spans="1:6" x14ac:dyDescent="0.25">
      <c r="A91" s="33">
        <v>25</v>
      </c>
      <c r="B91" s="1" t="s">
        <v>21</v>
      </c>
      <c r="C91" s="18"/>
      <c r="D91" s="18"/>
      <c r="E91" s="18"/>
      <c r="F91" s="18">
        <v>310</v>
      </c>
    </row>
    <row r="92" spans="1:6" ht="15" customHeight="1" x14ac:dyDescent="0.25">
      <c r="A92" s="33">
        <v>26</v>
      </c>
      <c r="B92" s="1" t="s">
        <v>66</v>
      </c>
      <c r="C92" s="18"/>
      <c r="D92" s="18"/>
      <c r="E92" s="18"/>
      <c r="F92" s="18">
        <v>88</v>
      </c>
    </row>
    <row r="93" spans="1:6" s="16" customFormat="1" x14ac:dyDescent="0.25">
      <c r="A93" s="33">
        <v>26</v>
      </c>
      <c r="B93" s="1" t="s">
        <v>67</v>
      </c>
      <c r="C93" s="18"/>
      <c r="D93" s="18"/>
      <c r="E93" s="18"/>
      <c r="F93" s="18">
        <v>280</v>
      </c>
    </row>
    <row r="94" spans="1:6" s="16" customFormat="1" x14ac:dyDescent="0.25">
      <c r="A94" s="33">
        <v>26</v>
      </c>
      <c r="B94" s="1" t="s">
        <v>68</v>
      </c>
      <c r="C94" s="18"/>
      <c r="D94" s="18"/>
      <c r="E94" s="18"/>
      <c r="F94" s="18">
        <v>840</v>
      </c>
    </row>
    <row r="95" spans="1:6" s="16" customFormat="1" x14ac:dyDescent="0.25">
      <c r="A95" s="33">
        <v>26</v>
      </c>
      <c r="B95" s="1" t="s">
        <v>69</v>
      </c>
      <c r="C95" s="18"/>
      <c r="D95" s="18"/>
      <c r="E95" s="18"/>
      <c r="F95" s="18">
        <v>40</v>
      </c>
    </row>
    <row r="96" spans="1:6" s="16" customFormat="1" x14ac:dyDescent="0.25">
      <c r="A96" s="33">
        <v>26</v>
      </c>
      <c r="B96" s="1" t="s">
        <v>78</v>
      </c>
      <c r="C96" s="18"/>
      <c r="D96" s="17">
        <v>12760</v>
      </c>
      <c r="E96" s="18"/>
      <c r="F96" s="18"/>
    </row>
    <row r="97" spans="1:6" s="16" customFormat="1" x14ac:dyDescent="0.25">
      <c r="A97" s="33">
        <v>27</v>
      </c>
      <c r="B97" s="1" t="s">
        <v>66</v>
      </c>
      <c r="C97" s="18"/>
      <c r="D97" s="18"/>
      <c r="E97" s="18"/>
      <c r="F97" s="18">
        <v>32</v>
      </c>
    </row>
    <row r="98" spans="1:6" s="16" customFormat="1" x14ac:dyDescent="0.25">
      <c r="A98" s="33">
        <v>27</v>
      </c>
      <c r="B98" s="1" t="s">
        <v>70</v>
      </c>
      <c r="C98" s="18"/>
      <c r="D98" s="18"/>
      <c r="E98" s="18"/>
      <c r="F98" s="18">
        <v>190</v>
      </c>
    </row>
    <row r="99" spans="1:6" s="16" customFormat="1" x14ac:dyDescent="0.25">
      <c r="A99" s="33">
        <v>27</v>
      </c>
      <c r="B99" s="29" t="s">
        <v>93</v>
      </c>
      <c r="C99" s="18"/>
      <c r="D99" s="18"/>
      <c r="E99" s="18"/>
      <c r="F99" s="18">
        <v>10100</v>
      </c>
    </row>
    <row r="100" spans="1:6" s="16" customFormat="1" x14ac:dyDescent="0.25">
      <c r="A100" s="33">
        <v>28</v>
      </c>
      <c r="B100" s="32" t="s">
        <v>49</v>
      </c>
      <c r="C100" s="18"/>
      <c r="D100" s="18"/>
      <c r="E100" s="18"/>
      <c r="F100" s="18">
        <v>34</v>
      </c>
    </row>
    <row r="101" spans="1:6" s="16" customFormat="1" x14ac:dyDescent="0.25">
      <c r="A101" s="33">
        <v>28</v>
      </c>
      <c r="B101" s="1" t="s">
        <v>71</v>
      </c>
      <c r="C101" s="18"/>
      <c r="D101" s="18"/>
      <c r="E101" s="18"/>
      <c r="F101" s="18">
        <v>250</v>
      </c>
    </row>
    <row r="102" spans="1:6" s="16" customFormat="1" x14ac:dyDescent="0.25">
      <c r="A102" s="33">
        <v>28</v>
      </c>
      <c r="B102" s="1" t="s">
        <v>72</v>
      </c>
      <c r="C102" s="18"/>
      <c r="D102" s="18"/>
      <c r="E102" s="18"/>
      <c r="F102" s="18">
        <v>15</v>
      </c>
    </row>
    <row r="103" spans="1:6" s="16" customFormat="1" x14ac:dyDescent="0.25">
      <c r="A103" s="33">
        <v>29</v>
      </c>
      <c r="B103" s="1" t="s">
        <v>77</v>
      </c>
      <c r="C103" s="18"/>
      <c r="D103" s="18"/>
      <c r="E103" s="18"/>
      <c r="F103" s="18">
        <v>1250</v>
      </c>
    </row>
    <row r="104" spans="1:6" s="16" customFormat="1" x14ac:dyDescent="0.25">
      <c r="A104" s="33">
        <v>29</v>
      </c>
      <c r="B104" s="1" t="s">
        <v>94</v>
      </c>
      <c r="C104" s="18">
        <v>900</v>
      </c>
      <c r="D104" s="18"/>
      <c r="E104" s="18"/>
      <c r="F104" s="18"/>
    </row>
    <row r="105" spans="1:6" s="16" customFormat="1" x14ac:dyDescent="0.25">
      <c r="A105" s="33">
        <v>29</v>
      </c>
      <c r="B105" s="1" t="s">
        <v>95</v>
      </c>
      <c r="C105" s="18"/>
      <c r="D105" s="18"/>
      <c r="E105" s="18"/>
      <c r="F105" s="18">
        <v>100</v>
      </c>
    </row>
    <row r="106" spans="1:6" s="16" customFormat="1" x14ac:dyDescent="0.25">
      <c r="A106" s="33">
        <v>29</v>
      </c>
      <c r="B106" s="1" t="s">
        <v>96</v>
      </c>
      <c r="C106" s="18"/>
      <c r="D106" s="18">
        <v>300</v>
      </c>
      <c r="E106" s="18"/>
      <c r="F106" s="18"/>
    </row>
    <row r="107" spans="1:6" s="16" customFormat="1" x14ac:dyDescent="0.25">
      <c r="A107" s="33">
        <v>29</v>
      </c>
      <c r="B107" s="1" t="s">
        <v>97</v>
      </c>
      <c r="C107" s="18"/>
      <c r="D107" s="18"/>
      <c r="E107" s="18"/>
      <c r="F107" s="18">
        <v>350</v>
      </c>
    </row>
    <row r="108" spans="1:6" s="16" customFormat="1" x14ac:dyDescent="0.25">
      <c r="A108" s="33">
        <v>29</v>
      </c>
      <c r="B108" s="1" t="s">
        <v>98</v>
      </c>
      <c r="C108" s="18"/>
      <c r="D108" s="18"/>
      <c r="E108" s="18"/>
      <c r="F108" s="18">
        <v>155</v>
      </c>
    </row>
    <row r="109" spans="1:6" x14ac:dyDescent="0.25">
      <c r="A109" s="33">
        <v>29</v>
      </c>
      <c r="B109" s="1" t="s">
        <v>99</v>
      </c>
      <c r="C109" s="18"/>
      <c r="D109" s="18"/>
      <c r="E109" s="18"/>
      <c r="F109" s="18">
        <v>35</v>
      </c>
    </row>
    <row r="110" spans="1:6" s="16" customFormat="1" x14ac:dyDescent="0.25">
      <c r="A110" s="33">
        <v>29</v>
      </c>
      <c r="B110" s="1" t="s">
        <v>66</v>
      </c>
      <c r="C110" s="18"/>
      <c r="D110" s="18"/>
      <c r="E110" s="18"/>
      <c r="F110" s="18">
        <v>55</v>
      </c>
    </row>
    <row r="111" spans="1:6" s="16" customFormat="1" x14ac:dyDescent="0.25">
      <c r="A111" s="33">
        <v>30</v>
      </c>
      <c r="B111" s="30" t="s">
        <v>101</v>
      </c>
      <c r="C111" s="18"/>
      <c r="D111" s="18"/>
      <c r="E111" s="18"/>
      <c r="F111" s="18">
        <v>4000</v>
      </c>
    </row>
    <row r="112" spans="1:6" s="16" customFormat="1" x14ac:dyDescent="0.25">
      <c r="A112" s="33">
        <v>30</v>
      </c>
      <c r="B112" s="30" t="s">
        <v>58</v>
      </c>
      <c r="C112" s="18"/>
      <c r="D112" s="18"/>
      <c r="E112" s="18"/>
      <c r="F112" s="18">
        <v>1000</v>
      </c>
    </row>
    <row r="113" spans="1:6" s="16" customFormat="1" x14ac:dyDescent="0.25">
      <c r="A113" s="33">
        <v>30</v>
      </c>
      <c r="B113" s="30" t="s">
        <v>102</v>
      </c>
      <c r="C113" s="18"/>
      <c r="D113" s="18"/>
      <c r="E113" s="18"/>
      <c r="F113" s="18">
        <v>300</v>
      </c>
    </row>
    <row r="114" spans="1:6" s="16" customFormat="1" x14ac:dyDescent="0.25">
      <c r="A114" s="33">
        <v>30</v>
      </c>
      <c r="B114" s="1" t="s">
        <v>103</v>
      </c>
      <c r="C114" s="18"/>
      <c r="D114" s="18"/>
      <c r="E114" s="18"/>
      <c r="F114" s="18">
        <v>450</v>
      </c>
    </row>
    <row r="115" spans="1:6" s="16" customFormat="1" x14ac:dyDescent="0.25">
      <c r="A115" s="33">
        <v>30</v>
      </c>
      <c r="B115" s="1" t="s">
        <v>105</v>
      </c>
      <c r="C115" s="18"/>
      <c r="D115" s="18"/>
      <c r="E115" s="18"/>
      <c r="F115" s="18">
        <v>100</v>
      </c>
    </row>
    <row r="116" spans="1:6" s="16" customFormat="1" x14ac:dyDescent="0.25">
      <c r="A116" s="33"/>
      <c r="B116" s="1"/>
      <c r="C116" s="18"/>
      <c r="D116" s="18">
        <v>800</v>
      </c>
      <c r="E116" s="18"/>
      <c r="F116" s="18"/>
    </row>
    <row r="117" spans="1:6" ht="15.75" thickBot="1" x14ac:dyDescent="0.3">
      <c r="A117" s="43"/>
      <c r="B117" s="44"/>
      <c r="C117" s="45">
        <f>SUM(C6:C116)</f>
        <v>81475</v>
      </c>
      <c r="D117" s="45">
        <f>SUM(D6:D116)</f>
        <v>13860</v>
      </c>
      <c r="E117" s="45">
        <f>SUM(E6:E116)</f>
        <v>15060</v>
      </c>
      <c r="F117" s="45">
        <f>SUM(F6:F116)</f>
        <v>89792.2</v>
      </c>
    </row>
    <row r="118" spans="1:6" ht="15.75" thickBot="1" x14ac:dyDescent="0.3">
      <c r="E118" s="38" t="s">
        <v>113</v>
      </c>
      <c r="F118" s="38" t="s">
        <v>111</v>
      </c>
    </row>
    <row r="119" spans="1:6" ht="15.75" thickBot="1" x14ac:dyDescent="0.3">
      <c r="E119" s="46">
        <v>20959</v>
      </c>
      <c r="F119" s="46">
        <v>6079.6</v>
      </c>
    </row>
  </sheetData>
  <printOptions horizontalCentered="1" verticalCentered="1"/>
  <pageMargins left="0.39370078740157483" right="0.39370078740157483" top="0" bottom="0" header="0.31496062992125984" footer="0.31496062992125984"/>
  <pageSetup scale="85" fitToHeight="0" orientation="landscape" r:id="rId1"/>
  <rowBreaks count="1" manualBreakCount="1">
    <brk id="7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8"/>
  <sheetViews>
    <sheetView view="pageBreakPreview" zoomScale="90" zoomScaleNormal="100" zoomScaleSheetLayoutView="90" workbookViewId="0">
      <selection activeCell="H1" sqref="H1"/>
    </sheetView>
  </sheetViews>
  <sheetFormatPr baseColWidth="10" defaultRowHeight="15" x14ac:dyDescent="0.25"/>
  <cols>
    <col min="1" max="1" width="6.85546875" style="16" customWidth="1"/>
    <col min="2" max="2" width="89.7109375" style="16" customWidth="1"/>
    <col min="3" max="7" width="11.42578125" style="16"/>
    <col min="8" max="8" width="21" style="16" customWidth="1"/>
    <col min="9" max="9" width="11.42578125" style="16"/>
    <col min="10" max="10" width="11.85546875" style="16" bestFit="1" customWidth="1"/>
    <col min="11" max="16384" width="11.42578125" style="16"/>
  </cols>
  <sheetData>
    <row r="1" spans="1:12" ht="15.75" thickBot="1" x14ac:dyDescent="0.3">
      <c r="A1" s="2"/>
      <c r="L1" s="36" t="e">
        <f>SUM(#REF!)</f>
        <v>#REF!</v>
      </c>
    </row>
    <row r="2" spans="1:12" x14ac:dyDescent="0.25">
      <c r="A2" s="23" t="s">
        <v>61</v>
      </c>
      <c r="B2" s="5" t="s">
        <v>5</v>
      </c>
      <c r="C2" s="23" t="s">
        <v>0</v>
      </c>
      <c r="D2" s="23" t="s">
        <v>2</v>
      </c>
      <c r="E2" s="23" t="s">
        <v>4</v>
      </c>
      <c r="F2" s="23" t="s">
        <v>4</v>
      </c>
      <c r="L2" s="16">
        <v>89792</v>
      </c>
    </row>
    <row r="3" spans="1:12" ht="15.75" thickBot="1" x14ac:dyDescent="0.3">
      <c r="A3" s="11"/>
      <c r="B3" s="26"/>
      <c r="C3" s="24" t="s">
        <v>1</v>
      </c>
      <c r="D3" s="24" t="s">
        <v>3</v>
      </c>
      <c r="E3" s="24" t="s">
        <v>3</v>
      </c>
      <c r="F3" s="24" t="s">
        <v>1</v>
      </c>
      <c r="L3" s="16" t="s">
        <v>109</v>
      </c>
    </row>
    <row r="4" spans="1:12" x14ac:dyDescent="0.25">
      <c r="A4" s="28">
        <v>1</v>
      </c>
      <c r="B4" s="25" t="s">
        <v>79</v>
      </c>
      <c r="C4" s="27"/>
      <c r="D4" s="22"/>
      <c r="E4" s="19">
        <v>12000</v>
      </c>
      <c r="F4" s="19"/>
    </row>
    <row r="5" spans="1:12" x14ac:dyDescent="0.25">
      <c r="A5" s="33">
        <v>1</v>
      </c>
      <c r="B5" s="30" t="s">
        <v>6</v>
      </c>
      <c r="C5" s="17"/>
      <c r="D5" s="18"/>
      <c r="E5" s="17"/>
      <c r="F5" s="17">
        <v>4073</v>
      </c>
    </row>
    <row r="6" spans="1:12" x14ac:dyDescent="0.25">
      <c r="A6" s="33">
        <v>1</v>
      </c>
      <c r="B6" s="29" t="s">
        <v>7</v>
      </c>
      <c r="C6" s="17"/>
      <c r="D6" s="18"/>
      <c r="E6" s="17"/>
      <c r="F6" s="21">
        <v>4000</v>
      </c>
    </row>
    <row r="7" spans="1:12" x14ac:dyDescent="0.25">
      <c r="A7" s="33">
        <v>1</v>
      </c>
      <c r="B7" s="30" t="s">
        <v>8</v>
      </c>
      <c r="C7" s="17"/>
      <c r="D7" s="18"/>
      <c r="E7" s="17"/>
      <c r="F7" s="17">
        <v>1040</v>
      </c>
    </row>
    <row r="8" spans="1:12" x14ac:dyDescent="0.25">
      <c r="A8" s="33">
        <v>1</v>
      </c>
      <c r="B8" s="29" t="s">
        <v>9</v>
      </c>
      <c r="C8" s="17"/>
      <c r="D8" s="18"/>
      <c r="E8" s="17"/>
      <c r="F8" s="21">
        <v>150</v>
      </c>
    </row>
    <row r="9" spans="1:12" x14ac:dyDescent="0.25">
      <c r="A9" s="33">
        <v>1</v>
      </c>
      <c r="B9" s="29" t="s">
        <v>10</v>
      </c>
      <c r="C9" s="17"/>
      <c r="D9" s="18"/>
      <c r="E9" s="17"/>
      <c r="F9" s="17">
        <v>500</v>
      </c>
    </row>
    <row r="10" spans="1:12" x14ac:dyDescent="0.25">
      <c r="A10" s="33">
        <v>1</v>
      </c>
      <c r="B10" s="29" t="s">
        <v>11</v>
      </c>
      <c r="C10" s="17"/>
      <c r="D10" s="18"/>
      <c r="E10" s="17"/>
      <c r="F10" s="17">
        <v>350</v>
      </c>
    </row>
    <row r="11" spans="1:12" x14ac:dyDescent="0.25">
      <c r="A11" s="33">
        <v>1</v>
      </c>
      <c r="B11" s="29" t="s">
        <v>12</v>
      </c>
      <c r="C11" s="17"/>
      <c r="D11" s="18"/>
      <c r="E11" s="17"/>
      <c r="F11" s="17">
        <v>1000</v>
      </c>
    </row>
    <row r="12" spans="1:12" x14ac:dyDescent="0.25">
      <c r="A12" s="33">
        <v>2</v>
      </c>
      <c r="B12" s="29" t="s">
        <v>13</v>
      </c>
      <c r="C12" s="17"/>
      <c r="D12" s="18"/>
      <c r="E12" s="17"/>
      <c r="F12" s="21">
        <v>500</v>
      </c>
    </row>
    <row r="13" spans="1:12" x14ac:dyDescent="0.25">
      <c r="A13" s="33">
        <v>2</v>
      </c>
      <c r="B13" s="29" t="s">
        <v>14</v>
      </c>
      <c r="C13" s="17"/>
      <c r="D13" s="18"/>
      <c r="E13" s="17"/>
      <c r="F13" s="17">
        <v>400</v>
      </c>
    </row>
    <row r="14" spans="1:12" x14ac:dyDescent="0.25">
      <c r="A14" s="33">
        <v>3</v>
      </c>
      <c r="B14" s="29" t="s">
        <v>15</v>
      </c>
      <c r="C14" s="17">
        <v>800</v>
      </c>
      <c r="D14" s="18"/>
      <c r="E14" s="17"/>
      <c r="F14" s="21"/>
    </row>
    <row r="15" spans="1:12" x14ac:dyDescent="0.25">
      <c r="A15" s="33">
        <v>3</v>
      </c>
      <c r="B15" s="29" t="s">
        <v>16</v>
      </c>
      <c r="C15" s="17">
        <v>22875</v>
      </c>
      <c r="D15" s="18"/>
      <c r="E15" s="17"/>
      <c r="F15" s="17"/>
    </row>
    <row r="16" spans="1:12" x14ac:dyDescent="0.25">
      <c r="A16" s="33">
        <v>3</v>
      </c>
      <c r="B16" s="29" t="s">
        <v>17</v>
      </c>
      <c r="C16" s="17">
        <v>4450</v>
      </c>
      <c r="D16" s="18"/>
      <c r="E16" s="17"/>
      <c r="F16" s="17"/>
    </row>
    <row r="17" spans="1:6" x14ac:dyDescent="0.25">
      <c r="A17" s="33">
        <v>3</v>
      </c>
      <c r="B17" s="29" t="s">
        <v>87</v>
      </c>
      <c r="C17" s="17"/>
      <c r="D17" s="18"/>
      <c r="E17" s="17"/>
      <c r="F17" s="17">
        <v>186</v>
      </c>
    </row>
    <row r="18" spans="1:6" x14ac:dyDescent="0.25">
      <c r="A18" s="33">
        <v>3</v>
      </c>
      <c r="B18" s="29" t="s">
        <v>19</v>
      </c>
      <c r="C18" s="17"/>
      <c r="D18" s="18"/>
      <c r="E18" s="17"/>
      <c r="F18" s="17">
        <v>150</v>
      </c>
    </row>
    <row r="19" spans="1:6" x14ac:dyDescent="0.25">
      <c r="A19" s="33">
        <v>4</v>
      </c>
      <c r="B19" s="29" t="s">
        <v>20</v>
      </c>
      <c r="C19" s="17"/>
      <c r="D19" s="18"/>
      <c r="E19" s="17"/>
      <c r="F19" s="17">
        <v>120</v>
      </c>
    </row>
    <row r="20" spans="1:6" x14ac:dyDescent="0.25">
      <c r="A20" s="33">
        <v>4</v>
      </c>
      <c r="B20" s="29" t="s">
        <v>21</v>
      </c>
      <c r="C20" s="17"/>
      <c r="D20" s="18"/>
      <c r="E20" s="17"/>
      <c r="F20" s="17">
        <v>310</v>
      </c>
    </row>
    <row r="21" spans="1:6" x14ac:dyDescent="0.25">
      <c r="A21" s="33">
        <v>5</v>
      </c>
      <c r="B21" s="29" t="s">
        <v>22</v>
      </c>
      <c r="C21" s="17"/>
      <c r="D21" s="18"/>
      <c r="E21" s="17"/>
      <c r="F21" s="21">
        <v>15</v>
      </c>
    </row>
    <row r="22" spans="1:6" x14ac:dyDescent="0.25">
      <c r="A22" s="33">
        <v>5</v>
      </c>
      <c r="B22" s="29" t="s">
        <v>23</v>
      </c>
      <c r="C22" s="17"/>
      <c r="D22" s="18"/>
      <c r="E22" s="17"/>
      <c r="F22" s="21">
        <v>2279.0100000000002</v>
      </c>
    </row>
    <row r="23" spans="1:6" x14ac:dyDescent="0.25">
      <c r="A23" s="33">
        <v>5</v>
      </c>
      <c r="B23" s="29" t="s">
        <v>24</v>
      </c>
      <c r="C23" s="17"/>
      <c r="D23" s="18"/>
      <c r="E23" s="17"/>
      <c r="F23" s="17">
        <v>79</v>
      </c>
    </row>
    <row r="24" spans="1:6" x14ac:dyDescent="0.25">
      <c r="A24" s="33">
        <v>5</v>
      </c>
      <c r="B24" s="29" t="s">
        <v>25</v>
      </c>
      <c r="C24" s="17"/>
      <c r="D24" s="18"/>
      <c r="E24" s="17"/>
      <c r="F24" s="17">
        <v>5</v>
      </c>
    </row>
    <row r="25" spans="1:6" x14ac:dyDescent="0.25">
      <c r="A25" s="33">
        <v>5</v>
      </c>
      <c r="B25" s="29" t="s">
        <v>26</v>
      </c>
      <c r="C25" s="17"/>
      <c r="D25" s="18"/>
      <c r="E25" s="17"/>
      <c r="F25" s="17">
        <v>1121.96</v>
      </c>
    </row>
    <row r="26" spans="1:6" x14ac:dyDescent="0.25">
      <c r="A26" s="33">
        <v>5</v>
      </c>
      <c r="B26" s="29" t="s">
        <v>27</v>
      </c>
      <c r="C26" s="17"/>
      <c r="D26" s="18"/>
      <c r="E26" s="17"/>
      <c r="F26" s="17">
        <v>5</v>
      </c>
    </row>
    <row r="27" spans="1:6" x14ac:dyDescent="0.25">
      <c r="A27" s="33">
        <v>6</v>
      </c>
      <c r="B27" s="29" t="s">
        <v>28</v>
      </c>
      <c r="C27" s="17"/>
      <c r="D27" s="18"/>
      <c r="E27" s="17"/>
      <c r="F27" s="17">
        <v>61</v>
      </c>
    </row>
    <row r="28" spans="1:6" x14ac:dyDescent="0.25">
      <c r="A28" s="33">
        <v>6</v>
      </c>
      <c r="B28" s="29" t="s">
        <v>29</v>
      </c>
      <c r="C28" s="17"/>
      <c r="D28" s="18"/>
      <c r="E28" s="17"/>
      <c r="F28" s="17">
        <v>2704.16</v>
      </c>
    </row>
    <row r="29" spans="1:6" x14ac:dyDescent="0.25">
      <c r="A29" s="33">
        <v>6</v>
      </c>
      <c r="B29" s="29" t="s">
        <v>30</v>
      </c>
      <c r="C29" s="17"/>
      <c r="D29" s="18"/>
      <c r="E29" s="17"/>
      <c r="F29" s="17">
        <v>1230.8699999999999</v>
      </c>
    </row>
    <row r="30" spans="1:6" x14ac:dyDescent="0.25">
      <c r="A30" s="33">
        <v>6</v>
      </c>
      <c r="B30" s="29" t="s">
        <v>31</v>
      </c>
      <c r="C30" s="17"/>
      <c r="D30" s="18"/>
      <c r="E30" s="17"/>
      <c r="F30" s="21">
        <v>5</v>
      </c>
    </row>
    <row r="31" spans="1:6" x14ac:dyDescent="0.25">
      <c r="A31" s="33">
        <v>6</v>
      </c>
      <c r="B31" s="29" t="s">
        <v>32</v>
      </c>
      <c r="C31" s="17"/>
      <c r="D31" s="18"/>
      <c r="E31" s="17"/>
      <c r="F31" s="17">
        <v>87</v>
      </c>
    </row>
    <row r="32" spans="1:6" x14ac:dyDescent="0.25">
      <c r="A32" s="33">
        <v>6</v>
      </c>
      <c r="B32" s="29" t="s">
        <v>33</v>
      </c>
      <c r="C32" s="17"/>
      <c r="D32" s="18"/>
      <c r="E32" s="17"/>
      <c r="F32" s="17">
        <v>800</v>
      </c>
    </row>
    <row r="33" spans="1:6" x14ac:dyDescent="0.25">
      <c r="A33" s="33">
        <v>7</v>
      </c>
      <c r="B33" s="29" t="s">
        <v>34</v>
      </c>
      <c r="C33" s="17"/>
      <c r="D33" s="18"/>
      <c r="E33" s="17"/>
      <c r="F33" s="17">
        <v>10100</v>
      </c>
    </row>
    <row r="34" spans="1:6" x14ac:dyDescent="0.25">
      <c r="A34" s="33">
        <v>7</v>
      </c>
      <c r="B34" s="29" t="s">
        <v>35</v>
      </c>
      <c r="C34" s="17"/>
      <c r="D34" s="18"/>
      <c r="E34" s="17"/>
      <c r="F34" s="17">
        <v>401</v>
      </c>
    </row>
    <row r="35" spans="1:6" x14ac:dyDescent="0.25">
      <c r="A35" s="33">
        <v>7</v>
      </c>
      <c r="B35" s="29" t="s">
        <v>35</v>
      </c>
      <c r="C35" s="17"/>
      <c r="D35" s="18"/>
      <c r="E35" s="17"/>
      <c r="F35" s="17">
        <v>39</v>
      </c>
    </row>
    <row r="36" spans="1:6" x14ac:dyDescent="0.25">
      <c r="A36" s="33">
        <v>8</v>
      </c>
      <c r="B36" s="29" t="s">
        <v>36</v>
      </c>
      <c r="C36" s="17"/>
      <c r="D36" s="18"/>
      <c r="E36" s="17"/>
      <c r="F36" s="17">
        <v>1250</v>
      </c>
    </row>
    <row r="37" spans="1:6" x14ac:dyDescent="0.25">
      <c r="A37" s="33">
        <v>8</v>
      </c>
      <c r="B37" s="29" t="s">
        <v>83</v>
      </c>
      <c r="C37" s="17"/>
      <c r="D37" s="18"/>
      <c r="E37" s="17"/>
      <c r="F37" s="17">
        <v>252</v>
      </c>
    </row>
    <row r="38" spans="1:6" x14ac:dyDescent="0.25">
      <c r="A38" s="33">
        <v>8</v>
      </c>
      <c r="B38" s="29" t="s">
        <v>84</v>
      </c>
      <c r="C38" s="17"/>
      <c r="D38" s="18"/>
      <c r="E38" s="17"/>
      <c r="F38" s="17">
        <v>358</v>
      </c>
    </row>
    <row r="39" spans="1:6" x14ac:dyDescent="0.25">
      <c r="A39" s="33">
        <v>8</v>
      </c>
      <c r="B39" s="29" t="s">
        <v>35</v>
      </c>
      <c r="C39" s="17"/>
      <c r="D39" s="18"/>
      <c r="E39" s="17"/>
      <c r="F39" s="17">
        <v>145</v>
      </c>
    </row>
    <row r="40" spans="1:6" x14ac:dyDescent="0.25">
      <c r="A40" s="33">
        <v>10</v>
      </c>
      <c r="B40" s="29" t="s">
        <v>18</v>
      </c>
      <c r="C40" s="17"/>
      <c r="D40" s="18"/>
      <c r="E40" s="17"/>
      <c r="F40" s="17">
        <v>155</v>
      </c>
    </row>
    <row r="41" spans="1:6" x14ac:dyDescent="0.25">
      <c r="A41" s="33">
        <v>10</v>
      </c>
      <c r="B41" s="29" t="s">
        <v>21</v>
      </c>
      <c r="C41" s="17"/>
      <c r="D41" s="18"/>
      <c r="E41" s="17"/>
      <c r="F41" s="21">
        <v>310</v>
      </c>
    </row>
    <row r="42" spans="1:6" x14ac:dyDescent="0.25">
      <c r="A42" s="33">
        <v>10</v>
      </c>
      <c r="B42" s="29" t="s">
        <v>37</v>
      </c>
      <c r="C42" s="17"/>
      <c r="D42" s="18"/>
      <c r="E42" s="17"/>
      <c r="F42" s="21">
        <v>120</v>
      </c>
    </row>
    <row r="43" spans="1:6" x14ac:dyDescent="0.25">
      <c r="A43" s="33">
        <v>12</v>
      </c>
      <c r="B43" s="29" t="s">
        <v>38</v>
      </c>
      <c r="C43" s="17">
        <v>26250</v>
      </c>
      <c r="D43" s="18"/>
      <c r="E43" s="17"/>
      <c r="F43" s="21"/>
    </row>
    <row r="44" spans="1:6" x14ac:dyDescent="0.25">
      <c r="A44" s="33">
        <v>12</v>
      </c>
      <c r="B44" s="29" t="s">
        <v>39</v>
      </c>
      <c r="C44" s="17"/>
      <c r="D44" s="18"/>
      <c r="E44" s="17"/>
      <c r="F44" s="21">
        <v>53</v>
      </c>
    </row>
    <row r="45" spans="1:6" x14ac:dyDescent="0.25">
      <c r="A45" s="33">
        <v>12</v>
      </c>
      <c r="B45" s="29" t="s">
        <v>39</v>
      </c>
      <c r="C45" s="17"/>
      <c r="D45" s="18"/>
      <c r="E45" s="17"/>
      <c r="F45" s="21">
        <v>120</v>
      </c>
    </row>
    <row r="46" spans="1:6" x14ac:dyDescent="0.25">
      <c r="A46" s="33">
        <v>12</v>
      </c>
      <c r="B46" s="30" t="s">
        <v>40</v>
      </c>
      <c r="C46" s="17"/>
      <c r="D46" s="18"/>
      <c r="E46" s="17">
        <v>1760</v>
      </c>
      <c r="F46" s="17"/>
    </row>
    <row r="47" spans="1:6" x14ac:dyDescent="0.25">
      <c r="A47" s="33">
        <v>12</v>
      </c>
      <c r="B47" s="29" t="s">
        <v>41</v>
      </c>
      <c r="C47" s="17"/>
      <c r="D47" s="18"/>
      <c r="E47" s="17">
        <v>1300</v>
      </c>
      <c r="F47" s="17"/>
    </row>
    <row r="48" spans="1:6" x14ac:dyDescent="0.25">
      <c r="A48" s="33">
        <v>12</v>
      </c>
      <c r="B48" s="30" t="s">
        <v>42</v>
      </c>
      <c r="C48" s="17"/>
      <c r="D48" s="18"/>
      <c r="E48" s="20"/>
      <c r="F48" s="17">
        <v>60</v>
      </c>
    </row>
    <row r="49" spans="1:6" x14ac:dyDescent="0.25">
      <c r="A49" s="33">
        <v>12</v>
      </c>
      <c r="B49" s="30" t="s">
        <v>43</v>
      </c>
      <c r="C49" s="20"/>
      <c r="D49" s="18"/>
      <c r="E49" s="17"/>
      <c r="F49" s="17">
        <v>300</v>
      </c>
    </row>
    <row r="50" spans="1:6" x14ac:dyDescent="0.25">
      <c r="A50" s="33">
        <v>13</v>
      </c>
      <c r="B50" s="30" t="s">
        <v>44</v>
      </c>
      <c r="C50" s="17"/>
      <c r="D50" s="18"/>
      <c r="E50" s="17"/>
      <c r="F50" s="17">
        <v>75.12</v>
      </c>
    </row>
    <row r="51" spans="1:6" x14ac:dyDescent="0.25">
      <c r="A51" s="33">
        <v>13</v>
      </c>
      <c r="B51" s="30" t="s">
        <v>45</v>
      </c>
      <c r="C51" s="17"/>
      <c r="D51" s="18"/>
      <c r="E51" s="17"/>
      <c r="F51" s="17">
        <v>21</v>
      </c>
    </row>
    <row r="52" spans="1:6" x14ac:dyDescent="0.25">
      <c r="A52" s="33">
        <v>13</v>
      </c>
      <c r="B52" s="30" t="s">
        <v>46</v>
      </c>
      <c r="C52" s="17"/>
      <c r="D52" s="18"/>
      <c r="E52" s="17"/>
      <c r="F52" s="17">
        <v>141</v>
      </c>
    </row>
    <row r="53" spans="1:6" x14ac:dyDescent="0.25">
      <c r="A53" s="33">
        <v>13</v>
      </c>
      <c r="B53" s="30" t="s">
        <v>47</v>
      </c>
      <c r="C53" s="17"/>
      <c r="D53" s="18"/>
      <c r="E53" s="17"/>
      <c r="F53" s="17">
        <v>114.38</v>
      </c>
    </row>
    <row r="54" spans="1:6" x14ac:dyDescent="0.25">
      <c r="A54" s="33">
        <v>14</v>
      </c>
      <c r="B54" s="30" t="s">
        <v>48</v>
      </c>
      <c r="C54" s="17"/>
      <c r="D54" s="18"/>
      <c r="E54" s="17"/>
      <c r="F54" s="17">
        <v>778</v>
      </c>
    </row>
    <row r="55" spans="1:6" x14ac:dyDescent="0.25">
      <c r="A55" s="33">
        <v>14</v>
      </c>
      <c r="B55" s="29" t="s">
        <v>49</v>
      </c>
      <c r="C55" s="17"/>
      <c r="D55" s="18"/>
      <c r="E55" s="17"/>
      <c r="F55" s="17">
        <v>33</v>
      </c>
    </row>
    <row r="56" spans="1:6" x14ac:dyDescent="0.25">
      <c r="A56" s="33">
        <v>14</v>
      </c>
      <c r="B56" s="30" t="s">
        <v>50</v>
      </c>
      <c r="C56" s="17"/>
      <c r="D56" s="18"/>
      <c r="E56" s="18"/>
      <c r="F56" s="17">
        <v>350</v>
      </c>
    </row>
    <row r="57" spans="1:6" x14ac:dyDescent="0.25">
      <c r="A57" s="33">
        <v>15</v>
      </c>
      <c r="B57" s="29" t="s">
        <v>51</v>
      </c>
      <c r="C57" s="18"/>
      <c r="D57" s="18"/>
      <c r="E57" s="18"/>
      <c r="F57" s="21">
        <v>180</v>
      </c>
    </row>
    <row r="58" spans="1:6" x14ac:dyDescent="0.25">
      <c r="A58" s="33">
        <v>15</v>
      </c>
      <c r="B58" s="29" t="s">
        <v>52</v>
      </c>
      <c r="C58" s="18"/>
      <c r="D58" s="18"/>
      <c r="E58" s="18"/>
      <c r="F58" s="21">
        <v>187</v>
      </c>
    </row>
    <row r="59" spans="1:6" x14ac:dyDescent="0.25">
      <c r="A59" s="33">
        <v>15</v>
      </c>
      <c r="B59" s="29" t="s">
        <v>53</v>
      </c>
      <c r="C59" s="18"/>
      <c r="D59" s="18"/>
      <c r="E59" s="18"/>
      <c r="F59" s="21">
        <v>75</v>
      </c>
    </row>
    <row r="60" spans="1:6" x14ac:dyDescent="0.25">
      <c r="A60" s="33">
        <v>15</v>
      </c>
      <c r="B60" s="29" t="s">
        <v>54</v>
      </c>
      <c r="C60" s="18"/>
      <c r="D60" s="18"/>
      <c r="E60" s="18"/>
      <c r="F60" s="21">
        <v>28</v>
      </c>
    </row>
    <row r="61" spans="1:6" x14ac:dyDescent="0.25">
      <c r="A61" s="33">
        <v>15</v>
      </c>
      <c r="B61" s="30" t="s">
        <v>55</v>
      </c>
      <c r="C61" s="18"/>
      <c r="D61" s="18"/>
      <c r="E61" s="18"/>
      <c r="F61" s="17">
        <v>322.60000000000002</v>
      </c>
    </row>
    <row r="62" spans="1:6" x14ac:dyDescent="0.25">
      <c r="A62" s="33">
        <v>15</v>
      </c>
      <c r="B62" s="30" t="s">
        <v>56</v>
      </c>
      <c r="C62" s="18"/>
      <c r="D62" s="18"/>
      <c r="E62" s="18"/>
      <c r="F62" s="17">
        <v>104</v>
      </c>
    </row>
    <row r="63" spans="1:6" x14ac:dyDescent="0.25">
      <c r="A63" s="33">
        <v>15</v>
      </c>
      <c r="B63" s="30" t="s">
        <v>80</v>
      </c>
      <c r="C63" s="18"/>
      <c r="D63" s="18"/>
      <c r="E63" s="18"/>
      <c r="F63" s="17">
        <v>350</v>
      </c>
    </row>
    <row r="64" spans="1:6" x14ac:dyDescent="0.25">
      <c r="A64" s="33">
        <v>15</v>
      </c>
      <c r="B64" s="30" t="s">
        <v>57</v>
      </c>
      <c r="C64" s="18"/>
      <c r="D64" s="18"/>
      <c r="E64" s="18"/>
      <c r="F64" s="17">
        <v>450</v>
      </c>
    </row>
    <row r="65" spans="1:6" x14ac:dyDescent="0.25">
      <c r="A65" s="33">
        <v>15</v>
      </c>
      <c r="B65" s="30" t="s">
        <v>81</v>
      </c>
      <c r="C65" s="18"/>
      <c r="D65" s="18"/>
      <c r="E65" s="18"/>
      <c r="F65" s="17">
        <v>1250</v>
      </c>
    </row>
    <row r="66" spans="1:6" x14ac:dyDescent="0.25">
      <c r="A66" s="33">
        <v>15</v>
      </c>
      <c r="B66" s="30" t="s">
        <v>100</v>
      </c>
      <c r="C66" s="18"/>
      <c r="D66" s="18"/>
      <c r="E66" s="18"/>
      <c r="F66" s="17">
        <v>4000</v>
      </c>
    </row>
    <row r="67" spans="1:6" x14ac:dyDescent="0.25">
      <c r="A67" s="33">
        <v>15</v>
      </c>
      <c r="B67" s="30" t="s">
        <v>58</v>
      </c>
      <c r="C67" s="18"/>
      <c r="D67" s="18"/>
      <c r="E67" s="18"/>
      <c r="F67" s="17">
        <v>1000</v>
      </c>
    </row>
    <row r="68" spans="1:6" x14ac:dyDescent="0.25">
      <c r="A68" s="33">
        <v>15</v>
      </c>
      <c r="B68" s="30" t="s">
        <v>59</v>
      </c>
      <c r="C68" s="18"/>
      <c r="D68" s="18"/>
      <c r="E68" s="18"/>
      <c r="F68" s="17">
        <v>20000</v>
      </c>
    </row>
    <row r="69" spans="1:6" x14ac:dyDescent="0.25">
      <c r="A69" s="33">
        <v>17</v>
      </c>
      <c r="B69" s="32" t="s">
        <v>60</v>
      </c>
      <c r="C69" s="18">
        <v>17950</v>
      </c>
      <c r="D69" s="18"/>
      <c r="E69" s="18"/>
      <c r="F69" s="17"/>
    </row>
    <row r="70" spans="1:6" x14ac:dyDescent="0.25">
      <c r="A70" s="33">
        <v>17</v>
      </c>
      <c r="B70" s="34" t="s">
        <v>85</v>
      </c>
      <c r="C70" s="18"/>
      <c r="D70" s="18"/>
      <c r="E70" s="18"/>
      <c r="F70" s="17" t="s">
        <v>73</v>
      </c>
    </row>
    <row r="71" spans="1:6" x14ac:dyDescent="0.25">
      <c r="A71" s="33">
        <v>17</v>
      </c>
      <c r="B71" s="31" t="s">
        <v>37</v>
      </c>
      <c r="C71" s="18"/>
      <c r="D71" s="18"/>
      <c r="E71" s="18"/>
      <c r="F71" s="17">
        <v>120</v>
      </c>
    </row>
    <row r="72" spans="1:6" x14ac:dyDescent="0.25">
      <c r="A72" s="33">
        <v>18</v>
      </c>
      <c r="B72" s="29" t="s">
        <v>21</v>
      </c>
      <c r="C72" s="18"/>
      <c r="D72" s="18"/>
      <c r="E72" s="18"/>
      <c r="F72" s="17">
        <v>310</v>
      </c>
    </row>
    <row r="73" spans="1:6" x14ac:dyDescent="0.25">
      <c r="A73" s="33">
        <v>19</v>
      </c>
      <c r="B73" s="29" t="s">
        <v>104</v>
      </c>
      <c r="C73" s="18"/>
      <c r="D73" s="18"/>
      <c r="E73" s="18"/>
      <c r="F73" s="17">
        <v>100</v>
      </c>
    </row>
    <row r="74" spans="1:6" x14ac:dyDescent="0.25">
      <c r="A74" s="33">
        <v>19</v>
      </c>
      <c r="B74" s="29" t="s">
        <v>62</v>
      </c>
      <c r="C74" s="18"/>
      <c r="D74" s="18"/>
      <c r="E74" s="18"/>
      <c r="F74" s="17">
        <v>590</v>
      </c>
    </row>
    <row r="75" spans="1:6" x14ac:dyDescent="0.25">
      <c r="A75" s="33">
        <v>19</v>
      </c>
      <c r="B75" s="32" t="s">
        <v>63</v>
      </c>
      <c r="C75" s="18"/>
      <c r="D75" s="18"/>
      <c r="E75" s="18"/>
      <c r="F75" s="17">
        <v>400</v>
      </c>
    </row>
    <row r="76" spans="1:6" x14ac:dyDescent="0.25">
      <c r="A76" s="33">
        <v>19</v>
      </c>
      <c r="B76" s="31" t="s">
        <v>64</v>
      </c>
      <c r="C76" s="18"/>
      <c r="D76" s="18"/>
      <c r="E76" s="18"/>
      <c r="F76" s="17">
        <v>50</v>
      </c>
    </row>
    <row r="77" spans="1:6" x14ac:dyDescent="0.25">
      <c r="A77" s="33">
        <v>19</v>
      </c>
      <c r="B77" s="32" t="s">
        <v>49</v>
      </c>
      <c r="C77" s="18"/>
      <c r="D77" s="18"/>
      <c r="E77" s="18"/>
      <c r="F77" s="17">
        <v>50</v>
      </c>
    </row>
    <row r="78" spans="1:6" x14ac:dyDescent="0.25">
      <c r="A78" s="33">
        <v>19</v>
      </c>
      <c r="B78" s="31" t="s">
        <v>65</v>
      </c>
      <c r="C78" s="18"/>
      <c r="D78" s="18"/>
      <c r="E78" s="18"/>
      <c r="F78" s="17">
        <v>120</v>
      </c>
    </row>
    <row r="79" spans="1:6" x14ac:dyDescent="0.25">
      <c r="A79" s="33">
        <v>19</v>
      </c>
      <c r="B79" s="30" t="s">
        <v>86</v>
      </c>
      <c r="C79" s="18"/>
      <c r="D79" s="18"/>
      <c r="E79" s="18"/>
      <c r="F79" s="17">
        <v>850</v>
      </c>
    </row>
    <row r="80" spans="1:6" x14ac:dyDescent="0.25">
      <c r="A80" s="33">
        <v>22</v>
      </c>
      <c r="B80" s="29" t="s">
        <v>82</v>
      </c>
      <c r="C80" s="18"/>
      <c r="D80" s="18"/>
      <c r="E80" s="18"/>
      <c r="F80" s="17">
        <v>1250</v>
      </c>
    </row>
    <row r="81" spans="1:6" x14ac:dyDescent="0.25">
      <c r="A81" s="33">
        <v>22</v>
      </c>
      <c r="B81" s="35" t="s">
        <v>88</v>
      </c>
      <c r="C81" s="18"/>
      <c r="D81" s="18"/>
      <c r="E81" s="18"/>
      <c r="F81" s="17">
        <v>828</v>
      </c>
    </row>
    <row r="82" spans="1:6" x14ac:dyDescent="0.25">
      <c r="A82" s="33">
        <v>22</v>
      </c>
      <c r="B82" s="29" t="s">
        <v>89</v>
      </c>
      <c r="C82" s="18"/>
      <c r="D82" s="18"/>
      <c r="E82" s="18"/>
      <c r="F82" s="17" t="s">
        <v>75</v>
      </c>
    </row>
    <row r="83" spans="1:6" x14ac:dyDescent="0.25">
      <c r="A83" s="33">
        <v>22</v>
      </c>
      <c r="B83" s="29" t="s">
        <v>90</v>
      </c>
      <c r="C83" s="18"/>
      <c r="D83" s="18"/>
      <c r="E83" s="18"/>
      <c r="F83" s="17">
        <v>5</v>
      </c>
    </row>
    <row r="84" spans="1:6" x14ac:dyDescent="0.25">
      <c r="A84" s="33">
        <v>22</v>
      </c>
      <c r="B84" s="35" t="s">
        <v>91</v>
      </c>
      <c r="C84" s="18"/>
      <c r="D84" s="18"/>
      <c r="E84" s="18"/>
      <c r="F84" s="17" t="s">
        <v>76</v>
      </c>
    </row>
    <row r="85" spans="1:6" x14ac:dyDescent="0.25">
      <c r="A85" s="33">
        <v>23</v>
      </c>
      <c r="B85" s="35" t="s">
        <v>92</v>
      </c>
      <c r="C85" s="18"/>
      <c r="D85" s="18"/>
      <c r="E85" s="18"/>
      <c r="F85" s="17">
        <v>280</v>
      </c>
    </row>
    <row r="86" spans="1:6" x14ac:dyDescent="0.25">
      <c r="A86" s="33">
        <v>24</v>
      </c>
      <c r="B86" s="1" t="s">
        <v>74</v>
      </c>
      <c r="C86" s="18">
        <v>8250</v>
      </c>
      <c r="D86" s="18"/>
      <c r="E86" s="18"/>
      <c r="F86" s="18"/>
    </row>
    <row r="87" spans="1:6" x14ac:dyDescent="0.25">
      <c r="A87" s="33">
        <v>24</v>
      </c>
      <c r="B87" s="1" t="s">
        <v>106</v>
      </c>
      <c r="C87" s="18"/>
      <c r="D87" s="18"/>
      <c r="E87" s="18"/>
      <c r="F87" s="18">
        <v>120</v>
      </c>
    </row>
    <row r="88" spans="1:6" x14ac:dyDescent="0.25">
      <c r="A88" s="33">
        <v>24</v>
      </c>
      <c r="B88" s="1" t="s">
        <v>107</v>
      </c>
      <c r="C88" s="18"/>
      <c r="D88" s="18"/>
      <c r="E88" s="18"/>
      <c r="F88" s="17" t="s">
        <v>108</v>
      </c>
    </row>
    <row r="89" spans="1:6" x14ac:dyDescent="0.25">
      <c r="A89" s="33">
        <v>25</v>
      </c>
      <c r="B89" s="1" t="s">
        <v>21</v>
      </c>
      <c r="C89" s="18"/>
      <c r="D89" s="18"/>
      <c r="E89" s="18"/>
      <c r="F89" s="18">
        <v>310</v>
      </c>
    </row>
    <row r="90" spans="1:6" ht="15" customHeight="1" x14ac:dyDescent="0.25">
      <c r="A90" s="33">
        <v>26</v>
      </c>
      <c r="B90" s="1" t="s">
        <v>66</v>
      </c>
      <c r="C90" s="18"/>
      <c r="D90" s="18"/>
      <c r="E90" s="18"/>
      <c r="F90" s="18">
        <v>88</v>
      </c>
    </row>
    <row r="91" spans="1:6" x14ac:dyDescent="0.25">
      <c r="A91" s="33">
        <v>26</v>
      </c>
      <c r="B91" s="1" t="s">
        <v>67</v>
      </c>
      <c r="C91" s="18"/>
      <c r="D91" s="18"/>
      <c r="E91" s="18"/>
      <c r="F91" s="18">
        <v>280</v>
      </c>
    </row>
    <row r="92" spans="1:6" x14ac:dyDescent="0.25">
      <c r="A92" s="33">
        <v>26</v>
      </c>
      <c r="B92" s="1" t="s">
        <v>68</v>
      </c>
      <c r="C92" s="18"/>
      <c r="D92" s="18"/>
      <c r="E92" s="18"/>
      <c r="F92" s="18">
        <v>840</v>
      </c>
    </row>
    <row r="93" spans="1:6" x14ac:dyDescent="0.25">
      <c r="A93" s="33">
        <v>26</v>
      </c>
      <c r="B93" s="1" t="s">
        <v>69</v>
      </c>
      <c r="C93" s="18"/>
      <c r="D93" s="18"/>
      <c r="E93" s="18"/>
      <c r="F93" s="18">
        <v>40</v>
      </c>
    </row>
    <row r="94" spans="1:6" x14ac:dyDescent="0.25">
      <c r="A94" s="33">
        <v>26</v>
      </c>
      <c r="B94" s="1" t="s">
        <v>78</v>
      </c>
      <c r="C94" s="18"/>
      <c r="D94" s="17">
        <v>12760</v>
      </c>
      <c r="E94" s="18"/>
      <c r="F94" s="18"/>
    </row>
    <row r="95" spans="1:6" x14ac:dyDescent="0.25">
      <c r="A95" s="33">
        <v>27</v>
      </c>
      <c r="B95" s="1" t="s">
        <v>66</v>
      </c>
      <c r="C95" s="18"/>
      <c r="D95" s="18"/>
      <c r="E95" s="18"/>
      <c r="F95" s="18">
        <v>32</v>
      </c>
    </row>
    <row r="96" spans="1:6" x14ac:dyDescent="0.25">
      <c r="A96" s="33">
        <v>27</v>
      </c>
      <c r="B96" s="1" t="s">
        <v>70</v>
      </c>
      <c r="C96" s="18"/>
      <c r="D96" s="18"/>
      <c r="E96" s="18"/>
      <c r="F96" s="18">
        <v>190</v>
      </c>
    </row>
    <row r="97" spans="1:6" x14ac:dyDescent="0.25">
      <c r="A97" s="33">
        <v>27</v>
      </c>
      <c r="B97" s="29" t="s">
        <v>93</v>
      </c>
      <c r="C97" s="18"/>
      <c r="D97" s="18"/>
      <c r="E97" s="18"/>
      <c r="F97" s="18">
        <v>10100</v>
      </c>
    </row>
    <row r="98" spans="1:6" x14ac:dyDescent="0.25">
      <c r="A98" s="33">
        <v>28</v>
      </c>
      <c r="B98" s="32" t="s">
        <v>49</v>
      </c>
      <c r="C98" s="18"/>
      <c r="D98" s="18"/>
      <c r="E98" s="18"/>
      <c r="F98" s="18">
        <v>34</v>
      </c>
    </row>
    <row r="99" spans="1:6" x14ac:dyDescent="0.25">
      <c r="A99" s="33">
        <v>28</v>
      </c>
      <c r="B99" s="1" t="s">
        <v>71</v>
      </c>
      <c r="C99" s="18"/>
      <c r="D99" s="18"/>
      <c r="E99" s="18"/>
      <c r="F99" s="18">
        <v>250</v>
      </c>
    </row>
    <row r="100" spans="1:6" x14ac:dyDescent="0.25">
      <c r="A100" s="33">
        <v>28</v>
      </c>
      <c r="B100" s="1" t="s">
        <v>72</v>
      </c>
      <c r="C100" s="18"/>
      <c r="D100" s="18"/>
      <c r="E100" s="18"/>
      <c r="F100" s="18">
        <v>15</v>
      </c>
    </row>
    <row r="101" spans="1:6" x14ac:dyDescent="0.25">
      <c r="A101" s="33">
        <v>29</v>
      </c>
      <c r="B101" s="1" t="s">
        <v>77</v>
      </c>
      <c r="C101" s="18"/>
      <c r="D101" s="18"/>
      <c r="E101" s="18"/>
      <c r="F101" s="18">
        <v>1250</v>
      </c>
    </row>
    <row r="102" spans="1:6" x14ac:dyDescent="0.25">
      <c r="A102" s="33">
        <v>29</v>
      </c>
      <c r="B102" s="1" t="s">
        <v>94</v>
      </c>
      <c r="C102" s="18">
        <v>900</v>
      </c>
      <c r="D102" s="18"/>
      <c r="E102" s="18"/>
      <c r="F102" s="18"/>
    </row>
    <row r="103" spans="1:6" x14ac:dyDescent="0.25">
      <c r="A103" s="33">
        <v>29</v>
      </c>
      <c r="B103" s="1" t="s">
        <v>95</v>
      </c>
      <c r="C103" s="18"/>
      <c r="D103" s="18"/>
      <c r="E103" s="18"/>
      <c r="F103" s="18">
        <v>100</v>
      </c>
    </row>
    <row r="104" spans="1:6" x14ac:dyDescent="0.25">
      <c r="A104" s="33">
        <v>29</v>
      </c>
      <c r="B104" s="1" t="s">
        <v>96</v>
      </c>
      <c r="C104" s="18"/>
      <c r="D104" s="18">
        <v>300</v>
      </c>
      <c r="E104" s="18"/>
      <c r="F104" s="18"/>
    </row>
    <row r="105" spans="1:6" x14ac:dyDescent="0.25">
      <c r="A105" s="33">
        <v>29</v>
      </c>
      <c r="B105" s="1" t="s">
        <v>97</v>
      </c>
      <c r="C105" s="18"/>
      <c r="D105" s="18"/>
      <c r="E105" s="18"/>
      <c r="F105" s="18">
        <v>350</v>
      </c>
    </row>
    <row r="106" spans="1:6" x14ac:dyDescent="0.25">
      <c r="A106" s="33">
        <v>29</v>
      </c>
      <c r="B106" s="1" t="s">
        <v>98</v>
      </c>
      <c r="C106" s="18"/>
      <c r="D106" s="18"/>
      <c r="E106" s="18"/>
      <c r="F106" s="18">
        <v>155</v>
      </c>
    </row>
    <row r="107" spans="1:6" x14ac:dyDescent="0.25">
      <c r="A107" s="33">
        <v>29</v>
      </c>
      <c r="B107" s="1" t="s">
        <v>99</v>
      </c>
      <c r="C107" s="18"/>
      <c r="D107" s="18"/>
      <c r="E107" s="18"/>
      <c r="F107" s="18">
        <v>35</v>
      </c>
    </row>
    <row r="108" spans="1:6" x14ac:dyDescent="0.25">
      <c r="A108" s="33">
        <v>29</v>
      </c>
      <c r="B108" s="1" t="s">
        <v>66</v>
      </c>
      <c r="C108" s="18"/>
      <c r="D108" s="18"/>
      <c r="E108" s="18"/>
      <c r="F108" s="18">
        <v>55</v>
      </c>
    </row>
    <row r="109" spans="1:6" x14ac:dyDescent="0.25">
      <c r="A109" s="33">
        <v>30</v>
      </c>
      <c r="B109" s="30" t="s">
        <v>101</v>
      </c>
      <c r="C109" s="18"/>
      <c r="D109" s="18"/>
      <c r="E109" s="18"/>
      <c r="F109" s="18">
        <v>4000</v>
      </c>
    </row>
    <row r="110" spans="1:6" x14ac:dyDescent="0.25">
      <c r="A110" s="33">
        <v>30</v>
      </c>
      <c r="B110" s="30" t="s">
        <v>58</v>
      </c>
      <c r="C110" s="18"/>
      <c r="D110" s="18"/>
      <c r="E110" s="18"/>
      <c r="F110" s="18">
        <v>1000</v>
      </c>
    </row>
    <row r="111" spans="1:6" x14ac:dyDescent="0.25">
      <c r="A111" s="33">
        <v>30</v>
      </c>
      <c r="B111" s="30" t="s">
        <v>102</v>
      </c>
      <c r="C111" s="18"/>
      <c r="D111" s="18"/>
      <c r="E111" s="18"/>
      <c r="F111" s="18">
        <v>300</v>
      </c>
    </row>
    <row r="112" spans="1:6" x14ac:dyDescent="0.25">
      <c r="A112" s="33">
        <v>30</v>
      </c>
      <c r="B112" s="1" t="s">
        <v>103</v>
      </c>
      <c r="C112" s="18"/>
      <c r="D112" s="18"/>
      <c r="E112" s="18"/>
      <c r="F112" s="18">
        <v>450</v>
      </c>
    </row>
    <row r="113" spans="1:6" x14ac:dyDescent="0.25">
      <c r="A113" s="33">
        <v>30</v>
      </c>
      <c r="B113" s="1" t="s">
        <v>105</v>
      </c>
      <c r="C113" s="18"/>
      <c r="D113" s="18"/>
      <c r="E113" s="18"/>
      <c r="F113" s="18">
        <v>100</v>
      </c>
    </row>
    <row r="114" spans="1:6" x14ac:dyDescent="0.25">
      <c r="A114" s="33"/>
      <c r="B114" s="1"/>
      <c r="C114" s="18"/>
      <c r="D114" s="18">
        <v>800</v>
      </c>
      <c r="E114" s="18"/>
      <c r="F114" s="18"/>
    </row>
    <row r="115" spans="1:6" x14ac:dyDescent="0.25">
      <c r="A115" s="6"/>
      <c r="B115" s="7"/>
      <c r="C115" s="37">
        <f>SUM(C4:C114)</f>
        <v>81475</v>
      </c>
      <c r="D115" s="37">
        <f>SUM(D4:D114)</f>
        <v>13860</v>
      </c>
      <c r="E115" s="37">
        <f>SUM(E4:E114)</f>
        <v>15060</v>
      </c>
      <c r="F115" s="40">
        <f>SUM(F4:F114)</f>
        <v>89341.1</v>
      </c>
    </row>
    <row r="116" spans="1:6" ht="15.75" thickBot="1" x14ac:dyDescent="0.3">
      <c r="A116" s="41"/>
      <c r="B116" s="41"/>
      <c r="C116" s="42"/>
      <c r="D116" s="42"/>
      <c r="E116" s="42" t="s">
        <v>112</v>
      </c>
      <c r="F116" s="42"/>
    </row>
    <row r="117" spans="1:6" ht="15.75" thickBot="1" x14ac:dyDescent="0.3">
      <c r="C117" s="38" t="s">
        <v>110</v>
      </c>
      <c r="D117" s="39">
        <f>SUM(C115:D115)</f>
        <v>95335</v>
      </c>
      <c r="E117" s="38" t="s">
        <v>110</v>
      </c>
      <c r="F117" s="39">
        <f>SUM(E115:F115)</f>
        <v>104401.1</v>
      </c>
    </row>
    <row r="118" spans="1:6" x14ac:dyDescent="0.25">
      <c r="E118" s="16" t="s">
        <v>111</v>
      </c>
    </row>
  </sheetData>
  <printOptions horizontalCentered="1" verticalCentered="1"/>
  <pageMargins left="0.82677165354330717" right="0.62992125984251968" top="0.74803149606299213" bottom="0.74803149606299213" header="0.31496062992125984" footer="0.31496062992125984"/>
  <pageSetup scale="86" fitToHeight="0" orientation="landscape" r:id="rId1"/>
  <rowBreaks count="1" manualBreakCount="1">
    <brk id="75" max="12" man="1"/>
  </rowBreaks>
  <ignoredErrors>
    <ignoredError sqref="F7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Hoja1 (2)</vt:lpstr>
      <vt:lpstr>Hoja2</vt:lpstr>
      <vt:lpstr>Hoja3</vt:lpstr>
      <vt:lpstr>Hoja1!Área_de_impresión</vt:lpstr>
      <vt:lpstr>'Hoja1 (2)'!Área_de_impresión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2017-10-03T19:15:53Z</cp:lastPrinted>
  <dcterms:created xsi:type="dcterms:W3CDTF">2017-09-22T19:27:35Z</dcterms:created>
  <dcterms:modified xsi:type="dcterms:W3CDTF">2017-10-03T19:16:44Z</dcterms:modified>
</cp:coreProperties>
</file>